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\\vmware-host\Shared Folders\My Documents\R\stablecpp\inst\xtraR\"/>
    </mc:Choice>
  </mc:AlternateContent>
  <bookViews>
    <workbookView xWindow="0" yWindow="84" windowWidth="17280" windowHeight="7212"/>
  </bookViews>
  <sheets>
    <sheet name="theta2" sheetId="1" r:id="rId1"/>
  </sheets>
  <definedNames>
    <definedName name="add_r">theta2!$C$10</definedName>
    <definedName name="alpha">theta2!$C$2</definedName>
    <definedName name="beta">theta2!$X$2</definedName>
    <definedName name="cat0">theta2!$C$6</definedName>
    <definedName name="ea">theta2!$X$5</definedName>
    <definedName name="g_target">theta2!$H$19</definedName>
    <definedName name="i2b">theta2!$X$3</definedName>
    <definedName name="p2b">theta2!$X$4</definedName>
    <definedName name="th_max">theta2!$C$9</definedName>
    <definedName name="theta0">theta2!$C$5</definedName>
    <definedName name="x">theta2!$C$1</definedName>
    <definedName name="x_m_zeta">theta2!$C$7</definedName>
    <definedName name="zeta">theta2!$C$4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AL11" i="1" l="1"/>
  <c r="X2" i="1"/>
  <c r="X3" i="1" s="1"/>
  <c r="X4" i="1" s="1"/>
  <c r="AN13" i="1" l="1"/>
  <c r="C2" i="1" l="1"/>
  <c r="B4" i="1" l="1"/>
  <c r="C3" i="1" s="1"/>
  <c r="E12" i="1"/>
  <c r="C1" i="1" l="1"/>
  <c r="X5" i="1" s="1"/>
  <c r="E16" i="1" l="1"/>
  <c r="C4" i="1"/>
  <c r="E14" i="1" s="1"/>
  <c r="F19" i="1" s="1"/>
  <c r="C5" i="1"/>
  <c r="C9" i="1" l="1"/>
  <c r="C10" i="1" s="1"/>
  <c r="F13" i="1"/>
  <c r="E15" i="1"/>
  <c r="C6" i="1"/>
  <c r="C7" i="1"/>
  <c r="D26" i="1" l="1"/>
  <c r="D23" i="1"/>
  <c r="D27" i="1"/>
  <c r="D24" i="1"/>
  <c r="D28" i="1"/>
  <c r="D25" i="1"/>
  <c r="D29" i="1"/>
  <c r="F25" i="1"/>
  <c r="F26" i="1"/>
  <c r="F29" i="1"/>
  <c r="F28" i="1"/>
  <c r="F27" i="1"/>
  <c r="F24" i="1"/>
  <c r="F22" i="1"/>
  <c r="F23" i="1"/>
  <c r="E19" i="1"/>
  <c r="E6" i="1"/>
  <c r="E13" i="1"/>
  <c r="C8" i="1"/>
  <c r="B23" i="1" l="1"/>
  <c r="G23" i="1" s="1"/>
  <c r="J23" i="1" l="1"/>
  <c r="C23" i="1"/>
  <c r="E23" i="1"/>
  <c r="H23" i="1" l="1"/>
  <c r="B24" i="1" s="1"/>
  <c r="C24" i="1" s="1"/>
  <c r="I23" i="1"/>
  <c r="G24" i="1"/>
  <c r="E24" i="1"/>
  <c r="J24" i="1" l="1"/>
  <c r="H24" i="1"/>
  <c r="B25" i="1" s="1"/>
  <c r="I24" i="1" l="1"/>
  <c r="G25" i="1"/>
  <c r="J25" i="1"/>
  <c r="C25" i="1"/>
  <c r="E25" i="1"/>
  <c r="H25" i="1" l="1"/>
  <c r="B26" i="1" s="1"/>
  <c r="I25" i="1" l="1"/>
  <c r="J26" i="1"/>
  <c r="C26" i="1" l="1"/>
  <c r="E26" i="1"/>
  <c r="G26" i="1"/>
  <c r="H26" i="1" l="1"/>
  <c r="B27" i="1" s="1"/>
  <c r="E27" i="1" s="1"/>
  <c r="I26" i="1" l="1"/>
  <c r="G27" i="1"/>
  <c r="J27" i="1"/>
  <c r="C27" i="1"/>
  <c r="H27" i="1" l="1"/>
  <c r="B28" i="1" s="1"/>
  <c r="I27" i="1" l="1"/>
  <c r="G28" i="1"/>
  <c r="J28" i="1"/>
  <c r="E28" i="1"/>
  <c r="C28" i="1"/>
  <c r="H28" i="1" l="1"/>
  <c r="B29" i="1" s="1"/>
  <c r="I28" i="1" l="1"/>
  <c r="B1045" i="1"/>
  <c r="G29" i="1" l="1"/>
  <c r="M22" i="1"/>
  <c r="J29" i="1"/>
  <c r="C29" i="1"/>
  <c r="E29" i="1"/>
  <c r="H29" i="1" l="1"/>
  <c r="I29" i="1" l="1"/>
  <c r="N22" i="1"/>
</calcChain>
</file>

<file path=xl/sharedStrings.xml><?xml version="1.0" encoding="utf-8"?>
<sst xmlns="http://schemas.openxmlformats.org/spreadsheetml/2006/main" count="33" uniqueCount="31">
  <si>
    <t>x</t>
  </si>
  <si>
    <t>alpha</t>
  </si>
  <si>
    <t>beta</t>
  </si>
  <si>
    <t>zeta</t>
  </si>
  <si>
    <t>theta0</t>
  </si>
  <si>
    <t>cat0</t>
  </si>
  <si>
    <t>x_m_zeta</t>
  </si>
  <si>
    <t>g*exp(-g)</t>
  </si>
  <si>
    <t>c2</t>
  </si>
  <si>
    <t>theta0+pi</t>
  </si>
  <si>
    <t>ln(g)</t>
  </si>
  <si>
    <t>i2b</t>
  </si>
  <si>
    <t>p2b</t>
  </si>
  <si>
    <t>ea</t>
  </si>
  <si>
    <t>for alpha ~ 1</t>
  </si>
  <si>
    <t>zeta ~ (2*beta/pi)/(alpha-1)</t>
  </si>
  <si>
    <t>ln|x-zeta| = ln|zeta|+ln|1-x/zeta|</t>
  </si>
  <si>
    <t>(alpha)/(alpha-1)ln|1-x/zeta| ~ -x/(2*beta/pi)</t>
  </si>
  <si>
    <t>(alpha ln |zeta| + ln cat0)/(alpha-1)  ~ ln|zeta|</t>
  </si>
  <si>
    <t>s/c</t>
  </si>
  <si>
    <t>s=1/(1+zeta^-2)^.5</t>
  </si>
  <si>
    <t>ln s ~ .5*ln(1+zeta^-2)</t>
  </si>
  <si>
    <t xml:space="preserve">ln |zeta| + ln cat0 = -.5*ln(1+(1/|zeta|)^2) ~- .5/(zeta*zeta) </t>
  </si>
  <si>
    <t>th_r</t>
  </si>
  <si>
    <t>add_r</t>
  </si>
  <si>
    <t>ln(cos(att-th))</t>
  </si>
  <si>
    <t>ln(cos(th))/(alpha-1)</t>
  </si>
  <si>
    <t>alpha*ln(x_m_zeta)/(alpha-1)</t>
  </si>
  <si>
    <t>-alpha*ln(sin(att))/(alpha-1)</t>
  </si>
  <si>
    <t>g_target</t>
  </si>
  <si>
    <t>ln(cat0)/(alpha-1)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</si>
</sst>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000"/>
    <numFmt numFmtId="178" formatCode="0.000000000000000E+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 applyNumberFormat="1"/>
    <xf numFmtId="164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quotePrefix="1"/>
    <xf numFmtId="178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theta2!$M$23:$M$58</c:f>
              <c:numCache>
                <c:formatCode>General</c:formatCode>
                <c:ptCount val="36"/>
                <c:pt idx="0">
                  <c:v>1.0000410525432586E-20</c:v>
                </c:pt>
                <c:pt idx="1">
                  <c:v>1.0000420525848088E-20</c:v>
                </c:pt>
                <c:pt idx="2">
                  <c:v>1.0000430526273587E-20</c:v>
                </c:pt>
                <c:pt idx="3">
                  <c:v>1.0000440526709161E-20</c:v>
                </c:pt>
                <c:pt idx="4">
                  <c:v>1.0000450527154661E-20</c:v>
                </c:pt>
                <c:pt idx="5">
                  <c:v>1.0000460527610164E-20</c:v>
                </c:pt>
                <c:pt idx="6">
                  <c:v>1.000046152765626E-20</c:v>
                </c:pt>
                <c:pt idx="7">
                  <c:v>1.0000462527702535E-20</c:v>
                </c:pt>
                <c:pt idx="8">
                  <c:v>1.0000463527748835E-20</c:v>
                </c:pt>
                <c:pt idx="9">
                  <c:v>1.0000464527795237E-20</c:v>
                </c:pt>
                <c:pt idx="10">
                  <c:v>1.0000465527841736E-20</c:v>
                </c:pt>
                <c:pt idx="11">
                  <c:v>1.0000468027958424E-20</c:v>
                </c:pt>
                <c:pt idx="12">
                  <c:v>1.0000470528075738E-20</c:v>
                </c:pt>
                <c:pt idx="13">
                  <c:v>1.0000480528551241E-20</c:v>
                </c:pt>
                <c:pt idx="14">
                  <c:v>1.0000490529036816E-20</c:v>
                </c:pt>
                <c:pt idx="15">
                  <c:v>1.000050052953232E-20</c:v>
                </c:pt>
                <c:pt idx="16">
                  <c:v>1.00005205305534E-20</c:v>
                </c:pt>
                <c:pt idx="17">
                  <c:v>1.0000540531614412E-20</c:v>
                </c:pt>
                <c:pt idx="18">
                  <c:v>1.0000560532715496E-20</c:v>
                </c:pt>
                <c:pt idx="19">
                  <c:v>1.0000580533856585E-20</c:v>
                </c:pt>
                <c:pt idx="20">
                  <c:v>1.0000600535037598E-20</c:v>
                </c:pt>
                <c:pt idx="21">
                  <c:v>1.0000620536258694E-20</c:v>
                </c:pt>
                <c:pt idx="22">
                  <c:v>1.0000640537519788E-20</c:v>
                </c:pt>
                <c:pt idx="23">
                  <c:v>1.0000660538820885E-20</c:v>
                </c:pt>
                <c:pt idx="24">
                  <c:v>1.0000700541543015E-20</c:v>
                </c:pt>
                <c:pt idx="25">
                  <c:v>1.0000740544425228E-20</c:v>
                </c:pt>
                <c:pt idx="26">
                  <c:v>1.0000780547467382E-20</c:v>
                </c:pt>
                <c:pt idx="27">
                  <c:v>1.0000820550669548E-20</c:v>
                </c:pt>
                <c:pt idx="28">
                  <c:v>1.0000860554031799E-20</c:v>
                </c:pt>
                <c:pt idx="29">
                  <c:v>1.0000960563137344E-20</c:v>
                </c:pt>
                <c:pt idx="30">
                  <c:v>1.0001060573243057E-20</c:v>
                </c:pt>
                <c:pt idx="31">
                  <c:v>1.0001160584348877E-20</c:v>
                </c:pt>
                <c:pt idx="32">
                  <c:v>1.000126059645474E-20</c:v>
                </c:pt>
                <c:pt idx="33">
                  <c:v>1.0001460623666927E-20</c:v>
                </c:pt>
                <c:pt idx="34">
                  <c:v>1.000166065487977E-20</c:v>
                </c:pt>
                <c:pt idx="35">
                  <c:v>1.0001860690093206E-20</c:v>
                </c:pt>
              </c:numCache>
            </c:numRef>
          </c:xVal>
          <c:yVal>
            <c:numRef>
              <c:f>theta2!$N$23:$N$58</c:f>
              <c:numCache>
                <c:formatCode>General</c:formatCode>
                <c:ptCount val="36"/>
                <c:pt idx="0">
                  <c:v>4.9999999999987663</c:v>
                </c:pt>
                <c:pt idx="1">
                  <c:v>3.9999999999987663</c:v>
                </c:pt>
                <c:pt idx="2">
                  <c:v>2.9999999999987663</c:v>
                </c:pt>
                <c:pt idx="3">
                  <c:v>1.9999999999987663</c:v>
                </c:pt>
                <c:pt idx="4">
                  <c:v>0.99999999999876632</c:v>
                </c:pt>
                <c:pt idx="5">
                  <c:v>-1.2336798249642349E-12</c:v>
                </c:pt>
                <c:pt idx="6">
                  <c:v>-0.1000000014913498</c:v>
                </c:pt>
                <c:pt idx="7">
                  <c:v>-0.20000000298146592</c:v>
                </c:pt>
                <c:pt idx="8">
                  <c:v>-0.29999999702100144</c:v>
                </c:pt>
                <c:pt idx="9">
                  <c:v>-0.39999999851111756</c:v>
                </c:pt>
                <c:pt idx="10">
                  <c:v>-0.50000000000123368</c:v>
                </c:pt>
                <c:pt idx="11">
                  <c:v>-0.75000000000123368</c:v>
                </c:pt>
                <c:pt idx="12">
                  <c:v>-1.0000000000012337</c:v>
                </c:pt>
                <c:pt idx="13">
                  <c:v>-2.0000000000012337</c:v>
                </c:pt>
                <c:pt idx="14">
                  <c:v>-3.0000000000012337</c:v>
                </c:pt>
                <c:pt idx="15">
                  <c:v>-4.0000000000012337</c:v>
                </c:pt>
                <c:pt idx="16">
                  <c:v>-6.0000000000012337</c:v>
                </c:pt>
                <c:pt idx="17">
                  <c:v>-8.0000000000012328</c:v>
                </c:pt>
                <c:pt idx="18">
                  <c:v>-10.000000000001233</c:v>
                </c:pt>
                <c:pt idx="19">
                  <c:v>-12.000000000001233</c:v>
                </c:pt>
                <c:pt idx="20">
                  <c:v>-14.000000000001233</c:v>
                </c:pt>
                <c:pt idx="21">
                  <c:v>-16.000000000001233</c:v>
                </c:pt>
                <c:pt idx="22">
                  <c:v>-18.000000000001233</c:v>
                </c:pt>
                <c:pt idx="23">
                  <c:v>-20.000000000001233</c:v>
                </c:pt>
                <c:pt idx="24">
                  <c:v>-24.000000000001233</c:v>
                </c:pt>
                <c:pt idx="25">
                  <c:v>-28.000000000001233</c:v>
                </c:pt>
                <c:pt idx="26">
                  <c:v>-32.000000000001236</c:v>
                </c:pt>
                <c:pt idx="27">
                  <c:v>-36.000000000001236</c:v>
                </c:pt>
                <c:pt idx="28">
                  <c:v>-40.000000000001236</c:v>
                </c:pt>
                <c:pt idx="29">
                  <c:v>-50.000000000001236</c:v>
                </c:pt>
                <c:pt idx="30">
                  <c:v>-60.000000000001236</c:v>
                </c:pt>
                <c:pt idx="31">
                  <c:v>-70.000000000001236</c:v>
                </c:pt>
                <c:pt idx="32">
                  <c:v>-80.000000000001236</c:v>
                </c:pt>
                <c:pt idx="33">
                  <c:v>-100.00000000000124</c:v>
                </c:pt>
                <c:pt idx="34">
                  <c:v>-120.00000000000124</c:v>
                </c:pt>
                <c:pt idx="35">
                  <c:v>-140.00000000000122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236400"/>
        <c:axId val="405236960"/>
      </c:scatterChart>
      <c:valAx>
        <c:axId val="40523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36960"/>
        <c:crosses val="autoZero"/>
        <c:crossBetween val="midCat"/>
      </c:valAx>
      <c:valAx>
        <c:axId val="40523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3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14</xdr:col>
      <xdr:colOff>834887</xdr:colOff>
      <xdr:row>14</xdr:row>
      <xdr:rowOff>145774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1045"/>
  <sheetViews>
    <sheetView tabSelected="1" topLeftCell="J1" zoomScale="115" zoomScaleNormal="115" workbookViewId="0">
      <selection activeCell="P12" sqref="P12"/>
    </sheetView>
  </sheetViews>
  <sheetFormatPr defaultRowHeight="14.4" x14ac:dyDescent="0.3"/>
  <cols>
    <col min="1" max="1" width="17.33203125" customWidth="1"/>
    <col min="2" max="2" width="23.77734375" customWidth="1"/>
    <col min="3" max="4" width="23.109375" customWidth="1"/>
    <col min="5" max="5" width="24.21875" customWidth="1"/>
    <col min="6" max="6" width="22.88671875" bestFit="1" customWidth="1"/>
    <col min="7" max="7" width="23.33203125" bestFit="1" customWidth="1"/>
    <col min="8" max="9" width="22.88671875" bestFit="1" customWidth="1"/>
    <col min="10" max="10" width="23.33203125" bestFit="1" customWidth="1"/>
    <col min="13" max="13" width="22.21875" bestFit="1" customWidth="1"/>
    <col min="14" max="14" width="23.33203125" bestFit="1" customWidth="1"/>
    <col min="15" max="15" width="12.6640625" bestFit="1" customWidth="1"/>
    <col min="17" max="17" width="10.6640625" bestFit="1" customWidth="1"/>
    <col min="24" max="24" width="13.109375" bestFit="1" customWidth="1"/>
    <col min="32" max="32" width="12.109375" bestFit="1" customWidth="1"/>
    <col min="39" max="39" width="13" bestFit="1" customWidth="1"/>
  </cols>
  <sheetData>
    <row r="1" spans="1:45" x14ac:dyDescent="0.3">
      <c r="A1" t="s">
        <v>0</v>
      </c>
      <c r="B1" s="5">
        <v>1E+20</v>
      </c>
      <c r="C1" s="2">
        <f>IF(B1&lt;B4,-B1,B1)</f>
        <v>1E+20</v>
      </c>
      <c r="D1" s="2"/>
    </row>
    <row r="2" spans="1:45" x14ac:dyDescent="0.3">
      <c r="A2" t="s">
        <v>1</v>
      </c>
      <c r="B2" s="1">
        <f>1-0.000001</f>
        <v>0.99999899999999997</v>
      </c>
      <c r="C2">
        <f>B2</f>
        <v>0.99999899999999997</v>
      </c>
      <c r="W2" t="s">
        <v>2</v>
      </c>
      <c r="X2">
        <f>IF(B1&gt;=0,B3,-B3)</f>
        <v>0</v>
      </c>
    </row>
    <row r="3" spans="1:45" x14ac:dyDescent="0.3">
      <c r="A3" t="s">
        <v>2</v>
      </c>
      <c r="B3" s="1">
        <v>0</v>
      </c>
      <c r="C3">
        <f>IF(B1&lt;B4,-B3,B3)</f>
        <v>0</v>
      </c>
      <c r="W3" t="s">
        <v>11</v>
      </c>
      <c r="X3" t="e">
        <f>1/(2*X2)</f>
        <v>#DIV/0!</v>
      </c>
    </row>
    <row r="4" spans="1:45" x14ac:dyDescent="0.3">
      <c r="A4" t="s">
        <v>3</v>
      </c>
      <c r="B4">
        <f>-B3*TAN(PI()*alpha/2)</f>
        <v>0</v>
      </c>
      <c r="C4">
        <f>-beta*TAN(PI()*alpha/2)</f>
        <v>0</v>
      </c>
      <c r="W4" t="s">
        <v>12</v>
      </c>
      <c r="X4" t="e">
        <f>PI()*X3</f>
        <v>#DIV/0!</v>
      </c>
    </row>
    <row r="5" spans="1:45" x14ac:dyDescent="0.3">
      <c r="A5" t="s">
        <v>4</v>
      </c>
      <c r="C5">
        <f>ATAN(beta*TAN(PI()*alpha/2))/alpha</f>
        <v>0</v>
      </c>
      <c r="E5" s="4"/>
      <c r="W5" t="s">
        <v>13</v>
      </c>
      <c r="X5" t="e">
        <f>-X4*ABS(x)</f>
        <v>#DIV/0!</v>
      </c>
      <c r="AR5" t="s">
        <v>19</v>
      </c>
      <c r="AS5" t="s">
        <v>3</v>
      </c>
    </row>
    <row r="6" spans="1:45" x14ac:dyDescent="0.3">
      <c r="A6" t="s">
        <v>5</v>
      </c>
      <c r="C6">
        <f>1/SQRT(1+zeta*zeta)</f>
        <v>1</v>
      </c>
      <c r="E6">
        <f>LN(cat0)</f>
        <v>0</v>
      </c>
      <c r="AR6" t="s">
        <v>20</v>
      </c>
    </row>
    <row r="7" spans="1:45" x14ac:dyDescent="0.3">
      <c r="A7" t="s">
        <v>6</v>
      </c>
      <c r="C7">
        <f>ABS(x-zeta)</f>
        <v>1E+20</v>
      </c>
      <c r="AR7" t="s">
        <v>21</v>
      </c>
    </row>
    <row r="8" spans="1:45" x14ac:dyDescent="0.3">
      <c r="A8" t="s">
        <v>8</v>
      </c>
      <c r="C8">
        <f>alpha/(PI()*ABS(alpha-1)*x_m_zeta)</f>
        <v>3.1830956786475133E-15</v>
      </c>
    </row>
    <row r="9" spans="1:45" x14ac:dyDescent="0.3">
      <c r="A9" t="s">
        <v>9</v>
      </c>
      <c r="C9">
        <f>PI()/2+theta0</f>
        <v>1.5707963267948966</v>
      </c>
    </row>
    <row r="10" spans="1:45" x14ac:dyDescent="0.3">
      <c r="A10" t="s">
        <v>24</v>
      </c>
      <c r="C10">
        <f>PI()-alpha*C9</f>
        <v>1.5707978975912233</v>
      </c>
    </row>
    <row r="11" spans="1:45" x14ac:dyDescent="0.3">
      <c r="AL11" t="e">
        <f>-SIN(th)/COS(th)</f>
        <v>#NAME?</v>
      </c>
    </row>
    <row r="12" spans="1:45" x14ac:dyDescent="0.3">
      <c r="A12" t="s">
        <v>14</v>
      </c>
      <c r="B12" t="s">
        <v>15</v>
      </c>
      <c r="E12">
        <f>2*B3/(alpha-1)/PI()</f>
        <v>0</v>
      </c>
    </row>
    <row r="13" spans="1:45" x14ac:dyDescent="0.3">
      <c r="A13" t="s">
        <v>22</v>
      </c>
      <c r="E13" t="e">
        <f>LN(ABS(zeta))+LN(cat0)</f>
        <v>#NUM!</v>
      </c>
      <c r="F13" t="e">
        <f>-0.5/(zeta*zeta)</f>
        <v>#DIV/0!</v>
      </c>
      <c r="AN13" t="e">
        <f>PI()/(2*beta)</f>
        <v>#DIV/0!</v>
      </c>
    </row>
    <row r="14" spans="1:45" x14ac:dyDescent="0.3">
      <c r="E14" t="e">
        <f>-0.5*LN(1+zeta^-2)</f>
        <v>#DIV/0!</v>
      </c>
    </row>
    <row r="15" spans="1:45" x14ac:dyDescent="0.3">
      <c r="A15" t="s">
        <v>16</v>
      </c>
      <c r="E15" t="e">
        <f>alpha/(alpha-1)*LN(1-x/zeta)</f>
        <v>#DIV/0!</v>
      </c>
    </row>
    <row r="16" spans="1:45" x14ac:dyDescent="0.3">
      <c r="A16" t="s">
        <v>17</v>
      </c>
      <c r="E16" t="e">
        <f>-x/(2*beta/PI())</f>
        <v>#DIV/0!</v>
      </c>
    </row>
    <row r="19" spans="1:14" x14ac:dyDescent="0.3">
      <c r="A19" t="s">
        <v>18</v>
      </c>
      <c r="E19" t="e">
        <f>(alpha*LN(ABS(zeta))+LN(cat0))/(alpha-1)</f>
        <v>#NUM!</v>
      </c>
      <c r="F19" t="e">
        <f>LN(ABS(B4))+E14/(alpha-1)</f>
        <v>#NUM!</v>
      </c>
      <c r="G19" s="8" t="s">
        <v>29</v>
      </c>
      <c r="H19" s="1">
        <v>0</v>
      </c>
    </row>
    <row r="21" spans="1:14" x14ac:dyDescent="0.3">
      <c r="B21" t="s">
        <v>23</v>
      </c>
      <c r="C21" t="s">
        <v>26</v>
      </c>
      <c r="D21" t="s">
        <v>30</v>
      </c>
      <c r="E21" s="6" t="s">
        <v>28</v>
      </c>
      <c r="F21" t="s">
        <v>27</v>
      </c>
      <c r="G21" t="s">
        <v>25</v>
      </c>
      <c r="H21" t="s">
        <v>10</v>
      </c>
      <c r="I21" t="s">
        <v>7</v>
      </c>
    </row>
    <row r="22" spans="1:14" x14ac:dyDescent="0.3">
      <c r="E22" s="6"/>
      <c r="F22">
        <f>(alpha*LN(x_m_zeta))/(alpha-1)</f>
        <v>-46051655.806854807</v>
      </c>
      <c r="M22" s="7">
        <f>B29</f>
        <v>1.0000460527610164E-20</v>
      </c>
      <c r="N22" s="7">
        <f>H29</f>
        <v>-1.2336798249642349E-12</v>
      </c>
    </row>
    <row r="23" spans="1:14" x14ac:dyDescent="0.3">
      <c r="B23" s="7">
        <f>ASIN(MAX(0,MIN(1,EXP((alpha-1)*(g_target-SUM(D22:G22))))))</f>
        <v>1.0000460527622532E-20</v>
      </c>
      <c r="C23" s="7">
        <f>LN(SIN(B23))/(alpha-1)</f>
        <v>46051655.806854807</v>
      </c>
      <c r="D23" s="7">
        <f>LN(cat0)/(alpha-1)</f>
        <v>0</v>
      </c>
      <c r="E23" s="7">
        <f>-alpha*LN(SIN(alpha*B23+add_r))/(alpha-1)</f>
        <v>-1.2336785912489346E-6</v>
      </c>
      <c r="F23" s="7">
        <f>(alpha*LN(x_m_zeta))/(alpha-1)</f>
        <v>-46051655.806854807</v>
      </c>
      <c r="G23" s="7">
        <f>LN(SIN((alpha-1)*B23+add_r))</f>
        <v>-1.2336798249642349E-12</v>
      </c>
      <c r="H23" s="7">
        <f>SUM(C23:G23)</f>
        <v>-1.2367976127691804E-6</v>
      </c>
      <c r="I23" s="7">
        <f>EXP(H23)*EXP(-EXP(H23))</f>
        <v>0.36787944117116095</v>
      </c>
      <c r="J23" s="7">
        <f>_xlfn.COT(B23)/(alpha-1)-alpha^2/(alpha-1)*_xlfn.COT(alpha*B23+add_r)+(alpha-1)*_xlfn.COT((alpha-1)*B23+add_r)</f>
        <v>-9.9995394932975176E+25</v>
      </c>
      <c r="L23">
        <v>5</v>
      </c>
      <c r="M23">
        <f t="dataTable" ref="M23:N58" dt2D="0" dtr="0" r1="H19"/>
        <v>1.0000410525432586E-20</v>
      </c>
      <c r="N23">
        <v>4.9999999999987663</v>
      </c>
    </row>
    <row r="24" spans="1:14" x14ac:dyDescent="0.3">
      <c r="B24" s="7">
        <f>MAX(0,MIN(th_max,B23-(H23-g_target)/J23))</f>
        <v>1.0000460527610164E-20</v>
      </c>
      <c r="C24" s="7">
        <f>LN(SIN(B24))/(alpha-1)</f>
        <v>46051655.806856044</v>
      </c>
      <c r="D24" s="7">
        <f>LN(cat0)/(alpha-1)</f>
        <v>0</v>
      </c>
      <c r="E24" s="7">
        <f>-alpha*LN(SIN(alpha*B24+add_r))/(alpha-1)</f>
        <v>-1.2336785912489346E-6</v>
      </c>
      <c r="F24" s="7">
        <f>(alpha*LN(x_m_zeta))/(alpha-1)</f>
        <v>-46051655.806854807</v>
      </c>
      <c r="G24" s="7">
        <f>LN(SIN((alpha-1)*B24+add_r))</f>
        <v>-1.2336798249642349E-12</v>
      </c>
      <c r="H24" s="7">
        <f>SUM(C24:G24)</f>
        <v>-1.2336798249642349E-12</v>
      </c>
      <c r="I24" s="7">
        <f>EXP(H24)*EXP(-EXP(H24))</f>
        <v>0.36787944117144233</v>
      </c>
      <c r="J24" s="7">
        <f>_xlfn.COT(B24)/(alpha-1)-alpha^2/(alpha-1)*_xlfn.COT(alpha*B24+add_r)+(alpha-1)*_xlfn.COT((alpha-1)*B24+add_r)</f>
        <v>-9.9995394933098854E+25</v>
      </c>
      <c r="L24">
        <v>4</v>
      </c>
      <c r="M24">
        <v>1.0000420525848088E-20</v>
      </c>
      <c r="N24">
        <v>3.9999999999987663</v>
      </c>
    </row>
    <row r="25" spans="1:14" x14ac:dyDescent="0.3">
      <c r="B25" s="7">
        <f>MAX(0,MIN(th_max,B24-(H24-g_target)/J24))</f>
        <v>1.0000460527610164E-20</v>
      </c>
      <c r="C25" s="7">
        <f>LN(SIN(B25))/(alpha-1)</f>
        <v>46051655.806856044</v>
      </c>
      <c r="D25" s="7">
        <f>LN(cat0)/(alpha-1)</f>
        <v>0</v>
      </c>
      <c r="E25" s="7">
        <f>-alpha*LN(SIN(alpha*B25+add_r))/(alpha-1)</f>
        <v>-1.2336785912489346E-6</v>
      </c>
      <c r="F25" s="7">
        <f>(alpha*LN(x_m_zeta))/(alpha-1)</f>
        <v>-46051655.806854807</v>
      </c>
      <c r="G25" s="7">
        <f>LN(SIN((alpha-1)*B25+add_r))</f>
        <v>-1.2336798249642349E-12</v>
      </c>
      <c r="H25" s="7">
        <f>SUM(C25:G25)</f>
        <v>-1.2336798249642349E-12</v>
      </c>
      <c r="I25" s="7">
        <f>EXP(H25)*EXP(-EXP(H25))</f>
        <v>0.36787944117144233</v>
      </c>
      <c r="J25" s="7">
        <f>_xlfn.COT(B25)/(alpha-1)-alpha^2/(alpha-1)*_xlfn.COT(alpha*B25+add_r)+(alpha-1)*_xlfn.COT((alpha-1)*B25+add_r)</f>
        <v>-9.9995394933098854E+25</v>
      </c>
      <c r="L25">
        <v>3</v>
      </c>
      <c r="M25">
        <v>1.0000430526273587E-20</v>
      </c>
      <c r="N25">
        <v>2.9999999999987663</v>
      </c>
    </row>
    <row r="26" spans="1:14" x14ac:dyDescent="0.3">
      <c r="B26" s="7">
        <f>MAX(0,MIN(th_max,B25-(H25-g_target)/J25))</f>
        <v>1.0000460527610164E-20</v>
      </c>
      <c r="C26" s="7">
        <f>LN(SIN(B26))/(alpha-1)</f>
        <v>46051655.806856044</v>
      </c>
      <c r="D26" s="7">
        <f>LN(cat0)/(alpha-1)</f>
        <v>0</v>
      </c>
      <c r="E26" s="7">
        <f>-alpha*LN(SIN(alpha*B26+add_r))/(alpha-1)</f>
        <v>-1.2336785912489346E-6</v>
      </c>
      <c r="F26" s="7">
        <f>(alpha*LN(x_m_zeta))/(alpha-1)</f>
        <v>-46051655.806854807</v>
      </c>
      <c r="G26" s="7">
        <f>LN(SIN((alpha-1)*B26+add_r))</f>
        <v>-1.2336798249642349E-12</v>
      </c>
      <c r="H26" s="7">
        <f t="shared" ref="H26:H29" si="0">SUM(C26:G26)</f>
        <v>-1.2336798249642349E-12</v>
      </c>
      <c r="I26" s="7">
        <f t="shared" ref="I26:I29" si="1">EXP(H26)*EXP(-EXP(H26))</f>
        <v>0.36787944117144233</v>
      </c>
      <c r="J26" s="7">
        <f>_xlfn.COT(B26)/(alpha-1)-alpha^2/(alpha-1)*_xlfn.COT(alpha*B26+add_r)+(alpha-1)*_xlfn.COT((alpha-1)*B26+add_r)</f>
        <v>-9.9995394933098854E+25</v>
      </c>
      <c r="L26">
        <v>2</v>
      </c>
      <c r="M26">
        <v>1.0000440526709161E-20</v>
      </c>
      <c r="N26">
        <v>1.9999999999987663</v>
      </c>
    </row>
    <row r="27" spans="1:14" x14ac:dyDescent="0.3">
      <c r="B27" s="7">
        <f>MAX(0,MIN(th_max,B26-(H26-g_target)/J26))</f>
        <v>1.0000460527610164E-20</v>
      </c>
      <c r="C27" s="7">
        <f>LN(SIN(B27))/(alpha-1)</f>
        <v>46051655.806856044</v>
      </c>
      <c r="D27" s="7">
        <f>LN(cat0)/(alpha-1)</f>
        <v>0</v>
      </c>
      <c r="E27" s="7">
        <f>-alpha*LN(SIN(alpha*B27+add_r))/(alpha-1)</f>
        <v>-1.2336785912489346E-6</v>
      </c>
      <c r="F27" s="7">
        <f>(alpha*LN(x_m_zeta))/(alpha-1)</f>
        <v>-46051655.806854807</v>
      </c>
      <c r="G27" s="7">
        <f>LN(SIN((alpha-1)*B27+add_r))</f>
        <v>-1.2336798249642349E-12</v>
      </c>
      <c r="H27" s="7">
        <f t="shared" si="0"/>
        <v>-1.2336798249642349E-12</v>
      </c>
      <c r="I27" s="7">
        <f t="shared" si="1"/>
        <v>0.36787944117144233</v>
      </c>
      <c r="J27" s="7">
        <f>_xlfn.COT(B27)/(alpha-1)-alpha^2/(alpha-1)*_xlfn.COT(alpha*B27+add_r)+(alpha-1)*_xlfn.COT((alpha-1)*B27+add_r)</f>
        <v>-9.9995394933098854E+25</v>
      </c>
      <c r="L27">
        <v>1</v>
      </c>
      <c r="M27">
        <v>1.0000450527154661E-20</v>
      </c>
      <c r="N27">
        <v>0.99999999999876632</v>
      </c>
    </row>
    <row r="28" spans="1:14" x14ac:dyDescent="0.3">
      <c r="B28" s="7">
        <f>MAX(0,MIN(th_max,B27-(H27-g_target)/J27))</f>
        <v>1.0000460527610164E-20</v>
      </c>
      <c r="C28" s="7">
        <f>LN(SIN(B28))/(alpha-1)</f>
        <v>46051655.806856044</v>
      </c>
      <c r="D28" s="7">
        <f>LN(cat0)/(alpha-1)</f>
        <v>0</v>
      </c>
      <c r="E28" s="7">
        <f>-alpha*LN(SIN(alpha*B28+add_r))/(alpha-1)</f>
        <v>-1.2336785912489346E-6</v>
      </c>
      <c r="F28" s="7">
        <f>(alpha*LN(x_m_zeta))/(alpha-1)</f>
        <v>-46051655.806854807</v>
      </c>
      <c r="G28" s="7">
        <f>LN(SIN((alpha-1)*B28+add_r))</f>
        <v>-1.2336798249642349E-12</v>
      </c>
      <c r="H28" s="7">
        <f t="shared" si="0"/>
        <v>-1.2336798249642349E-12</v>
      </c>
      <c r="I28" s="7">
        <f t="shared" si="1"/>
        <v>0.36787944117144233</v>
      </c>
      <c r="J28" s="7">
        <f>_xlfn.COT(B28)/(alpha-1)-alpha^2/(alpha-1)*_xlfn.COT(alpha*B28+add_r)+(alpha-1)*_xlfn.COT((alpha-1)*B28+add_r)</f>
        <v>-9.9995394933098854E+25</v>
      </c>
      <c r="L28">
        <v>0</v>
      </c>
      <c r="M28">
        <v>1.0000460527610164E-20</v>
      </c>
      <c r="N28">
        <v>-1.2336798249642349E-12</v>
      </c>
    </row>
    <row r="29" spans="1:14" x14ac:dyDescent="0.3">
      <c r="B29" s="7">
        <f>MAX(0,MIN(th_max,B28-(H28-g_target)/J28))</f>
        <v>1.0000460527610164E-20</v>
      </c>
      <c r="C29" s="7">
        <f>LN(SIN(B29))/(alpha-1)</f>
        <v>46051655.806856044</v>
      </c>
      <c r="D29" s="7">
        <f>LN(cat0)/(alpha-1)</f>
        <v>0</v>
      </c>
      <c r="E29" s="7">
        <f>-alpha*LN(SIN(alpha*B29+add_r))/(alpha-1)</f>
        <v>-1.2336785912489346E-6</v>
      </c>
      <c r="F29" s="7">
        <f>(alpha*LN(x_m_zeta))/(alpha-1)</f>
        <v>-46051655.806854807</v>
      </c>
      <c r="G29" s="7">
        <f>LN(SIN((alpha-1)*B29+add_r))</f>
        <v>-1.2336798249642349E-12</v>
      </c>
      <c r="H29" s="7">
        <f t="shared" si="0"/>
        <v>-1.2336798249642349E-12</v>
      </c>
      <c r="I29" s="7">
        <f t="shared" si="1"/>
        <v>0.36787944117144233</v>
      </c>
      <c r="J29" s="7">
        <f>_xlfn.COT(B29)/(alpha-1)-alpha^2/(alpha-1)*_xlfn.COT(alpha*B29+add_r)+(alpha-1)*_xlfn.COT((alpha-1)*B29+add_r)</f>
        <v>-9.9995394933098854E+25</v>
      </c>
      <c r="L29">
        <v>-0.1</v>
      </c>
      <c r="M29">
        <v>1.000046152765626E-20</v>
      </c>
      <c r="N29">
        <v>-0.1000000014913498</v>
      </c>
    </row>
    <row r="30" spans="1:14" x14ac:dyDescent="0.3">
      <c r="L30">
        <v>-0.2</v>
      </c>
      <c r="M30">
        <v>1.0000462527702535E-20</v>
      </c>
      <c r="N30">
        <v>-0.20000000298146592</v>
      </c>
    </row>
    <row r="31" spans="1:14" x14ac:dyDescent="0.3">
      <c r="L31">
        <v>-0.3</v>
      </c>
      <c r="M31">
        <v>1.0000463527748835E-20</v>
      </c>
      <c r="N31">
        <v>-0.29999999702100144</v>
      </c>
    </row>
    <row r="32" spans="1:14" x14ac:dyDescent="0.3">
      <c r="L32">
        <v>-0.4</v>
      </c>
      <c r="M32">
        <v>1.0000464527795237E-20</v>
      </c>
      <c r="N32">
        <v>-0.39999999851111756</v>
      </c>
    </row>
    <row r="33" spans="12:14" x14ac:dyDescent="0.3">
      <c r="L33">
        <v>-0.5</v>
      </c>
      <c r="M33">
        <v>1.0000465527841736E-20</v>
      </c>
      <c r="N33">
        <v>-0.50000000000123368</v>
      </c>
    </row>
    <row r="34" spans="12:14" x14ac:dyDescent="0.3">
      <c r="L34">
        <v>-0.75</v>
      </c>
      <c r="M34">
        <v>1.0000468027958424E-20</v>
      </c>
      <c r="N34">
        <v>-0.75000000000123368</v>
      </c>
    </row>
    <row r="35" spans="12:14" x14ac:dyDescent="0.3">
      <c r="L35">
        <v>-1</v>
      </c>
      <c r="M35">
        <v>1.0000470528075738E-20</v>
      </c>
      <c r="N35">
        <v>-1.0000000000012337</v>
      </c>
    </row>
    <row r="36" spans="12:14" x14ac:dyDescent="0.3">
      <c r="L36">
        <v>-2</v>
      </c>
      <c r="M36">
        <v>1.0000480528551241E-20</v>
      </c>
      <c r="N36">
        <v>-2.0000000000012337</v>
      </c>
    </row>
    <row r="37" spans="12:14" x14ac:dyDescent="0.3">
      <c r="L37">
        <v>-3</v>
      </c>
      <c r="M37">
        <v>1.0000490529036816E-20</v>
      </c>
      <c r="N37">
        <v>-3.0000000000012337</v>
      </c>
    </row>
    <row r="38" spans="12:14" x14ac:dyDescent="0.3">
      <c r="L38">
        <v>-4</v>
      </c>
      <c r="M38">
        <v>1.000050052953232E-20</v>
      </c>
      <c r="N38">
        <v>-4.0000000000012337</v>
      </c>
    </row>
    <row r="39" spans="12:14" x14ac:dyDescent="0.3">
      <c r="L39">
        <v>-6</v>
      </c>
      <c r="M39">
        <v>1.00005205305534E-20</v>
      </c>
      <c r="N39">
        <v>-6.0000000000012337</v>
      </c>
    </row>
    <row r="40" spans="12:14" x14ac:dyDescent="0.3">
      <c r="L40">
        <v>-8</v>
      </c>
      <c r="M40">
        <v>1.0000540531614412E-20</v>
      </c>
      <c r="N40">
        <v>-8.0000000000012328</v>
      </c>
    </row>
    <row r="41" spans="12:14" x14ac:dyDescent="0.3">
      <c r="L41">
        <v>-10</v>
      </c>
      <c r="M41">
        <v>1.0000560532715496E-20</v>
      </c>
      <c r="N41">
        <v>-10.000000000001233</v>
      </c>
    </row>
    <row r="42" spans="12:14" x14ac:dyDescent="0.3">
      <c r="L42">
        <v>-12</v>
      </c>
      <c r="M42">
        <v>1.0000580533856585E-20</v>
      </c>
      <c r="N42">
        <v>-12.000000000001233</v>
      </c>
    </row>
    <row r="43" spans="12:14" x14ac:dyDescent="0.3">
      <c r="L43">
        <v>-14</v>
      </c>
      <c r="M43">
        <v>1.0000600535037598E-20</v>
      </c>
      <c r="N43">
        <v>-14.000000000001233</v>
      </c>
    </row>
    <row r="44" spans="12:14" x14ac:dyDescent="0.3">
      <c r="L44">
        <v>-16</v>
      </c>
      <c r="M44">
        <v>1.0000620536258694E-20</v>
      </c>
      <c r="N44">
        <v>-16.000000000001233</v>
      </c>
    </row>
    <row r="45" spans="12:14" x14ac:dyDescent="0.3">
      <c r="L45">
        <v>-18</v>
      </c>
      <c r="M45">
        <v>1.0000640537519788E-20</v>
      </c>
      <c r="N45">
        <v>-18.000000000001233</v>
      </c>
    </row>
    <row r="46" spans="12:14" x14ac:dyDescent="0.3">
      <c r="L46">
        <v>-20</v>
      </c>
      <c r="M46">
        <v>1.0000660538820885E-20</v>
      </c>
      <c r="N46">
        <v>-20.000000000001233</v>
      </c>
    </row>
    <row r="47" spans="12:14" x14ac:dyDescent="0.3">
      <c r="L47">
        <v>-24</v>
      </c>
      <c r="M47">
        <v>1.0000700541543015E-20</v>
      </c>
      <c r="N47">
        <v>-24.000000000001233</v>
      </c>
    </row>
    <row r="48" spans="12:14" x14ac:dyDescent="0.3">
      <c r="L48">
        <v>-28</v>
      </c>
      <c r="M48">
        <v>1.0000740544425228E-20</v>
      </c>
      <c r="N48">
        <v>-28.000000000001233</v>
      </c>
    </row>
    <row r="49" spans="12:14" x14ac:dyDescent="0.3">
      <c r="L49">
        <v>-32</v>
      </c>
      <c r="M49">
        <v>1.0000780547467382E-20</v>
      </c>
      <c r="N49">
        <v>-32.000000000001236</v>
      </c>
    </row>
    <row r="50" spans="12:14" x14ac:dyDescent="0.3">
      <c r="L50">
        <v>-36</v>
      </c>
      <c r="M50">
        <v>1.0000820550669548E-20</v>
      </c>
      <c r="N50">
        <v>-36.000000000001236</v>
      </c>
    </row>
    <row r="51" spans="12:14" x14ac:dyDescent="0.3">
      <c r="L51">
        <v>-40</v>
      </c>
      <c r="M51">
        <v>1.0000860554031799E-20</v>
      </c>
      <c r="N51">
        <v>-40.000000000001236</v>
      </c>
    </row>
    <row r="52" spans="12:14" x14ac:dyDescent="0.3">
      <c r="L52">
        <v>-50</v>
      </c>
      <c r="M52">
        <v>1.0000960563137344E-20</v>
      </c>
      <c r="N52">
        <v>-50.000000000001236</v>
      </c>
    </row>
    <row r="53" spans="12:14" x14ac:dyDescent="0.3">
      <c r="L53">
        <v>-60</v>
      </c>
      <c r="M53">
        <v>1.0001060573243057E-20</v>
      </c>
      <c r="N53">
        <v>-60.000000000001236</v>
      </c>
    </row>
    <row r="54" spans="12:14" x14ac:dyDescent="0.3">
      <c r="L54">
        <v>-70</v>
      </c>
      <c r="M54">
        <v>1.0001160584348877E-20</v>
      </c>
      <c r="N54">
        <v>-70.000000000001236</v>
      </c>
    </row>
    <row r="55" spans="12:14" x14ac:dyDescent="0.3">
      <c r="L55">
        <v>-80</v>
      </c>
      <c r="M55">
        <v>1.000126059645474E-20</v>
      </c>
      <c r="N55">
        <v>-80.000000000001236</v>
      </c>
    </row>
    <row r="56" spans="12:14" x14ac:dyDescent="0.3">
      <c r="L56">
        <v>-100</v>
      </c>
      <c r="M56">
        <v>1.0001460623666927E-20</v>
      </c>
      <c r="N56">
        <v>-100.00000000000124</v>
      </c>
    </row>
    <row r="57" spans="12:14" x14ac:dyDescent="0.3">
      <c r="L57">
        <v>-120</v>
      </c>
      <c r="M57">
        <v>1.000166065487977E-20</v>
      </c>
      <c r="N57">
        <v>-120.00000000000124</v>
      </c>
    </row>
    <row r="58" spans="12:14" x14ac:dyDescent="0.3">
      <c r="L58">
        <v>-140</v>
      </c>
      <c r="M58">
        <v>1.0001860690093206E-20</v>
      </c>
      <c r="N58">
        <v>-140.00000000000122</v>
      </c>
    </row>
    <row r="1036" spans="1:1" x14ac:dyDescent="0.3">
      <c r="A1036" s="2"/>
    </row>
    <row r="1037" spans="1:1" x14ac:dyDescent="0.3">
      <c r="A1037" s="2"/>
    </row>
    <row r="1038" spans="1:1" x14ac:dyDescent="0.3">
      <c r="A1038" s="2"/>
    </row>
    <row r="1039" spans="1:1" x14ac:dyDescent="0.3">
      <c r="A1039" s="2"/>
    </row>
    <row r="1040" spans="1:1" x14ac:dyDescent="0.3">
      <c r="A1040" s="2"/>
    </row>
    <row r="1041" spans="1:2" x14ac:dyDescent="0.3">
      <c r="A1041" s="2"/>
    </row>
    <row r="1042" spans="1:2" x14ac:dyDescent="0.3">
      <c r="A1042" s="3"/>
    </row>
    <row r="1045" spans="1:2" x14ac:dyDescent="0.3">
      <c r="B1045">
        <f>MAX(B23:B1043)-MIN(B23:B1043)</f>
        <v>1.236808136161178E-32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theta2</vt:lpstr>
      <vt:lpstr>add_r</vt:lpstr>
      <vt:lpstr>alpha</vt:lpstr>
      <vt:lpstr>beta</vt:lpstr>
      <vt:lpstr>cat0</vt:lpstr>
      <vt:lpstr>ea</vt:lpstr>
      <vt:lpstr>g_target</vt:lpstr>
      <vt:lpstr>i2b</vt:lpstr>
      <vt:lpstr>p2b</vt:lpstr>
      <vt:lpstr>th_max</vt:lpstr>
      <vt:lpstr>theta0</vt:lpstr>
      <vt:lpstr>x</vt:lpstr>
      <vt:lpstr>x_m_zeta</vt:lpstr>
      <vt:lpstr>zeta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Dunn</dc:creator>
  <cp:lastModifiedBy>Joseph Dunn</cp:lastModifiedBy>
  <dcterms:created xsi:type="dcterms:W3CDTF">2015-10-26T02:43:47Z</dcterms:created>
  <dcterms:modified xsi:type="dcterms:W3CDTF">2016-07-19T00:57:49Z</dcterms:modified>
</cp:coreProperties>
</file>