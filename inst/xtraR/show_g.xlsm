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vmware-host\Shared Folders\My Documents\R\stablecpp\inst\xtraR\"/>
    </mc:Choice>
  </mc:AlternateContent>
  <bookViews>
    <workbookView xWindow="0" yWindow="252" windowWidth="17280" windowHeight="7212" activeTab="2"/>
  </bookViews>
  <sheets>
    <sheet name="Sheet1" sheetId="1" r:id="rId1"/>
    <sheet name="g_1_alpha_g_exp_m_g" sheetId="4" r:id="rId2"/>
    <sheet name="ddx_pdf extrema" sheetId="3" r:id="rId3"/>
    <sheet name="g_exp_m_g" sheetId="2" r:id="rId4"/>
  </sheets>
  <functionGroups builtInGroupCount="18"/>
  <definedNames>
    <definedName name="add_l">Sheet1!$C$12</definedName>
    <definedName name="add_r">Sheet1!$C$13</definedName>
    <definedName name="alpha">Sheet1!$C$3</definedName>
    <definedName name="alpha_m_1">Sheet1!$B$2</definedName>
    <definedName name="alpha_near_1">Sheet1!$B$5</definedName>
    <definedName name="beta">Sheet1!$C$4</definedName>
    <definedName name="cat0">Sheet1!$C$8</definedName>
    <definedName name="ea">Sheet1!$AA$7</definedName>
    <definedName name="flip">Sheet1!$AA$1</definedName>
    <definedName name="i2b">Sheet1!$AA$4</definedName>
    <definedName name="p2b">Sheet1!$AA$6</definedName>
    <definedName name="th_max">Sheet1!$C$11</definedName>
    <definedName name="theta0">Sheet1!$C$7</definedName>
    <definedName name="use_alpha_near_1">Sheet1!$AI$6</definedName>
    <definedName name="use_th_l">Sheet1!$D$22</definedName>
    <definedName name="x">Sheet1!$C$1</definedName>
    <definedName name="x_m_zeta">Sheet1!$C$9</definedName>
    <definedName name="zeta">Sheet1!$C$6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12" i="3" l="1"/>
  <c r="I213" i="3" s="1"/>
  <c r="I214" i="3" s="1"/>
  <c r="I215" i="3" s="1"/>
  <c r="I216" i="3" s="1"/>
  <c r="I217" i="3" s="1"/>
  <c r="I218" i="3" s="1"/>
  <c r="I219" i="3" s="1"/>
  <c r="I220" i="3" s="1"/>
  <c r="I221" i="3" s="1"/>
  <c r="I222" i="3" s="1"/>
  <c r="I223" i="3" s="1"/>
  <c r="I224" i="3" s="1"/>
  <c r="I225" i="3" s="1"/>
  <c r="I226" i="3" s="1"/>
  <c r="I227" i="3" s="1"/>
  <c r="I228" i="3" s="1"/>
  <c r="I229" i="3" s="1"/>
  <c r="I230" i="3" s="1"/>
  <c r="I231" i="3" s="1"/>
  <c r="I232" i="3" s="1"/>
  <c r="I233" i="3" s="1"/>
  <c r="I234" i="3" s="1"/>
  <c r="I235" i="3" s="1"/>
  <c r="I236" i="3" s="1"/>
  <c r="I237" i="3" s="1"/>
  <c r="I238" i="3" s="1"/>
  <c r="I239" i="3" s="1"/>
  <c r="I240" i="3" s="1"/>
  <c r="I241" i="3" s="1"/>
  <c r="I242" i="3" s="1"/>
  <c r="I243" i="3" s="1"/>
  <c r="I244" i="3" s="1"/>
  <c r="I245" i="3" s="1"/>
  <c r="I246" i="3" s="1"/>
  <c r="I247" i="3" s="1"/>
  <c r="I248" i="3" s="1"/>
  <c r="I249" i="3" s="1"/>
  <c r="I250" i="3" s="1"/>
  <c r="I251" i="3" s="1"/>
  <c r="I252" i="3" s="1"/>
  <c r="I253" i="3" s="1"/>
  <c r="I254" i="3" s="1"/>
  <c r="I255" i="3" s="1"/>
  <c r="I256" i="3" s="1"/>
  <c r="I257" i="3" s="1"/>
  <c r="I258" i="3" s="1"/>
  <c r="I259" i="3" s="1"/>
  <c r="I260" i="3" s="1"/>
  <c r="I261" i="3" s="1"/>
  <c r="I262" i="3" s="1"/>
  <c r="I263" i="3" s="1"/>
  <c r="I264" i="3" s="1"/>
  <c r="I265" i="3" s="1"/>
  <c r="I266" i="3" s="1"/>
  <c r="I267" i="3" s="1"/>
  <c r="I268" i="3" s="1"/>
  <c r="I269" i="3" s="1"/>
  <c r="I270" i="3" s="1"/>
  <c r="I271" i="3" s="1"/>
  <c r="I272" i="3" s="1"/>
  <c r="I273" i="3" s="1"/>
  <c r="I274" i="3" s="1"/>
  <c r="I275" i="3" s="1"/>
  <c r="I276" i="3" s="1"/>
  <c r="I277" i="3" s="1"/>
  <c r="I278" i="3" s="1"/>
  <c r="I279" i="3" s="1"/>
  <c r="I280" i="3" s="1"/>
  <c r="I281" i="3" s="1"/>
  <c r="I282" i="3" s="1"/>
  <c r="I283" i="3" s="1"/>
  <c r="I284" i="3" s="1"/>
  <c r="I285" i="3" s="1"/>
  <c r="I286" i="3" s="1"/>
  <c r="I287" i="3" s="1"/>
  <c r="I288" i="3" s="1"/>
  <c r="I289" i="3" s="1"/>
  <c r="I290" i="3" s="1"/>
  <c r="I291" i="3" s="1"/>
  <c r="I292" i="3" s="1"/>
  <c r="I293" i="3" s="1"/>
  <c r="I294" i="3" s="1"/>
  <c r="I295" i="3" s="1"/>
  <c r="I296" i="3" s="1"/>
  <c r="I297" i="3" s="1"/>
  <c r="I298" i="3" s="1"/>
  <c r="I299" i="3" s="1"/>
  <c r="I300" i="3" s="1"/>
  <c r="I301" i="3" s="1"/>
  <c r="I302" i="3" s="1"/>
  <c r="I303" i="3" s="1"/>
  <c r="I304" i="3" s="1"/>
  <c r="I305" i="3" s="1"/>
  <c r="I306" i="3" s="1"/>
  <c r="I307" i="3" s="1"/>
  <c r="I308" i="3" s="1"/>
  <c r="I309" i="3" s="1"/>
  <c r="I310" i="3" s="1"/>
  <c r="I311" i="3" s="1"/>
  <c r="I312" i="3" s="1"/>
  <c r="I313" i="3" s="1"/>
  <c r="I314" i="3" s="1"/>
  <c r="I315" i="3" s="1"/>
  <c r="I316" i="3" s="1"/>
  <c r="I317" i="3" s="1"/>
  <c r="I318" i="3" s="1"/>
  <c r="I319" i="3" s="1"/>
  <c r="I320" i="3" s="1"/>
  <c r="I321" i="3" s="1"/>
  <c r="I322" i="3" s="1"/>
  <c r="I323" i="3" s="1"/>
  <c r="I324" i="3" s="1"/>
  <c r="I325" i="3" s="1"/>
  <c r="I326" i="3" s="1"/>
  <c r="I327" i="3" s="1"/>
  <c r="I328" i="3" s="1"/>
  <c r="I329" i="3" s="1"/>
  <c r="I330" i="3" s="1"/>
  <c r="I331" i="3" s="1"/>
  <c r="I332" i="3" s="1"/>
  <c r="I333" i="3" s="1"/>
  <c r="I334" i="3" s="1"/>
  <c r="I335" i="3" s="1"/>
  <c r="I336" i="3" s="1"/>
  <c r="I337" i="3" s="1"/>
  <c r="I338" i="3" s="1"/>
  <c r="I339" i="3" s="1"/>
  <c r="I340" i="3" s="1"/>
  <c r="I341" i="3" s="1"/>
  <c r="I342" i="3" s="1"/>
  <c r="I343" i="3" s="1"/>
  <c r="I344" i="3" s="1"/>
  <c r="I345" i="3" s="1"/>
  <c r="I346" i="3" s="1"/>
  <c r="I347" i="3" s="1"/>
  <c r="I348" i="3" s="1"/>
  <c r="I349" i="3" s="1"/>
  <c r="I350" i="3" s="1"/>
  <c r="I351" i="3" s="1"/>
  <c r="I352" i="3" s="1"/>
  <c r="I353" i="3" s="1"/>
  <c r="I354" i="3" s="1"/>
  <c r="I355" i="3" s="1"/>
  <c r="I356" i="3" s="1"/>
  <c r="I357" i="3" s="1"/>
  <c r="I358" i="3" s="1"/>
  <c r="I359" i="3" s="1"/>
  <c r="I360" i="3" s="1"/>
  <c r="I361" i="3" s="1"/>
  <c r="I362" i="3" s="1"/>
  <c r="I211" i="3"/>
  <c r="I122" i="3"/>
  <c r="I123" i="3" s="1"/>
  <c r="I124" i="3" s="1"/>
  <c r="I125" i="3" s="1"/>
  <c r="I126" i="3" s="1"/>
  <c r="I127" i="3" s="1"/>
  <c r="I128" i="3" s="1"/>
  <c r="I129" i="3" s="1"/>
  <c r="I130" i="3" s="1"/>
  <c r="I131" i="3" s="1"/>
  <c r="I132" i="3" s="1"/>
  <c r="I133" i="3" s="1"/>
  <c r="I134" i="3" s="1"/>
  <c r="I135" i="3" s="1"/>
  <c r="I136" i="3" s="1"/>
  <c r="I137" i="3" s="1"/>
  <c r="I138" i="3" s="1"/>
  <c r="I139" i="3" s="1"/>
  <c r="I140" i="3" s="1"/>
  <c r="I141" i="3" s="1"/>
  <c r="I142" i="3" s="1"/>
  <c r="I143" i="3" s="1"/>
  <c r="I144" i="3" s="1"/>
  <c r="I145" i="3" s="1"/>
  <c r="I146" i="3" s="1"/>
  <c r="I147" i="3" s="1"/>
  <c r="I148" i="3" s="1"/>
  <c r="I149" i="3" s="1"/>
  <c r="I150" i="3" s="1"/>
  <c r="I151" i="3" s="1"/>
  <c r="I152" i="3" s="1"/>
  <c r="I153" i="3" s="1"/>
  <c r="I154" i="3" s="1"/>
  <c r="I155" i="3" s="1"/>
  <c r="I156" i="3" s="1"/>
  <c r="I157" i="3" s="1"/>
  <c r="I158" i="3" s="1"/>
  <c r="I159" i="3" s="1"/>
  <c r="I160" i="3" s="1"/>
  <c r="I161" i="3" s="1"/>
  <c r="I162" i="3" s="1"/>
  <c r="I163" i="3" s="1"/>
  <c r="I164" i="3" s="1"/>
  <c r="I165" i="3" s="1"/>
  <c r="I166" i="3" s="1"/>
  <c r="I167" i="3" s="1"/>
  <c r="I168" i="3" s="1"/>
  <c r="I169" i="3" s="1"/>
  <c r="I170" i="3" s="1"/>
  <c r="I171" i="3" s="1"/>
  <c r="I172" i="3" s="1"/>
  <c r="I173" i="3" s="1"/>
  <c r="I174" i="3" s="1"/>
  <c r="I175" i="3" s="1"/>
  <c r="I176" i="3" s="1"/>
  <c r="I177" i="3" s="1"/>
  <c r="I178" i="3" s="1"/>
  <c r="I179" i="3" s="1"/>
  <c r="I180" i="3" s="1"/>
  <c r="I181" i="3" s="1"/>
  <c r="I182" i="3" s="1"/>
  <c r="I183" i="3" s="1"/>
  <c r="I184" i="3" s="1"/>
  <c r="I185" i="3" s="1"/>
  <c r="I186" i="3" s="1"/>
  <c r="I187" i="3" s="1"/>
  <c r="I188" i="3" s="1"/>
  <c r="I189" i="3" s="1"/>
  <c r="I190" i="3" s="1"/>
  <c r="I191" i="3" s="1"/>
  <c r="I192" i="3" s="1"/>
  <c r="I193" i="3" s="1"/>
  <c r="I194" i="3" s="1"/>
  <c r="I195" i="3" s="1"/>
  <c r="I196" i="3" s="1"/>
  <c r="I197" i="3" s="1"/>
  <c r="I198" i="3" s="1"/>
  <c r="I199" i="3" s="1"/>
  <c r="I200" i="3" s="1"/>
  <c r="I201" i="3" s="1"/>
  <c r="I202" i="3" s="1"/>
  <c r="I203" i="3" s="1"/>
  <c r="I204" i="3" s="1"/>
  <c r="I205" i="3" s="1"/>
  <c r="I206" i="3" s="1"/>
  <c r="I207" i="3" s="1"/>
  <c r="I208" i="3" s="1"/>
  <c r="I209" i="3" s="1"/>
  <c r="I210" i="3" s="1"/>
  <c r="I121" i="3"/>
  <c r="I24" i="3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43" i="3" s="1"/>
  <c r="I44" i="3" s="1"/>
  <c r="I45" i="3" s="1"/>
  <c r="I46" i="3" s="1"/>
  <c r="I47" i="3" s="1"/>
  <c r="I48" i="3" s="1"/>
  <c r="I49" i="3" s="1"/>
  <c r="I50" i="3" s="1"/>
  <c r="I51" i="3" s="1"/>
  <c r="I52" i="3" s="1"/>
  <c r="I53" i="3" s="1"/>
  <c r="I54" i="3" s="1"/>
  <c r="I55" i="3" s="1"/>
  <c r="I56" i="3" s="1"/>
  <c r="I57" i="3" s="1"/>
  <c r="I58" i="3" s="1"/>
  <c r="I59" i="3" s="1"/>
  <c r="I60" i="3" s="1"/>
  <c r="I61" i="3" s="1"/>
  <c r="I62" i="3" s="1"/>
  <c r="I63" i="3" s="1"/>
  <c r="I64" i="3" s="1"/>
  <c r="I65" i="3" s="1"/>
  <c r="I66" i="3" s="1"/>
  <c r="I67" i="3" s="1"/>
  <c r="I68" i="3" s="1"/>
  <c r="I69" i="3" s="1"/>
  <c r="I70" i="3" s="1"/>
  <c r="I71" i="3" s="1"/>
  <c r="I72" i="3" s="1"/>
  <c r="I73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I105" i="3" s="1"/>
  <c r="I106" i="3" s="1"/>
  <c r="I107" i="3" s="1"/>
  <c r="I108" i="3" s="1"/>
  <c r="I109" i="3" s="1"/>
  <c r="I110" i="3" s="1"/>
  <c r="I111" i="3" s="1"/>
  <c r="I112" i="3" s="1"/>
  <c r="I113" i="3" s="1"/>
  <c r="I114" i="3" s="1"/>
  <c r="I115" i="3" s="1"/>
  <c r="I116" i="3" s="1"/>
  <c r="I117" i="3" s="1"/>
  <c r="I118" i="3" s="1"/>
  <c r="I119" i="3" s="1"/>
  <c r="I120" i="3" s="1"/>
  <c r="I23" i="3"/>
  <c r="I22" i="3"/>
  <c r="I21" i="3"/>
  <c r="J12" i="3" l="1"/>
  <c r="J13" i="3"/>
  <c r="J14" i="3"/>
  <c r="J15" i="3"/>
  <c r="J16" i="3"/>
  <c r="J17" i="3"/>
  <c r="J18" i="3"/>
  <c r="J19" i="3"/>
  <c r="J20" i="3"/>
  <c r="J11" i="3"/>
  <c r="I14" i="3"/>
  <c r="I15" i="3" s="1"/>
  <c r="I16" i="3" s="1"/>
  <c r="I17" i="3" s="1"/>
  <c r="I18" i="3" s="1"/>
  <c r="I19" i="3" s="1"/>
  <c r="I20" i="3" s="1"/>
  <c r="I13" i="3"/>
  <c r="F9" i="3"/>
  <c r="E9" i="3"/>
  <c r="D9" i="3"/>
  <c r="C9" i="3"/>
  <c r="J21" i="3" l="1"/>
  <c r="J22" i="3"/>
  <c r="E12" i="3"/>
  <c r="F12" i="3"/>
  <c r="E13" i="3"/>
  <c r="F13" i="3"/>
  <c r="E14" i="3"/>
  <c r="F14" i="3"/>
  <c r="E15" i="3"/>
  <c r="F15" i="3"/>
  <c r="E16" i="3"/>
  <c r="F16" i="3"/>
  <c r="E17" i="3"/>
  <c r="F17" i="3"/>
  <c r="E18" i="3"/>
  <c r="F18" i="3"/>
  <c r="E19" i="3"/>
  <c r="F19" i="3"/>
  <c r="E20" i="3"/>
  <c r="F20" i="3"/>
  <c r="E21" i="3"/>
  <c r="F21" i="3"/>
  <c r="E22" i="3"/>
  <c r="F22" i="3"/>
  <c r="E23" i="3"/>
  <c r="F23" i="3"/>
  <c r="E24" i="3"/>
  <c r="F24" i="3"/>
  <c r="E25" i="3"/>
  <c r="F25" i="3"/>
  <c r="E26" i="3"/>
  <c r="F26" i="3"/>
  <c r="E27" i="3"/>
  <c r="F27" i="3"/>
  <c r="E28" i="3"/>
  <c r="F28" i="3"/>
  <c r="E29" i="3"/>
  <c r="F29" i="3"/>
  <c r="E30" i="3"/>
  <c r="F30" i="3"/>
  <c r="F11" i="3"/>
  <c r="E11" i="3"/>
  <c r="C12" i="3"/>
  <c r="D12" i="3"/>
  <c r="C13" i="3"/>
  <c r="D13" i="3"/>
  <c r="C14" i="3"/>
  <c r="D14" i="3"/>
  <c r="C15" i="3"/>
  <c r="D15" i="3"/>
  <c r="C16" i="3"/>
  <c r="D16" i="3"/>
  <c r="C17" i="3"/>
  <c r="D17" i="3"/>
  <c r="C18" i="3"/>
  <c r="D18" i="3"/>
  <c r="C19" i="3"/>
  <c r="D19" i="3"/>
  <c r="C20" i="3"/>
  <c r="D20" i="3"/>
  <c r="C21" i="3"/>
  <c r="D21" i="3"/>
  <c r="C22" i="3"/>
  <c r="D22" i="3"/>
  <c r="C23" i="3"/>
  <c r="D23" i="3"/>
  <c r="C24" i="3"/>
  <c r="D24" i="3"/>
  <c r="C25" i="3"/>
  <c r="D25" i="3"/>
  <c r="C26" i="3"/>
  <c r="D26" i="3"/>
  <c r="C27" i="3"/>
  <c r="D27" i="3"/>
  <c r="C28" i="3"/>
  <c r="D28" i="3"/>
  <c r="C29" i="3"/>
  <c r="D29" i="3"/>
  <c r="C30" i="3"/>
  <c r="D30" i="3"/>
  <c r="D11" i="3"/>
  <c r="C11" i="3"/>
  <c r="B13" i="3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12" i="3"/>
  <c r="J23" i="3" l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25" i="1"/>
  <c r="J24" i="3" l="1"/>
  <c r="B5" i="1"/>
  <c r="J25" i="3" l="1"/>
  <c r="E1046" i="1"/>
  <c r="B3" i="1"/>
  <c r="J26" i="3" l="1"/>
  <c r="AA1" i="1"/>
  <c r="J27" i="3" l="1"/>
  <c r="D14" i="1"/>
  <c r="J28" i="3" l="1"/>
  <c r="AZ12" i="1"/>
  <c r="J29" i="3" l="1"/>
  <c r="A1043" i="1"/>
  <c r="A1042" i="1"/>
  <c r="A1041" i="1"/>
  <c r="A1040" i="1"/>
  <c r="A1039" i="1"/>
  <c r="A1038" i="1"/>
  <c r="A1037" i="1"/>
  <c r="J30" i="3" l="1"/>
  <c r="AD1038" i="1"/>
  <c r="AD1042" i="1"/>
  <c r="AD1039" i="1"/>
  <c r="AD1040" i="1"/>
  <c r="AD1037" i="1"/>
  <c r="AD1041" i="1"/>
  <c r="AD1043" i="1"/>
  <c r="C3" i="1"/>
  <c r="A38" i="1"/>
  <c r="J31" i="3" l="1"/>
  <c r="B6" i="1"/>
  <c r="AD38" i="1"/>
  <c r="A39" i="1"/>
  <c r="A37" i="1"/>
  <c r="J32" i="3" l="1"/>
  <c r="D22" i="1"/>
  <c r="D23" i="1" s="1"/>
  <c r="C4" i="1"/>
  <c r="A36" i="1"/>
  <c r="AD37" i="1"/>
  <c r="A40" i="1"/>
  <c r="AD39" i="1"/>
  <c r="J33" i="3" l="1"/>
  <c r="A41" i="1"/>
  <c r="AD40" i="1"/>
  <c r="A35" i="1"/>
  <c r="AD36" i="1"/>
  <c r="AA3" i="1"/>
  <c r="AA4" i="1" s="1"/>
  <c r="AA6" i="1" s="1"/>
  <c r="AA7" i="1" s="1"/>
  <c r="J34" i="3" l="1"/>
  <c r="A42" i="1"/>
  <c r="AD41" i="1"/>
  <c r="A34" i="1"/>
  <c r="AD35" i="1"/>
  <c r="Y704" i="1"/>
  <c r="J35" i="3" l="1"/>
  <c r="Y35" i="1"/>
  <c r="Y67" i="1"/>
  <c r="Y377" i="1"/>
  <c r="Y149" i="1"/>
  <c r="Y301" i="1"/>
  <c r="Y614" i="1"/>
  <c r="Y356" i="1"/>
  <c r="Y666" i="1"/>
  <c r="Y251" i="1"/>
  <c r="Y434" i="1"/>
  <c r="Y1015" i="1"/>
  <c r="Y899" i="1"/>
  <c r="Y407" i="1"/>
  <c r="Y354" i="1"/>
  <c r="Y489" i="1"/>
  <c r="Y274" i="1"/>
  <c r="Y243" i="1"/>
  <c r="Y28" i="1"/>
  <c r="Y223" i="1"/>
  <c r="Y148" i="1"/>
  <c r="Y337" i="1"/>
  <c r="Y515" i="1"/>
  <c r="Y626" i="1"/>
  <c r="Y857" i="1"/>
  <c r="Y402" i="1"/>
  <c r="Y693" i="1"/>
  <c r="Y281" i="1"/>
  <c r="Y205" i="1"/>
  <c r="Y161" i="1"/>
  <c r="Y133" i="1"/>
  <c r="Y590" i="1"/>
  <c r="Y486" i="1"/>
  <c r="Y117" i="1"/>
  <c r="Y262" i="1"/>
  <c r="Y245" i="1"/>
  <c r="Y439" i="1"/>
  <c r="Y887" i="1"/>
  <c r="Y723" i="1"/>
  <c r="Y1007" i="1"/>
  <c r="Y939" i="1"/>
  <c r="Y504" i="1"/>
  <c r="Y1028" i="1"/>
  <c r="Y595" i="1"/>
  <c r="Y41" i="1"/>
  <c r="Y59" i="1"/>
  <c r="Y276" i="1"/>
  <c r="Y75" i="1"/>
  <c r="Y326" i="1"/>
  <c r="Y519" i="1"/>
  <c r="Y1027" i="1"/>
  <c r="Y884" i="1"/>
  <c r="Y447" i="1"/>
  <c r="Y153" i="1"/>
  <c r="Y93" i="1"/>
  <c r="Y85" i="1"/>
  <c r="Y372" i="1"/>
  <c r="Y478" i="1"/>
  <c r="Y319" i="1"/>
  <c r="Y442" i="1"/>
  <c r="Y91" i="1"/>
  <c r="Y507" i="1"/>
  <c r="Y76" i="1"/>
  <c r="Y743" i="1"/>
  <c r="Y551" i="1"/>
  <c r="Y655" i="1"/>
  <c r="Y651" i="1"/>
  <c r="Y735" i="1"/>
  <c r="Y421" i="1"/>
  <c r="Y445" i="1"/>
  <c r="Y57" i="1"/>
  <c r="Y297" i="1"/>
  <c r="Y109" i="1"/>
  <c r="Y349" i="1"/>
  <c r="Y30" i="1"/>
  <c r="Y95" i="1"/>
  <c r="Y430" i="1"/>
  <c r="Y122" i="1"/>
  <c r="Y510" i="1"/>
  <c r="Y241" i="1"/>
  <c r="Y534" i="1"/>
  <c r="Y170" i="1"/>
  <c r="Y293" i="1"/>
  <c r="Y271" i="1"/>
  <c r="Y160" i="1"/>
  <c r="Y352" i="1"/>
  <c r="Y105" i="1"/>
  <c r="Y217" i="1"/>
  <c r="Y83" i="1"/>
  <c r="Y29" i="1"/>
  <c r="Y141" i="1"/>
  <c r="Y269" i="1"/>
  <c r="Y365" i="1"/>
  <c r="Y132" i="1"/>
  <c r="Y65" i="1"/>
  <c r="Y289" i="1"/>
  <c r="Y138" i="1"/>
  <c r="Y446" i="1"/>
  <c r="Y261" i="1"/>
  <c r="Y218" i="1"/>
  <c r="Y388" i="1"/>
  <c r="Y526" i="1"/>
  <c r="Y325" i="1"/>
  <c r="Y207" i="1"/>
  <c r="Y426" i="1"/>
  <c r="Y340" i="1"/>
  <c r="Y86" i="1"/>
  <c r="Y121" i="1"/>
  <c r="Y233" i="1"/>
  <c r="Y361" i="1"/>
  <c r="Y127" i="1"/>
  <c r="Y45" i="1"/>
  <c r="Y173" i="1"/>
  <c r="Y285" i="1"/>
  <c r="Y397" i="1"/>
  <c r="Y53" i="1"/>
  <c r="Y97" i="1"/>
  <c r="Y321" i="1"/>
  <c r="Y202" i="1"/>
  <c r="Y351" i="1"/>
  <c r="Y462" i="1"/>
  <c r="Y341" i="1"/>
  <c r="Y250" i="1"/>
  <c r="Y438" i="1"/>
  <c r="Y574" i="1"/>
  <c r="Y49" i="1"/>
  <c r="Y369" i="1"/>
  <c r="Y292" i="1"/>
  <c r="Y470" i="1"/>
  <c r="Y566" i="1"/>
  <c r="Y273" i="1"/>
  <c r="Y399" i="1"/>
  <c r="Y642" i="1"/>
  <c r="Y298" i="1"/>
  <c r="Y618" i="1"/>
  <c r="Y602" i="1"/>
  <c r="Y240" i="1"/>
  <c r="Y562" i="1"/>
  <c r="Y214" i="1"/>
  <c r="Y459" i="1"/>
  <c r="Y603" i="1"/>
  <c r="Y171" i="1"/>
  <c r="Y471" i="1"/>
  <c r="Y498" i="1"/>
  <c r="Y336" i="1"/>
  <c r="Y567" i="1"/>
  <c r="Y479" i="1"/>
  <c r="Y679" i="1"/>
  <c r="Y839" i="1"/>
  <c r="Y999" i="1"/>
  <c r="Y224" i="1"/>
  <c r="Y511" i="1"/>
  <c r="Y691" i="1"/>
  <c r="Y835" i="1"/>
  <c r="Y1011" i="1"/>
  <c r="Y623" i="1"/>
  <c r="Y879" i="1"/>
  <c r="Y322" i="1"/>
  <c r="Y809" i="1"/>
  <c r="Y487" i="1"/>
  <c r="Y907" i="1"/>
  <c r="Y226" i="1"/>
  <c r="Y697" i="1"/>
  <c r="Y671" i="1"/>
  <c r="Y343" i="1"/>
  <c r="Y174" i="1"/>
  <c r="Y1013" i="1"/>
  <c r="Y254" i="1"/>
  <c r="Y592" i="1"/>
  <c r="Y992" i="1"/>
  <c r="Y190" i="1"/>
  <c r="Y103" i="1"/>
  <c r="Y861" i="1"/>
  <c r="Y628" i="1"/>
  <c r="Y829" i="1"/>
  <c r="Y792" i="1"/>
  <c r="Y481" i="1"/>
  <c r="Y909" i="1"/>
  <c r="Y375" i="1"/>
  <c r="Y796" i="1"/>
  <c r="Y409" i="1"/>
  <c r="Y175" i="1"/>
  <c r="Y134" i="1"/>
  <c r="Y523" i="1"/>
  <c r="Y650" i="1"/>
  <c r="Y192" i="1"/>
  <c r="Y463" i="1"/>
  <c r="Y107" i="1"/>
  <c r="Y631" i="1"/>
  <c r="Y759" i="1"/>
  <c r="Y903" i="1"/>
  <c r="Y255" i="1"/>
  <c r="Y166" i="1"/>
  <c r="Y583" i="1"/>
  <c r="Y771" i="1"/>
  <c r="Y915" i="1"/>
  <c r="Y36" i="1"/>
  <c r="Y783" i="1"/>
  <c r="Y1039" i="1"/>
  <c r="Y480" i="1"/>
  <c r="Y40" i="1"/>
  <c r="Y747" i="1"/>
  <c r="Y1003" i="1"/>
  <c r="Y432" i="1"/>
  <c r="Y990" i="1"/>
  <c r="Y927" i="1"/>
  <c r="Y980" i="1"/>
  <c r="Y617" i="1"/>
  <c r="Y580" i="1"/>
  <c r="Y895" i="1"/>
  <c r="Y585" i="1"/>
  <c r="Y484" i="1"/>
  <c r="Y664" i="1"/>
  <c r="Y573" i="1"/>
  <c r="Y332" i="1"/>
  <c r="Y701" i="1"/>
  <c r="Y981" i="1"/>
  <c r="Y632" i="1"/>
  <c r="Y136" i="1"/>
  <c r="Y772" i="1"/>
  <c r="Y973" i="1"/>
  <c r="Y842" i="1"/>
  <c r="Y1022" i="1"/>
  <c r="Y536" i="1"/>
  <c r="Y119" i="1"/>
  <c r="Y576" i="1"/>
  <c r="Y660" i="1"/>
  <c r="Y185" i="1"/>
  <c r="Y74" i="1"/>
  <c r="Y221" i="1"/>
  <c r="Y111" i="1"/>
  <c r="Y225" i="1"/>
  <c r="Y266" i="1"/>
  <c r="Y177" i="1"/>
  <c r="Y362" i="1"/>
  <c r="Y606" i="1"/>
  <c r="Y378" i="1"/>
  <c r="Y630" i="1"/>
  <c r="Y546" i="1"/>
  <c r="Y454" i="1"/>
  <c r="Y69" i="1"/>
  <c r="Y368" i="1"/>
  <c r="Y535" i="1"/>
  <c r="Y313" i="1"/>
  <c r="Y308" i="1"/>
  <c r="Y46" i="1"/>
  <c r="Y550" i="1"/>
  <c r="Y101" i="1"/>
  <c r="Y578" i="1"/>
  <c r="Y373" i="1"/>
  <c r="Y586" i="1"/>
  <c r="Y538" i="1"/>
  <c r="Y155" i="1"/>
  <c r="Y324" i="1"/>
  <c r="Y187" i="1"/>
  <c r="Y411" i="1"/>
  <c r="Y587" i="1"/>
  <c r="Y44" i="1"/>
  <c r="Y379" i="1"/>
  <c r="Y314" i="1"/>
  <c r="Y267" i="1"/>
  <c r="Y483" i="1"/>
  <c r="Y331" i="1"/>
  <c r="Y647" i="1"/>
  <c r="Y807" i="1"/>
  <c r="Y967" i="1"/>
  <c r="Y570" i="1"/>
  <c r="Y315" i="1"/>
  <c r="Y659" i="1"/>
  <c r="Y819" i="1"/>
  <c r="Y947" i="1"/>
  <c r="Y415" i="1"/>
  <c r="Y847" i="1"/>
  <c r="Y194" i="1"/>
  <c r="Y761" i="1"/>
  <c r="Y278" i="1"/>
  <c r="Y779" i="1"/>
  <c r="Y183" i="1"/>
  <c r="Y616" i="1"/>
  <c r="Y1038" i="1"/>
  <c r="Y172" i="1"/>
  <c r="Y88" i="1"/>
  <c r="Y720" i="1"/>
  <c r="Y211" i="1"/>
  <c r="Y130" i="1"/>
  <c r="Y649" i="1"/>
  <c r="Y147" i="1"/>
  <c r="Y537" i="1"/>
  <c r="Y637" i="1"/>
  <c r="Y794" i="1"/>
  <c r="Y722" i="1"/>
  <c r="Y533" i="1"/>
  <c r="Y1012" i="1"/>
  <c r="Y453" i="1"/>
  <c r="Y969" i="1"/>
  <c r="Y774" i="1"/>
  <c r="Y678" i="1"/>
  <c r="Y672" i="1"/>
  <c r="Y1033" i="1"/>
  <c r="Y961" i="1"/>
  <c r="Y965" i="1"/>
  <c r="Y120" i="1"/>
  <c r="Y813" i="1"/>
  <c r="Y763" i="1"/>
  <c r="Y932" i="1"/>
  <c r="Y1042" i="1"/>
  <c r="Y696" i="1"/>
  <c r="Y773" i="1"/>
  <c r="Y334" i="1"/>
  <c r="Y782" i="1"/>
  <c r="Y962" i="1"/>
  <c r="Y350" i="1"/>
  <c r="Y568" i="1"/>
  <c r="Y808" i="1"/>
  <c r="Y525" i="1"/>
  <c r="Y500" i="1"/>
  <c r="Y152" i="1"/>
  <c r="Y946" i="1"/>
  <c r="Y733" i="1"/>
  <c r="Y371" i="1"/>
  <c r="Y922" i="1"/>
  <c r="Y416" i="1"/>
  <c r="Y318" i="1"/>
  <c r="Y716" i="1"/>
  <c r="Y167" i="1"/>
  <c r="Y784" i="1"/>
  <c r="Y302" i="1"/>
  <c r="Y464" i="1"/>
  <c r="Y831" i="1"/>
  <c r="Y382" i="1"/>
  <c r="Y780" i="1"/>
  <c r="Y316" i="1"/>
  <c r="Y848" i="1"/>
  <c r="Y553" i="1"/>
  <c r="Y259" i="1"/>
  <c r="Y873" i="1"/>
  <c r="Y424" i="1"/>
  <c r="Y71" i="1"/>
  <c r="Y799" i="1"/>
  <c r="Y455" i="1"/>
  <c r="Y937" i="1"/>
  <c r="Y750" i="1"/>
  <c r="Y472" i="1"/>
  <c r="Y311" i="1"/>
  <c r="Y140" i="1"/>
  <c r="Y971" i="1"/>
  <c r="Y843" i="1"/>
  <c r="Y715" i="1"/>
  <c r="Y575" i="1"/>
  <c r="Y506" i="1"/>
  <c r="Y894" i="1"/>
  <c r="Y713" i="1"/>
  <c r="Y448" i="1"/>
  <c r="Y279" i="1"/>
  <c r="Y108" i="1"/>
  <c r="Y943" i="1"/>
  <c r="Y815" i="1"/>
  <c r="Y687" i="1"/>
  <c r="Y499" i="1"/>
  <c r="Y87" i="1"/>
  <c r="Y995" i="1"/>
  <c r="Y931" i="1"/>
  <c r="Y867" i="1"/>
  <c r="Y803" i="1"/>
  <c r="Y739" i="1"/>
  <c r="Y675" i="1"/>
  <c r="Y607" i="1"/>
  <c r="Y467" i="1"/>
  <c r="Y235" i="1"/>
  <c r="Y367" i="1"/>
  <c r="Y52" i="1"/>
  <c r="Y39" i="1"/>
  <c r="Y983" i="1"/>
  <c r="Y919" i="1"/>
  <c r="Y855" i="1"/>
  <c r="Y791" i="1"/>
  <c r="Y727" i="1"/>
  <c r="Y663" i="1"/>
  <c r="Y591" i="1"/>
  <c r="Y435" i="1"/>
  <c r="Y182" i="1"/>
  <c r="Y401" i="1"/>
  <c r="Y503" i="1"/>
  <c r="Y419" i="1"/>
  <c r="Y310" i="1"/>
  <c r="Y150" i="1"/>
  <c r="Y594" i="1"/>
  <c r="Y145" i="1"/>
  <c r="Y495" i="1"/>
  <c r="Y406" i="1"/>
  <c r="Y288" i="1"/>
  <c r="Y139" i="1"/>
  <c r="Y530" i="1"/>
  <c r="Y619" i="1"/>
  <c r="Y555" i="1"/>
  <c r="Y491" i="1"/>
  <c r="Y427" i="1"/>
  <c r="Y347" i="1"/>
  <c r="Y246" i="1"/>
  <c r="Y128" i="1"/>
  <c r="Y634" i="1"/>
  <c r="Y196" i="1"/>
  <c r="Y283" i="1"/>
  <c r="Y198" i="1"/>
  <c r="Y112" i="1"/>
  <c r="Y654" i="1"/>
  <c r="Y383" i="1"/>
  <c r="Y165" i="1"/>
  <c r="Y554" i="1"/>
  <c r="Y410" i="1"/>
  <c r="Y186" i="1"/>
  <c r="Y209" i="1"/>
  <c r="Y610" i="1"/>
  <c r="Y482" i="1"/>
  <c r="Y282" i="1"/>
  <c r="Y357" i="1"/>
  <c r="Y34" i="1"/>
  <c r="Y582" i="1"/>
  <c r="Y518" i="1"/>
  <c r="Y450" i="1"/>
  <c r="Y346" i="1"/>
  <c r="Y234" i="1"/>
  <c r="Y100" i="1"/>
  <c r="Y277" i="1"/>
  <c r="Y113" i="1"/>
  <c r="Y622" i="1"/>
  <c r="Y558" i="1"/>
  <c r="Y494" i="1"/>
  <c r="Y418" i="1"/>
  <c r="Y303" i="1"/>
  <c r="Y191" i="1"/>
  <c r="Y389" i="1"/>
  <c r="Y213" i="1"/>
  <c r="Y78" i="1"/>
  <c r="Y414" i="1"/>
  <c r="Y330" i="1"/>
  <c r="Y244" i="1"/>
  <c r="Y159" i="1"/>
  <c r="Y385" i="1"/>
  <c r="Y257" i="1"/>
  <c r="Y129" i="1"/>
  <c r="Y62" i="1"/>
  <c r="Y82" i="1"/>
  <c r="Y90" i="1"/>
  <c r="Y381" i="1"/>
  <c r="Y317" i="1"/>
  <c r="Y253" i="1"/>
  <c r="Y189" i="1"/>
  <c r="Y125" i="1"/>
  <c r="Y61" i="1"/>
  <c r="Y58" i="1"/>
  <c r="Y106" i="1"/>
  <c r="Y393" i="1"/>
  <c r="Y329" i="1"/>
  <c r="Y265" i="1"/>
  <c r="Y201" i="1"/>
  <c r="Y137" i="1"/>
  <c r="Y73" i="1"/>
  <c r="Y70" i="1"/>
  <c r="Y588" i="1"/>
  <c r="Y1017" i="1"/>
  <c r="Y888" i="1"/>
  <c r="Y753" i="1"/>
  <c r="Y789" i="1"/>
  <c r="Y766" i="1"/>
  <c r="Y264" i="1"/>
  <c r="Y1009" i="1"/>
  <c r="Y916" i="1"/>
  <c r="Y668" i="1"/>
  <c r="Y692" i="1"/>
  <c r="Y398" i="1"/>
  <c r="Y734" i="1"/>
  <c r="Y738" i="1"/>
  <c r="Y456" i="1"/>
  <c r="Y974" i="1"/>
  <c r="Y984" i="1"/>
  <c r="Y252" i="1"/>
  <c r="Y914" i="1"/>
  <c r="Y589" i="1"/>
  <c r="Y960" i="1"/>
  <c r="Y162" i="1"/>
  <c r="Y754" i="1"/>
  <c r="Y769" i="1"/>
  <c r="Y408" i="1"/>
  <c r="Y360" i="1"/>
  <c r="Y548" i="1"/>
  <c r="Y949" i="1"/>
  <c r="Y387" i="1"/>
  <c r="Y215" i="1"/>
  <c r="Y543" i="1"/>
  <c r="Y80" i="1"/>
  <c r="Y31" i="1"/>
  <c r="Y677" i="1"/>
  <c r="Y344" i="1"/>
  <c r="Y788" i="1"/>
  <c r="Y258" i="1"/>
  <c r="Y863" i="1"/>
  <c r="Y203" i="1"/>
  <c r="Y852" i="1"/>
  <c r="Y520" i="1"/>
  <c r="Y268" i="1"/>
  <c r="Y1035" i="1"/>
  <c r="Y875" i="1"/>
  <c r="Y683" i="1"/>
  <c r="Y400" i="1"/>
  <c r="Y948" i="1"/>
  <c r="Y640" i="1"/>
  <c r="Y364" i="1"/>
  <c r="Y151" i="1"/>
  <c r="Y911" i="1"/>
  <c r="Y751" i="1"/>
  <c r="Y579" i="1"/>
  <c r="Y1043" i="1"/>
  <c r="Y963" i="1"/>
  <c r="Y883" i="1"/>
  <c r="Y787" i="1"/>
  <c r="Y707" i="1"/>
  <c r="Y627" i="1"/>
  <c r="Y423" i="1"/>
  <c r="Y84" i="1"/>
  <c r="Y144" i="1"/>
  <c r="Y1031" i="1"/>
  <c r="Y951" i="1"/>
  <c r="Y871" i="1"/>
  <c r="Y775" i="1"/>
  <c r="Y695" i="1"/>
  <c r="Y611" i="1"/>
  <c r="Y384" i="1"/>
  <c r="Y658" i="1"/>
  <c r="Y527" i="1"/>
  <c r="Y395" i="1"/>
  <c r="Y230" i="1"/>
  <c r="Y662" i="1"/>
  <c r="Y559" i="1"/>
  <c r="Y451" i="1"/>
  <c r="Y320" i="1"/>
  <c r="Y96" i="1"/>
  <c r="Y212" i="1"/>
  <c r="Y571" i="1"/>
  <c r="Y475" i="1"/>
  <c r="Y390" i="1"/>
  <c r="Y272" i="1"/>
  <c r="Y102" i="1"/>
  <c r="Y466" i="1"/>
  <c r="Y304" i="1"/>
  <c r="Y176" i="1"/>
  <c r="Y60" i="1"/>
  <c r="Y474" i="1"/>
  <c r="Y646" i="1"/>
  <c r="Y490" i="1"/>
  <c r="Y239" i="1"/>
  <c r="Y54" i="1"/>
  <c r="Y89" i="1"/>
  <c r="Y169" i="1"/>
  <c r="Y249" i="1"/>
  <c r="Y345" i="1"/>
  <c r="Y51" i="1"/>
  <c r="Y42" i="1"/>
  <c r="Y77" i="1"/>
  <c r="Y157" i="1"/>
  <c r="Y237" i="1"/>
  <c r="Y333" i="1"/>
  <c r="Y26" i="1"/>
  <c r="Y50" i="1"/>
  <c r="Y33" i="1"/>
  <c r="Y193" i="1"/>
  <c r="Y353" i="1"/>
  <c r="Y180" i="1"/>
  <c r="Y287" i="1"/>
  <c r="Y394" i="1"/>
  <c r="Y81" i="1"/>
  <c r="Y305" i="1"/>
  <c r="Y164" i="1"/>
  <c r="Y335" i="1"/>
  <c r="Y458" i="1"/>
  <c r="Y542" i="1"/>
  <c r="Y638" i="1"/>
  <c r="Y197" i="1"/>
  <c r="Y405" i="1"/>
  <c r="Y260" i="1"/>
  <c r="Y404" i="1"/>
  <c r="Y502" i="1"/>
  <c r="Y598" i="1"/>
  <c r="Y181" i="1"/>
  <c r="Y228" i="1"/>
  <c r="Y514" i="1"/>
  <c r="Y66" i="1"/>
  <c r="Y116" i="1"/>
  <c r="Y522" i="1"/>
  <c r="Y154" i="1"/>
  <c r="Y27" i="1"/>
  <c r="Y219" i="1"/>
  <c r="Y309" i="1"/>
  <c r="Y68" i="1"/>
  <c r="Y299" i="1"/>
  <c r="Y443" i="1"/>
  <c r="Y539" i="1"/>
  <c r="Y422" i="1"/>
  <c r="Y208" i="1"/>
  <c r="Y431" i="1"/>
  <c r="Y43" i="1"/>
  <c r="Y118" i="1"/>
  <c r="Y363" i="1"/>
  <c r="Y547" i="1"/>
  <c r="Y256" i="1"/>
  <c r="Y563" i="1"/>
  <c r="Y711" i="1"/>
  <c r="Y823" i="1"/>
  <c r="Y935" i="1"/>
  <c r="Y37" i="1"/>
  <c r="Y229" i="1"/>
  <c r="Y374" i="1"/>
  <c r="Y643" i="1"/>
  <c r="Y755" i="1"/>
  <c r="Y851" i="1"/>
  <c r="Y979" i="1"/>
  <c r="Y294" i="1"/>
  <c r="Y719" i="1"/>
  <c r="Y975" i="1"/>
  <c r="Y236" i="1"/>
  <c r="Y544" i="1"/>
  <c r="Y1006" i="1"/>
  <c r="Y615" i="1"/>
  <c r="Y811" i="1"/>
  <c r="Y98" i="1"/>
  <c r="Y396" i="1"/>
  <c r="Y798" i="1"/>
  <c r="Y599" i="1"/>
  <c r="Y991" i="1"/>
  <c r="Y681" i="1"/>
  <c r="Y425" i="1"/>
  <c r="Y890" i="1"/>
  <c r="Y644" i="1"/>
  <c r="Y639" i="1"/>
  <c r="Y926" i="1"/>
  <c r="Y826" i="1"/>
  <c r="Y758" i="1"/>
  <c r="Y795" i="1"/>
  <c r="Y684" i="1"/>
  <c r="Y840" i="1"/>
  <c r="Y323" i="1"/>
  <c r="Y328" i="1"/>
  <c r="Y957" i="1"/>
  <c r="Y749" i="1"/>
  <c r="Y820" i="1"/>
  <c r="Y938" i="1"/>
  <c r="Y952" i="1"/>
  <c r="Y227" i="1"/>
  <c r="Y291" i="1"/>
  <c r="Y613" i="1"/>
  <c r="Y886" i="1"/>
  <c r="Y1008" i="1"/>
  <c r="Y1018" i="1"/>
  <c r="Y1004" i="1"/>
  <c r="Y556" i="1"/>
  <c r="A33" i="1"/>
  <c r="AD34" i="1"/>
  <c r="A43" i="1"/>
  <c r="AD42" i="1"/>
  <c r="Y689" i="1"/>
  <c r="Y1014" i="1"/>
  <c r="Y849" i="1"/>
  <c r="Y833" i="1"/>
  <c r="Y188" i="1"/>
  <c r="Y865" i="1"/>
  <c r="Y561" i="1"/>
  <c r="Y760" i="1"/>
  <c r="Y1037" i="1"/>
  <c r="Y853" i="1"/>
  <c r="Y552" i="1"/>
  <c r="Y933" i="1"/>
  <c r="Y953" i="1"/>
  <c r="Y686" i="1"/>
  <c r="Y222" i="1"/>
  <c r="Y699" i="1"/>
  <c r="Y876" i="1"/>
  <c r="Y908" i="1"/>
  <c r="Y604" i="1"/>
  <c r="Y220" i="1"/>
  <c r="Y874" i="1"/>
  <c r="Y657" i="1"/>
  <c r="Y996" i="1"/>
  <c r="Y512" i="1"/>
  <c r="Y728" i="1"/>
  <c r="Y47" i="1"/>
  <c r="Y529" i="1"/>
  <c r="Y142" i="1"/>
  <c r="Y900" i="1"/>
  <c r="Y670" i="1"/>
  <c r="Y1021" i="1"/>
  <c r="Y866" i="1"/>
  <c r="Y581" i="1"/>
  <c r="Y705" i="1"/>
  <c r="Y569" i="1"/>
  <c r="Y531" i="1"/>
  <c r="Y248" i="1"/>
  <c r="Y942" i="1"/>
  <c r="Y708" i="1"/>
  <c r="Y440" i="1"/>
  <c r="Y920" i="1"/>
  <c r="Y661" i="1"/>
  <c r="Y179" i="1"/>
  <c r="Y816" i="1"/>
  <c r="Y891" i="1"/>
  <c r="Y893" i="1"/>
  <c r="Y786" i="1"/>
  <c r="Y653" i="1"/>
  <c r="Y493" i="1"/>
  <c r="Y158" i="1"/>
  <c r="Y210" i="1"/>
  <c r="Y709" i="1"/>
  <c r="Y964" i="1"/>
  <c r="Y859" i="1"/>
  <c r="Y925" i="1"/>
  <c r="Y818" i="1"/>
  <c r="Y690" i="1"/>
  <c r="Y541" i="1"/>
  <c r="Y286" i="1"/>
  <c r="Y436" i="1"/>
  <c r="Y837" i="1"/>
  <c r="Y238" i="1"/>
  <c r="Y55" i="1"/>
  <c r="Y437" i="1"/>
  <c r="Y275" i="1"/>
  <c r="Y104" i="1"/>
  <c r="Y673" i="1"/>
  <c r="Y420" i="1"/>
  <c r="Y79" i="1"/>
  <c r="Y912" i="1"/>
  <c r="Y741" i="1"/>
  <c r="Y521" i="1"/>
  <c r="Y216" i="1"/>
  <c r="Y836" i="1"/>
  <c r="Y386" i="1"/>
  <c r="Y1023" i="1"/>
  <c r="Y767" i="1"/>
  <c r="Y358" i="1"/>
  <c r="Y339" i="1"/>
  <c r="Y168" i="1"/>
  <c r="Y737" i="1"/>
  <c r="Y516" i="1"/>
  <c r="Y231" i="1"/>
  <c r="Y970" i="1"/>
  <c r="Y805" i="1"/>
  <c r="Y714" i="1"/>
  <c r="Y817" i="1"/>
  <c r="Y821" i="1"/>
  <c r="Y1036" i="1"/>
  <c r="Y656" i="1"/>
  <c r="Y764" i="1"/>
  <c r="Y901" i="1"/>
  <c r="Y199" i="1"/>
  <c r="Y770" i="1"/>
  <c r="Y682" i="1"/>
  <c r="Y392" i="1"/>
  <c r="Y864" i="1"/>
  <c r="Y560" i="1"/>
  <c r="Y968" i="1"/>
  <c r="Y1024" i="1"/>
  <c r="Y966" i="1"/>
  <c r="Y977" i="1"/>
  <c r="Y822" i="1"/>
  <c r="Y540" i="1"/>
  <c r="Y63" i="1"/>
  <c r="Y832" i="1"/>
  <c r="Y577" i="1"/>
  <c r="Y841" i="1"/>
  <c r="Y1016" i="1"/>
  <c r="Y629" i="1"/>
  <c r="Y195" i="1"/>
  <c r="Y465" i="1"/>
  <c r="Y1044" i="1"/>
  <c r="Y814" i="1"/>
  <c r="Y624" i="1"/>
  <c r="Y1000" i="1"/>
  <c r="Y781" i="1"/>
  <c r="Y517" i="1"/>
  <c r="Y468" i="1"/>
  <c r="Y910" i="1"/>
  <c r="Y545" i="1"/>
  <c r="Y163" i="1"/>
  <c r="Y868" i="1"/>
  <c r="Y676" i="1"/>
  <c r="Y1026" i="1"/>
  <c r="Y834" i="1"/>
  <c r="Y597" i="1"/>
  <c r="Y748" i="1"/>
  <c r="Y366" i="1"/>
  <c r="Y635" i="1"/>
  <c r="Y872" i="1"/>
  <c r="Y744" i="1"/>
  <c r="Y621" i="1"/>
  <c r="Y461" i="1"/>
  <c r="Y726" i="1"/>
  <c r="Y25" i="1"/>
  <c r="Y601" i="1"/>
  <c r="Y488" i="1"/>
  <c r="Y731" i="1"/>
  <c r="Y904" i="1"/>
  <c r="Y776" i="1"/>
  <c r="Y669" i="1"/>
  <c r="Y509" i="1"/>
  <c r="Y115" i="1"/>
  <c r="Y295" i="1"/>
  <c r="Y752" i="1"/>
  <c r="Y862" i="1"/>
  <c r="Y923" i="1"/>
  <c r="Y403" i="1"/>
  <c r="Y232" i="1"/>
  <c r="Y48" i="1"/>
  <c r="Y612" i="1"/>
  <c r="Y359" i="1"/>
  <c r="Y1034" i="1"/>
  <c r="Y869" i="1"/>
  <c r="Y698" i="1"/>
  <c r="Y457" i="1"/>
  <c r="Y131" i="1"/>
  <c r="Y740" i="1"/>
  <c r="Y300" i="1"/>
  <c r="Y959" i="1"/>
  <c r="Y703" i="1"/>
  <c r="Y143" i="1"/>
  <c r="Y296" i="1"/>
  <c r="Y126" i="1"/>
  <c r="Y694" i="1"/>
  <c r="Y452" i="1"/>
  <c r="Y124" i="1"/>
  <c r="Y928" i="1"/>
  <c r="Y762" i="1"/>
  <c r="Y306" i="1"/>
  <c r="Y806" i="1"/>
  <c r="Y290" i="1"/>
  <c r="Y412" i="1"/>
  <c r="Y263" i="1"/>
  <c r="Y906" i="1"/>
  <c r="Y958" i="1"/>
  <c r="Y1041" i="1"/>
  <c r="Y930" i="1"/>
  <c r="Y945" i="1"/>
  <c r="Y391" i="1"/>
  <c r="Y892" i="1"/>
  <c r="Y688" i="1"/>
  <c r="Y429" i="1"/>
  <c r="Y338" i="1"/>
  <c r="Y242" i="1"/>
  <c r="Y355" i="1"/>
  <c r="Y565" i="1"/>
  <c r="Y648" i="1"/>
  <c r="Y549" i="1"/>
  <c r="Y38" i="1"/>
  <c r="Y902" i="1"/>
  <c r="Y838" i="1"/>
  <c r="Y924" i="1"/>
  <c r="Y572" i="1"/>
  <c r="Y620" i="1"/>
  <c r="Y929" i="1"/>
  <c r="Y954" i="1"/>
  <c r="Y934" i="1"/>
  <c r="Y460" i="1"/>
  <c r="Y885" i="1"/>
  <c r="Y32" i="1"/>
  <c r="Y376" i="1"/>
  <c r="Y135" i="1"/>
  <c r="Y609" i="1"/>
  <c r="Y989" i="1"/>
  <c r="Y178" i="1"/>
  <c r="Y625" i="1"/>
  <c r="Y994" i="1"/>
  <c r="Y600" i="1"/>
  <c r="Y485" i="1"/>
  <c r="Y110" i="1"/>
  <c r="Y881" i="1"/>
  <c r="Y790" i="1"/>
  <c r="Y993" i="1"/>
  <c r="Y710" i="1"/>
  <c r="Y476" i="1"/>
  <c r="Y156" i="1"/>
  <c r="Y917" i="1"/>
  <c r="Y746" i="1"/>
  <c r="Y449" i="1"/>
  <c r="Y921" i="1"/>
  <c r="Y608" i="1"/>
  <c r="Y898" i="1"/>
  <c r="Y501" i="1"/>
  <c r="Y730" i="1"/>
  <c r="Y593" i="1"/>
  <c r="Y312" i="1"/>
  <c r="Y1001" i="1"/>
  <c r="Y846" i="1"/>
  <c r="Y702" i="1"/>
  <c r="Y528" i="1"/>
  <c r="Y978" i="1"/>
  <c r="Y824" i="1"/>
  <c r="Y645" i="1"/>
  <c r="Y307" i="1"/>
  <c r="Y146" i="1"/>
  <c r="Y280" i="1"/>
  <c r="Y827" i="1"/>
  <c r="Y417" i="1"/>
  <c r="Y56" i="1"/>
  <c r="Y905" i="1"/>
  <c r="Y745" i="1"/>
  <c r="Y584" i="1"/>
  <c r="Y1005" i="1"/>
  <c r="Y877" i="1"/>
  <c r="Y706" i="1"/>
  <c r="Y469" i="1"/>
  <c r="Y532" i="1"/>
  <c r="Y633" i="1"/>
  <c r="Y204" i="1"/>
  <c r="Y936" i="1"/>
  <c r="Y850" i="1"/>
  <c r="Y765" i="1"/>
  <c r="Y680" i="1"/>
  <c r="Y557" i="1"/>
  <c r="Y413" i="1"/>
  <c r="Y64" i="1"/>
  <c r="Y380" i="1"/>
  <c r="Y880" i="1"/>
  <c r="Y473" i="1"/>
  <c r="Y777" i="1"/>
  <c r="Y987" i="1"/>
  <c r="Y123" i="1"/>
  <c r="Y882" i="1"/>
  <c r="Y797" i="1"/>
  <c r="Y712" i="1"/>
  <c r="Y605" i="1"/>
  <c r="Y477" i="1"/>
  <c r="Y200" i="1"/>
  <c r="Y564" i="1"/>
  <c r="Y1002" i="1"/>
  <c r="Y665" i="1"/>
  <c r="Y72" i="1"/>
  <c r="Y247" i="1"/>
  <c r="Y667" i="1"/>
  <c r="Y444" i="1"/>
  <c r="Y844" i="1"/>
  <c r="Y492" i="1"/>
  <c r="Y284" i="1"/>
  <c r="Y918" i="1"/>
  <c r="Y860" i="1"/>
  <c r="Y596" i="1"/>
  <c r="Y717" i="1"/>
  <c r="Y1010" i="1"/>
  <c r="Y1019" i="1"/>
  <c r="Y685" i="1"/>
  <c r="Y724" i="1"/>
  <c r="Y270" i="1"/>
  <c r="Y757" i="1"/>
  <c r="Y986" i="1"/>
  <c r="Y955" i="1"/>
  <c r="Y674" i="1"/>
  <c r="Y718" i="1"/>
  <c r="Y206" i="1"/>
  <c r="Y736" i="1"/>
  <c r="Y976" i="1"/>
  <c r="Y825" i="1"/>
  <c r="Y793" i="1"/>
  <c r="Y778" i="1"/>
  <c r="Y370" i="1"/>
  <c r="Y1032" i="1"/>
  <c r="Y641" i="1"/>
  <c r="Y941" i="1"/>
  <c r="Y92" i="1"/>
  <c r="Y636" i="1"/>
  <c r="Y972" i="1"/>
  <c r="Y897" i="1"/>
  <c r="Y184" i="1"/>
  <c r="Y428" i="1"/>
  <c r="Y732" i="1"/>
  <c r="Y870" i="1"/>
  <c r="Y513" i="1"/>
  <c r="Y742" i="1"/>
  <c r="Y348" i="1"/>
  <c r="Y878" i="1"/>
  <c r="Y956" i="1"/>
  <c r="Y1020" i="1"/>
  <c r="Y1030" i="1"/>
  <c r="Y854" i="1"/>
  <c r="Y524" i="1"/>
  <c r="Y988" i="1"/>
  <c r="Y913" i="1"/>
  <c r="Y944" i="1"/>
  <c r="Y802" i="1"/>
  <c r="Y496" i="1"/>
  <c r="Y505" i="1"/>
  <c r="Y856" i="1"/>
  <c r="Y830" i="1"/>
  <c r="Y497" i="1"/>
  <c r="Y810" i="1"/>
  <c r="Y1040" i="1"/>
  <c r="Y441" i="1"/>
  <c r="Y845" i="1"/>
  <c r="Y804" i="1"/>
  <c r="Y433" i="1"/>
  <c r="Y800" i="1"/>
  <c r="Y1029" i="1"/>
  <c r="Y94" i="1"/>
  <c r="Y985" i="1"/>
  <c r="Y896" i="1"/>
  <c r="Y729" i="1"/>
  <c r="Y756" i="1"/>
  <c r="Y768" i="1"/>
  <c r="Y889" i="1"/>
  <c r="Y327" i="1"/>
  <c r="Y700" i="1"/>
  <c r="Y828" i="1"/>
  <c r="Y342" i="1"/>
  <c r="Y725" i="1"/>
  <c r="Y508" i="1"/>
  <c r="Y801" i="1"/>
  <c r="Y998" i="1"/>
  <c r="Y997" i="1"/>
  <c r="Y950" i="1"/>
  <c r="Y652" i="1"/>
  <c r="Y114" i="1"/>
  <c r="Y99" i="1"/>
  <c r="Y940" i="1"/>
  <c r="Y858" i="1"/>
  <c r="Y1025" i="1"/>
  <c r="Y785" i="1"/>
  <c r="Y721" i="1"/>
  <c r="Y982" i="1"/>
  <c r="Y812" i="1"/>
  <c r="J36" i="3" l="1"/>
  <c r="A44" i="1"/>
  <c r="AD43" i="1"/>
  <c r="A32" i="1"/>
  <c r="AD33" i="1"/>
  <c r="J37" i="3" l="1"/>
  <c r="A31" i="1"/>
  <c r="AD32" i="1"/>
  <c r="A45" i="1"/>
  <c r="AD44" i="1"/>
  <c r="J38" i="3" l="1"/>
  <c r="A46" i="1"/>
  <c r="AD45" i="1"/>
  <c r="A30" i="1"/>
  <c r="AD31" i="1"/>
  <c r="J39" i="3" l="1"/>
  <c r="A29" i="1"/>
  <c r="AD30" i="1"/>
  <c r="A47" i="1"/>
  <c r="AD46" i="1"/>
  <c r="J40" i="3" l="1"/>
  <c r="A48" i="1"/>
  <c r="AD47" i="1"/>
  <c r="A28" i="1"/>
  <c r="AD29" i="1"/>
  <c r="J41" i="3" l="1"/>
  <c r="AD28" i="1"/>
  <c r="A27" i="1"/>
  <c r="A49" i="1"/>
  <c r="AD48" i="1"/>
  <c r="J42" i="3" l="1"/>
  <c r="AD27" i="1"/>
  <c r="A26" i="1"/>
  <c r="A50" i="1"/>
  <c r="AD49" i="1"/>
  <c r="J43" i="3" l="1"/>
  <c r="A51" i="1"/>
  <c r="AD50" i="1"/>
  <c r="AD26" i="1"/>
  <c r="A25" i="1"/>
  <c r="J44" i="3" l="1"/>
  <c r="AA24" i="1"/>
  <c r="AD25" i="1"/>
  <c r="A52" i="1"/>
  <c r="AD51" i="1"/>
  <c r="J45" i="3" l="1"/>
  <c r="A53" i="1"/>
  <c r="AD52" i="1"/>
  <c r="J46" i="3" l="1"/>
  <c r="A54" i="1"/>
  <c r="AD53" i="1"/>
  <c r="J47" i="3" l="1"/>
  <c r="A55" i="1"/>
  <c r="AD54" i="1"/>
  <c r="J48" i="3" l="1"/>
  <c r="A56" i="1"/>
  <c r="AD55" i="1"/>
  <c r="J49" i="3" l="1"/>
  <c r="A57" i="1"/>
  <c r="AD56" i="1"/>
  <c r="J50" i="3" l="1"/>
  <c r="A58" i="1"/>
  <c r="AD57" i="1"/>
  <c r="J51" i="3" l="1"/>
  <c r="A59" i="1"/>
  <c r="AD58" i="1"/>
  <c r="J52" i="3" l="1"/>
  <c r="A60" i="1"/>
  <c r="AD59" i="1"/>
  <c r="J53" i="3" l="1"/>
  <c r="A61" i="1"/>
  <c r="AD60" i="1"/>
  <c r="J54" i="3" l="1"/>
  <c r="A62" i="1"/>
  <c r="AD61" i="1"/>
  <c r="J55" i="3" l="1"/>
  <c r="A63" i="1"/>
  <c r="AD62" i="1"/>
  <c r="J56" i="3" l="1"/>
  <c r="A64" i="1"/>
  <c r="AD63" i="1"/>
  <c r="J57" i="3" l="1"/>
  <c r="A65" i="1"/>
  <c r="AD64" i="1"/>
  <c r="J58" i="3" l="1"/>
  <c r="A66" i="1"/>
  <c r="AD65" i="1"/>
  <c r="J59" i="3" l="1"/>
  <c r="A67" i="1"/>
  <c r="AD66" i="1"/>
  <c r="J60" i="3" l="1"/>
  <c r="A68" i="1"/>
  <c r="AD67" i="1"/>
  <c r="J61" i="3" l="1"/>
  <c r="A69" i="1"/>
  <c r="AD68" i="1"/>
  <c r="J62" i="3" l="1"/>
  <c r="A70" i="1"/>
  <c r="AD69" i="1"/>
  <c r="J63" i="3" l="1"/>
  <c r="A71" i="1"/>
  <c r="AD70" i="1"/>
  <c r="J64" i="3" l="1"/>
  <c r="A72" i="1"/>
  <c r="AD71" i="1"/>
  <c r="J65" i="3" l="1"/>
  <c r="A73" i="1"/>
  <c r="AD72" i="1"/>
  <c r="J66" i="3" l="1"/>
  <c r="A74" i="1"/>
  <c r="AD73" i="1"/>
  <c r="J67" i="3" l="1"/>
  <c r="A75" i="1"/>
  <c r="AD74" i="1"/>
  <c r="J68" i="3" l="1"/>
  <c r="A76" i="1"/>
  <c r="AD75" i="1"/>
  <c r="J69" i="3" l="1"/>
  <c r="A77" i="1"/>
  <c r="AD76" i="1"/>
  <c r="J70" i="3" l="1"/>
  <c r="A78" i="1"/>
  <c r="AD77" i="1"/>
  <c r="J71" i="3" l="1"/>
  <c r="A79" i="1"/>
  <c r="AD78" i="1"/>
  <c r="J72" i="3" l="1"/>
  <c r="A80" i="1"/>
  <c r="AD79" i="1"/>
  <c r="J73" i="3" l="1"/>
  <c r="A81" i="1"/>
  <c r="AD80" i="1"/>
  <c r="J74" i="3" l="1"/>
  <c r="A82" i="1"/>
  <c r="AD81" i="1"/>
  <c r="J75" i="3" l="1"/>
  <c r="A83" i="1"/>
  <c r="AD82" i="1"/>
  <c r="J76" i="3" l="1"/>
  <c r="A84" i="1"/>
  <c r="AD83" i="1"/>
  <c r="J77" i="3" l="1"/>
  <c r="A85" i="1"/>
  <c r="AD84" i="1"/>
  <c r="J78" i="3" l="1"/>
  <c r="A86" i="1"/>
  <c r="AD85" i="1"/>
  <c r="J79" i="3" l="1"/>
  <c r="A87" i="1"/>
  <c r="AD86" i="1"/>
  <c r="J80" i="3" l="1"/>
  <c r="A88" i="1"/>
  <c r="AD87" i="1"/>
  <c r="J81" i="3" l="1"/>
  <c r="A89" i="1"/>
  <c r="AD88" i="1"/>
  <c r="J82" i="3" l="1"/>
  <c r="A90" i="1"/>
  <c r="AD89" i="1"/>
  <c r="J83" i="3" l="1"/>
  <c r="A91" i="1"/>
  <c r="AD90" i="1"/>
  <c r="J84" i="3" l="1"/>
  <c r="A92" i="1"/>
  <c r="AD91" i="1"/>
  <c r="J85" i="3" l="1"/>
  <c r="A93" i="1"/>
  <c r="AD92" i="1"/>
  <c r="J86" i="3" l="1"/>
  <c r="A94" i="1"/>
  <c r="AD93" i="1"/>
  <c r="J87" i="3" l="1"/>
  <c r="A95" i="1"/>
  <c r="AD94" i="1"/>
  <c r="J88" i="3" l="1"/>
  <c r="A96" i="1"/>
  <c r="AD95" i="1"/>
  <c r="J89" i="3" l="1"/>
  <c r="A97" i="1"/>
  <c r="AD96" i="1"/>
  <c r="J90" i="3" l="1"/>
  <c r="A98" i="1"/>
  <c r="AD97" i="1"/>
  <c r="J91" i="3" l="1"/>
  <c r="A99" i="1"/>
  <c r="AD98" i="1"/>
  <c r="J92" i="3" l="1"/>
  <c r="A100" i="1"/>
  <c r="AD99" i="1"/>
  <c r="J93" i="3" l="1"/>
  <c r="A101" i="1"/>
  <c r="AD100" i="1"/>
  <c r="J94" i="3" l="1"/>
  <c r="A102" i="1"/>
  <c r="AD101" i="1"/>
  <c r="J95" i="3" l="1"/>
  <c r="A103" i="1"/>
  <c r="AD102" i="1"/>
  <c r="J96" i="3" l="1"/>
  <c r="A104" i="1"/>
  <c r="AD103" i="1"/>
  <c r="J97" i="3" l="1"/>
  <c r="A105" i="1"/>
  <c r="AD104" i="1"/>
  <c r="J98" i="3" l="1"/>
  <c r="A106" i="1"/>
  <c r="AD105" i="1"/>
  <c r="J99" i="3" l="1"/>
  <c r="A107" i="1"/>
  <c r="AD106" i="1"/>
  <c r="J100" i="3" l="1"/>
  <c r="A108" i="1"/>
  <c r="AD107" i="1"/>
  <c r="J101" i="3" l="1"/>
  <c r="A109" i="1"/>
  <c r="AD108" i="1"/>
  <c r="J102" i="3" l="1"/>
  <c r="A110" i="1"/>
  <c r="AD109" i="1"/>
  <c r="J103" i="3" l="1"/>
  <c r="A111" i="1"/>
  <c r="AD110" i="1"/>
  <c r="J104" i="3" l="1"/>
  <c r="A112" i="1"/>
  <c r="AD111" i="1"/>
  <c r="J105" i="3" l="1"/>
  <c r="A113" i="1"/>
  <c r="AD112" i="1"/>
  <c r="J106" i="3" l="1"/>
  <c r="A114" i="1"/>
  <c r="AD113" i="1"/>
  <c r="J107" i="3" l="1"/>
  <c r="A115" i="1"/>
  <c r="AD114" i="1"/>
  <c r="J108" i="3" l="1"/>
  <c r="A116" i="1"/>
  <c r="AD115" i="1"/>
  <c r="J109" i="3" l="1"/>
  <c r="A117" i="1"/>
  <c r="AD116" i="1"/>
  <c r="J110" i="3" l="1"/>
  <c r="A118" i="1"/>
  <c r="AD117" i="1"/>
  <c r="J111" i="3" l="1"/>
  <c r="A119" i="1"/>
  <c r="AD118" i="1"/>
  <c r="J112" i="3" l="1"/>
  <c r="A120" i="1"/>
  <c r="AD119" i="1"/>
  <c r="J113" i="3" l="1"/>
  <c r="A121" i="1"/>
  <c r="AD120" i="1"/>
  <c r="J114" i="3" l="1"/>
  <c r="A122" i="1"/>
  <c r="AD121" i="1"/>
  <c r="J115" i="3" l="1"/>
  <c r="A123" i="1"/>
  <c r="AD122" i="1"/>
  <c r="J116" i="3" l="1"/>
  <c r="A124" i="1"/>
  <c r="AD123" i="1"/>
  <c r="J117" i="3" l="1"/>
  <c r="A125" i="1"/>
  <c r="AD124" i="1"/>
  <c r="J118" i="3" l="1"/>
  <c r="A126" i="1"/>
  <c r="AD125" i="1"/>
  <c r="J119" i="3" l="1"/>
  <c r="A127" i="1"/>
  <c r="AD126" i="1"/>
  <c r="J120" i="3" l="1"/>
  <c r="A128" i="1"/>
  <c r="AD127" i="1"/>
  <c r="J121" i="3" l="1"/>
  <c r="A129" i="1"/>
  <c r="AD128" i="1"/>
  <c r="J122" i="3" l="1"/>
  <c r="A130" i="1"/>
  <c r="AD129" i="1"/>
  <c r="J123" i="3" l="1"/>
  <c r="A131" i="1"/>
  <c r="AD130" i="1"/>
  <c r="J124" i="3" l="1"/>
  <c r="A132" i="1"/>
  <c r="AD131" i="1"/>
  <c r="J125" i="3" l="1"/>
  <c r="A133" i="1"/>
  <c r="AD132" i="1"/>
  <c r="J126" i="3" l="1"/>
  <c r="A134" i="1"/>
  <c r="AD133" i="1"/>
  <c r="J127" i="3" l="1"/>
  <c r="A135" i="1"/>
  <c r="AD134" i="1"/>
  <c r="J128" i="3" l="1"/>
  <c r="A136" i="1"/>
  <c r="AD135" i="1"/>
  <c r="J129" i="3" l="1"/>
  <c r="A137" i="1"/>
  <c r="AD136" i="1"/>
  <c r="J130" i="3" l="1"/>
  <c r="A138" i="1"/>
  <c r="AD137" i="1"/>
  <c r="J131" i="3" l="1"/>
  <c r="A139" i="1"/>
  <c r="AD138" i="1"/>
  <c r="J132" i="3" l="1"/>
  <c r="A140" i="1"/>
  <c r="AD139" i="1"/>
  <c r="J133" i="3" l="1"/>
  <c r="A141" i="1"/>
  <c r="AD140" i="1"/>
  <c r="J134" i="3" l="1"/>
  <c r="A142" i="1"/>
  <c r="AD141" i="1"/>
  <c r="J135" i="3" l="1"/>
  <c r="A143" i="1"/>
  <c r="AD142" i="1"/>
  <c r="J136" i="3" l="1"/>
  <c r="A144" i="1"/>
  <c r="AD143" i="1"/>
  <c r="J137" i="3" l="1"/>
  <c r="A145" i="1"/>
  <c r="AD144" i="1"/>
  <c r="J138" i="3" l="1"/>
  <c r="A146" i="1"/>
  <c r="AD145" i="1"/>
  <c r="J139" i="3" l="1"/>
  <c r="A147" i="1"/>
  <c r="AD146" i="1"/>
  <c r="J140" i="3" l="1"/>
  <c r="A148" i="1"/>
  <c r="AD147" i="1"/>
  <c r="J141" i="3" l="1"/>
  <c r="A149" i="1"/>
  <c r="AD148" i="1"/>
  <c r="J142" i="3" l="1"/>
  <c r="A150" i="1"/>
  <c r="AD149" i="1"/>
  <c r="J143" i="3" l="1"/>
  <c r="A151" i="1"/>
  <c r="AD150" i="1"/>
  <c r="J144" i="3" l="1"/>
  <c r="A152" i="1"/>
  <c r="AD151" i="1"/>
  <c r="J145" i="3" l="1"/>
  <c r="A153" i="1"/>
  <c r="AD152" i="1"/>
  <c r="J146" i="3" l="1"/>
  <c r="A154" i="1"/>
  <c r="AD153" i="1"/>
  <c r="J147" i="3" l="1"/>
  <c r="A155" i="1"/>
  <c r="AD154" i="1"/>
  <c r="J148" i="3" l="1"/>
  <c r="A156" i="1"/>
  <c r="AD155" i="1"/>
  <c r="J149" i="3" l="1"/>
  <c r="A157" i="1"/>
  <c r="AD156" i="1"/>
  <c r="J150" i="3" l="1"/>
  <c r="A158" i="1"/>
  <c r="AD157" i="1"/>
  <c r="J151" i="3" l="1"/>
  <c r="A159" i="1"/>
  <c r="AD158" i="1"/>
  <c r="J152" i="3" l="1"/>
  <c r="A160" i="1"/>
  <c r="AD159" i="1"/>
  <c r="J153" i="3" l="1"/>
  <c r="A161" i="1"/>
  <c r="AD160" i="1"/>
  <c r="J154" i="3" l="1"/>
  <c r="A162" i="1"/>
  <c r="AD161" i="1"/>
  <c r="J155" i="3" l="1"/>
  <c r="A163" i="1"/>
  <c r="AD162" i="1"/>
  <c r="J156" i="3" l="1"/>
  <c r="A164" i="1"/>
  <c r="AD163" i="1"/>
  <c r="J157" i="3" l="1"/>
  <c r="A165" i="1"/>
  <c r="AD164" i="1"/>
  <c r="J158" i="3" l="1"/>
  <c r="A166" i="1"/>
  <c r="AD165" i="1"/>
  <c r="J159" i="3" l="1"/>
  <c r="A167" i="1"/>
  <c r="AD166" i="1"/>
  <c r="J160" i="3" l="1"/>
  <c r="A168" i="1"/>
  <c r="AD167" i="1"/>
  <c r="J161" i="3" l="1"/>
  <c r="A169" i="1"/>
  <c r="AD168" i="1"/>
  <c r="J162" i="3" l="1"/>
  <c r="A170" i="1"/>
  <c r="AD169" i="1"/>
  <c r="J163" i="3" l="1"/>
  <c r="A171" i="1"/>
  <c r="AD170" i="1"/>
  <c r="J164" i="3" l="1"/>
  <c r="A172" i="1"/>
  <c r="AD171" i="1"/>
  <c r="J165" i="3" l="1"/>
  <c r="A173" i="1"/>
  <c r="AD172" i="1"/>
  <c r="J166" i="3" l="1"/>
  <c r="A174" i="1"/>
  <c r="AD173" i="1"/>
  <c r="J167" i="3" l="1"/>
  <c r="A175" i="1"/>
  <c r="AD174" i="1"/>
  <c r="J168" i="3" l="1"/>
  <c r="A176" i="1"/>
  <c r="AD175" i="1"/>
  <c r="J169" i="3" l="1"/>
  <c r="A177" i="1"/>
  <c r="AD176" i="1"/>
  <c r="J170" i="3" l="1"/>
  <c r="A178" i="1"/>
  <c r="AD177" i="1"/>
  <c r="J171" i="3" l="1"/>
  <c r="A179" i="1"/>
  <c r="AD178" i="1"/>
  <c r="J172" i="3" l="1"/>
  <c r="A180" i="1"/>
  <c r="AD179" i="1"/>
  <c r="J173" i="3" l="1"/>
  <c r="A181" i="1"/>
  <c r="AD180" i="1"/>
  <c r="J174" i="3" l="1"/>
  <c r="A182" i="1"/>
  <c r="AD181" i="1"/>
  <c r="J175" i="3" l="1"/>
  <c r="A183" i="1"/>
  <c r="AD182" i="1"/>
  <c r="J176" i="3" l="1"/>
  <c r="A184" i="1"/>
  <c r="AD183" i="1"/>
  <c r="J177" i="3" l="1"/>
  <c r="A185" i="1"/>
  <c r="AD184" i="1"/>
  <c r="J178" i="3" l="1"/>
  <c r="A186" i="1"/>
  <c r="AD185" i="1"/>
  <c r="J179" i="3" l="1"/>
  <c r="A187" i="1"/>
  <c r="AD186" i="1"/>
  <c r="J180" i="3" l="1"/>
  <c r="A188" i="1"/>
  <c r="AD187" i="1"/>
  <c r="J181" i="3" l="1"/>
  <c r="A189" i="1"/>
  <c r="AD188" i="1"/>
  <c r="J182" i="3" l="1"/>
  <c r="A190" i="1"/>
  <c r="AD189" i="1"/>
  <c r="J183" i="3" l="1"/>
  <c r="A191" i="1"/>
  <c r="AD190" i="1"/>
  <c r="J184" i="3" l="1"/>
  <c r="A192" i="1"/>
  <c r="AD191" i="1"/>
  <c r="J185" i="3" l="1"/>
  <c r="A193" i="1"/>
  <c r="AD192" i="1"/>
  <c r="J186" i="3" l="1"/>
  <c r="A194" i="1"/>
  <c r="AD193" i="1"/>
  <c r="J187" i="3" l="1"/>
  <c r="A195" i="1"/>
  <c r="AD194" i="1"/>
  <c r="J188" i="3" l="1"/>
  <c r="A196" i="1"/>
  <c r="AD195" i="1"/>
  <c r="J189" i="3" l="1"/>
  <c r="A197" i="1"/>
  <c r="AD196" i="1"/>
  <c r="J190" i="3" l="1"/>
  <c r="A198" i="1"/>
  <c r="AD197" i="1"/>
  <c r="J191" i="3" l="1"/>
  <c r="A199" i="1"/>
  <c r="AD198" i="1"/>
  <c r="J192" i="3" l="1"/>
  <c r="A200" i="1"/>
  <c r="AD199" i="1"/>
  <c r="J193" i="3" l="1"/>
  <c r="A201" i="1"/>
  <c r="AD200" i="1"/>
  <c r="J194" i="3" l="1"/>
  <c r="A202" i="1"/>
  <c r="AD201" i="1"/>
  <c r="J195" i="3" l="1"/>
  <c r="A203" i="1"/>
  <c r="AD202" i="1"/>
  <c r="J196" i="3" l="1"/>
  <c r="A204" i="1"/>
  <c r="AD203" i="1"/>
  <c r="J197" i="3" l="1"/>
  <c r="A205" i="1"/>
  <c r="AD204" i="1"/>
  <c r="J198" i="3" l="1"/>
  <c r="A206" i="1"/>
  <c r="AD205" i="1"/>
  <c r="J199" i="3" l="1"/>
  <c r="A207" i="1"/>
  <c r="AD206" i="1"/>
  <c r="J200" i="3" l="1"/>
  <c r="A208" i="1"/>
  <c r="AD207" i="1"/>
  <c r="J201" i="3" l="1"/>
  <c r="A209" i="1"/>
  <c r="AD208" i="1"/>
  <c r="J202" i="3" l="1"/>
  <c r="A210" i="1"/>
  <c r="AD209" i="1"/>
  <c r="J203" i="3" l="1"/>
  <c r="A211" i="1"/>
  <c r="AD210" i="1"/>
  <c r="J204" i="3" l="1"/>
  <c r="A212" i="1"/>
  <c r="AD211" i="1"/>
  <c r="J205" i="3" l="1"/>
  <c r="A213" i="1"/>
  <c r="AD212" i="1"/>
  <c r="J206" i="3" l="1"/>
  <c r="A214" i="1"/>
  <c r="AD213" i="1"/>
  <c r="J207" i="3" l="1"/>
  <c r="A215" i="1"/>
  <c r="AD214" i="1"/>
  <c r="J208" i="3" l="1"/>
  <c r="A216" i="1"/>
  <c r="AD215" i="1"/>
  <c r="J209" i="3" l="1"/>
  <c r="A217" i="1"/>
  <c r="AD216" i="1"/>
  <c r="J210" i="3" l="1"/>
  <c r="A218" i="1"/>
  <c r="AD217" i="1"/>
  <c r="J211" i="3" l="1"/>
  <c r="A219" i="1"/>
  <c r="AD218" i="1"/>
  <c r="J212" i="3" l="1"/>
  <c r="A220" i="1"/>
  <c r="AD219" i="1"/>
  <c r="J213" i="3" l="1"/>
  <c r="A221" i="1"/>
  <c r="AD220" i="1"/>
  <c r="J214" i="3" l="1"/>
  <c r="A222" i="1"/>
  <c r="AD221" i="1"/>
  <c r="J215" i="3" l="1"/>
  <c r="A223" i="1"/>
  <c r="AD222" i="1"/>
  <c r="J216" i="3" l="1"/>
  <c r="A224" i="1"/>
  <c r="AD223" i="1"/>
  <c r="J217" i="3" l="1"/>
  <c r="A225" i="1"/>
  <c r="AD224" i="1"/>
  <c r="J218" i="3" l="1"/>
  <c r="A226" i="1"/>
  <c r="AD225" i="1"/>
  <c r="J219" i="3" l="1"/>
  <c r="A227" i="1"/>
  <c r="AD226" i="1"/>
  <c r="J220" i="3" l="1"/>
  <c r="A228" i="1"/>
  <c r="AD227" i="1"/>
  <c r="J221" i="3" l="1"/>
  <c r="A229" i="1"/>
  <c r="AD228" i="1"/>
  <c r="J222" i="3" l="1"/>
  <c r="A230" i="1"/>
  <c r="AD229" i="1"/>
  <c r="J223" i="3" l="1"/>
  <c r="A231" i="1"/>
  <c r="AD230" i="1"/>
  <c r="J224" i="3" l="1"/>
  <c r="A232" i="1"/>
  <c r="AD231" i="1"/>
  <c r="J225" i="3" l="1"/>
  <c r="A233" i="1"/>
  <c r="AD232" i="1"/>
  <c r="J226" i="3" l="1"/>
  <c r="A234" i="1"/>
  <c r="AD233" i="1"/>
  <c r="J227" i="3" l="1"/>
  <c r="A235" i="1"/>
  <c r="AD234" i="1"/>
  <c r="J228" i="3" l="1"/>
  <c r="A236" i="1"/>
  <c r="AD235" i="1"/>
  <c r="J229" i="3" l="1"/>
  <c r="A237" i="1"/>
  <c r="AD236" i="1"/>
  <c r="J230" i="3" l="1"/>
  <c r="A238" i="1"/>
  <c r="AD237" i="1"/>
  <c r="J231" i="3" l="1"/>
  <c r="A239" i="1"/>
  <c r="AD238" i="1"/>
  <c r="J232" i="3" l="1"/>
  <c r="A240" i="1"/>
  <c r="AD239" i="1"/>
  <c r="J233" i="3" l="1"/>
  <c r="A241" i="1"/>
  <c r="AD240" i="1"/>
  <c r="J234" i="3" l="1"/>
  <c r="A242" i="1"/>
  <c r="AD241" i="1"/>
  <c r="J235" i="3" l="1"/>
  <c r="A243" i="1"/>
  <c r="AD242" i="1"/>
  <c r="J236" i="3" l="1"/>
  <c r="A244" i="1"/>
  <c r="AD243" i="1"/>
  <c r="J237" i="3" l="1"/>
  <c r="A245" i="1"/>
  <c r="AD244" i="1"/>
  <c r="J238" i="3" l="1"/>
  <c r="A246" i="1"/>
  <c r="AD245" i="1"/>
  <c r="J239" i="3" l="1"/>
  <c r="A247" i="1"/>
  <c r="AD246" i="1"/>
  <c r="J240" i="3" l="1"/>
  <c r="A248" i="1"/>
  <c r="AD247" i="1"/>
  <c r="J241" i="3" l="1"/>
  <c r="A249" i="1"/>
  <c r="AD248" i="1"/>
  <c r="J242" i="3" l="1"/>
  <c r="A250" i="1"/>
  <c r="AD249" i="1"/>
  <c r="J243" i="3" l="1"/>
  <c r="A251" i="1"/>
  <c r="AD250" i="1"/>
  <c r="J244" i="3" l="1"/>
  <c r="A252" i="1"/>
  <c r="AD251" i="1"/>
  <c r="J245" i="3" l="1"/>
  <c r="A253" i="1"/>
  <c r="AD252" i="1"/>
  <c r="J246" i="3" l="1"/>
  <c r="A254" i="1"/>
  <c r="AD253" i="1"/>
  <c r="J247" i="3" l="1"/>
  <c r="A255" i="1"/>
  <c r="AD254" i="1"/>
  <c r="J248" i="3" l="1"/>
  <c r="A256" i="1"/>
  <c r="AD255" i="1"/>
  <c r="J249" i="3" l="1"/>
  <c r="A257" i="1"/>
  <c r="AD256" i="1"/>
  <c r="J250" i="3" l="1"/>
  <c r="A258" i="1"/>
  <c r="AD257" i="1"/>
  <c r="J251" i="3" l="1"/>
  <c r="A259" i="1"/>
  <c r="AD258" i="1"/>
  <c r="J252" i="3" l="1"/>
  <c r="A260" i="1"/>
  <c r="AD259" i="1"/>
  <c r="J253" i="3" l="1"/>
  <c r="A261" i="1"/>
  <c r="AD260" i="1"/>
  <c r="J254" i="3" l="1"/>
  <c r="A262" i="1"/>
  <c r="AD261" i="1"/>
  <c r="J255" i="3" l="1"/>
  <c r="A263" i="1"/>
  <c r="AD262" i="1"/>
  <c r="J256" i="3" l="1"/>
  <c r="A264" i="1"/>
  <c r="AD263" i="1"/>
  <c r="J257" i="3" l="1"/>
  <c r="A265" i="1"/>
  <c r="AD264" i="1"/>
  <c r="J258" i="3" l="1"/>
  <c r="A266" i="1"/>
  <c r="AD265" i="1"/>
  <c r="J259" i="3" l="1"/>
  <c r="A267" i="1"/>
  <c r="AD266" i="1"/>
  <c r="J260" i="3" l="1"/>
  <c r="A268" i="1"/>
  <c r="AD267" i="1"/>
  <c r="J261" i="3" l="1"/>
  <c r="A269" i="1"/>
  <c r="AD268" i="1"/>
  <c r="J262" i="3" l="1"/>
  <c r="A270" i="1"/>
  <c r="AD269" i="1"/>
  <c r="J263" i="3" l="1"/>
  <c r="A271" i="1"/>
  <c r="AD270" i="1"/>
  <c r="J264" i="3" l="1"/>
  <c r="A272" i="1"/>
  <c r="AD271" i="1"/>
  <c r="J265" i="3" l="1"/>
  <c r="A273" i="1"/>
  <c r="AD272" i="1"/>
  <c r="J266" i="3" l="1"/>
  <c r="A274" i="1"/>
  <c r="AD273" i="1"/>
  <c r="J267" i="3" l="1"/>
  <c r="A275" i="1"/>
  <c r="AD274" i="1"/>
  <c r="J268" i="3" l="1"/>
  <c r="A276" i="1"/>
  <c r="AD275" i="1"/>
  <c r="J269" i="3" l="1"/>
  <c r="A277" i="1"/>
  <c r="AD276" i="1"/>
  <c r="J270" i="3" l="1"/>
  <c r="A278" i="1"/>
  <c r="AD277" i="1"/>
  <c r="J271" i="3" l="1"/>
  <c r="A279" i="1"/>
  <c r="AD278" i="1"/>
  <c r="J272" i="3" l="1"/>
  <c r="A280" i="1"/>
  <c r="AD279" i="1"/>
  <c r="J273" i="3" l="1"/>
  <c r="A281" i="1"/>
  <c r="AD280" i="1"/>
  <c r="J274" i="3" l="1"/>
  <c r="A282" i="1"/>
  <c r="AD281" i="1"/>
  <c r="J275" i="3" l="1"/>
  <c r="A283" i="1"/>
  <c r="AD282" i="1"/>
  <c r="J276" i="3" l="1"/>
  <c r="A284" i="1"/>
  <c r="AD283" i="1"/>
  <c r="J277" i="3" l="1"/>
  <c r="A285" i="1"/>
  <c r="AD284" i="1"/>
  <c r="J278" i="3" l="1"/>
  <c r="A286" i="1"/>
  <c r="AD285" i="1"/>
  <c r="J279" i="3" l="1"/>
  <c r="A287" i="1"/>
  <c r="AD286" i="1"/>
  <c r="J280" i="3" l="1"/>
  <c r="A288" i="1"/>
  <c r="AD287" i="1"/>
  <c r="J281" i="3" l="1"/>
  <c r="A289" i="1"/>
  <c r="AD288" i="1"/>
  <c r="J282" i="3" l="1"/>
  <c r="A290" i="1"/>
  <c r="AD289" i="1"/>
  <c r="J283" i="3" l="1"/>
  <c r="A291" i="1"/>
  <c r="AD290" i="1"/>
  <c r="J284" i="3" l="1"/>
  <c r="A292" i="1"/>
  <c r="AD291" i="1"/>
  <c r="J285" i="3" l="1"/>
  <c r="A293" i="1"/>
  <c r="AD292" i="1"/>
  <c r="J286" i="3" l="1"/>
  <c r="A294" i="1"/>
  <c r="AD293" i="1"/>
  <c r="J287" i="3" l="1"/>
  <c r="A295" i="1"/>
  <c r="AD294" i="1"/>
  <c r="J288" i="3" l="1"/>
  <c r="A296" i="1"/>
  <c r="AD295" i="1"/>
  <c r="J289" i="3" l="1"/>
  <c r="A297" i="1"/>
  <c r="AD296" i="1"/>
  <c r="J290" i="3" l="1"/>
  <c r="A298" i="1"/>
  <c r="AD297" i="1"/>
  <c r="J291" i="3" l="1"/>
  <c r="A299" i="1"/>
  <c r="AD298" i="1"/>
  <c r="J292" i="3" l="1"/>
  <c r="A300" i="1"/>
  <c r="AD299" i="1"/>
  <c r="J293" i="3" l="1"/>
  <c r="A301" i="1"/>
  <c r="AD300" i="1"/>
  <c r="J294" i="3" l="1"/>
  <c r="A302" i="1"/>
  <c r="AD301" i="1"/>
  <c r="J295" i="3" l="1"/>
  <c r="A303" i="1"/>
  <c r="AD302" i="1"/>
  <c r="J296" i="3" l="1"/>
  <c r="A304" i="1"/>
  <c r="AD303" i="1"/>
  <c r="J297" i="3" l="1"/>
  <c r="A305" i="1"/>
  <c r="AD304" i="1"/>
  <c r="J298" i="3" l="1"/>
  <c r="A306" i="1"/>
  <c r="AD305" i="1"/>
  <c r="J299" i="3" l="1"/>
  <c r="A307" i="1"/>
  <c r="AD306" i="1"/>
  <c r="J300" i="3" l="1"/>
  <c r="A308" i="1"/>
  <c r="AD307" i="1"/>
  <c r="J301" i="3" l="1"/>
  <c r="A309" i="1"/>
  <c r="AD308" i="1"/>
  <c r="J302" i="3" l="1"/>
  <c r="A310" i="1"/>
  <c r="AD309" i="1"/>
  <c r="J303" i="3" l="1"/>
  <c r="A311" i="1"/>
  <c r="AD310" i="1"/>
  <c r="J304" i="3" l="1"/>
  <c r="A312" i="1"/>
  <c r="AD311" i="1"/>
  <c r="J305" i="3" l="1"/>
  <c r="A313" i="1"/>
  <c r="AD312" i="1"/>
  <c r="J306" i="3" l="1"/>
  <c r="A314" i="1"/>
  <c r="AD313" i="1"/>
  <c r="J307" i="3" l="1"/>
  <c r="A315" i="1"/>
  <c r="AD314" i="1"/>
  <c r="J308" i="3" l="1"/>
  <c r="A316" i="1"/>
  <c r="AD315" i="1"/>
  <c r="J309" i="3" l="1"/>
  <c r="A317" i="1"/>
  <c r="AD316" i="1"/>
  <c r="J310" i="3" l="1"/>
  <c r="A318" i="1"/>
  <c r="AD317" i="1"/>
  <c r="J311" i="3" l="1"/>
  <c r="A319" i="1"/>
  <c r="AD318" i="1"/>
  <c r="J312" i="3" l="1"/>
  <c r="A320" i="1"/>
  <c r="AD319" i="1"/>
  <c r="J313" i="3" l="1"/>
  <c r="A321" i="1"/>
  <c r="AD320" i="1"/>
  <c r="J314" i="3" l="1"/>
  <c r="A322" i="1"/>
  <c r="AD321" i="1"/>
  <c r="J315" i="3" l="1"/>
  <c r="A323" i="1"/>
  <c r="AD322" i="1"/>
  <c r="J316" i="3" l="1"/>
  <c r="A324" i="1"/>
  <c r="AD323" i="1"/>
  <c r="J317" i="3" l="1"/>
  <c r="A325" i="1"/>
  <c r="AD324" i="1"/>
  <c r="J318" i="3" l="1"/>
  <c r="A326" i="1"/>
  <c r="AD325" i="1"/>
  <c r="J319" i="3" l="1"/>
  <c r="A327" i="1"/>
  <c r="AD326" i="1"/>
  <c r="J320" i="3" l="1"/>
  <c r="A328" i="1"/>
  <c r="AD327" i="1"/>
  <c r="J321" i="3" l="1"/>
  <c r="A329" i="1"/>
  <c r="AD328" i="1"/>
  <c r="J322" i="3" l="1"/>
  <c r="A330" i="1"/>
  <c r="AD329" i="1"/>
  <c r="J323" i="3" l="1"/>
  <c r="A331" i="1"/>
  <c r="AD330" i="1"/>
  <c r="J324" i="3" l="1"/>
  <c r="A332" i="1"/>
  <c r="AD331" i="1"/>
  <c r="J325" i="3" l="1"/>
  <c r="A333" i="1"/>
  <c r="AD332" i="1"/>
  <c r="J326" i="3" l="1"/>
  <c r="A334" i="1"/>
  <c r="AD333" i="1"/>
  <c r="J327" i="3" l="1"/>
  <c r="A335" i="1"/>
  <c r="AD334" i="1"/>
  <c r="J328" i="3" l="1"/>
  <c r="A336" i="1"/>
  <c r="AD335" i="1"/>
  <c r="J329" i="3" l="1"/>
  <c r="A337" i="1"/>
  <c r="AD336" i="1"/>
  <c r="J330" i="3" l="1"/>
  <c r="A338" i="1"/>
  <c r="AD337" i="1"/>
  <c r="J331" i="3" l="1"/>
  <c r="A339" i="1"/>
  <c r="AD338" i="1"/>
  <c r="J332" i="3" l="1"/>
  <c r="A340" i="1"/>
  <c r="AD339" i="1"/>
  <c r="J333" i="3" l="1"/>
  <c r="A341" i="1"/>
  <c r="AD340" i="1"/>
  <c r="J334" i="3" l="1"/>
  <c r="A342" i="1"/>
  <c r="AD341" i="1"/>
  <c r="J335" i="3" l="1"/>
  <c r="A343" i="1"/>
  <c r="AD342" i="1"/>
  <c r="J336" i="3" l="1"/>
  <c r="A344" i="1"/>
  <c r="AD343" i="1"/>
  <c r="J337" i="3" l="1"/>
  <c r="A345" i="1"/>
  <c r="AD344" i="1"/>
  <c r="J338" i="3" l="1"/>
  <c r="A346" i="1"/>
  <c r="AD345" i="1"/>
  <c r="J339" i="3" l="1"/>
  <c r="A347" i="1"/>
  <c r="AD346" i="1"/>
  <c r="J340" i="3" l="1"/>
  <c r="A348" i="1"/>
  <c r="AD347" i="1"/>
  <c r="J341" i="3" l="1"/>
  <c r="A349" i="1"/>
  <c r="AD348" i="1"/>
  <c r="J342" i="3" l="1"/>
  <c r="A350" i="1"/>
  <c r="AD349" i="1"/>
  <c r="J343" i="3" l="1"/>
  <c r="A351" i="1"/>
  <c r="AD350" i="1"/>
  <c r="J344" i="3" l="1"/>
  <c r="A352" i="1"/>
  <c r="AD351" i="1"/>
  <c r="J345" i="3" l="1"/>
  <c r="A353" i="1"/>
  <c r="AD352" i="1"/>
  <c r="J346" i="3" l="1"/>
  <c r="A354" i="1"/>
  <c r="AD353" i="1"/>
  <c r="J347" i="3" l="1"/>
  <c r="A355" i="1"/>
  <c r="AD354" i="1"/>
  <c r="J348" i="3" l="1"/>
  <c r="A356" i="1"/>
  <c r="AD355" i="1"/>
  <c r="J349" i="3" l="1"/>
  <c r="A357" i="1"/>
  <c r="AD356" i="1"/>
  <c r="J350" i="3" l="1"/>
  <c r="A358" i="1"/>
  <c r="AD357" i="1"/>
  <c r="J351" i="3" l="1"/>
  <c r="A359" i="1"/>
  <c r="AD358" i="1"/>
  <c r="J352" i="3" l="1"/>
  <c r="A360" i="1"/>
  <c r="AD359" i="1"/>
  <c r="J353" i="3" l="1"/>
  <c r="A361" i="1"/>
  <c r="AD360" i="1"/>
  <c r="J354" i="3" l="1"/>
  <c r="A362" i="1"/>
  <c r="AD361" i="1"/>
  <c r="J355" i="3" l="1"/>
  <c r="A363" i="1"/>
  <c r="AD362" i="1"/>
  <c r="J356" i="3" l="1"/>
  <c r="A364" i="1"/>
  <c r="AD363" i="1"/>
  <c r="J357" i="3" l="1"/>
  <c r="A365" i="1"/>
  <c r="AD364" i="1"/>
  <c r="J358" i="3" l="1"/>
  <c r="A366" i="1"/>
  <c r="AD365" i="1"/>
  <c r="J359" i="3" l="1"/>
  <c r="A367" i="1"/>
  <c r="AD366" i="1"/>
  <c r="J360" i="3" l="1"/>
  <c r="A368" i="1"/>
  <c r="AD367" i="1"/>
  <c r="J361" i="3" l="1"/>
  <c r="J362" i="3"/>
  <c r="A369" i="1"/>
  <c r="AD368" i="1"/>
  <c r="A370" i="1" l="1"/>
  <c r="AD369" i="1"/>
  <c r="A371" i="1" l="1"/>
  <c r="AD370" i="1"/>
  <c r="A372" i="1" l="1"/>
  <c r="AD371" i="1"/>
  <c r="A373" i="1" l="1"/>
  <c r="AD372" i="1"/>
  <c r="A374" i="1" l="1"/>
  <c r="AD373" i="1"/>
  <c r="A375" i="1" l="1"/>
  <c r="AD374" i="1"/>
  <c r="A376" i="1" l="1"/>
  <c r="AD375" i="1"/>
  <c r="A377" i="1" l="1"/>
  <c r="AD376" i="1"/>
  <c r="A378" i="1" l="1"/>
  <c r="AD377" i="1"/>
  <c r="A379" i="1" l="1"/>
  <c r="AD378" i="1"/>
  <c r="A380" i="1" l="1"/>
  <c r="AD379" i="1"/>
  <c r="A381" i="1" l="1"/>
  <c r="AD380" i="1"/>
  <c r="A382" i="1" l="1"/>
  <c r="AD381" i="1"/>
  <c r="A383" i="1" l="1"/>
  <c r="AD382" i="1"/>
  <c r="A384" i="1" l="1"/>
  <c r="AD383" i="1"/>
  <c r="A385" i="1" l="1"/>
  <c r="AD384" i="1"/>
  <c r="A386" i="1" l="1"/>
  <c r="AD385" i="1"/>
  <c r="A387" i="1" l="1"/>
  <c r="AD386" i="1"/>
  <c r="A388" i="1" l="1"/>
  <c r="AD387" i="1"/>
  <c r="A389" i="1" l="1"/>
  <c r="AD388" i="1"/>
  <c r="A390" i="1" l="1"/>
  <c r="AD389" i="1"/>
  <c r="A391" i="1" l="1"/>
  <c r="AD390" i="1"/>
  <c r="A392" i="1" l="1"/>
  <c r="AD391" i="1"/>
  <c r="A393" i="1" l="1"/>
  <c r="AD392" i="1"/>
  <c r="A394" i="1" l="1"/>
  <c r="AD393" i="1"/>
  <c r="A395" i="1" l="1"/>
  <c r="AD394" i="1"/>
  <c r="A396" i="1" l="1"/>
  <c r="AD395" i="1"/>
  <c r="A397" i="1" l="1"/>
  <c r="AD396" i="1"/>
  <c r="A398" i="1" l="1"/>
  <c r="AD397" i="1"/>
  <c r="A399" i="1" l="1"/>
  <c r="AD398" i="1"/>
  <c r="A400" i="1" l="1"/>
  <c r="AD399" i="1"/>
  <c r="A401" i="1" l="1"/>
  <c r="AD400" i="1"/>
  <c r="A402" i="1" l="1"/>
  <c r="AD401" i="1"/>
  <c r="A403" i="1" l="1"/>
  <c r="AD402" i="1"/>
  <c r="A404" i="1" l="1"/>
  <c r="AD403" i="1"/>
  <c r="A405" i="1" l="1"/>
  <c r="AD404" i="1"/>
  <c r="A406" i="1" l="1"/>
  <c r="AD405" i="1"/>
  <c r="A407" i="1" l="1"/>
  <c r="AD406" i="1"/>
  <c r="A408" i="1" l="1"/>
  <c r="AD407" i="1"/>
  <c r="A409" i="1" l="1"/>
  <c r="AD408" i="1"/>
  <c r="A410" i="1" l="1"/>
  <c r="AD409" i="1"/>
  <c r="A411" i="1" l="1"/>
  <c r="AD410" i="1"/>
  <c r="A412" i="1" l="1"/>
  <c r="AD411" i="1"/>
  <c r="A413" i="1" l="1"/>
  <c r="AD412" i="1"/>
  <c r="A414" i="1" l="1"/>
  <c r="AD413" i="1"/>
  <c r="A415" i="1" l="1"/>
  <c r="AD414" i="1"/>
  <c r="A416" i="1" l="1"/>
  <c r="AD415" i="1"/>
  <c r="A417" i="1" l="1"/>
  <c r="AD416" i="1"/>
  <c r="A418" i="1" l="1"/>
  <c r="AD417" i="1"/>
  <c r="A419" i="1" l="1"/>
  <c r="AD418" i="1"/>
  <c r="A420" i="1" l="1"/>
  <c r="AD419" i="1"/>
  <c r="A421" i="1" l="1"/>
  <c r="AD420" i="1"/>
  <c r="A422" i="1" l="1"/>
  <c r="AD421" i="1"/>
  <c r="A423" i="1" l="1"/>
  <c r="AD422" i="1"/>
  <c r="A424" i="1" l="1"/>
  <c r="AD423" i="1"/>
  <c r="A425" i="1" l="1"/>
  <c r="AD424" i="1"/>
  <c r="A426" i="1" l="1"/>
  <c r="AD425" i="1"/>
  <c r="A427" i="1" l="1"/>
  <c r="AD426" i="1"/>
  <c r="A428" i="1" l="1"/>
  <c r="AD427" i="1"/>
  <c r="A429" i="1" l="1"/>
  <c r="AD428" i="1"/>
  <c r="A430" i="1" l="1"/>
  <c r="AD429" i="1"/>
  <c r="A431" i="1" l="1"/>
  <c r="AD430" i="1"/>
  <c r="A432" i="1" l="1"/>
  <c r="AD431" i="1"/>
  <c r="A433" i="1" l="1"/>
  <c r="AD432" i="1"/>
  <c r="A434" i="1" l="1"/>
  <c r="AD433" i="1"/>
  <c r="A435" i="1" l="1"/>
  <c r="AD434" i="1"/>
  <c r="A436" i="1" l="1"/>
  <c r="AD435" i="1"/>
  <c r="A437" i="1" l="1"/>
  <c r="AD436" i="1"/>
  <c r="A438" i="1" l="1"/>
  <c r="AD437" i="1"/>
  <c r="A439" i="1" l="1"/>
  <c r="AD438" i="1"/>
  <c r="A440" i="1" l="1"/>
  <c r="AD439" i="1"/>
  <c r="A441" i="1" l="1"/>
  <c r="AD440" i="1"/>
  <c r="A442" i="1" l="1"/>
  <c r="AD441" i="1"/>
  <c r="A443" i="1" l="1"/>
  <c r="AD442" i="1"/>
  <c r="A444" i="1" l="1"/>
  <c r="AD443" i="1"/>
  <c r="A445" i="1" l="1"/>
  <c r="AD444" i="1"/>
  <c r="A446" i="1" l="1"/>
  <c r="AD445" i="1"/>
  <c r="A447" i="1" l="1"/>
  <c r="AD446" i="1"/>
  <c r="A448" i="1" l="1"/>
  <c r="AD447" i="1"/>
  <c r="A449" i="1" l="1"/>
  <c r="AD448" i="1"/>
  <c r="A450" i="1" l="1"/>
  <c r="AD449" i="1"/>
  <c r="A451" i="1" l="1"/>
  <c r="AD450" i="1"/>
  <c r="A452" i="1" l="1"/>
  <c r="AD451" i="1"/>
  <c r="A453" i="1" l="1"/>
  <c r="AD452" i="1"/>
  <c r="A454" i="1" l="1"/>
  <c r="AD453" i="1"/>
  <c r="A455" i="1" l="1"/>
  <c r="AD454" i="1"/>
  <c r="A456" i="1" l="1"/>
  <c r="AD455" i="1"/>
  <c r="A457" i="1" l="1"/>
  <c r="AD456" i="1"/>
  <c r="A458" i="1" l="1"/>
  <c r="AD457" i="1"/>
  <c r="A459" i="1" l="1"/>
  <c r="AD458" i="1"/>
  <c r="A460" i="1" l="1"/>
  <c r="AD459" i="1"/>
  <c r="A461" i="1" l="1"/>
  <c r="AD460" i="1"/>
  <c r="A462" i="1" l="1"/>
  <c r="AD461" i="1"/>
  <c r="A463" i="1" l="1"/>
  <c r="AD462" i="1"/>
  <c r="A464" i="1" l="1"/>
  <c r="AD463" i="1"/>
  <c r="A465" i="1" l="1"/>
  <c r="AD464" i="1"/>
  <c r="A466" i="1" l="1"/>
  <c r="AD465" i="1"/>
  <c r="A467" i="1" l="1"/>
  <c r="AD466" i="1"/>
  <c r="A468" i="1" l="1"/>
  <c r="AD467" i="1"/>
  <c r="A469" i="1" l="1"/>
  <c r="AD468" i="1"/>
  <c r="A470" i="1" l="1"/>
  <c r="AD469" i="1"/>
  <c r="A471" i="1" l="1"/>
  <c r="AD470" i="1"/>
  <c r="A472" i="1" l="1"/>
  <c r="AD471" i="1"/>
  <c r="A473" i="1" l="1"/>
  <c r="AD472" i="1"/>
  <c r="A474" i="1" l="1"/>
  <c r="AD473" i="1"/>
  <c r="A475" i="1" l="1"/>
  <c r="AD474" i="1"/>
  <c r="A476" i="1" l="1"/>
  <c r="AD475" i="1"/>
  <c r="A477" i="1" l="1"/>
  <c r="AD476" i="1"/>
  <c r="A478" i="1" l="1"/>
  <c r="AD477" i="1"/>
  <c r="A479" i="1" l="1"/>
  <c r="AD478" i="1"/>
  <c r="A480" i="1" l="1"/>
  <c r="AD479" i="1"/>
  <c r="A481" i="1" l="1"/>
  <c r="AD480" i="1"/>
  <c r="A482" i="1" l="1"/>
  <c r="AD481" i="1"/>
  <c r="A483" i="1" l="1"/>
  <c r="AD482" i="1"/>
  <c r="A484" i="1" l="1"/>
  <c r="AD483" i="1"/>
  <c r="A485" i="1" l="1"/>
  <c r="AD484" i="1"/>
  <c r="A486" i="1" l="1"/>
  <c r="AD485" i="1"/>
  <c r="A487" i="1" l="1"/>
  <c r="AD486" i="1"/>
  <c r="A488" i="1" l="1"/>
  <c r="AD487" i="1"/>
  <c r="A489" i="1" l="1"/>
  <c r="AD488" i="1"/>
  <c r="A490" i="1" l="1"/>
  <c r="AD489" i="1"/>
  <c r="A491" i="1" l="1"/>
  <c r="AD490" i="1"/>
  <c r="A492" i="1" l="1"/>
  <c r="AD491" i="1"/>
  <c r="A493" i="1" l="1"/>
  <c r="AD492" i="1"/>
  <c r="A494" i="1" l="1"/>
  <c r="AD493" i="1"/>
  <c r="A495" i="1" l="1"/>
  <c r="AD494" i="1"/>
  <c r="A496" i="1" l="1"/>
  <c r="AD495" i="1"/>
  <c r="A497" i="1" l="1"/>
  <c r="AD496" i="1"/>
  <c r="A498" i="1" l="1"/>
  <c r="AD497" i="1"/>
  <c r="A499" i="1" l="1"/>
  <c r="AD498" i="1"/>
  <c r="A500" i="1" l="1"/>
  <c r="AD499" i="1"/>
  <c r="A501" i="1" l="1"/>
  <c r="AD500" i="1"/>
  <c r="A502" i="1" l="1"/>
  <c r="AD501" i="1"/>
  <c r="A503" i="1" l="1"/>
  <c r="AD502" i="1"/>
  <c r="A504" i="1" l="1"/>
  <c r="AD503" i="1"/>
  <c r="A505" i="1" l="1"/>
  <c r="AD504" i="1"/>
  <c r="A506" i="1" l="1"/>
  <c r="AD505" i="1"/>
  <c r="A507" i="1" l="1"/>
  <c r="AD506" i="1"/>
  <c r="A508" i="1" l="1"/>
  <c r="AD507" i="1"/>
  <c r="A509" i="1" l="1"/>
  <c r="AD508" i="1"/>
  <c r="A510" i="1" l="1"/>
  <c r="AD509" i="1"/>
  <c r="A511" i="1" l="1"/>
  <c r="AD510" i="1"/>
  <c r="A512" i="1" l="1"/>
  <c r="AD511" i="1"/>
  <c r="A513" i="1" l="1"/>
  <c r="AD512" i="1"/>
  <c r="A514" i="1" l="1"/>
  <c r="AD513" i="1"/>
  <c r="A515" i="1" l="1"/>
  <c r="AD514" i="1"/>
  <c r="A516" i="1" l="1"/>
  <c r="AD515" i="1"/>
  <c r="A517" i="1" l="1"/>
  <c r="AD516" i="1"/>
  <c r="A518" i="1" l="1"/>
  <c r="AD517" i="1"/>
  <c r="A519" i="1" l="1"/>
  <c r="AD518" i="1"/>
  <c r="A520" i="1" l="1"/>
  <c r="AD519" i="1"/>
  <c r="A521" i="1" l="1"/>
  <c r="AD520" i="1"/>
  <c r="A522" i="1" l="1"/>
  <c r="AD521" i="1"/>
  <c r="A523" i="1" l="1"/>
  <c r="AD522" i="1"/>
  <c r="A524" i="1" l="1"/>
  <c r="AD523" i="1"/>
  <c r="A525" i="1" l="1"/>
  <c r="AD524" i="1"/>
  <c r="A526" i="1" l="1"/>
  <c r="AD525" i="1"/>
  <c r="A527" i="1" l="1"/>
  <c r="AD526" i="1"/>
  <c r="A528" i="1" l="1"/>
  <c r="AD527" i="1"/>
  <c r="A529" i="1" l="1"/>
  <c r="AD528" i="1"/>
  <c r="A530" i="1" l="1"/>
  <c r="AD529" i="1"/>
  <c r="A531" i="1" l="1"/>
  <c r="AD530" i="1"/>
  <c r="A532" i="1" l="1"/>
  <c r="AD531" i="1"/>
  <c r="A533" i="1" l="1"/>
  <c r="AD532" i="1"/>
  <c r="A534" i="1" l="1"/>
  <c r="AD533" i="1"/>
  <c r="A535" i="1" l="1"/>
  <c r="AD534" i="1"/>
  <c r="A536" i="1" l="1"/>
  <c r="AD535" i="1"/>
  <c r="A537" i="1" l="1"/>
  <c r="AD536" i="1"/>
  <c r="A538" i="1" l="1"/>
  <c r="AD537" i="1"/>
  <c r="A539" i="1" l="1"/>
  <c r="AD538" i="1"/>
  <c r="A540" i="1" l="1"/>
  <c r="AD539" i="1"/>
  <c r="A541" i="1" l="1"/>
  <c r="AD540" i="1"/>
  <c r="A542" i="1" l="1"/>
  <c r="AD541" i="1"/>
  <c r="A543" i="1" l="1"/>
  <c r="AD542" i="1"/>
  <c r="A544" i="1" l="1"/>
  <c r="AD543" i="1"/>
  <c r="A545" i="1" l="1"/>
  <c r="AD544" i="1"/>
  <c r="A546" i="1" l="1"/>
  <c r="AD545" i="1"/>
  <c r="A547" i="1" l="1"/>
  <c r="AD546" i="1"/>
  <c r="A548" i="1" l="1"/>
  <c r="AD547" i="1"/>
  <c r="A549" i="1" l="1"/>
  <c r="AD548" i="1"/>
  <c r="A550" i="1" l="1"/>
  <c r="AD549" i="1"/>
  <c r="A551" i="1" l="1"/>
  <c r="AD550" i="1"/>
  <c r="A552" i="1" l="1"/>
  <c r="AD551" i="1"/>
  <c r="A553" i="1" l="1"/>
  <c r="AD552" i="1"/>
  <c r="A554" i="1" l="1"/>
  <c r="AD553" i="1"/>
  <c r="A555" i="1" l="1"/>
  <c r="AD554" i="1"/>
  <c r="A556" i="1" l="1"/>
  <c r="AD555" i="1"/>
  <c r="A557" i="1" l="1"/>
  <c r="AD556" i="1"/>
  <c r="A558" i="1" l="1"/>
  <c r="AD557" i="1"/>
  <c r="A559" i="1" l="1"/>
  <c r="AD558" i="1"/>
  <c r="A560" i="1" l="1"/>
  <c r="AD559" i="1"/>
  <c r="A561" i="1" l="1"/>
  <c r="AD560" i="1"/>
  <c r="A562" i="1" l="1"/>
  <c r="AD561" i="1"/>
  <c r="A563" i="1" l="1"/>
  <c r="AD562" i="1"/>
  <c r="A564" i="1" l="1"/>
  <c r="AD563" i="1"/>
  <c r="A565" i="1" l="1"/>
  <c r="AD564" i="1"/>
  <c r="A566" i="1" l="1"/>
  <c r="AD565" i="1"/>
  <c r="A567" i="1" l="1"/>
  <c r="AD566" i="1"/>
  <c r="A568" i="1" l="1"/>
  <c r="AD567" i="1"/>
  <c r="A569" i="1" l="1"/>
  <c r="AD568" i="1"/>
  <c r="A570" i="1" l="1"/>
  <c r="AD569" i="1"/>
  <c r="A571" i="1" l="1"/>
  <c r="AD570" i="1"/>
  <c r="A572" i="1" l="1"/>
  <c r="AD571" i="1"/>
  <c r="A573" i="1" l="1"/>
  <c r="AD572" i="1"/>
  <c r="A574" i="1" l="1"/>
  <c r="AD573" i="1"/>
  <c r="A575" i="1" l="1"/>
  <c r="AD574" i="1"/>
  <c r="A576" i="1" l="1"/>
  <c r="AD575" i="1"/>
  <c r="A577" i="1" l="1"/>
  <c r="AD576" i="1"/>
  <c r="A578" i="1" l="1"/>
  <c r="AD577" i="1"/>
  <c r="A579" i="1" l="1"/>
  <c r="AD578" i="1"/>
  <c r="A580" i="1" l="1"/>
  <c r="AD579" i="1"/>
  <c r="A581" i="1" l="1"/>
  <c r="AD580" i="1"/>
  <c r="A582" i="1" l="1"/>
  <c r="AD581" i="1"/>
  <c r="A583" i="1" l="1"/>
  <c r="AD582" i="1"/>
  <c r="A584" i="1" l="1"/>
  <c r="AD583" i="1"/>
  <c r="A585" i="1" l="1"/>
  <c r="AD584" i="1"/>
  <c r="A586" i="1" l="1"/>
  <c r="AD585" i="1"/>
  <c r="A587" i="1" l="1"/>
  <c r="AD586" i="1"/>
  <c r="A588" i="1" l="1"/>
  <c r="AD587" i="1"/>
  <c r="A589" i="1" l="1"/>
  <c r="AD588" i="1"/>
  <c r="A590" i="1" l="1"/>
  <c r="AD589" i="1"/>
  <c r="A591" i="1" l="1"/>
  <c r="AD590" i="1"/>
  <c r="A592" i="1" l="1"/>
  <c r="AD591" i="1"/>
  <c r="A593" i="1" l="1"/>
  <c r="AD592" i="1"/>
  <c r="A594" i="1" l="1"/>
  <c r="AD593" i="1"/>
  <c r="A595" i="1" l="1"/>
  <c r="AD594" i="1"/>
  <c r="A596" i="1" l="1"/>
  <c r="AD595" i="1"/>
  <c r="A597" i="1" l="1"/>
  <c r="AD596" i="1"/>
  <c r="A598" i="1" l="1"/>
  <c r="AD597" i="1"/>
  <c r="A599" i="1" l="1"/>
  <c r="AD598" i="1"/>
  <c r="A600" i="1" l="1"/>
  <c r="AD599" i="1"/>
  <c r="A601" i="1" l="1"/>
  <c r="AD600" i="1"/>
  <c r="A602" i="1" l="1"/>
  <c r="AD601" i="1"/>
  <c r="A603" i="1" l="1"/>
  <c r="AD602" i="1"/>
  <c r="A604" i="1" l="1"/>
  <c r="AD603" i="1"/>
  <c r="A605" i="1" l="1"/>
  <c r="AD604" i="1"/>
  <c r="A606" i="1" l="1"/>
  <c r="AD605" i="1"/>
  <c r="A607" i="1" l="1"/>
  <c r="AD606" i="1"/>
  <c r="A608" i="1" l="1"/>
  <c r="AD607" i="1"/>
  <c r="A609" i="1" l="1"/>
  <c r="AD608" i="1"/>
  <c r="A610" i="1" l="1"/>
  <c r="AD609" i="1"/>
  <c r="A611" i="1" l="1"/>
  <c r="AD610" i="1"/>
  <c r="A612" i="1" l="1"/>
  <c r="AD611" i="1"/>
  <c r="A613" i="1" l="1"/>
  <c r="AD612" i="1"/>
  <c r="A614" i="1" l="1"/>
  <c r="AD613" i="1"/>
  <c r="A615" i="1" l="1"/>
  <c r="AD614" i="1"/>
  <c r="A616" i="1" l="1"/>
  <c r="AD615" i="1"/>
  <c r="A617" i="1" l="1"/>
  <c r="AD616" i="1"/>
  <c r="A618" i="1" l="1"/>
  <c r="AD617" i="1"/>
  <c r="A619" i="1" l="1"/>
  <c r="AD618" i="1"/>
  <c r="A620" i="1" l="1"/>
  <c r="AD619" i="1"/>
  <c r="A621" i="1" l="1"/>
  <c r="AD620" i="1"/>
  <c r="A622" i="1" l="1"/>
  <c r="AD621" i="1"/>
  <c r="A623" i="1" l="1"/>
  <c r="AD622" i="1"/>
  <c r="A624" i="1" l="1"/>
  <c r="AD623" i="1"/>
  <c r="A625" i="1" l="1"/>
  <c r="AD624" i="1"/>
  <c r="A626" i="1" l="1"/>
  <c r="AD625" i="1"/>
  <c r="A627" i="1" l="1"/>
  <c r="AD626" i="1"/>
  <c r="A628" i="1" l="1"/>
  <c r="AD627" i="1"/>
  <c r="A629" i="1" l="1"/>
  <c r="AD628" i="1"/>
  <c r="A630" i="1" l="1"/>
  <c r="AD629" i="1"/>
  <c r="A631" i="1" l="1"/>
  <c r="AD630" i="1"/>
  <c r="A632" i="1" l="1"/>
  <c r="AD631" i="1"/>
  <c r="A633" i="1" l="1"/>
  <c r="AD632" i="1"/>
  <c r="A634" i="1" l="1"/>
  <c r="AD633" i="1"/>
  <c r="A635" i="1" l="1"/>
  <c r="AD634" i="1"/>
  <c r="A636" i="1" l="1"/>
  <c r="AD635" i="1"/>
  <c r="A637" i="1" l="1"/>
  <c r="AD636" i="1"/>
  <c r="A638" i="1" l="1"/>
  <c r="AD637" i="1"/>
  <c r="A639" i="1" l="1"/>
  <c r="AD638" i="1"/>
  <c r="A640" i="1" l="1"/>
  <c r="AD639" i="1"/>
  <c r="A641" i="1" l="1"/>
  <c r="AD640" i="1"/>
  <c r="A642" i="1" l="1"/>
  <c r="AD641" i="1"/>
  <c r="A643" i="1" l="1"/>
  <c r="AD642" i="1"/>
  <c r="A644" i="1" l="1"/>
  <c r="AD643" i="1"/>
  <c r="A645" i="1" l="1"/>
  <c r="AD644" i="1"/>
  <c r="A646" i="1" l="1"/>
  <c r="AD645" i="1"/>
  <c r="A647" i="1" l="1"/>
  <c r="AD646" i="1"/>
  <c r="A648" i="1" l="1"/>
  <c r="AD647" i="1"/>
  <c r="A649" i="1" l="1"/>
  <c r="AD648" i="1"/>
  <c r="A650" i="1" l="1"/>
  <c r="AD649" i="1"/>
  <c r="A651" i="1" l="1"/>
  <c r="AD650" i="1"/>
  <c r="A652" i="1" l="1"/>
  <c r="AD651" i="1"/>
  <c r="A653" i="1" l="1"/>
  <c r="AD652" i="1"/>
  <c r="A654" i="1" l="1"/>
  <c r="AD653" i="1"/>
  <c r="A655" i="1" l="1"/>
  <c r="AD654" i="1"/>
  <c r="A656" i="1" l="1"/>
  <c r="AD655" i="1"/>
  <c r="A657" i="1" l="1"/>
  <c r="AD656" i="1"/>
  <c r="A658" i="1" l="1"/>
  <c r="AD657" i="1"/>
  <c r="A659" i="1" l="1"/>
  <c r="AD658" i="1"/>
  <c r="A660" i="1" l="1"/>
  <c r="AD659" i="1"/>
  <c r="A661" i="1" l="1"/>
  <c r="AD660" i="1"/>
  <c r="A662" i="1" l="1"/>
  <c r="AD661" i="1"/>
  <c r="A663" i="1" l="1"/>
  <c r="AD662" i="1"/>
  <c r="A664" i="1" l="1"/>
  <c r="AD663" i="1"/>
  <c r="A665" i="1" l="1"/>
  <c r="AD664" i="1"/>
  <c r="A666" i="1" l="1"/>
  <c r="AD665" i="1"/>
  <c r="A667" i="1" l="1"/>
  <c r="AD666" i="1"/>
  <c r="A668" i="1" l="1"/>
  <c r="AD667" i="1"/>
  <c r="A669" i="1" l="1"/>
  <c r="AD668" i="1"/>
  <c r="A670" i="1" l="1"/>
  <c r="AD669" i="1"/>
  <c r="A671" i="1" l="1"/>
  <c r="AD670" i="1"/>
  <c r="A672" i="1" l="1"/>
  <c r="AD671" i="1"/>
  <c r="A673" i="1" l="1"/>
  <c r="AD672" i="1"/>
  <c r="A674" i="1" l="1"/>
  <c r="AD673" i="1"/>
  <c r="A675" i="1" l="1"/>
  <c r="AD674" i="1"/>
  <c r="A676" i="1" l="1"/>
  <c r="AD675" i="1"/>
  <c r="A677" i="1" l="1"/>
  <c r="AD676" i="1"/>
  <c r="A678" i="1" l="1"/>
  <c r="AD677" i="1"/>
  <c r="A679" i="1" l="1"/>
  <c r="AD678" i="1"/>
  <c r="A680" i="1" l="1"/>
  <c r="AD679" i="1"/>
  <c r="A681" i="1" l="1"/>
  <c r="AD680" i="1"/>
  <c r="A682" i="1" l="1"/>
  <c r="AD681" i="1"/>
  <c r="A683" i="1" l="1"/>
  <c r="AD682" i="1"/>
  <c r="A684" i="1" l="1"/>
  <c r="AD683" i="1"/>
  <c r="A685" i="1" l="1"/>
  <c r="AD684" i="1"/>
  <c r="A686" i="1" l="1"/>
  <c r="AD685" i="1"/>
  <c r="A687" i="1" l="1"/>
  <c r="AD686" i="1"/>
  <c r="A688" i="1" l="1"/>
  <c r="AD687" i="1"/>
  <c r="A689" i="1" l="1"/>
  <c r="AD688" i="1"/>
  <c r="A690" i="1" l="1"/>
  <c r="AD689" i="1"/>
  <c r="A691" i="1" l="1"/>
  <c r="AD690" i="1"/>
  <c r="A692" i="1" l="1"/>
  <c r="AD691" i="1"/>
  <c r="A693" i="1" l="1"/>
  <c r="AD692" i="1"/>
  <c r="A694" i="1" l="1"/>
  <c r="AD693" i="1"/>
  <c r="A695" i="1" l="1"/>
  <c r="AD694" i="1"/>
  <c r="A696" i="1" l="1"/>
  <c r="AD695" i="1"/>
  <c r="A697" i="1" l="1"/>
  <c r="AD696" i="1"/>
  <c r="A698" i="1" l="1"/>
  <c r="AD697" i="1"/>
  <c r="A699" i="1" l="1"/>
  <c r="AD698" i="1"/>
  <c r="A700" i="1" l="1"/>
  <c r="AD699" i="1"/>
  <c r="A701" i="1" l="1"/>
  <c r="AD700" i="1"/>
  <c r="A702" i="1" l="1"/>
  <c r="AD701" i="1"/>
  <c r="A703" i="1" l="1"/>
  <c r="AD702" i="1"/>
  <c r="A704" i="1" l="1"/>
  <c r="AD703" i="1"/>
  <c r="A705" i="1" l="1"/>
  <c r="AD704" i="1"/>
  <c r="A706" i="1" l="1"/>
  <c r="AD705" i="1"/>
  <c r="A707" i="1" l="1"/>
  <c r="AD706" i="1"/>
  <c r="A708" i="1" l="1"/>
  <c r="AD707" i="1"/>
  <c r="A709" i="1" l="1"/>
  <c r="AD708" i="1"/>
  <c r="A710" i="1" l="1"/>
  <c r="AD709" i="1"/>
  <c r="A711" i="1" l="1"/>
  <c r="AD710" i="1"/>
  <c r="A712" i="1" l="1"/>
  <c r="AD711" i="1"/>
  <c r="A713" i="1" l="1"/>
  <c r="AD712" i="1"/>
  <c r="A714" i="1" l="1"/>
  <c r="AD713" i="1"/>
  <c r="A715" i="1" l="1"/>
  <c r="AD714" i="1"/>
  <c r="A716" i="1" l="1"/>
  <c r="AD715" i="1"/>
  <c r="A717" i="1" l="1"/>
  <c r="AD716" i="1"/>
  <c r="A718" i="1" l="1"/>
  <c r="AD717" i="1"/>
  <c r="A719" i="1" l="1"/>
  <c r="AD718" i="1"/>
  <c r="A720" i="1" l="1"/>
  <c r="AD719" i="1"/>
  <c r="A721" i="1" l="1"/>
  <c r="AD720" i="1"/>
  <c r="A722" i="1" l="1"/>
  <c r="AD721" i="1"/>
  <c r="A723" i="1" l="1"/>
  <c r="AD722" i="1"/>
  <c r="A724" i="1" l="1"/>
  <c r="AD723" i="1"/>
  <c r="A725" i="1" l="1"/>
  <c r="AD724" i="1"/>
  <c r="A726" i="1" l="1"/>
  <c r="AD725" i="1"/>
  <c r="A727" i="1" l="1"/>
  <c r="AD726" i="1"/>
  <c r="A728" i="1" l="1"/>
  <c r="AD727" i="1"/>
  <c r="A729" i="1" l="1"/>
  <c r="AD728" i="1"/>
  <c r="A730" i="1" l="1"/>
  <c r="AD729" i="1"/>
  <c r="A731" i="1" l="1"/>
  <c r="AD730" i="1"/>
  <c r="A732" i="1" l="1"/>
  <c r="AD731" i="1"/>
  <c r="A733" i="1" l="1"/>
  <c r="AD732" i="1"/>
  <c r="A734" i="1" l="1"/>
  <c r="AD733" i="1"/>
  <c r="A735" i="1" l="1"/>
  <c r="AD734" i="1"/>
  <c r="A736" i="1" l="1"/>
  <c r="AD735" i="1"/>
  <c r="A737" i="1" l="1"/>
  <c r="AD736" i="1"/>
  <c r="A738" i="1" l="1"/>
  <c r="AD737" i="1"/>
  <c r="A739" i="1" l="1"/>
  <c r="AD738" i="1"/>
  <c r="A740" i="1" l="1"/>
  <c r="AD739" i="1"/>
  <c r="A741" i="1" l="1"/>
  <c r="AD740" i="1"/>
  <c r="A742" i="1" l="1"/>
  <c r="AD741" i="1"/>
  <c r="A743" i="1" l="1"/>
  <c r="AD742" i="1"/>
  <c r="A744" i="1" l="1"/>
  <c r="AD743" i="1"/>
  <c r="A745" i="1" l="1"/>
  <c r="AD744" i="1"/>
  <c r="A746" i="1" l="1"/>
  <c r="AD745" i="1"/>
  <c r="A747" i="1" l="1"/>
  <c r="AD746" i="1"/>
  <c r="A748" i="1" l="1"/>
  <c r="AD747" i="1"/>
  <c r="A749" i="1" l="1"/>
  <c r="AD748" i="1"/>
  <c r="A750" i="1" l="1"/>
  <c r="AD749" i="1"/>
  <c r="A751" i="1" l="1"/>
  <c r="AD750" i="1"/>
  <c r="A752" i="1" l="1"/>
  <c r="AD751" i="1"/>
  <c r="A753" i="1" l="1"/>
  <c r="AD752" i="1"/>
  <c r="A754" i="1" l="1"/>
  <c r="AD753" i="1"/>
  <c r="A755" i="1" l="1"/>
  <c r="AD754" i="1"/>
  <c r="A756" i="1" l="1"/>
  <c r="AD755" i="1"/>
  <c r="A757" i="1" l="1"/>
  <c r="AD756" i="1"/>
  <c r="A758" i="1" l="1"/>
  <c r="AD757" i="1"/>
  <c r="A759" i="1" l="1"/>
  <c r="AD758" i="1"/>
  <c r="A760" i="1" l="1"/>
  <c r="AD759" i="1"/>
  <c r="A761" i="1" l="1"/>
  <c r="AD760" i="1"/>
  <c r="A762" i="1" l="1"/>
  <c r="AD761" i="1"/>
  <c r="A763" i="1" l="1"/>
  <c r="AD762" i="1"/>
  <c r="A764" i="1" l="1"/>
  <c r="AD763" i="1"/>
  <c r="A765" i="1" l="1"/>
  <c r="AD764" i="1"/>
  <c r="A766" i="1" l="1"/>
  <c r="AD765" i="1"/>
  <c r="A767" i="1" l="1"/>
  <c r="AD766" i="1"/>
  <c r="A768" i="1" l="1"/>
  <c r="AD767" i="1"/>
  <c r="A769" i="1" l="1"/>
  <c r="AD768" i="1"/>
  <c r="A770" i="1" l="1"/>
  <c r="AD769" i="1"/>
  <c r="A771" i="1" l="1"/>
  <c r="AD770" i="1"/>
  <c r="A772" i="1" l="1"/>
  <c r="AD771" i="1"/>
  <c r="A773" i="1" l="1"/>
  <c r="AD772" i="1"/>
  <c r="A774" i="1" l="1"/>
  <c r="AD773" i="1"/>
  <c r="A775" i="1" l="1"/>
  <c r="AD774" i="1"/>
  <c r="A776" i="1" l="1"/>
  <c r="AD775" i="1"/>
  <c r="A777" i="1" l="1"/>
  <c r="AD776" i="1"/>
  <c r="A778" i="1" l="1"/>
  <c r="AD777" i="1"/>
  <c r="A779" i="1" l="1"/>
  <c r="AD778" i="1"/>
  <c r="A780" i="1" l="1"/>
  <c r="AD779" i="1"/>
  <c r="A781" i="1" l="1"/>
  <c r="AD780" i="1"/>
  <c r="A782" i="1" l="1"/>
  <c r="AD781" i="1"/>
  <c r="A783" i="1" l="1"/>
  <c r="AD782" i="1"/>
  <c r="A784" i="1" l="1"/>
  <c r="AD783" i="1"/>
  <c r="A785" i="1" l="1"/>
  <c r="AD784" i="1"/>
  <c r="A786" i="1" l="1"/>
  <c r="AD785" i="1"/>
  <c r="A787" i="1" l="1"/>
  <c r="AD786" i="1"/>
  <c r="A788" i="1" l="1"/>
  <c r="AD787" i="1"/>
  <c r="A789" i="1" l="1"/>
  <c r="AD788" i="1"/>
  <c r="A790" i="1" l="1"/>
  <c r="AD789" i="1"/>
  <c r="A791" i="1" l="1"/>
  <c r="AD790" i="1"/>
  <c r="A792" i="1" l="1"/>
  <c r="AD791" i="1"/>
  <c r="A793" i="1" l="1"/>
  <c r="AD792" i="1"/>
  <c r="A794" i="1" l="1"/>
  <c r="AD793" i="1"/>
  <c r="A795" i="1" l="1"/>
  <c r="AD794" i="1"/>
  <c r="A796" i="1" l="1"/>
  <c r="AD795" i="1"/>
  <c r="A797" i="1" l="1"/>
  <c r="AD796" i="1"/>
  <c r="A798" i="1" l="1"/>
  <c r="AD797" i="1"/>
  <c r="A799" i="1" l="1"/>
  <c r="AD798" i="1"/>
  <c r="A800" i="1" l="1"/>
  <c r="AD799" i="1"/>
  <c r="A801" i="1" l="1"/>
  <c r="AD800" i="1"/>
  <c r="A802" i="1" l="1"/>
  <c r="AD801" i="1"/>
  <c r="A803" i="1" l="1"/>
  <c r="AD802" i="1"/>
  <c r="A804" i="1" l="1"/>
  <c r="AD803" i="1"/>
  <c r="A805" i="1" l="1"/>
  <c r="AD804" i="1"/>
  <c r="A806" i="1" l="1"/>
  <c r="AD805" i="1"/>
  <c r="A807" i="1" l="1"/>
  <c r="AD806" i="1"/>
  <c r="A808" i="1" l="1"/>
  <c r="AD807" i="1"/>
  <c r="A809" i="1" l="1"/>
  <c r="AD808" i="1"/>
  <c r="A810" i="1" l="1"/>
  <c r="AD809" i="1"/>
  <c r="A811" i="1" l="1"/>
  <c r="AD810" i="1"/>
  <c r="A812" i="1" l="1"/>
  <c r="AD811" i="1"/>
  <c r="A813" i="1" l="1"/>
  <c r="AD812" i="1"/>
  <c r="A814" i="1" l="1"/>
  <c r="AD813" i="1"/>
  <c r="A815" i="1" l="1"/>
  <c r="AD814" i="1"/>
  <c r="A816" i="1" l="1"/>
  <c r="AD815" i="1"/>
  <c r="A817" i="1" l="1"/>
  <c r="AD816" i="1"/>
  <c r="A818" i="1" l="1"/>
  <c r="AD817" i="1"/>
  <c r="A819" i="1" l="1"/>
  <c r="AD818" i="1"/>
  <c r="A820" i="1" l="1"/>
  <c r="AD819" i="1"/>
  <c r="A821" i="1" l="1"/>
  <c r="AD820" i="1"/>
  <c r="A822" i="1" l="1"/>
  <c r="AD821" i="1"/>
  <c r="A823" i="1" l="1"/>
  <c r="AD822" i="1"/>
  <c r="A824" i="1" l="1"/>
  <c r="AD823" i="1"/>
  <c r="A825" i="1" l="1"/>
  <c r="AD824" i="1"/>
  <c r="A826" i="1" l="1"/>
  <c r="AD825" i="1"/>
  <c r="A827" i="1" l="1"/>
  <c r="AD826" i="1"/>
  <c r="A828" i="1" l="1"/>
  <c r="AD827" i="1"/>
  <c r="A829" i="1" l="1"/>
  <c r="AD828" i="1"/>
  <c r="A830" i="1" l="1"/>
  <c r="AD829" i="1"/>
  <c r="A831" i="1" l="1"/>
  <c r="AD830" i="1"/>
  <c r="A832" i="1" l="1"/>
  <c r="AD831" i="1"/>
  <c r="A833" i="1" l="1"/>
  <c r="AD832" i="1"/>
  <c r="A834" i="1" l="1"/>
  <c r="AD833" i="1"/>
  <c r="A835" i="1" l="1"/>
  <c r="AD834" i="1"/>
  <c r="A836" i="1" l="1"/>
  <c r="AD835" i="1"/>
  <c r="A837" i="1" l="1"/>
  <c r="AD836" i="1"/>
  <c r="A838" i="1" l="1"/>
  <c r="AD837" i="1"/>
  <c r="A839" i="1" l="1"/>
  <c r="AD838" i="1"/>
  <c r="A840" i="1" l="1"/>
  <c r="AD839" i="1"/>
  <c r="A841" i="1" l="1"/>
  <c r="AD840" i="1"/>
  <c r="A842" i="1" l="1"/>
  <c r="AD841" i="1"/>
  <c r="A843" i="1" l="1"/>
  <c r="AD842" i="1"/>
  <c r="A844" i="1" l="1"/>
  <c r="AD843" i="1"/>
  <c r="A845" i="1" l="1"/>
  <c r="AD844" i="1"/>
  <c r="A846" i="1" l="1"/>
  <c r="AD845" i="1"/>
  <c r="A847" i="1" l="1"/>
  <c r="AD846" i="1"/>
  <c r="A848" i="1" l="1"/>
  <c r="AD847" i="1"/>
  <c r="A849" i="1" l="1"/>
  <c r="AD848" i="1"/>
  <c r="A850" i="1" l="1"/>
  <c r="AD849" i="1"/>
  <c r="A851" i="1" l="1"/>
  <c r="AD850" i="1"/>
  <c r="A852" i="1" l="1"/>
  <c r="AD851" i="1"/>
  <c r="A853" i="1" l="1"/>
  <c r="AD852" i="1"/>
  <c r="A854" i="1" l="1"/>
  <c r="AD853" i="1"/>
  <c r="A855" i="1" l="1"/>
  <c r="AD854" i="1"/>
  <c r="A856" i="1" l="1"/>
  <c r="AD855" i="1"/>
  <c r="A857" i="1" l="1"/>
  <c r="AD856" i="1"/>
  <c r="A858" i="1" l="1"/>
  <c r="AD857" i="1"/>
  <c r="A859" i="1" l="1"/>
  <c r="AD858" i="1"/>
  <c r="A860" i="1" l="1"/>
  <c r="AD859" i="1"/>
  <c r="A861" i="1" l="1"/>
  <c r="AD860" i="1"/>
  <c r="A862" i="1" l="1"/>
  <c r="AD861" i="1"/>
  <c r="A863" i="1" l="1"/>
  <c r="AD862" i="1"/>
  <c r="A864" i="1" l="1"/>
  <c r="AD863" i="1"/>
  <c r="A865" i="1" l="1"/>
  <c r="AD864" i="1"/>
  <c r="A866" i="1" l="1"/>
  <c r="AD865" i="1"/>
  <c r="A867" i="1" l="1"/>
  <c r="AD866" i="1"/>
  <c r="A868" i="1" l="1"/>
  <c r="AD867" i="1"/>
  <c r="A869" i="1" l="1"/>
  <c r="AD868" i="1"/>
  <c r="A870" i="1" l="1"/>
  <c r="AD869" i="1"/>
  <c r="A871" i="1" l="1"/>
  <c r="AD870" i="1"/>
  <c r="A872" i="1" l="1"/>
  <c r="AD871" i="1"/>
  <c r="A873" i="1" l="1"/>
  <c r="AD872" i="1"/>
  <c r="A874" i="1" l="1"/>
  <c r="AD873" i="1"/>
  <c r="A875" i="1" l="1"/>
  <c r="AD874" i="1"/>
  <c r="A876" i="1" l="1"/>
  <c r="AD875" i="1"/>
  <c r="A877" i="1" l="1"/>
  <c r="AD876" i="1"/>
  <c r="A878" i="1" l="1"/>
  <c r="AD877" i="1"/>
  <c r="A879" i="1" l="1"/>
  <c r="AD878" i="1"/>
  <c r="A880" i="1" l="1"/>
  <c r="AD879" i="1"/>
  <c r="A881" i="1" l="1"/>
  <c r="AD880" i="1"/>
  <c r="A882" i="1" l="1"/>
  <c r="AD881" i="1"/>
  <c r="A883" i="1" l="1"/>
  <c r="AD882" i="1"/>
  <c r="A884" i="1" l="1"/>
  <c r="AD883" i="1"/>
  <c r="A885" i="1" l="1"/>
  <c r="AD884" i="1"/>
  <c r="A886" i="1" l="1"/>
  <c r="AD885" i="1"/>
  <c r="A887" i="1" l="1"/>
  <c r="AD886" i="1"/>
  <c r="A888" i="1" l="1"/>
  <c r="AD887" i="1"/>
  <c r="A889" i="1" l="1"/>
  <c r="AD888" i="1"/>
  <c r="A890" i="1" l="1"/>
  <c r="AD889" i="1"/>
  <c r="A891" i="1" l="1"/>
  <c r="AD890" i="1"/>
  <c r="A892" i="1" l="1"/>
  <c r="AD891" i="1"/>
  <c r="A893" i="1" l="1"/>
  <c r="AD892" i="1"/>
  <c r="A894" i="1" l="1"/>
  <c r="AD893" i="1"/>
  <c r="A895" i="1" l="1"/>
  <c r="AD894" i="1"/>
  <c r="A896" i="1" l="1"/>
  <c r="AD895" i="1"/>
  <c r="A897" i="1" l="1"/>
  <c r="AD896" i="1"/>
  <c r="A898" i="1" l="1"/>
  <c r="AD897" i="1"/>
  <c r="A899" i="1" l="1"/>
  <c r="AD898" i="1"/>
  <c r="A900" i="1" l="1"/>
  <c r="AD899" i="1"/>
  <c r="A901" i="1" l="1"/>
  <c r="AD900" i="1"/>
  <c r="A902" i="1" l="1"/>
  <c r="AD901" i="1"/>
  <c r="A903" i="1" l="1"/>
  <c r="AD902" i="1"/>
  <c r="A904" i="1" l="1"/>
  <c r="AD903" i="1"/>
  <c r="A905" i="1" l="1"/>
  <c r="AD904" i="1"/>
  <c r="A906" i="1" l="1"/>
  <c r="AD905" i="1"/>
  <c r="A907" i="1" l="1"/>
  <c r="AD906" i="1"/>
  <c r="A908" i="1" l="1"/>
  <c r="AD907" i="1"/>
  <c r="A909" i="1" l="1"/>
  <c r="AD908" i="1"/>
  <c r="A910" i="1" l="1"/>
  <c r="AD909" i="1"/>
  <c r="A911" i="1" l="1"/>
  <c r="AD910" i="1"/>
  <c r="A912" i="1" l="1"/>
  <c r="AD911" i="1"/>
  <c r="A913" i="1" l="1"/>
  <c r="AD912" i="1"/>
  <c r="A914" i="1" l="1"/>
  <c r="AD913" i="1"/>
  <c r="A915" i="1" l="1"/>
  <c r="AD914" i="1"/>
  <c r="A916" i="1" l="1"/>
  <c r="AD915" i="1"/>
  <c r="A917" i="1" l="1"/>
  <c r="AD916" i="1"/>
  <c r="A918" i="1" l="1"/>
  <c r="AD917" i="1"/>
  <c r="A919" i="1" l="1"/>
  <c r="AD918" i="1"/>
  <c r="A920" i="1" l="1"/>
  <c r="AD919" i="1"/>
  <c r="A921" i="1" l="1"/>
  <c r="AD920" i="1"/>
  <c r="A922" i="1" l="1"/>
  <c r="AD921" i="1"/>
  <c r="A923" i="1" l="1"/>
  <c r="AD922" i="1"/>
  <c r="A924" i="1" l="1"/>
  <c r="AD923" i="1"/>
  <c r="A925" i="1" l="1"/>
  <c r="AD924" i="1"/>
  <c r="A926" i="1" l="1"/>
  <c r="AD925" i="1"/>
  <c r="A927" i="1" l="1"/>
  <c r="AD926" i="1"/>
  <c r="A928" i="1" l="1"/>
  <c r="AD927" i="1"/>
  <c r="A929" i="1" l="1"/>
  <c r="AD928" i="1"/>
  <c r="A930" i="1" l="1"/>
  <c r="AD929" i="1"/>
  <c r="A931" i="1" l="1"/>
  <c r="AD930" i="1"/>
  <c r="A932" i="1" l="1"/>
  <c r="AD931" i="1"/>
  <c r="A933" i="1" l="1"/>
  <c r="AD932" i="1"/>
  <c r="A934" i="1" l="1"/>
  <c r="AD933" i="1"/>
  <c r="A935" i="1" l="1"/>
  <c r="AD934" i="1"/>
  <c r="A936" i="1" l="1"/>
  <c r="AD935" i="1"/>
  <c r="A937" i="1" l="1"/>
  <c r="AD936" i="1"/>
  <c r="A938" i="1" l="1"/>
  <c r="AD937" i="1"/>
  <c r="A939" i="1" l="1"/>
  <c r="AD938" i="1"/>
  <c r="A940" i="1" l="1"/>
  <c r="AD939" i="1"/>
  <c r="A941" i="1" l="1"/>
  <c r="AD940" i="1"/>
  <c r="A942" i="1" l="1"/>
  <c r="AD941" i="1"/>
  <c r="A943" i="1" l="1"/>
  <c r="AD942" i="1"/>
  <c r="A944" i="1" l="1"/>
  <c r="AD943" i="1"/>
  <c r="A945" i="1" l="1"/>
  <c r="AD944" i="1"/>
  <c r="A946" i="1" l="1"/>
  <c r="AD945" i="1"/>
  <c r="A947" i="1" l="1"/>
  <c r="AD946" i="1"/>
  <c r="A948" i="1" l="1"/>
  <c r="AD947" i="1"/>
  <c r="A949" i="1" l="1"/>
  <c r="AD948" i="1"/>
  <c r="A950" i="1" l="1"/>
  <c r="AD949" i="1"/>
  <c r="A951" i="1" l="1"/>
  <c r="AD950" i="1"/>
  <c r="A952" i="1" l="1"/>
  <c r="AD951" i="1"/>
  <c r="A953" i="1" l="1"/>
  <c r="AD952" i="1"/>
  <c r="A954" i="1" l="1"/>
  <c r="AD953" i="1"/>
  <c r="A955" i="1" l="1"/>
  <c r="AD954" i="1"/>
  <c r="A956" i="1" l="1"/>
  <c r="AD955" i="1"/>
  <c r="A957" i="1" l="1"/>
  <c r="AD956" i="1"/>
  <c r="A958" i="1" l="1"/>
  <c r="AD957" i="1"/>
  <c r="A959" i="1" l="1"/>
  <c r="AD958" i="1"/>
  <c r="A960" i="1" l="1"/>
  <c r="AD959" i="1"/>
  <c r="A961" i="1" l="1"/>
  <c r="AD960" i="1"/>
  <c r="A962" i="1" l="1"/>
  <c r="AD961" i="1"/>
  <c r="A963" i="1" l="1"/>
  <c r="AD962" i="1"/>
  <c r="A964" i="1" l="1"/>
  <c r="AD963" i="1"/>
  <c r="A965" i="1" l="1"/>
  <c r="AD964" i="1"/>
  <c r="A966" i="1" l="1"/>
  <c r="AD965" i="1"/>
  <c r="A967" i="1" l="1"/>
  <c r="AD966" i="1"/>
  <c r="A968" i="1" l="1"/>
  <c r="AD967" i="1"/>
  <c r="A969" i="1" l="1"/>
  <c r="AD968" i="1"/>
  <c r="A970" i="1" l="1"/>
  <c r="AD969" i="1"/>
  <c r="A971" i="1" l="1"/>
  <c r="AD970" i="1"/>
  <c r="A972" i="1" l="1"/>
  <c r="AD971" i="1"/>
  <c r="A973" i="1" l="1"/>
  <c r="AD972" i="1"/>
  <c r="A974" i="1" l="1"/>
  <c r="AD973" i="1"/>
  <c r="A975" i="1" l="1"/>
  <c r="AD974" i="1"/>
  <c r="A976" i="1" l="1"/>
  <c r="AD975" i="1"/>
  <c r="A977" i="1" l="1"/>
  <c r="AD976" i="1"/>
  <c r="A978" i="1" l="1"/>
  <c r="AD977" i="1"/>
  <c r="A979" i="1" l="1"/>
  <c r="AD978" i="1"/>
  <c r="A980" i="1" l="1"/>
  <c r="AD979" i="1"/>
  <c r="A981" i="1" l="1"/>
  <c r="AD980" i="1"/>
  <c r="A982" i="1" l="1"/>
  <c r="AD981" i="1"/>
  <c r="A983" i="1" l="1"/>
  <c r="AD982" i="1"/>
  <c r="A984" i="1" l="1"/>
  <c r="AD983" i="1"/>
  <c r="A985" i="1" l="1"/>
  <c r="AD984" i="1"/>
  <c r="A986" i="1" l="1"/>
  <c r="AD985" i="1"/>
  <c r="A987" i="1" l="1"/>
  <c r="AD986" i="1"/>
  <c r="A988" i="1" l="1"/>
  <c r="AD987" i="1"/>
  <c r="A989" i="1" l="1"/>
  <c r="AD988" i="1"/>
  <c r="A990" i="1" l="1"/>
  <c r="AD989" i="1"/>
  <c r="A991" i="1" l="1"/>
  <c r="AD990" i="1"/>
  <c r="A992" i="1" l="1"/>
  <c r="AD991" i="1"/>
  <c r="A993" i="1" l="1"/>
  <c r="AD992" i="1"/>
  <c r="A994" i="1" l="1"/>
  <c r="AD993" i="1"/>
  <c r="A995" i="1" l="1"/>
  <c r="AD994" i="1"/>
  <c r="A996" i="1" l="1"/>
  <c r="AD995" i="1"/>
  <c r="A997" i="1" l="1"/>
  <c r="AD996" i="1"/>
  <c r="A998" i="1" l="1"/>
  <c r="AD997" i="1"/>
  <c r="A999" i="1" l="1"/>
  <c r="AD998" i="1"/>
  <c r="A1000" i="1" l="1"/>
  <c r="AD999" i="1"/>
  <c r="A1001" i="1" l="1"/>
  <c r="AD1000" i="1"/>
  <c r="A1002" i="1" l="1"/>
  <c r="AD1001" i="1"/>
  <c r="A1003" i="1" l="1"/>
  <c r="AD1002" i="1"/>
  <c r="A1004" i="1" l="1"/>
  <c r="AD1003" i="1"/>
  <c r="A1005" i="1" l="1"/>
  <c r="AD1004" i="1"/>
  <c r="A1006" i="1" l="1"/>
  <c r="AD1005" i="1"/>
  <c r="A1007" i="1" l="1"/>
  <c r="AD1006" i="1"/>
  <c r="A1008" i="1" l="1"/>
  <c r="AD1007" i="1"/>
  <c r="A1009" i="1" l="1"/>
  <c r="AD1008" i="1"/>
  <c r="A1010" i="1" l="1"/>
  <c r="AD1009" i="1"/>
  <c r="A1011" i="1" l="1"/>
  <c r="AD1010" i="1"/>
  <c r="A1012" i="1" l="1"/>
  <c r="AD1011" i="1"/>
  <c r="A1013" i="1" l="1"/>
  <c r="AD1012" i="1"/>
  <c r="A1014" i="1" l="1"/>
  <c r="AD1013" i="1"/>
  <c r="A1015" i="1" l="1"/>
  <c r="AD1014" i="1"/>
  <c r="A1016" i="1" l="1"/>
  <c r="AD1015" i="1"/>
  <c r="A1017" i="1" l="1"/>
  <c r="AD1016" i="1"/>
  <c r="A1018" i="1" l="1"/>
  <c r="AD1017" i="1"/>
  <c r="A1019" i="1" l="1"/>
  <c r="AD1018" i="1"/>
  <c r="A1020" i="1" l="1"/>
  <c r="AD1019" i="1"/>
  <c r="A1021" i="1" l="1"/>
  <c r="AD1020" i="1"/>
  <c r="A1022" i="1" l="1"/>
  <c r="AD1021" i="1"/>
  <c r="A1023" i="1" l="1"/>
  <c r="AD1022" i="1"/>
  <c r="A1024" i="1" l="1"/>
  <c r="AD1023" i="1"/>
  <c r="A1025" i="1" l="1"/>
  <c r="AD1024" i="1"/>
  <c r="A1026" i="1" l="1"/>
  <c r="AD1025" i="1"/>
  <c r="A1027" i="1" l="1"/>
  <c r="AD1026" i="1"/>
  <c r="A1028" i="1" l="1"/>
  <c r="AD1027" i="1"/>
  <c r="A1029" i="1" l="1"/>
  <c r="AD1028" i="1"/>
  <c r="A1030" i="1" l="1"/>
  <c r="AD1029" i="1"/>
  <c r="A1031" i="1" l="1"/>
  <c r="AD1030" i="1"/>
  <c r="A1032" i="1" l="1"/>
  <c r="AD1031" i="1"/>
  <c r="A1033" i="1" l="1"/>
  <c r="AD1032" i="1"/>
  <c r="A1034" i="1" l="1"/>
  <c r="AD1033" i="1"/>
  <c r="A1035" i="1" l="1"/>
  <c r="AD1034" i="1"/>
  <c r="A1036" i="1" l="1"/>
  <c r="AD1035" i="1"/>
  <c r="A1044" i="1" l="1"/>
  <c r="AD1036" i="1"/>
  <c r="AD1044" i="1" l="1"/>
  <c r="C1" i="1" l="1"/>
  <c r="D6" i="1" l="1"/>
  <c r="D7" i="1" s="1"/>
  <c r="D11" i="1" s="1"/>
  <c r="D13" i="1" s="1"/>
  <c r="D12" i="1" l="1"/>
  <c r="D8" i="1"/>
  <c r="C6" i="1"/>
  <c r="C7" i="1"/>
  <c r="C12" i="1" s="1"/>
  <c r="E18" i="1"/>
  <c r="BD15" i="1"/>
  <c r="E1" i="1"/>
  <c r="AI6" i="1" l="1"/>
  <c r="C9" i="1"/>
  <c r="C10" i="1" s="1"/>
  <c r="E15" i="1"/>
  <c r="C8" i="1"/>
  <c r="C11" i="1"/>
  <c r="C13" i="1" s="1"/>
  <c r="AJ8" i="1"/>
  <c r="B358" i="1" l="1"/>
  <c r="M358" i="1" s="1"/>
  <c r="B997" i="1"/>
  <c r="B885" i="1"/>
  <c r="B1035" i="1"/>
  <c r="B949" i="1"/>
  <c r="B769" i="1"/>
  <c r="B1018" i="1"/>
  <c r="B917" i="1"/>
  <c r="B684" i="1"/>
  <c r="G684" i="1" s="1"/>
  <c r="H684" i="1" s="1"/>
  <c r="J684" i="1" s="1"/>
  <c r="B976" i="1"/>
  <c r="C976" i="1" s="1"/>
  <c r="B833" i="1"/>
  <c r="B1027" i="1"/>
  <c r="B1008" i="1"/>
  <c r="B987" i="1"/>
  <c r="B965" i="1"/>
  <c r="B933" i="1"/>
  <c r="B901" i="1"/>
  <c r="B865" i="1"/>
  <c r="M865" i="1" s="1"/>
  <c r="B801" i="1"/>
  <c r="B737" i="1"/>
  <c r="B585" i="1"/>
  <c r="E585" i="1" s="1"/>
  <c r="AK585" i="1" s="1"/>
  <c r="B1024" i="1"/>
  <c r="B1003" i="1"/>
  <c r="B982" i="1"/>
  <c r="B957" i="1"/>
  <c r="B925" i="1"/>
  <c r="B894" i="1"/>
  <c r="B849" i="1"/>
  <c r="B785" i="1"/>
  <c r="B716" i="1"/>
  <c r="E716" i="1" s="1"/>
  <c r="AK716" i="1" s="1"/>
  <c r="B457" i="1"/>
  <c r="B1031" i="1"/>
  <c r="B1013" i="1"/>
  <c r="B993" i="1"/>
  <c r="G993" i="1" s="1"/>
  <c r="H993" i="1" s="1"/>
  <c r="J993" i="1" s="1"/>
  <c r="B971" i="1"/>
  <c r="B941" i="1"/>
  <c r="B909" i="1"/>
  <c r="B877" i="1"/>
  <c r="G877" i="1" s="1"/>
  <c r="H877" i="1" s="1"/>
  <c r="J877" i="1" s="1"/>
  <c r="B817" i="1"/>
  <c r="B753" i="1"/>
  <c r="B648" i="1"/>
  <c r="E648" i="1" s="1"/>
  <c r="AK648" i="1" s="1"/>
  <c r="B520" i="1"/>
  <c r="M520" i="1" s="1"/>
  <c r="B1036" i="1"/>
  <c r="B1032" i="1"/>
  <c r="B1029" i="1"/>
  <c r="B1023" i="1"/>
  <c r="B1020" i="1"/>
  <c r="B1014" i="1"/>
  <c r="B1009" i="1"/>
  <c r="B1004" i="1"/>
  <c r="G1004" i="1" s="1"/>
  <c r="H1004" i="1" s="1"/>
  <c r="J1004" i="1" s="1"/>
  <c r="B999" i="1"/>
  <c r="B992" i="1"/>
  <c r="B988" i="1"/>
  <c r="B983" i="1"/>
  <c r="M983" i="1" s="1"/>
  <c r="B977" i="1"/>
  <c r="B972" i="1"/>
  <c r="B967" i="1"/>
  <c r="B961" i="1"/>
  <c r="B952" i="1"/>
  <c r="B944" i="1"/>
  <c r="B936" i="1"/>
  <c r="B927" i="1"/>
  <c r="C927" i="1" s="1"/>
  <c r="B920" i="1"/>
  <c r="B912" i="1"/>
  <c r="B904" i="1"/>
  <c r="B895" i="1"/>
  <c r="B888" i="1"/>
  <c r="B880" i="1"/>
  <c r="B869" i="1"/>
  <c r="B853" i="1"/>
  <c r="M853" i="1" s="1"/>
  <c r="B837" i="1"/>
  <c r="B821" i="1"/>
  <c r="B804" i="1"/>
  <c r="B789" i="1"/>
  <c r="E789" i="1" s="1"/>
  <c r="AK789" i="1" s="1"/>
  <c r="B773" i="1"/>
  <c r="B757" i="1"/>
  <c r="B741" i="1"/>
  <c r="B724" i="1"/>
  <c r="B692" i="1"/>
  <c r="B660" i="1"/>
  <c r="B600" i="1"/>
  <c r="E600" i="1" s="1"/>
  <c r="AK600" i="1" s="1"/>
  <c r="B536" i="1"/>
  <c r="E536" i="1" s="1"/>
  <c r="AK536" i="1" s="1"/>
  <c r="B472" i="1"/>
  <c r="B42" i="1"/>
  <c r="B148" i="1"/>
  <c r="G148" i="1" s="1"/>
  <c r="H148" i="1" s="1"/>
  <c r="J148" i="1" s="1"/>
  <c r="B254" i="1"/>
  <c r="G254" i="1" s="1"/>
  <c r="H254" i="1" s="1"/>
  <c r="J254" i="1" s="1"/>
  <c r="B310" i="1"/>
  <c r="B343" i="1"/>
  <c r="B368" i="1"/>
  <c r="M368" i="1" s="1"/>
  <c r="B378" i="1"/>
  <c r="E378" i="1" s="1"/>
  <c r="AK378" i="1" s="1"/>
  <c r="B386" i="1"/>
  <c r="B393" i="1"/>
  <c r="B401" i="1"/>
  <c r="M401" i="1" s="1"/>
  <c r="B411" i="1"/>
  <c r="M411" i="1" s="1"/>
  <c r="B419" i="1"/>
  <c r="B424" i="1"/>
  <c r="B434" i="1"/>
  <c r="G434" i="1" s="1"/>
  <c r="H434" i="1" s="1"/>
  <c r="J434" i="1" s="1"/>
  <c r="B442" i="1"/>
  <c r="G442" i="1" s="1"/>
  <c r="H442" i="1" s="1"/>
  <c r="J442" i="1" s="1"/>
  <c r="B450" i="1"/>
  <c r="B454" i="1"/>
  <c r="B458" i="1"/>
  <c r="M458" i="1" s="1"/>
  <c r="B462" i="1"/>
  <c r="E462" i="1" s="1"/>
  <c r="AK462" i="1" s="1"/>
  <c r="B466" i="1"/>
  <c r="B470" i="1"/>
  <c r="B474" i="1"/>
  <c r="E474" i="1" s="1"/>
  <c r="AK474" i="1" s="1"/>
  <c r="B478" i="1"/>
  <c r="B482" i="1"/>
  <c r="B487" i="1"/>
  <c r="B490" i="1"/>
  <c r="E490" i="1" s="1"/>
  <c r="AK490" i="1" s="1"/>
  <c r="B494" i="1"/>
  <c r="E494" i="1" s="1"/>
  <c r="AK494" i="1" s="1"/>
  <c r="B498" i="1"/>
  <c r="B502" i="1"/>
  <c r="B506" i="1"/>
  <c r="M506" i="1" s="1"/>
  <c r="B509" i="1"/>
  <c r="B514" i="1"/>
  <c r="B518" i="1"/>
  <c r="B522" i="1"/>
  <c r="G522" i="1" s="1"/>
  <c r="H522" i="1" s="1"/>
  <c r="J522" i="1" s="1"/>
  <c r="B526" i="1"/>
  <c r="E526" i="1" s="1"/>
  <c r="AK526" i="1" s="1"/>
  <c r="B530" i="1"/>
  <c r="B534" i="1"/>
  <c r="B538" i="1"/>
  <c r="C538" i="1" s="1"/>
  <c r="B542" i="1"/>
  <c r="B546" i="1"/>
  <c r="B550" i="1"/>
  <c r="B554" i="1"/>
  <c r="E554" i="1" s="1"/>
  <c r="AK554" i="1" s="1"/>
  <c r="B557" i="1"/>
  <c r="M557" i="1" s="1"/>
  <c r="B562" i="1"/>
  <c r="B565" i="1"/>
  <c r="B570" i="1"/>
  <c r="E570" i="1" s="1"/>
  <c r="AK570" i="1" s="1"/>
  <c r="B574" i="1"/>
  <c r="B578" i="1"/>
  <c r="B582" i="1"/>
  <c r="B586" i="1"/>
  <c r="E586" i="1" s="1"/>
  <c r="AK586" i="1" s="1"/>
  <c r="B590" i="1"/>
  <c r="E590" i="1" s="1"/>
  <c r="AK590" i="1" s="1"/>
  <c r="B594" i="1"/>
  <c r="B598" i="1"/>
  <c r="B601" i="1"/>
  <c r="E601" i="1" s="1"/>
  <c r="AK601" i="1" s="1"/>
  <c r="B605" i="1"/>
  <c r="B610" i="1"/>
  <c r="B614" i="1"/>
  <c r="B619" i="1"/>
  <c r="C619" i="1" s="1"/>
  <c r="B622" i="1"/>
  <c r="M622" i="1" s="1"/>
  <c r="B625" i="1"/>
  <c r="B630" i="1"/>
  <c r="B634" i="1"/>
  <c r="G634" i="1" s="1"/>
  <c r="H634" i="1" s="1"/>
  <c r="J634" i="1" s="1"/>
  <c r="B637" i="1"/>
  <c r="M637" i="1" s="1"/>
  <c r="B642" i="1"/>
  <c r="B646" i="1"/>
  <c r="B650" i="1"/>
  <c r="M650" i="1" s="1"/>
  <c r="B654" i="1"/>
  <c r="B658" i="1"/>
  <c r="B663" i="1"/>
  <c r="B666" i="1"/>
  <c r="M666" i="1" s="1"/>
  <c r="B669" i="1"/>
  <c r="B675" i="1"/>
  <c r="B678" i="1"/>
  <c r="B683" i="1"/>
  <c r="E683" i="1" s="1"/>
  <c r="AK683" i="1" s="1"/>
  <c r="B686" i="1"/>
  <c r="G686" i="1" s="1"/>
  <c r="H686" i="1" s="1"/>
  <c r="J686" i="1" s="1"/>
  <c r="B689" i="1"/>
  <c r="B693" i="1"/>
  <c r="B698" i="1"/>
  <c r="E698" i="1" s="1"/>
  <c r="AK698" i="1" s="1"/>
  <c r="B702" i="1"/>
  <c r="M702" i="1" s="1"/>
  <c r="B706" i="1"/>
  <c r="B710" i="1"/>
  <c r="B714" i="1"/>
  <c r="C714" i="1" s="1"/>
  <c r="B719" i="1"/>
  <c r="B206" i="1"/>
  <c r="B262" i="1"/>
  <c r="B318" i="1"/>
  <c r="M318" i="1" s="1"/>
  <c r="B355" i="1"/>
  <c r="B372" i="1"/>
  <c r="B380" i="1"/>
  <c r="B388" i="1"/>
  <c r="M388" i="1" s="1"/>
  <c r="B396" i="1"/>
  <c r="E396" i="1" s="1"/>
  <c r="AK396" i="1" s="1"/>
  <c r="B404" i="1"/>
  <c r="B412" i="1"/>
  <c r="B420" i="1"/>
  <c r="C420" i="1" s="1"/>
  <c r="B428" i="1"/>
  <c r="E428" i="1" s="1"/>
  <c r="AK428" i="1" s="1"/>
  <c r="B436" i="1"/>
  <c r="B444" i="1"/>
  <c r="B451" i="1"/>
  <c r="B455" i="1"/>
  <c r="B459" i="1"/>
  <c r="B463" i="1"/>
  <c r="B467" i="1"/>
  <c r="C467" i="1" s="1"/>
  <c r="B471" i="1"/>
  <c r="M471" i="1" s="1"/>
  <c r="B475" i="1"/>
  <c r="B479" i="1"/>
  <c r="B483" i="1"/>
  <c r="B486" i="1"/>
  <c r="E486" i="1" s="1"/>
  <c r="AK486" i="1" s="1"/>
  <c r="B491" i="1"/>
  <c r="B495" i="1"/>
  <c r="B499" i="1"/>
  <c r="B503" i="1"/>
  <c r="C503" i="1" s="1"/>
  <c r="B507" i="1"/>
  <c r="B511" i="1"/>
  <c r="B515" i="1"/>
  <c r="B519" i="1"/>
  <c r="G519" i="1" s="1"/>
  <c r="H519" i="1" s="1"/>
  <c r="J519" i="1" s="1"/>
  <c r="B523" i="1"/>
  <c r="B527" i="1"/>
  <c r="B531" i="1"/>
  <c r="B535" i="1"/>
  <c r="B539" i="1"/>
  <c r="B543" i="1"/>
  <c r="B547" i="1"/>
  <c r="B551" i="1"/>
  <c r="G551" i="1" s="1"/>
  <c r="H551" i="1" s="1"/>
  <c r="J551" i="1" s="1"/>
  <c r="B555" i="1"/>
  <c r="B559" i="1"/>
  <c r="B563" i="1"/>
  <c r="C563" i="1" s="1"/>
  <c r="B567" i="1"/>
  <c r="B571" i="1"/>
  <c r="B575" i="1"/>
  <c r="B579" i="1"/>
  <c r="B583" i="1"/>
  <c r="B587" i="1"/>
  <c r="B591" i="1"/>
  <c r="B597" i="1"/>
  <c r="C597" i="1" s="1"/>
  <c r="B599" i="1"/>
  <c r="B603" i="1"/>
  <c r="B606" i="1"/>
  <c r="B611" i="1"/>
  <c r="B615" i="1"/>
  <c r="E615" i="1" s="1"/>
  <c r="AK615" i="1" s="1"/>
  <c r="B618" i="1"/>
  <c r="B623" i="1"/>
  <c r="B627" i="1"/>
  <c r="B631" i="1"/>
  <c r="M631" i="1" s="1"/>
  <c r="B635" i="1"/>
  <c r="B639" i="1"/>
  <c r="B643" i="1"/>
  <c r="C643" i="1" s="1"/>
  <c r="B647" i="1"/>
  <c r="G647" i="1" s="1"/>
  <c r="H647" i="1" s="1"/>
  <c r="J647" i="1" s="1"/>
  <c r="B651" i="1"/>
  <c r="B655" i="1"/>
  <c r="B116" i="1"/>
  <c r="B229" i="1"/>
  <c r="B295" i="1"/>
  <c r="B339" i="1"/>
  <c r="B363" i="1"/>
  <c r="M363" i="1" s="1"/>
  <c r="B376" i="1"/>
  <c r="M376" i="1" s="1"/>
  <c r="B384" i="1"/>
  <c r="B392" i="1"/>
  <c r="B400" i="1"/>
  <c r="C400" i="1" s="1"/>
  <c r="B408" i="1"/>
  <c r="E408" i="1" s="1"/>
  <c r="AK408" i="1" s="1"/>
  <c r="B416" i="1"/>
  <c r="B426" i="1"/>
  <c r="B432" i="1"/>
  <c r="M432" i="1" s="1"/>
  <c r="B440" i="1"/>
  <c r="M440" i="1" s="1"/>
  <c r="B448" i="1"/>
  <c r="B453" i="1"/>
  <c r="B456" i="1"/>
  <c r="C456" i="1" s="1"/>
  <c r="B461" i="1"/>
  <c r="G461" i="1" s="1"/>
  <c r="H461" i="1" s="1"/>
  <c r="J461" i="1" s="1"/>
  <c r="B465" i="1"/>
  <c r="B469" i="1"/>
  <c r="B473" i="1"/>
  <c r="M473" i="1" s="1"/>
  <c r="B477" i="1"/>
  <c r="G477" i="1" s="1"/>
  <c r="H477" i="1" s="1"/>
  <c r="J477" i="1" s="1"/>
  <c r="B481" i="1"/>
  <c r="B485" i="1"/>
  <c r="B489" i="1"/>
  <c r="B493" i="1"/>
  <c r="G493" i="1" s="1"/>
  <c r="H493" i="1" s="1"/>
  <c r="J493" i="1" s="1"/>
  <c r="B497" i="1"/>
  <c r="B501" i="1"/>
  <c r="B505" i="1"/>
  <c r="B510" i="1"/>
  <c r="B513" i="1"/>
  <c r="B517" i="1"/>
  <c r="B521" i="1"/>
  <c r="B525" i="1"/>
  <c r="G525" i="1" s="1"/>
  <c r="H525" i="1" s="1"/>
  <c r="J525" i="1" s="1"/>
  <c r="B529" i="1"/>
  <c r="B533" i="1"/>
  <c r="B537" i="1"/>
  <c r="B541" i="1"/>
  <c r="C541" i="1" s="1"/>
  <c r="B545" i="1"/>
  <c r="B549" i="1"/>
  <c r="B553" i="1"/>
  <c r="B558" i="1"/>
  <c r="B561" i="1"/>
  <c r="B566" i="1"/>
  <c r="B569" i="1"/>
  <c r="B572" i="1"/>
  <c r="M572" i="1" s="1"/>
  <c r="B577" i="1"/>
  <c r="B581" i="1"/>
  <c r="B584" i="1"/>
  <c r="B589" i="1"/>
  <c r="C589" i="1" s="1"/>
  <c r="B593" i="1"/>
  <c r="B595" i="1"/>
  <c r="B602" i="1"/>
  <c r="B607" i="1"/>
  <c r="M607" i="1" s="1"/>
  <c r="B609" i="1"/>
  <c r="B613" i="1"/>
  <c r="B617" i="1"/>
  <c r="B621" i="1"/>
  <c r="G621" i="1" s="1"/>
  <c r="H621" i="1" s="1"/>
  <c r="J621" i="1" s="1"/>
  <c r="B626" i="1"/>
  <c r="B629" i="1"/>
  <c r="B633" i="1"/>
  <c r="B638" i="1"/>
  <c r="B641" i="1"/>
  <c r="B645" i="1"/>
  <c r="B649" i="1"/>
  <c r="B653" i="1"/>
  <c r="G653" i="1" s="1"/>
  <c r="H653" i="1" s="1"/>
  <c r="J653" i="1" s="1"/>
  <c r="B657" i="1"/>
  <c r="B661" i="1"/>
  <c r="B665" i="1"/>
  <c r="B670" i="1"/>
  <c r="E670" i="1" s="1"/>
  <c r="AK670" i="1" s="1"/>
  <c r="B672" i="1"/>
  <c r="B676" i="1"/>
  <c r="B680" i="1"/>
  <c r="B685" i="1"/>
  <c r="B690" i="1"/>
  <c r="B694" i="1"/>
  <c r="B697" i="1"/>
  <c r="B701" i="1"/>
  <c r="M701" i="1" s="1"/>
  <c r="B705" i="1"/>
  <c r="B709" i="1"/>
  <c r="B713" i="1"/>
  <c r="B717" i="1"/>
  <c r="B721" i="1"/>
  <c r="B725" i="1"/>
  <c r="B729" i="1"/>
  <c r="B278" i="1"/>
  <c r="B382" i="1"/>
  <c r="B414" i="1"/>
  <c r="B446" i="1"/>
  <c r="M446" i="1" s="1"/>
  <c r="B464" i="1"/>
  <c r="E464" i="1" s="1"/>
  <c r="AK464" i="1" s="1"/>
  <c r="B480" i="1"/>
  <c r="B496" i="1"/>
  <c r="E496" i="1" s="1"/>
  <c r="AK496" i="1" s="1"/>
  <c r="B512" i="1"/>
  <c r="G512" i="1" s="1"/>
  <c r="H512" i="1" s="1"/>
  <c r="J512" i="1" s="1"/>
  <c r="B528" i="1"/>
  <c r="G528" i="1" s="1"/>
  <c r="H528" i="1" s="1"/>
  <c r="J528" i="1" s="1"/>
  <c r="B544" i="1"/>
  <c r="B560" i="1"/>
  <c r="B576" i="1"/>
  <c r="C576" i="1" s="1"/>
  <c r="B592" i="1"/>
  <c r="G592" i="1" s="1"/>
  <c r="H592" i="1" s="1"/>
  <c r="J592" i="1" s="1"/>
  <c r="B608" i="1"/>
  <c r="B624" i="1"/>
  <c r="B640" i="1"/>
  <c r="G640" i="1" s="1"/>
  <c r="H640" i="1" s="1"/>
  <c r="J640" i="1" s="1"/>
  <c r="B656" i="1"/>
  <c r="M656" i="1" s="1"/>
  <c r="B664" i="1"/>
  <c r="B673" i="1"/>
  <c r="B681" i="1"/>
  <c r="M681" i="1" s="1"/>
  <c r="B688" i="1"/>
  <c r="M688" i="1" s="1"/>
  <c r="B696" i="1"/>
  <c r="B704" i="1"/>
  <c r="M704" i="1" s="1"/>
  <c r="B712" i="1"/>
  <c r="C712" i="1" s="1"/>
  <c r="B720" i="1"/>
  <c r="G720" i="1" s="1"/>
  <c r="H720" i="1" s="1"/>
  <c r="J720" i="1" s="1"/>
  <c r="B726" i="1"/>
  <c r="B731" i="1"/>
  <c r="B734" i="1"/>
  <c r="C734" i="1" s="1"/>
  <c r="B739" i="1"/>
  <c r="E739" i="1" s="1"/>
  <c r="AK739" i="1" s="1"/>
  <c r="B743" i="1"/>
  <c r="B747" i="1"/>
  <c r="B751" i="1"/>
  <c r="B755" i="1"/>
  <c r="B759" i="1"/>
  <c r="B763" i="1"/>
  <c r="B768" i="1"/>
  <c r="B772" i="1"/>
  <c r="E772" i="1" s="1"/>
  <c r="AK772" i="1" s="1"/>
  <c r="B775" i="1"/>
  <c r="B780" i="1"/>
  <c r="B783" i="1"/>
  <c r="C783" i="1" s="1"/>
  <c r="B788" i="1"/>
  <c r="G788" i="1" s="1"/>
  <c r="H788" i="1" s="1"/>
  <c r="J788" i="1" s="1"/>
  <c r="B791" i="1"/>
  <c r="B795" i="1"/>
  <c r="B799" i="1"/>
  <c r="C799" i="1" s="1"/>
  <c r="B803" i="1"/>
  <c r="M803" i="1" s="1"/>
  <c r="B807" i="1"/>
  <c r="B811" i="1"/>
  <c r="B816" i="1"/>
  <c r="B819" i="1"/>
  <c r="G819" i="1" s="1"/>
  <c r="H819" i="1" s="1"/>
  <c r="J819" i="1" s="1"/>
  <c r="B822" i="1"/>
  <c r="B827" i="1"/>
  <c r="B831" i="1"/>
  <c r="B835" i="1"/>
  <c r="M835" i="1" s="1"/>
  <c r="B839" i="1"/>
  <c r="B843" i="1"/>
  <c r="B847" i="1"/>
  <c r="C847" i="1" s="1"/>
  <c r="B850" i="1"/>
  <c r="M850" i="1" s="1"/>
  <c r="B854" i="1"/>
  <c r="B859" i="1"/>
  <c r="B864" i="1"/>
  <c r="B868" i="1"/>
  <c r="M868" i="1" s="1"/>
  <c r="B870" i="1"/>
  <c r="B875" i="1"/>
  <c r="B879" i="1"/>
  <c r="B883" i="1"/>
  <c r="B887" i="1"/>
  <c r="B891" i="1"/>
  <c r="B896" i="1"/>
  <c r="B899" i="1"/>
  <c r="B903" i="1"/>
  <c r="B907" i="1"/>
  <c r="B911" i="1"/>
  <c r="C911" i="1" s="1"/>
  <c r="B915" i="1"/>
  <c r="G915" i="1" s="1"/>
  <c r="H915" i="1" s="1"/>
  <c r="J915" i="1" s="1"/>
  <c r="B919" i="1"/>
  <c r="B923" i="1"/>
  <c r="B928" i="1"/>
  <c r="B931" i="1"/>
  <c r="E931" i="1" s="1"/>
  <c r="AK931" i="1" s="1"/>
  <c r="B934" i="1"/>
  <c r="B939" i="1"/>
  <c r="B943" i="1"/>
  <c r="C943" i="1" s="1"/>
  <c r="B947" i="1"/>
  <c r="B951" i="1"/>
  <c r="B955" i="1"/>
  <c r="B959" i="1"/>
  <c r="C959" i="1" s="1"/>
  <c r="B963" i="1"/>
  <c r="B333" i="1"/>
  <c r="B389" i="1"/>
  <c r="B422" i="1"/>
  <c r="G422" i="1" s="1"/>
  <c r="H422" i="1" s="1"/>
  <c r="J422" i="1" s="1"/>
  <c r="B452" i="1"/>
  <c r="M452" i="1" s="1"/>
  <c r="B468" i="1"/>
  <c r="B484" i="1"/>
  <c r="G484" i="1" s="1"/>
  <c r="H484" i="1" s="1"/>
  <c r="J484" i="1" s="1"/>
  <c r="B500" i="1"/>
  <c r="M500" i="1" s="1"/>
  <c r="B516" i="1"/>
  <c r="C516" i="1" s="1"/>
  <c r="B532" i="1"/>
  <c r="B548" i="1"/>
  <c r="C548" i="1" s="1"/>
  <c r="B564" i="1"/>
  <c r="G564" i="1" s="1"/>
  <c r="H564" i="1" s="1"/>
  <c r="J564" i="1" s="1"/>
  <c r="B580" i="1"/>
  <c r="G580" i="1" s="1"/>
  <c r="H580" i="1" s="1"/>
  <c r="J580" i="1" s="1"/>
  <c r="B596" i="1"/>
  <c r="B612" i="1"/>
  <c r="G612" i="1" s="1"/>
  <c r="H612" i="1" s="1"/>
  <c r="J612" i="1" s="1"/>
  <c r="B628" i="1"/>
  <c r="M628" i="1" s="1"/>
  <c r="B644" i="1"/>
  <c r="G644" i="1" s="1"/>
  <c r="H644" i="1" s="1"/>
  <c r="J644" i="1" s="1"/>
  <c r="B659" i="1"/>
  <c r="B667" i="1"/>
  <c r="B674" i="1"/>
  <c r="C674" i="1" s="1"/>
  <c r="B682" i="1"/>
  <c r="C682" i="1" s="1"/>
  <c r="B691" i="1"/>
  <c r="B699" i="1"/>
  <c r="B708" i="1"/>
  <c r="B715" i="1"/>
  <c r="G715" i="1" s="1"/>
  <c r="H715" i="1" s="1"/>
  <c r="J715" i="1" s="1"/>
  <c r="B722" i="1"/>
  <c r="B727" i="1"/>
  <c r="B732" i="1"/>
  <c r="M732" i="1" s="1"/>
  <c r="B736" i="1"/>
  <c r="G736" i="1" s="1"/>
  <c r="H736" i="1" s="1"/>
  <c r="J736" i="1" s="1"/>
  <c r="B740" i="1"/>
  <c r="B744" i="1"/>
  <c r="B748" i="1"/>
  <c r="E748" i="1" s="1"/>
  <c r="AK748" i="1" s="1"/>
  <c r="B752" i="1"/>
  <c r="G752" i="1" s="1"/>
  <c r="H752" i="1" s="1"/>
  <c r="J752" i="1" s="1"/>
  <c r="B756" i="1"/>
  <c r="B760" i="1"/>
  <c r="B764" i="1"/>
  <c r="E764" i="1" s="1"/>
  <c r="AK764" i="1" s="1"/>
  <c r="B767" i="1"/>
  <c r="G767" i="1" s="1"/>
  <c r="H767" i="1" s="1"/>
  <c r="J767" i="1" s="1"/>
  <c r="B771" i="1"/>
  <c r="B776" i="1"/>
  <c r="B779" i="1"/>
  <c r="E779" i="1" s="1"/>
  <c r="AK779" i="1" s="1"/>
  <c r="B784" i="1"/>
  <c r="M784" i="1" s="1"/>
  <c r="B787" i="1"/>
  <c r="B792" i="1"/>
  <c r="B796" i="1"/>
  <c r="M796" i="1" s="1"/>
  <c r="B800" i="1"/>
  <c r="G800" i="1" s="1"/>
  <c r="H800" i="1" s="1"/>
  <c r="J800" i="1" s="1"/>
  <c r="B805" i="1"/>
  <c r="B808" i="1"/>
  <c r="B812" i="1"/>
  <c r="M812" i="1" s="1"/>
  <c r="B815" i="1"/>
  <c r="E815" i="1" s="1"/>
  <c r="AK815" i="1" s="1"/>
  <c r="B820" i="1"/>
  <c r="B824" i="1"/>
  <c r="B829" i="1"/>
  <c r="M829" i="1" s="1"/>
  <c r="B832" i="1"/>
  <c r="G832" i="1" s="1"/>
  <c r="H832" i="1" s="1"/>
  <c r="J832" i="1" s="1"/>
  <c r="B836" i="1"/>
  <c r="B840" i="1"/>
  <c r="B844" i="1"/>
  <c r="E844" i="1" s="1"/>
  <c r="AK844" i="1" s="1"/>
  <c r="B848" i="1"/>
  <c r="E848" i="1" s="1"/>
  <c r="AK848" i="1" s="1"/>
  <c r="B852" i="1"/>
  <c r="B856" i="1"/>
  <c r="B860" i="1"/>
  <c r="M860" i="1" s="1"/>
  <c r="B863" i="1"/>
  <c r="G863" i="1" s="1"/>
  <c r="H863" i="1" s="1"/>
  <c r="J863" i="1" s="1"/>
  <c r="B867" i="1"/>
  <c r="B872" i="1"/>
  <c r="B221" i="1"/>
  <c r="G221" i="1" s="1"/>
  <c r="H221" i="1" s="1"/>
  <c r="J221" i="1" s="1"/>
  <c r="B374" i="1"/>
  <c r="B406" i="1"/>
  <c r="B438" i="1"/>
  <c r="B460" i="1"/>
  <c r="E460" i="1" s="1"/>
  <c r="AK460" i="1" s="1"/>
  <c r="B476" i="1"/>
  <c r="G476" i="1" s="1"/>
  <c r="H476" i="1" s="1"/>
  <c r="J476" i="1" s="1"/>
  <c r="B492" i="1"/>
  <c r="B508" i="1"/>
  <c r="G508" i="1" s="1"/>
  <c r="H508" i="1" s="1"/>
  <c r="J508" i="1" s="1"/>
  <c r="B524" i="1"/>
  <c r="E524" i="1" s="1"/>
  <c r="AK524" i="1" s="1"/>
  <c r="B540" i="1"/>
  <c r="E540" i="1" s="1"/>
  <c r="AK540" i="1" s="1"/>
  <c r="B556" i="1"/>
  <c r="B573" i="1"/>
  <c r="B588" i="1"/>
  <c r="B604" i="1"/>
  <c r="E604" i="1" s="1"/>
  <c r="AK604" i="1" s="1"/>
  <c r="B620" i="1"/>
  <c r="B636" i="1"/>
  <c r="M636" i="1" s="1"/>
  <c r="B652" i="1"/>
  <c r="E652" i="1" s="1"/>
  <c r="AK652" i="1" s="1"/>
  <c r="B662" i="1"/>
  <c r="M662" i="1" s="1"/>
  <c r="B671" i="1"/>
  <c r="B679" i="1"/>
  <c r="B687" i="1"/>
  <c r="G687" i="1" s="1"/>
  <c r="H687" i="1" s="1"/>
  <c r="J687" i="1" s="1"/>
  <c r="B695" i="1"/>
  <c r="B703" i="1"/>
  <c r="B711" i="1"/>
  <c r="B718" i="1"/>
  <c r="C718" i="1" s="1"/>
  <c r="B723" i="1"/>
  <c r="G723" i="1" s="1"/>
  <c r="H723" i="1" s="1"/>
  <c r="J723" i="1" s="1"/>
  <c r="B730" i="1"/>
  <c r="B735" i="1"/>
  <c r="B738" i="1"/>
  <c r="M738" i="1" s="1"/>
  <c r="B742" i="1"/>
  <c r="B746" i="1"/>
  <c r="B750" i="1"/>
  <c r="B754" i="1"/>
  <c r="G754" i="1" s="1"/>
  <c r="H754" i="1" s="1"/>
  <c r="J754" i="1" s="1"/>
  <c r="B758" i="1"/>
  <c r="G758" i="1" s="1"/>
  <c r="H758" i="1" s="1"/>
  <c r="J758" i="1" s="1"/>
  <c r="B762" i="1"/>
  <c r="B766" i="1"/>
  <c r="B770" i="1"/>
  <c r="C770" i="1" s="1"/>
  <c r="B774" i="1"/>
  <c r="E774" i="1" s="1"/>
  <c r="AK774" i="1" s="1"/>
  <c r="B778" i="1"/>
  <c r="B782" i="1"/>
  <c r="B786" i="1"/>
  <c r="E786" i="1" s="1"/>
  <c r="AK786" i="1" s="1"/>
  <c r="B790" i="1"/>
  <c r="C790" i="1" s="1"/>
  <c r="B794" i="1"/>
  <c r="B798" i="1"/>
  <c r="B802" i="1"/>
  <c r="E802" i="1" s="1"/>
  <c r="AK802" i="1" s="1"/>
  <c r="B806" i="1"/>
  <c r="B810" i="1"/>
  <c r="B814" i="1"/>
  <c r="B818" i="1"/>
  <c r="E818" i="1" s="1"/>
  <c r="AK818" i="1" s="1"/>
  <c r="B823" i="1"/>
  <c r="E823" i="1" s="1"/>
  <c r="AK823" i="1" s="1"/>
  <c r="B826" i="1"/>
  <c r="B830" i="1"/>
  <c r="B834" i="1"/>
  <c r="M834" i="1" s="1"/>
  <c r="B838" i="1"/>
  <c r="B841" i="1"/>
  <c r="B846" i="1"/>
  <c r="B851" i="1"/>
  <c r="E851" i="1" s="1"/>
  <c r="AK851" i="1" s="1"/>
  <c r="B855" i="1"/>
  <c r="B858" i="1"/>
  <c r="B861" i="1"/>
  <c r="B866" i="1"/>
  <c r="M866" i="1" s="1"/>
  <c r="B871" i="1"/>
  <c r="B874" i="1"/>
  <c r="B878" i="1"/>
  <c r="B882" i="1"/>
  <c r="G882" i="1" s="1"/>
  <c r="H882" i="1" s="1"/>
  <c r="J882" i="1" s="1"/>
  <c r="B886" i="1"/>
  <c r="M886" i="1" s="1"/>
  <c r="B889" i="1"/>
  <c r="B893" i="1"/>
  <c r="B898" i="1"/>
  <c r="M898" i="1" s="1"/>
  <c r="B902" i="1"/>
  <c r="M902" i="1" s="1"/>
  <c r="B906" i="1"/>
  <c r="B910" i="1"/>
  <c r="C910" i="1" s="1"/>
  <c r="B914" i="1"/>
  <c r="G914" i="1" s="1"/>
  <c r="H914" i="1" s="1"/>
  <c r="J914" i="1" s="1"/>
  <c r="B918" i="1"/>
  <c r="C918" i="1" s="1"/>
  <c r="B922" i="1"/>
  <c r="B926" i="1"/>
  <c r="B930" i="1"/>
  <c r="M930" i="1" s="1"/>
  <c r="B935" i="1"/>
  <c r="C935" i="1" s="1"/>
  <c r="B938" i="1"/>
  <c r="B942" i="1"/>
  <c r="B946" i="1"/>
  <c r="G946" i="1" s="1"/>
  <c r="H946" i="1" s="1"/>
  <c r="J946" i="1" s="1"/>
  <c r="B950" i="1"/>
  <c r="G950" i="1" s="1"/>
  <c r="H950" i="1" s="1"/>
  <c r="J950" i="1" s="1"/>
  <c r="B954" i="1"/>
  <c r="B958" i="1"/>
  <c r="B962" i="1"/>
  <c r="G962" i="1" s="1"/>
  <c r="H962" i="1" s="1"/>
  <c r="J962" i="1" s="1"/>
  <c r="B966" i="1"/>
  <c r="E966" i="1" s="1"/>
  <c r="AK966" i="1" s="1"/>
  <c r="B970" i="1"/>
  <c r="B975" i="1"/>
  <c r="B978" i="1"/>
  <c r="C978" i="1" s="1"/>
  <c r="B981" i="1"/>
  <c r="B985" i="1"/>
  <c r="B990" i="1"/>
  <c r="B994" i="1"/>
  <c r="M994" i="1" s="1"/>
  <c r="B998" i="1"/>
  <c r="C998" i="1" s="1"/>
  <c r="B1002" i="1"/>
  <c r="B1006" i="1"/>
  <c r="B1010" i="1"/>
  <c r="E1010" i="1" s="1"/>
  <c r="AK1010" i="1" s="1"/>
  <c r="B1015" i="1"/>
  <c r="G1015" i="1" s="1"/>
  <c r="H1015" i="1" s="1"/>
  <c r="J1015" i="1" s="1"/>
  <c r="B1019" i="1"/>
  <c r="B1034" i="1"/>
  <c r="B1030" i="1"/>
  <c r="C1030" i="1" s="1"/>
  <c r="B1026" i="1"/>
  <c r="B1022" i="1"/>
  <c r="B1017" i="1"/>
  <c r="B1012" i="1"/>
  <c r="B1007" i="1"/>
  <c r="C1007" i="1" s="1"/>
  <c r="B1001" i="1"/>
  <c r="B996" i="1"/>
  <c r="B991" i="1"/>
  <c r="B986" i="1"/>
  <c r="B980" i="1"/>
  <c r="B974" i="1"/>
  <c r="B969" i="1"/>
  <c r="B964" i="1"/>
  <c r="B956" i="1"/>
  <c r="B948" i="1"/>
  <c r="B940" i="1"/>
  <c r="B932" i="1"/>
  <c r="B924" i="1"/>
  <c r="B916" i="1"/>
  <c r="B908" i="1"/>
  <c r="B900" i="1"/>
  <c r="B892" i="1"/>
  <c r="B884" i="1"/>
  <c r="B876" i="1"/>
  <c r="B862" i="1"/>
  <c r="G862" i="1" s="1"/>
  <c r="H862" i="1" s="1"/>
  <c r="J862" i="1" s="1"/>
  <c r="B845" i="1"/>
  <c r="B828" i="1"/>
  <c r="B813" i="1"/>
  <c r="B797" i="1"/>
  <c r="B781" i="1"/>
  <c r="B765" i="1"/>
  <c r="B749" i="1"/>
  <c r="B733" i="1"/>
  <c r="E733" i="1" s="1"/>
  <c r="AK733" i="1" s="1"/>
  <c r="B707" i="1"/>
  <c r="B677" i="1"/>
  <c r="B632" i="1"/>
  <c r="B568" i="1"/>
  <c r="G568" i="1" s="1"/>
  <c r="H568" i="1" s="1"/>
  <c r="J568" i="1" s="1"/>
  <c r="B504" i="1"/>
  <c r="B430" i="1"/>
  <c r="B1044" i="1"/>
  <c r="B1033" i="1"/>
  <c r="G1033" i="1" s="1"/>
  <c r="H1033" i="1" s="1"/>
  <c r="J1033" i="1" s="1"/>
  <c r="B1028" i="1"/>
  <c r="B1025" i="1"/>
  <c r="B1021" i="1"/>
  <c r="B1016" i="1"/>
  <c r="E1016" i="1" s="1"/>
  <c r="AK1016" i="1" s="1"/>
  <c r="B1011" i="1"/>
  <c r="B1005" i="1"/>
  <c r="B1000" i="1"/>
  <c r="B995" i="1"/>
  <c r="C995" i="1" s="1"/>
  <c r="B989" i="1"/>
  <c r="B984" i="1"/>
  <c r="B979" i="1"/>
  <c r="B973" i="1"/>
  <c r="B968" i="1"/>
  <c r="B960" i="1"/>
  <c r="B953" i="1"/>
  <c r="B945" i="1"/>
  <c r="E945" i="1" s="1"/>
  <c r="AK945" i="1" s="1"/>
  <c r="B937" i="1"/>
  <c r="B929" i="1"/>
  <c r="B921" i="1"/>
  <c r="B913" i="1"/>
  <c r="M913" i="1" s="1"/>
  <c r="B905" i="1"/>
  <c r="B897" i="1"/>
  <c r="B890" i="1"/>
  <c r="B881" i="1"/>
  <c r="C881" i="1" s="1"/>
  <c r="B873" i="1"/>
  <c r="B857" i="1"/>
  <c r="B842" i="1"/>
  <c r="B825" i="1"/>
  <c r="B809" i="1"/>
  <c r="B793" i="1"/>
  <c r="B777" i="1"/>
  <c r="B761" i="1"/>
  <c r="B745" i="1"/>
  <c r="B728" i="1"/>
  <c r="B700" i="1"/>
  <c r="E700" i="1" s="1"/>
  <c r="AK700" i="1" s="1"/>
  <c r="B668" i="1"/>
  <c r="G668" i="1" s="1"/>
  <c r="H668" i="1" s="1"/>
  <c r="J668" i="1" s="1"/>
  <c r="B616" i="1"/>
  <c r="B552" i="1"/>
  <c r="B488" i="1"/>
  <c r="G488" i="1" s="1"/>
  <c r="H488" i="1" s="1"/>
  <c r="J488" i="1" s="1"/>
  <c r="B398" i="1"/>
  <c r="M398" i="1" s="1"/>
  <c r="B366" i="1"/>
  <c r="B353" i="1"/>
  <c r="B323" i="1"/>
  <c r="B285" i="1"/>
  <c r="G285" i="1" s="1"/>
  <c r="H285" i="1" s="1"/>
  <c r="J285" i="1" s="1"/>
  <c r="B245" i="1"/>
  <c r="B174" i="1"/>
  <c r="B370" i="1"/>
  <c r="M370" i="1" s="1"/>
  <c r="B360" i="1"/>
  <c r="B350" i="1"/>
  <c r="B326" i="1"/>
  <c r="B302" i="1"/>
  <c r="E302" i="1" s="1"/>
  <c r="AK302" i="1" s="1"/>
  <c r="B270" i="1"/>
  <c r="G270" i="1" s="1"/>
  <c r="H270" i="1" s="1"/>
  <c r="J270" i="1" s="1"/>
  <c r="B239" i="1"/>
  <c r="B191" i="1"/>
  <c r="B81" i="1"/>
  <c r="B449" i="1"/>
  <c r="G449" i="1" s="1"/>
  <c r="H449" i="1" s="1"/>
  <c r="J449" i="1" s="1"/>
  <c r="B445" i="1"/>
  <c r="B441" i="1"/>
  <c r="B437" i="1"/>
  <c r="M437" i="1" s="1"/>
  <c r="B433" i="1"/>
  <c r="G433" i="1" s="1"/>
  <c r="H433" i="1" s="1"/>
  <c r="J433" i="1" s="1"/>
  <c r="B429" i="1"/>
  <c r="B425" i="1"/>
  <c r="B421" i="1"/>
  <c r="G421" i="1" s="1"/>
  <c r="H421" i="1" s="1"/>
  <c r="J421" i="1" s="1"/>
  <c r="B417" i="1"/>
  <c r="G417" i="1" s="1"/>
  <c r="H417" i="1" s="1"/>
  <c r="J417" i="1" s="1"/>
  <c r="B413" i="1"/>
  <c r="B409" i="1"/>
  <c r="B405" i="1"/>
  <c r="E405" i="1" s="1"/>
  <c r="AK405" i="1" s="1"/>
  <c r="B402" i="1"/>
  <c r="G402" i="1" s="1"/>
  <c r="H402" i="1" s="1"/>
  <c r="J402" i="1" s="1"/>
  <c r="B397" i="1"/>
  <c r="B394" i="1"/>
  <c r="B390" i="1"/>
  <c r="M390" i="1" s="1"/>
  <c r="B385" i="1"/>
  <c r="M385" i="1" s="1"/>
  <c r="B381" i="1"/>
  <c r="B377" i="1"/>
  <c r="C377" i="1" s="1"/>
  <c r="B373" i="1"/>
  <c r="E373" i="1" s="1"/>
  <c r="AK373" i="1" s="1"/>
  <c r="B369" i="1"/>
  <c r="G369" i="1" s="1"/>
  <c r="H369" i="1" s="1"/>
  <c r="J369" i="1" s="1"/>
  <c r="B365" i="1"/>
  <c r="B359" i="1"/>
  <c r="B354" i="1"/>
  <c r="G354" i="1" s="1"/>
  <c r="H354" i="1" s="1"/>
  <c r="J354" i="1" s="1"/>
  <c r="B347" i="1"/>
  <c r="G347" i="1" s="1"/>
  <c r="H347" i="1" s="1"/>
  <c r="J347" i="1" s="1"/>
  <c r="B336" i="1"/>
  <c r="B327" i="1"/>
  <c r="B311" i="1"/>
  <c r="B294" i="1"/>
  <c r="C294" i="1" s="1"/>
  <c r="B279" i="1"/>
  <c r="B263" i="1"/>
  <c r="B247" i="1"/>
  <c r="C247" i="1" s="1"/>
  <c r="B231" i="1"/>
  <c r="G231" i="1" s="1"/>
  <c r="H231" i="1" s="1"/>
  <c r="J231" i="1" s="1"/>
  <c r="B207" i="1"/>
  <c r="B175" i="1"/>
  <c r="B119" i="1"/>
  <c r="C119" i="1" s="1"/>
  <c r="B1042" i="1"/>
  <c r="M1042" i="1" s="1"/>
  <c r="B447" i="1"/>
  <c r="B443" i="1"/>
  <c r="B439" i="1"/>
  <c r="B435" i="1"/>
  <c r="G435" i="1" s="1"/>
  <c r="H435" i="1" s="1"/>
  <c r="J435" i="1" s="1"/>
  <c r="B431" i="1"/>
  <c r="B427" i="1"/>
  <c r="B423" i="1"/>
  <c r="B418" i="1"/>
  <c r="C418" i="1" s="1"/>
  <c r="B415" i="1"/>
  <c r="B410" i="1"/>
  <c r="B407" i="1"/>
  <c r="B403" i="1"/>
  <c r="G403" i="1" s="1"/>
  <c r="H403" i="1" s="1"/>
  <c r="J403" i="1" s="1"/>
  <c r="B399" i="1"/>
  <c r="B395" i="1"/>
  <c r="B391" i="1"/>
  <c r="B387" i="1"/>
  <c r="G387" i="1" s="1"/>
  <c r="H387" i="1" s="1"/>
  <c r="J387" i="1" s="1"/>
  <c r="B383" i="1"/>
  <c r="B379" i="1"/>
  <c r="B375" i="1"/>
  <c r="B371" i="1"/>
  <c r="G371" i="1" s="1"/>
  <c r="H371" i="1" s="1"/>
  <c r="J371" i="1" s="1"/>
  <c r="B367" i="1"/>
  <c r="B362" i="1"/>
  <c r="B357" i="1"/>
  <c r="E357" i="1" s="1"/>
  <c r="AK357" i="1" s="1"/>
  <c r="B352" i="1"/>
  <c r="M352" i="1" s="1"/>
  <c r="B342" i="1"/>
  <c r="B330" i="1"/>
  <c r="B319" i="1"/>
  <c r="C319" i="1" s="1"/>
  <c r="B303" i="1"/>
  <c r="B287" i="1"/>
  <c r="B271" i="1"/>
  <c r="B255" i="1"/>
  <c r="C255" i="1" s="1"/>
  <c r="B238" i="1"/>
  <c r="M238" i="1" s="1"/>
  <c r="B223" i="1"/>
  <c r="B190" i="1"/>
  <c r="B152" i="1"/>
  <c r="B87" i="1"/>
  <c r="M87" i="1" s="1"/>
  <c r="B364" i="1"/>
  <c r="B361" i="1"/>
  <c r="B356" i="1"/>
  <c r="M356" i="1" s="1"/>
  <c r="B351" i="1"/>
  <c r="E351" i="1" s="1"/>
  <c r="AK351" i="1" s="1"/>
  <c r="B346" i="1"/>
  <c r="B338" i="1"/>
  <c r="B331" i="1"/>
  <c r="G331" i="1" s="1"/>
  <c r="H331" i="1" s="1"/>
  <c r="J331" i="1" s="1"/>
  <c r="B322" i="1"/>
  <c r="G322" i="1" s="1"/>
  <c r="H322" i="1" s="1"/>
  <c r="J322" i="1" s="1"/>
  <c r="B314" i="1"/>
  <c r="B306" i="1"/>
  <c r="B298" i="1"/>
  <c r="G298" i="1" s="1"/>
  <c r="H298" i="1" s="1"/>
  <c r="J298" i="1" s="1"/>
  <c r="B290" i="1"/>
  <c r="G290" i="1" s="1"/>
  <c r="H290" i="1" s="1"/>
  <c r="J290" i="1" s="1"/>
  <c r="B282" i="1"/>
  <c r="B274" i="1"/>
  <c r="B266" i="1"/>
  <c r="M266" i="1" s="1"/>
  <c r="B258" i="1"/>
  <c r="G258" i="1" s="1"/>
  <c r="H258" i="1" s="1"/>
  <c r="J258" i="1" s="1"/>
  <c r="B250" i="1"/>
  <c r="B242" i="1"/>
  <c r="B234" i="1"/>
  <c r="M234" i="1" s="1"/>
  <c r="B227" i="1"/>
  <c r="G227" i="1" s="1"/>
  <c r="H227" i="1" s="1"/>
  <c r="J227" i="1" s="1"/>
  <c r="B215" i="1"/>
  <c r="B198" i="1"/>
  <c r="B182" i="1"/>
  <c r="M182" i="1" s="1"/>
  <c r="B164" i="1"/>
  <c r="G164" i="1" s="1"/>
  <c r="H164" i="1" s="1"/>
  <c r="J164" i="1" s="1"/>
  <c r="B132" i="1"/>
  <c r="B100" i="1"/>
  <c r="B26" i="1"/>
  <c r="G26" i="1" s="1"/>
  <c r="H26" i="1" s="1"/>
  <c r="J26" i="1" s="1"/>
  <c r="B315" i="1"/>
  <c r="M315" i="1" s="1"/>
  <c r="B307" i="1"/>
  <c r="B299" i="1"/>
  <c r="B291" i="1"/>
  <c r="B284" i="1"/>
  <c r="B275" i="1"/>
  <c r="B267" i="1"/>
  <c r="B259" i="1"/>
  <c r="B251" i="1"/>
  <c r="M251" i="1" s="1"/>
  <c r="B243" i="1"/>
  <c r="B235" i="1"/>
  <c r="B226" i="1"/>
  <c r="B214" i="1"/>
  <c r="B199" i="1"/>
  <c r="B183" i="1"/>
  <c r="B167" i="1"/>
  <c r="B135" i="1"/>
  <c r="M135" i="1" s="1"/>
  <c r="B103" i="1"/>
  <c r="B54" i="1"/>
  <c r="B349" i="1"/>
  <c r="E349" i="1" s="1"/>
  <c r="AK349" i="1" s="1"/>
  <c r="B344" i="1"/>
  <c r="B340" i="1"/>
  <c r="B335" i="1"/>
  <c r="B332" i="1"/>
  <c r="E332" i="1" s="1"/>
  <c r="AK332" i="1" s="1"/>
  <c r="B328" i="1"/>
  <c r="B324" i="1"/>
  <c r="B320" i="1"/>
  <c r="B316" i="1"/>
  <c r="G316" i="1" s="1"/>
  <c r="H316" i="1" s="1"/>
  <c r="J316" i="1" s="1"/>
  <c r="B312" i="1"/>
  <c r="B308" i="1"/>
  <c r="B304" i="1"/>
  <c r="B300" i="1"/>
  <c r="G300" i="1" s="1"/>
  <c r="H300" i="1" s="1"/>
  <c r="J300" i="1" s="1"/>
  <c r="B296" i="1"/>
  <c r="B292" i="1"/>
  <c r="B288" i="1"/>
  <c r="B283" i="1"/>
  <c r="G283" i="1" s="1"/>
  <c r="H283" i="1" s="1"/>
  <c r="J283" i="1" s="1"/>
  <c r="B280" i="1"/>
  <c r="B277" i="1"/>
  <c r="B272" i="1"/>
  <c r="M272" i="1" s="1"/>
  <c r="B268" i="1"/>
  <c r="M268" i="1" s="1"/>
  <c r="B264" i="1"/>
  <c r="B260" i="1"/>
  <c r="B256" i="1"/>
  <c r="M256" i="1" s="1"/>
  <c r="B252" i="1"/>
  <c r="M252" i="1" s="1"/>
  <c r="B248" i="1"/>
  <c r="B244" i="1"/>
  <c r="B240" i="1"/>
  <c r="G240" i="1" s="1"/>
  <c r="H240" i="1" s="1"/>
  <c r="J240" i="1" s="1"/>
  <c r="B236" i="1"/>
  <c r="G236" i="1" s="1"/>
  <c r="H236" i="1" s="1"/>
  <c r="J236" i="1" s="1"/>
  <c r="B232" i="1"/>
  <c r="B228" i="1"/>
  <c r="B224" i="1"/>
  <c r="B218" i="1"/>
  <c r="E218" i="1" s="1"/>
  <c r="AK218" i="1" s="1"/>
  <c r="B210" i="1"/>
  <c r="G210" i="1" s="1"/>
  <c r="H210" i="1" s="1"/>
  <c r="J210" i="1" s="1"/>
  <c r="B203" i="1"/>
  <c r="B194" i="1"/>
  <c r="B185" i="1"/>
  <c r="G185" i="1" s="1"/>
  <c r="H185" i="1" s="1"/>
  <c r="J185" i="1" s="1"/>
  <c r="B178" i="1"/>
  <c r="G178" i="1" s="1"/>
  <c r="H178" i="1" s="1"/>
  <c r="J178" i="1" s="1"/>
  <c r="B169" i="1"/>
  <c r="B156" i="1"/>
  <c r="B139" i="1"/>
  <c r="M139" i="1" s="1"/>
  <c r="B124" i="1"/>
  <c r="G124" i="1" s="1"/>
  <c r="H124" i="1" s="1"/>
  <c r="J124" i="1" s="1"/>
  <c r="B108" i="1"/>
  <c r="B91" i="1"/>
  <c r="B65" i="1"/>
  <c r="E65" i="1" s="1"/>
  <c r="AK65" i="1" s="1"/>
  <c r="B1043" i="1"/>
  <c r="M1043" i="1" s="1"/>
  <c r="B348" i="1"/>
  <c r="B345" i="1"/>
  <c r="B341" i="1"/>
  <c r="E341" i="1" s="1"/>
  <c r="AK341" i="1" s="1"/>
  <c r="B337" i="1"/>
  <c r="E337" i="1" s="1"/>
  <c r="AK337" i="1" s="1"/>
  <c r="B334" i="1"/>
  <c r="B329" i="1"/>
  <c r="B325" i="1"/>
  <c r="E325" i="1" s="1"/>
  <c r="AK325" i="1" s="1"/>
  <c r="B321" i="1"/>
  <c r="M321" i="1" s="1"/>
  <c r="B317" i="1"/>
  <c r="B313" i="1"/>
  <c r="B309" i="1"/>
  <c r="M309" i="1" s="1"/>
  <c r="B305" i="1"/>
  <c r="M305" i="1" s="1"/>
  <c r="B301" i="1"/>
  <c r="B297" i="1"/>
  <c r="B293" i="1"/>
  <c r="C293" i="1" s="1"/>
  <c r="B289" i="1"/>
  <c r="E289" i="1" s="1"/>
  <c r="AK289" i="1" s="1"/>
  <c r="B286" i="1"/>
  <c r="B281" i="1"/>
  <c r="B276" i="1"/>
  <c r="M276" i="1" s="1"/>
  <c r="B273" i="1"/>
  <c r="M273" i="1" s="1"/>
  <c r="B269" i="1"/>
  <c r="B265" i="1"/>
  <c r="B261" i="1"/>
  <c r="E261" i="1" s="1"/>
  <c r="AK261" i="1" s="1"/>
  <c r="B257" i="1"/>
  <c r="M257" i="1" s="1"/>
  <c r="B253" i="1"/>
  <c r="B249" i="1"/>
  <c r="B246" i="1"/>
  <c r="C246" i="1" s="1"/>
  <c r="B241" i="1"/>
  <c r="M241" i="1" s="1"/>
  <c r="B237" i="1"/>
  <c r="B233" i="1"/>
  <c r="B230" i="1"/>
  <c r="M230" i="1" s="1"/>
  <c r="B225" i="1"/>
  <c r="M225" i="1" s="1"/>
  <c r="B219" i="1"/>
  <c r="B211" i="1"/>
  <c r="B202" i="1"/>
  <c r="B195" i="1"/>
  <c r="G195" i="1" s="1"/>
  <c r="H195" i="1" s="1"/>
  <c r="J195" i="1" s="1"/>
  <c r="B187" i="1"/>
  <c r="B179" i="1"/>
  <c r="B171" i="1"/>
  <c r="C171" i="1" s="1"/>
  <c r="B159" i="1"/>
  <c r="M159" i="1" s="1"/>
  <c r="B143" i="1"/>
  <c r="B127" i="1"/>
  <c r="B112" i="1"/>
  <c r="B94" i="1"/>
  <c r="M94" i="1" s="1"/>
  <c r="B69" i="1"/>
  <c r="B45" i="1"/>
  <c r="B220" i="1"/>
  <c r="B216" i="1"/>
  <c r="B212" i="1"/>
  <c r="B208" i="1"/>
  <c r="B204" i="1"/>
  <c r="B200" i="1"/>
  <c r="B196" i="1"/>
  <c r="B192" i="1"/>
  <c r="G192" i="1" s="1"/>
  <c r="H192" i="1" s="1"/>
  <c r="J192" i="1" s="1"/>
  <c r="B188" i="1"/>
  <c r="B184" i="1"/>
  <c r="B180" i="1"/>
  <c r="B176" i="1"/>
  <c r="E176" i="1" s="1"/>
  <c r="AK176" i="1" s="1"/>
  <c r="B172" i="1"/>
  <c r="E172" i="1" s="1"/>
  <c r="AK172" i="1" s="1"/>
  <c r="B168" i="1"/>
  <c r="B160" i="1"/>
  <c r="B151" i="1"/>
  <c r="G151" i="1" s="1"/>
  <c r="H151" i="1" s="1"/>
  <c r="J151" i="1" s="1"/>
  <c r="B144" i="1"/>
  <c r="B137" i="1"/>
  <c r="B128" i="1"/>
  <c r="B120" i="1"/>
  <c r="E120" i="1" s="1"/>
  <c r="AK120" i="1" s="1"/>
  <c r="B111" i="1"/>
  <c r="B104" i="1"/>
  <c r="B96" i="1"/>
  <c r="B88" i="1"/>
  <c r="B73" i="1"/>
  <c r="B57" i="1"/>
  <c r="B30" i="1"/>
  <c r="B34" i="1"/>
  <c r="B222" i="1"/>
  <c r="B217" i="1"/>
  <c r="B213" i="1"/>
  <c r="B209" i="1"/>
  <c r="G209" i="1" s="1"/>
  <c r="H209" i="1" s="1"/>
  <c r="J209" i="1" s="1"/>
  <c r="B205" i="1"/>
  <c r="G205" i="1" s="1"/>
  <c r="H205" i="1" s="1"/>
  <c r="J205" i="1" s="1"/>
  <c r="B201" i="1"/>
  <c r="B197" i="1"/>
  <c r="B193" i="1"/>
  <c r="G193" i="1" s="1"/>
  <c r="H193" i="1" s="1"/>
  <c r="J193" i="1" s="1"/>
  <c r="B189" i="1"/>
  <c r="B186" i="1"/>
  <c r="B181" i="1"/>
  <c r="B177" i="1"/>
  <c r="M177" i="1" s="1"/>
  <c r="B173" i="1"/>
  <c r="B170" i="1"/>
  <c r="B162" i="1"/>
  <c r="B155" i="1"/>
  <c r="B147" i="1"/>
  <c r="B140" i="1"/>
  <c r="B131" i="1"/>
  <c r="B123" i="1"/>
  <c r="B115" i="1"/>
  <c r="B106" i="1"/>
  <c r="B99" i="1"/>
  <c r="B92" i="1"/>
  <c r="B78" i="1"/>
  <c r="B62" i="1"/>
  <c r="B27" i="1"/>
  <c r="B39" i="1"/>
  <c r="B165" i="1"/>
  <c r="B161" i="1"/>
  <c r="B158" i="1"/>
  <c r="B153" i="1"/>
  <c r="M153" i="1" s="1"/>
  <c r="B149" i="1"/>
  <c r="B145" i="1"/>
  <c r="B142" i="1"/>
  <c r="B136" i="1"/>
  <c r="G136" i="1" s="1"/>
  <c r="H136" i="1" s="1"/>
  <c r="J136" i="1" s="1"/>
  <c r="B133" i="1"/>
  <c r="B130" i="1"/>
  <c r="B125" i="1"/>
  <c r="B121" i="1"/>
  <c r="G121" i="1" s="1"/>
  <c r="H121" i="1" s="1"/>
  <c r="J121" i="1" s="1"/>
  <c r="B118" i="1"/>
  <c r="B113" i="1"/>
  <c r="B110" i="1"/>
  <c r="B105" i="1"/>
  <c r="G105" i="1" s="1"/>
  <c r="H105" i="1" s="1"/>
  <c r="J105" i="1" s="1"/>
  <c r="B101" i="1"/>
  <c r="B97" i="1"/>
  <c r="B93" i="1"/>
  <c r="B89" i="1"/>
  <c r="C89" i="1" s="1"/>
  <c r="B83" i="1"/>
  <c r="B74" i="1"/>
  <c r="B66" i="1"/>
  <c r="B58" i="1"/>
  <c r="B51" i="1"/>
  <c r="B47" i="1"/>
  <c r="B37" i="1"/>
  <c r="B36" i="1"/>
  <c r="E36" i="1" s="1"/>
  <c r="AK36" i="1" s="1"/>
  <c r="B166" i="1"/>
  <c r="B163" i="1"/>
  <c r="B157" i="1"/>
  <c r="B154" i="1"/>
  <c r="C154" i="1" s="1"/>
  <c r="B150" i="1"/>
  <c r="B146" i="1"/>
  <c r="B141" i="1"/>
  <c r="B138" i="1"/>
  <c r="B134" i="1"/>
  <c r="B129" i="1"/>
  <c r="B126" i="1"/>
  <c r="B122" i="1"/>
  <c r="B117" i="1"/>
  <c r="B114" i="1"/>
  <c r="B109" i="1"/>
  <c r="B107" i="1"/>
  <c r="C107" i="1" s="1"/>
  <c r="B102" i="1"/>
  <c r="C102" i="1" s="1"/>
  <c r="B98" i="1"/>
  <c r="B95" i="1"/>
  <c r="B90" i="1"/>
  <c r="C90" i="1" s="1"/>
  <c r="B85" i="1"/>
  <c r="B77" i="1"/>
  <c r="B70" i="1"/>
  <c r="B61" i="1"/>
  <c r="B53" i="1"/>
  <c r="B48" i="1"/>
  <c r="B32" i="1"/>
  <c r="B1039" i="1"/>
  <c r="E1039" i="1" s="1"/>
  <c r="AK1039" i="1" s="1"/>
  <c r="B1040" i="1"/>
  <c r="B84" i="1"/>
  <c r="B80" i="1"/>
  <c r="B75" i="1"/>
  <c r="G75" i="1" s="1"/>
  <c r="H75" i="1" s="1"/>
  <c r="J75" i="1" s="1"/>
  <c r="B72" i="1"/>
  <c r="B68" i="1"/>
  <c r="B64" i="1"/>
  <c r="B60" i="1"/>
  <c r="G60" i="1" s="1"/>
  <c r="H60" i="1" s="1"/>
  <c r="J60" i="1" s="1"/>
  <c r="B56" i="1"/>
  <c r="B52" i="1"/>
  <c r="B50" i="1"/>
  <c r="B28" i="1"/>
  <c r="E28" i="1" s="1"/>
  <c r="AK28" i="1" s="1"/>
  <c r="B46" i="1"/>
  <c r="B44" i="1"/>
  <c r="B40" i="1"/>
  <c r="B35" i="1"/>
  <c r="G35" i="1" s="1"/>
  <c r="H35" i="1" s="1"/>
  <c r="J35" i="1" s="1"/>
  <c r="B1041" i="1"/>
  <c r="B38" i="1"/>
  <c r="B24" i="1"/>
  <c r="E24" i="1" s="1"/>
  <c r="B86" i="1"/>
  <c r="B82" i="1"/>
  <c r="B79" i="1"/>
  <c r="B76" i="1"/>
  <c r="B71" i="1"/>
  <c r="B67" i="1"/>
  <c r="B63" i="1"/>
  <c r="B59" i="1"/>
  <c r="B55" i="1"/>
  <c r="B25" i="1"/>
  <c r="B49" i="1"/>
  <c r="B29" i="1"/>
  <c r="B31" i="1"/>
  <c r="C31" i="1" s="1"/>
  <c r="B43" i="1"/>
  <c r="B1037" i="1"/>
  <c r="B33" i="1"/>
  <c r="B41" i="1"/>
  <c r="B1038" i="1"/>
  <c r="M997" i="1"/>
  <c r="C654" i="1"/>
  <c r="G489" i="1"/>
  <c r="H489" i="1" s="1"/>
  <c r="J489" i="1" s="1"/>
  <c r="G628" i="1"/>
  <c r="H628" i="1" s="1"/>
  <c r="J628" i="1" s="1"/>
  <c r="I102" i="1" l="1"/>
  <c r="I119" i="1"/>
  <c r="I718" i="1"/>
  <c r="I674" i="1"/>
  <c r="I959" i="1"/>
  <c r="I911" i="1"/>
  <c r="I783" i="1"/>
  <c r="I734" i="1"/>
  <c r="I712" i="1"/>
  <c r="I456" i="1"/>
  <c r="I597" i="1"/>
  <c r="I467" i="1"/>
  <c r="I420" i="1"/>
  <c r="I714" i="1"/>
  <c r="I619" i="1"/>
  <c r="I654" i="1"/>
  <c r="I31" i="1"/>
  <c r="I90" i="1"/>
  <c r="I154" i="1"/>
  <c r="C628" i="1"/>
  <c r="BA628" i="1" s="1"/>
  <c r="M683" i="1"/>
  <c r="I418" i="1"/>
  <c r="I294" i="1"/>
  <c r="I881" i="1"/>
  <c r="I995" i="1"/>
  <c r="I1007" i="1"/>
  <c r="I998" i="1"/>
  <c r="I935" i="1"/>
  <c r="I918" i="1"/>
  <c r="I790" i="1"/>
  <c r="I682" i="1"/>
  <c r="I516" i="1"/>
  <c r="I589" i="1"/>
  <c r="I541" i="1"/>
  <c r="I503" i="1"/>
  <c r="I927" i="1"/>
  <c r="I976" i="1"/>
  <c r="I171" i="1"/>
  <c r="I255" i="1"/>
  <c r="I247" i="1"/>
  <c r="I1030" i="1"/>
  <c r="I978" i="1"/>
  <c r="I770" i="1"/>
  <c r="I400" i="1"/>
  <c r="I538" i="1"/>
  <c r="I246" i="1"/>
  <c r="I293" i="1"/>
  <c r="I319" i="1"/>
  <c r="I943" i="1"/>
  <c r="I847" i="1"/>
  <c r="I799" i="1"/>
  <c r="I576" i="1"/>
  <c r="I643" i="1"/>
  <c r="I563" i="1"/>
  <c r="I107" i="1"/>
  <c r="I89" i="1"/>
  <c r="I377" i="1"/>
  <c r="I910" i="1"/>
  <c r="I548" i="1"/>
  <c r="G748" i="1"/>
  <c r="H748" i="1" s="1"/>
  <c r="J748" i="1" s="1"/>
  <c r="E770" i="1"/>
  <c r="AK770" i="1" s="1"/>
  <c r="X995" i="1"/>
  <c r="Z995" i="1" s="1"/>
  <c r="F995" i="1"/>
  <c r="X1007" i="1"/>
  <c r="Z1007" i="1" s="1"/>
  <c r="F1007" i="1"/>
  <c r="X654" i="1"/>
  <c r="Z654" i="1" s="1"/>
  <c r="F654" i="1"/>
  <c r="X246" i="1"/>
  <c r="Z246" i="1" s="1"/>
  <c r="F246" i="1"/>
  <c r="X293" i="1"/>
  <c r="Z293" i="1" s="1"/>
  <c r="F293" i="1"/>
  <c r="X31" i="1"/>
  <c r="Z31" i="1" s="1"/>
  <c r="F31" i="1"/>
  <c r="X418" i="1"/>
  <c r="Z418" i="1" s="1"/>
  <c r="F418" i="1"/>
  <c r="X998" i="1"/>
  <c r="Z998" i="1" s="1"/>
  <c r="F998" i="1"/>
  <c r="X918" i="1"/>
  <c r="Z918" i="1" s="1"/>
  <c r="F918" i="1"/>
  <c r="X790" i="1"/>
  <c r="Z790" i="1" s="1"/>
  <c r="F790" i="1"/>
  <c r="X682" i="1"/>
  <c r="Z682" i="1" s="1"/>
  <c r="F682" i="1"/>
  <c r="X516" i="1"/>
  <c r="Z516" i="1" s="1"/>
  <c r="F516" i="1"/>
  <c r="X589" i="1"/>
  <c r="Z589" i="1" s="1"/>
  <c r="F589" i="1"/>
  <c r="X541" i="1"/>
  <c r="Z541" i="1" s="1"/>
  <c r="F541" i="1"/>
  <c r="X503" i="1"/>
  <c r="Z503" i="1" s="1"/>
  <c r="F503" i="1"/>
  <c r="X927" i="1"/>
  <c r="Z927" i="1" s="1"/>
  <c r="F927" i="1"/>
  <c r="X976" i="1"/>
  <c r="Z976" i="1" s="1"/>
  <c r="F976" i="1"/>
  <c r="X294" i="1"/>
  <c r="Z294" i="1" s="1"/>
  <c r="F294" i="1"/>
  <c r="X881" i="1"/>
  <c r="Z881" i="1" s="1"/>
  <c r="F881" i="1"/>
  <c r="X255" i="1"/>
  <c r="Z255" i="1" s="1"/>
  <c r="F255" i="1"/>
  <c r="X119" i="1"/>
  <c r="Z119" i="1" s="1"/>
  <c r="F119" i="1"/>
  <c r="X247" i="1"/>
  <c r="Z247" i="1" s="1"/>
  <c r="F247" i="1"/>
  <c r="X1030" i="1"/>
  <c r="Z1030" i="1" s="1"/>
  <c r="F1030" i="1"/>
  <c r="X978" i="1"/>
  <c r="Z978" i="1" s="1"/>
  <c r="F978" i="1"/>
  <c r="X770" i="1"/>
  <c r="Z770" i="1" s="1"/>
  <c r="F770" i="1"/>
  <c r="X718" i="1"/>
  <c r="Z718" i="1" s="1"/>
  <c r="F718" i="1"/>
  <c r="X674" i="1"/>
  <c r="Z674" i="1" s="1"/>
  <c r="F674" i="1"/>
  <c r="X959" i="1"/>
  <c r="Z959" i="1" s="1"/>
  <c r="F959" i="1"/>
  <c r="X943" i="1"/>
  <c r="Z943" i="1" s="1"/>
  <c r="F943" i="1"/>
  <c r="X911" i="1"/>
  <c r="Z911" i="1" s="1"/>
  <c r="F911" i="1"/>
  <c r="X847" i="1"/>
  <c r="Z847" i="1" s="1"/>
  <c r="F847" i="1"/>
  <c r="X799" i="1"/>
  <c r="Z799" i="1" s="1"/>
  <c r="F799" i="1"/>
  <c r="X783" i="1"/>
  <c r="Z783" i="1" s="1"/>
  <c r="F783" i="1"/>
  <c r="X734" i="1"/>
  <c r="Z734" i="1" s="1"/>
  <c r="F734" i="1"/>
  <c r="X712" i="1"/>
  <c r="Z712" i="1" s="1"/>
  <c r="F712" i="1"/>
  <c r="X576" i="1"/>
  <c r="Z576" i="1" s="1"/>
  <c r="F576" i="1"/>
  <c r="X456" i="1"/>
  <c r="Z456" i="1" s="1"/>
  <c r="F456" i="1"/>
  <c r="X400" i="1"/>
  <c r="Z400" i="1" s="1"/>
  <c r="F400" i="1"/>
  <c r="X643" i="1"/>
  <c r="Z643" i="1" s="1"/>
  <c r="F643" i="1"/>
  <c r="X597" i="1"/>
  <c r="Z597" i="1" s="1"/>
  <c r="F597" i="1"/>
  <c r="X563" i="1"/>
  <c r="Z563" i="1" s="1"/>
  <c r="F563" i="1"/>
  <c r="X467" i="1"/>
  <c r="Z467" i="1" s="1"/>
  <c r="F467" i="1"/>
  <c r="X420" i="1"/>
  <c r="Z420" i="1" s="1"/>
  <c r="F420" i="1"/>
  <c r="X714" i="1"/>
  <c r="Z714" i="1" s="1"/>
  <c r="F714" i="1"/>
  <c r="X619" i="1"/>
  <c r="Z619" i="1" s="1"/>
  <c r="F619" i="1"/>
  <c r="X538" i="1"/>
  <c r="Z538" i="1" s="1"/>
  <c r="F538" i="1"/>
  <c r="X935" i="1"/>
  <c r="Z935" i="1" s="1"/>
  <c r="F935" i="1"/>
  <c r="X628" i="1"/>
  <c r="Z628" i="1" s="1"/>
  <c r="X102" i="1"/>
  <c r="Z102" i="1" s="1"/>
  <c r="F102" i="1"/>
  <c r="X171" i="1"/>
  <c r="Z171" i="1" s="1"/>
  <c r="F171" i="1"/>
  <c r="X319" i="1"/>
  <c r="Z319" i="1" s="1"/>
  <c r="F319" i="1"/>
  <c r="X90" i="1"/>
  <c r="Z90" i="1" s="1"/>
  <c r="F90" i="1"/>
  <c r="X107" i="1"/>
  <c r="Z107" i="1" s="1"/>
  <c r="F107" i="1"/>
  <c r="X154" i="1"/>
  <c r="Z154" i="1" s="1"/>
  <c r="F154" i="1"/>
  <c r="X89" i="1"/>
  <c r="Z89" i="1" s="1"/>
  <c r="F89" i="1"/>
  <c r="X377" i="1"/>
  <c r="Z377" i="1" s="1"/>
  <c r="F377" i="1"/>
  <c r="X910" i="1"/>
  <c r="Z910" i="1" s="1"/>
  <c r="F910" i="1"/>
  <c r="X548" i="1"/>
  <c r="Z548" i="1" s="1"/>
  <c r="F548" i="1"/>
  <c r="D377" i="1"/>
  <c r="BA377" i="1"/>
  <c r="AV377" i="1"/>
  <c r="AW377" i="1" s="1"/>
  <c r="D910" i="1"/>
  <c r="AV910" i="1"/>
  <c r="AW910" i="1" s="1"/>
  <c r="BA910" i="1"/>
  <c r="D548" i="1"/>
  <c r="BA548" i="1"/>
  <c r="AV548" i="1"/>
  <c r="AW548" i="1" s="1"/>
  <c r="D31" i="1"/>
  <c r="AV31" i="1"/>
  <c r="AW31" i="1" s="1"/>
  <c r="BA31" i="1"/>
  <c r="D107" i="1"/>
  <c r="BA107" i="1"/>
  <c r="AV107" i="1"/>
  <c r="AW107" i="1" s="1"/>
  <c r="D418" i="1"/>
  <c r="BA418" i="1"/>
  <c r="AV418" i="1"/>
  <c r="AW418" i="1" s="1"/>
  <c r="D294" i="1"/>
  <c r="AV294" i="1"/>
  <c r="AW294" i="1" s="1"/>
  <c r="BA294" i="1"/>
  <c r="D881" i="1"/>
  <c r="AV881" i="1"/>
  <c r="AW881" i="1" s="1"/>
  <c r="BA881" i="1"/>
  <c r="D995" i="1"/>
  <c r="AV995" i="1"/>
  <c r="AW995" i="1" s="1"/>
  <c r="BA995" i="1"/>
  <c r="D1007" i="1"/>
  <c r="BA1007" i="1"/>
  <c r="AV1007" i="1"/>
  <c r="AW1007" i="1" s="1"/>
  <c r="D998" i="1"/>
  <c r="BA998" i="1"/>
  <c r="AV998" i="1"/>
  <c r="AW998" i="1" s="1"/>
  <c r="D935" i="1"/>
  <c r="BA935" i="1"/>
  <c r="AV935" i="1"/>
  <c r="AW935" i="1" s="1"/>
  <c r="D918" i="1"/>
  <c r="BA918" i="1"/>
  <c r="AV918" i="1"/>
  <c r="AW918" i="1" s="1"/>
  <c r="D790" i="1"/>
  <c r="BA790" i="1"/>
  <c r="AV790" i="1"/>
  <c r="AW790" i="1" s="1"/>
  <c r="D682" i="1"/>
  <c r="AV682" i="1"/>
  <c r="AW682" i="1" s="1"/>
  <c r="BA682" i="1"/>
  <c r="D516" i="1"/>
  <c r="AV516" i="1"/>
  <c r="AW516" i="1" s="1"/>
  <c r="BA516" i="1"/>
  <c r="D589" i="1"/>
  <c r="AV589" i="1"/>
  <c r="AW589" i="1" s="1"/>
  <c r="BA589" i="1"/>
  <c r="D541" i="1"/>
  <c r="AV541" i="1"/>
  <c r="AW541" i="1" s="1"/>
  <c r="BA541" i="1"/>
  <c r="D503" i="1"/>
  <c r="AV503" i="1"/>
  <c r="AW503" i="1" s="1"/>
  <c r="BA503" i="1"/>
  <c r="D927" i="1"/>
  <c r="AV927" i="1"/>
  <c r="AW927" i="1" s="1"/>
  <c r="BA927" i="1"/>
  <c r="D976" i="1"/>
  <c r="BA976" i="1"/>
  <c r="AV976" i="1"/>
  <c r="AW976" i="1" s="1"/>
  <c r="D90" i="1"/>
  <c r="BA90" i="1"/>
  <c r="AV90" i="1"/>
  <c r="AW90" i="1" s="1"/>
  <c r="D154" i="1"/>
  <c r="AV154" i="1"/>
  <c r="AW154" i="1" s="1"/>
  <c r="BA154" i="1"/>
  <c r="D89" i="1"/>
  <c r="BA89" i="1"/>
  <c r="AV89" i="1"/>
  <c r="AW89" i="1" s="1"/>
  <c r="D654" i="1"/>
  <c r="AV654" i="1"/>
  <c r="AW654" i="1" s="1"/>
  <c r="BA654" i="1"/>
  <c r="D102" i="1"/>
  <c r="AV102" i="1"/>
  <c r="AW102" i="1" s="1"/>
  <c r="BA102" i="1"/>
  <c r="D171" i="1"/>
  <c r="BA171" i="1"/>
  <c r="AV171" i="1"/>
  <c r="AW171" i="1" s="1"/>
  <c r="D246" i="1"/>
  <c r="AV246" i="1"/>
  <c r="AW246" i="1" s="1"/>
  <c r="BA246" i="1"/>
  <c r="D293" i="1"/>
  <c r="AV293" i="1"/>
  <c r="AW293" i="1" s="1"/>
  <c r="BA293" i="1"/>
  <c r="D255" i="1"/>
  <c r="BA255" i="1"/>
  <c r="AV255" i="1"/>
  <c r="AW255" i="1" s="1"/>
  <c r="D319" i="1"/>
  <c r="AV319" i="1"/>
  <c r="AW319" i="1" s="1"/>
  <c r="BA319" i="1"/>
  <c r="D119" i="1"/>
  <c r="AV119" i="1"/>
  <c r="AW119" i="1" s="1"/>
  <c r="BA119" i="1"/>
  <c r="D247" i="1"/>
  <c r="AV247" i="1"/>
  <c r="AW247" i="1" s="1"/>
  <c r="BA247" i="1"/>
  <c r="D1030" i="1"/>
  <c r="BA1030" i="1"/>
  <c r="AV1030" i="1"/>
  <c r="AW1030" i="1" s="1"/>
  <c r="D978" i="1"/>
  <c r="AV978" i="1"/>
  <c r="AW978" i="1" s="1"/>
  <c r="BA978" i="1"/>
  <c r="D770" i="1"/>
  <c r="BA770" i="1"/>
  <c r="AV770" i="1"/>
  <c r="AW770" i="1" s="1"/>
  <c r="D718" i="1"/>
  <c r="AV718" i="1"/>
  <c r="AW718" i="1" s="1"/>
  <c r="BA718" i="1"/>
  <c r="D674" i="1"/>
  <c r="BA674" i="1"/>
  <c r="AV674" i="1"/>
  <c r="AW674" i="1" s="1"/>
  <c r="D959" i="1"/>
  <c r="BA959" i="1"/>
  <c r="AV959" i="1"/>
  <c r="AW959" i="1" s="1"/>
  <c r="D943" i="1"/>
  <c r="BA943" i="1"/>
  <c r="AV943" i="1"/>
  <c r="AW943" i="1" s="1"/>
  <c r="D911" i="1"/>
  <c r="AV911" i="1"/>
  <c r="AW911" i="1" s="1"/>
  <c r="BA911" i="1"/>
  <c r="D847" i="1"/>
  <c r="BA847" i="1"/>
  <c r="AV847" i="1"/>
  <c r="AW847" i="1" s="1"/>
  <c r="D799" i="1"/>
  <c r="AV799" i="1"/>
  <c r="AW799" i="1" s="1"/>
  <c r="BA799" i="1"/>
  <c r="D783" i="1"/>
  <c r="BA783" i="1"/>
  <c r="AV783" i="1"/>
  <c r="AW783" i="1" s="1"/>
  <c r="D734" i="1"/>
  <c r="AV734" i="1"/>
  <c r="AW734" i="1" s="1"/>
  <c r="BA734" i="1"/>
  <c r="D712" i="1"/>
  <c r="BA712" i="1"/>
  <c r="AV712" i="1"/>
  <c r="AW712" i="1" s="1"/>
  <c r="D576" i="1"/>
  <c r="BA576" i="1"/>
  <c r="AV576" i="1"/>
  <c r="AW576" i="1" s="1"/>
  <c r="D456" i="1"/>
  <c r="BA456" i="1"/>
  <c r="AV456" i="1"/>
  <c r="AW456" i="1" s="1"/>
  <c r="D400" i="1"/>
  <c r="AV400" i="1"/>
  <c r="AW400" i="1" s="1"/>
  <c r="BA400" i="1"/>
  <c r="D643" i="1"/>
  <c r="BA643" i="1"/>
  <c r="AV643" i="1"/>
  <c r="AW643" i="1" s="1"/>
  <c r="D597" i="1"/>
  <c r="BA597" i="1"/>
  <c r="AV597" i="1"/>
  <c r="AW597" i="1" s="1"/>
  <c r="D563" i="1"/>
  <c r="BA563" i="1"/>
  <c r="AV563" i="1"/>
  <c r="AW563" i="1" s="1"/>
  <c r="D467" i="1"/>
  <c r="BA467" i="1"/>
  <c r="AV467" i="1"/>
  <c r="AW467" i="1" s="1"/>
  <c r="D420" i="1"/>
  <c r="AV420" i="1"/>
  <c r="AW420" i="1" s="1"/>
  <c r="BA420" i="1"/>
  <c r="D714" i="1"/>
  <c r="AV714" i="1"/>
  <c r="AW714" i="1" s="1"/>
  <c r="BA714" i="1"/>
  <c r="D619" i="1"/>
  <c r="AV619" i="1"/>
  <c r="AW619" i="1" s="1"/>
  <c r="BA619" i="1"/>
  <c r="D538" i="1"/>
  <c r="BA538" i="1"/>
  <c r="AV538" i="1"/>
  <c r="AW538" i="1" s="1"/>
  <c r="G844" i="1"/>
  <c r="H844" i="1" s="1"/>
  <c r="J844" i="1" s="1"/>
  <c r="C615" i="1"/>
  <c r="E506" i="1"/>
  <c r="AK506" i="1" s="1"/>
  <c r="G586" i="1"/>
  <c r="H586" i="1" s="1"/>
  <c r="J586" i="1" s="1"/>
  <c r="M643" i="1"/>
  <c r="C702" i="1"/>
  <c r="C687" i="1"/>
  <c r="E221" i="1"/>
  <c r="AK221" i="1" s="1"/>
  <c r="C983" i="1"/>
  <c r="E442" i="1"/>
  <c r="AK442" i="1" s="1"/>
  <c r="G516" i="1"/>
  <c r="H516" i="1" s="1"/>
  <c r="J516" i="1" s="1"/>
  <c r="M823" i="1"/>
  <c r="G408" i="1"/>
  <c r="H408" i="1" s="1"/>
  <c r="J408" i="1" s="1"/>
  <c r="K408" i="1" s="1"/>
  <c r="L408" i="1" s="1"/>
  <c r="E477" i="1"/>
  <c r="AK477" i="1" s="1"/>
  <c r="M950" i="1"/>
  <c r="E105" i="1"/>
  <c r="AK105" i="1" s="1"/>
  <c r="C666" i="1"/>
  <c r="E420" i="1"/>
  <c r="AK420" i="1" s="1"/>
  <c r="G652" i="1"/>
  <c r="H652" i="1" s="1"/>
  <c r="J652" i="1" s="1"/>
  <c r="G779" i="1"/>
  <c r="H779" i="1" s="1"/>
  <c r="J779" i="1" s="1"/>
  <c r="G456" i="1"/>
  <c r="H456" i="1" s="1"/>
  <c r="J456" i="1" s="1"/>
  <c r="C422" i="1"/>
  <c r="E318" i="1"/>
  <c r="AK318" i="1" s="1"/>
  <c r="G619" i="1"/>
  <c r="H619" i="1" s="1"/>
  <c r="J619" i="1" s="1"/>
  <c r="G714" i="1"/>
  <c r="H714" i="1" s="1"/>
  <c r="J714" i="1" s="1"/>
  <c r="Q714" i="1" s="1"/>
  <c r="G786" i="1"/>
  <c r="H786" i="1" s="1"/>
  <c r="J786" i="1" s="1"/>
  <c r="Q786" i="1" s="1"/>
  <c r="R786" i="1" s="1"/>
  <c r="C764" i="1"/>
  <c r="G368" i="1"/>
  <c r="H368" i="1" s="1"/>
  <c r="J368" i="1" s="1"/>
  <c r="G432" i="1"/>
  <c r="H432" i="1" s="1"/>
  <c r="J432" i="1" s="1"/>
  <c r="K432" i="1" s="1"/>
  <c r="E576" i="1"/>
  <c r="AK576" i="1" s="1"/>
  <c r="C754" i="1"/>
  <c r="E293" i="1"/>
  <c r="AK293" i="1" s="1"/>
  <c r="G458" i="1"/>
  <c r="H458" i="1" s="1"/>
  <c r="J458" i="1" s="1"/>
  <c r="K458" i="1" s="1"/>
  <c r="G554" i="1"/>
  <c r="H554" i="1" s="1"/>
  <c r="J554" i="1" s="1"/>
  <c r="K554" i="1" s="1"/>
  <c r="L554" i="1" s="1"/>
  <c r="G363" i="1"/>
  <c r="H363" i="1" s="1"/>
  <c r="J363" i="1" s="1"/>
  <c r="C460" i="1"/>
  <c r="G139" i="1"/>
  <c r="H139" i="1" s="1"/>
  <c r="J139" i="1" s="1"/>
  <c r="Q139" i="1" s="1"/>
  <c r="G400" i="1"/>
  <c r="H400" i="1" s="1"/>
  <c r="J400" i="1" s="1"/>
  <c r="Q400" i="1" s="1"/>
  <c r="M712" i="1"/>
  <c r="E829" i="1"/>
  <c r="AK829" i="1" s="1"/>
  <c r="M373" i="1"/>
  <c r="C358" i="1"/>
  <c r="G490" i="1"/>
  <c r="H490" i="1" s="1"/>
  <c r="J490" i="1" s="1"/>
  <c r="E285" i="1"/>
  <c r="AK285" i="1" s="1"/>
  <c r="G886" i="1"/>
  <c r="H886" i="1" s="1"/>
  <c r="J886" i="1" s="1"/>
  <c r="K886" i="1" s="1"/>
  <c r="E736" i="1"/>
  <c r="AK736" i="1" s="1"/>
  <c r="M800" i="1"/>
  <c r="E268" i="1"/>
  <c r="AK268" i="1" s="1"/>
  <c r="G65" i="1"/>
  <c r="H65" i="1" s="1"/>
  <c r="J65" i="1" s="1"/>
  <c r="Q65" i="1" s="1"/>
  <c r="R65" i="1" s="1"/>
  <c r="M405" i="1"/>
  <c r="C898" i="1"/>
  <c r="M218" i="1"/>
  <c r="M331" i="1"/>
  <c r="M978" i="1"/>
  <c r="M283" i="1"/>
  <c r="M700" i="1"/>
  <c r="M357" i="1"/>
  <c r="E421" i="1"/>
  <c r="AK421" i="1" s="1"/>
  <c r="E354" i="1"/>
  <c r="AK354" i="1" s="1"/>
  <c r="G851" i="1"/>
  <c r="H851" i="1" s="1"/>
  <c r="J851" i="1" s="1"/>
  <c r="M417" i="1"/>
  <c r="C385" i="1"/>
  <c r="M261" i="1"/>
  <c r="E236" i="1"/>
  <c r="AK236" i="1" s="1"/>
  <c r="M408" i="1"/>
  <c r="G452" i="1"/>
  <c r="H452" i="1" s="1"/>
  <c r="J452" i="1" s="1"/>
  <c r="E568" i="1"/>
  <c r="AK568" i="1" s="1"/>
  <c r="M644" i="1"/>
  <c r="E863" i="1"/>
  <c r="AK863" i="1" s="1"/>
  <c r="C285" i="1"/>
  <c r="M246" i="1"/>
  <c r="M325" i="1"/>
  <c r="C915" i="1"/>
  <c r="E589" i="1"/>
  <c r="AK589" i="1" s="1"/>
  <c r="G418" i="1"/>
  <c r="H418" i="1" s="1"/>
  <c r="J418" i="1" s="1"/>
  <c r="C913" i="1"/>
  <c r="C803" i="1"/>
  <c r="C411" i="1"/>
  <c r="G536" i="1"/>
  <c r="H536" i="1" s="1"/>
  <c r="J536" i="1" s="1"/>
  <c r="M752" i="1"/>
  <c r="G815" i="1"/>
  <c r="H815" i="1" s="1"/>
  <c r="J815" i="1" s="1"/>
  <c r="K815" i="1" s="1"/>
  <c r="L815" i="1" s="1"/>
  <c r="C238" i="1"/>
  <c r="C819" i="1"/>
  <c r="C551" i="1"/>
  <c r="C371" i="1"/>
  <c r="C536" i="1"/>
  <c r="G428" i="1"/>
  <c r="H428" i="1" s="1"/>
  <c r="J428" i="1" s="1"/>
  <c r="Q428" i="1" s="1"/>
  <c r="R428" i="1" s="1"/>
  <c r="E476" i="1"/>
  <c r="AK476" i="1" s="1"/>
  <c r="M540" i="1"/>
  <c r="G656" i="1"/>
  <c r="H656" i="1" s="1"/>
  <c r="J656" i="1" s="1"/>
  <c r="C931" i="1"/>
  <c r="M461" i="1"/>
  <c r="C135" i="1"/>
  <c r="E411" i="1"/>
  <c r="AK411" i="1" s="1"/>
  <c r="M551" i="1"/>
  <c r="M396" i="1"/>
  <c r="E87" i="1"/>
  <c r="AK87" i="1" s="1"/>
  <c r="E686" i="1"/>
  <c r="AK686" i="1" s="1"/>
  <c r="G486" i="1"/>
  <c r="H486" i="1" s="1"/>
  <c r="J486" i="1" s="1"/>
  <c r="Q486" i="1" s="1"/>
  <c r="R486" i="1" s="1"/>
  <c r="E1007" i="1"/>
  <c r="AK1007" i="1" s="1"/>
  <c r="G572" i="1"/>
  <c r="H572" i="1" s="1"/>
  <c r="J572" i="1" s="1"/>
  <c r="E621" i="1"/>
  <c r="AK621" i="1" s="1"/>
  <c r="C656" i="1"/>
  <c r="C252" i="1"/>
  <c r="M332" i="1"/>
  <c r="G524" i="1"/>
  <c r="H524" i="1" s="1"/>
  <c r="J524" i="1" s="1"/>
  <c r="K524" i="1" s="1"/>
  <c r="L524" i="1" s="1"/>
  <c r="M600" i="1"/>
  <c r="M648" i="1"/>
  <c r="M402" i="1"/>
  <c r="E437" i="1"/>
  <c r="AK437" i="1" s="1"/>
  <c r="E370" i="1"/>
  <c r="AK370" i="1" s="1"/>
  <c r="E538" i="1"/>
  <c r="AK538" i="1" s="1"/>
  <c r="M601" i="1"/>
  <c r="G650" i="1"/>
  <c r="H650" i="1" s="1"/>
  <c r="J650" i="1" s="1"/>
  <c r="M698" i="1"/>
  <c r="M758" i="1"/>
  <c r="G818" i="1"/>
  <c r="H818" i="1" s="1"/>
  <c r="J818" i="1" s="1"/>
  <c r="K818" i="1" s="1"/>
  <c r="L818" i="1" s="1"/>
  <c r="E866" i="1"/>
  <c r="AK866" i="1" s="1"/>
  <c r="M797" i="1"/>
  <c r="E797" i="1"/>
  <c r="AK797" i="1" s="1"/>
  <c r="M964" i="1"/>
  <c r="E964" i="1"/>
  <c r="AK964" i="1" s="1"/>
  <c r="G918" i="1"/>
  <c r="H918" i="1" s="1"/>
  <c r="J918" i="1" s="1"/>
  <c r="Q918" i="1" s="1"/>
  <c r="M918" i="1"/>
  <c r="E918" i="1"/>
  <c r="AK918" i="1" s="1"/>
  <c r="M871" i="1"/>
  <c r="G871" i="1"/>
  <c r="H871" i="1" s="1"/>
  <c r="J871" i="1" s="1"/>
  <c r="K871" i="1" s="1"/>
  <c r="G838" i="1"/>
  <c r="H838" i="1" s="1"/>
  <c r="J838" i="1" s="1"/>
  <c r="E838" i="1"/>
  <c r="AK838" i="1" s="1"/>
  <c r="C838" i="1"/>
  <c r="M695" i="1"/>
  <c r="C695" i="1"/>
  <c r="M374" i="1"/>
  <c r="E374" i="1"/>
  <c r="AK374" i="1" s="1"/>
  <c r="M682" i="1"/>
  <c r="E682" i="1"/>
  <c r="AK682" i="1" s="1"/>
  <c r="G947" i="1"/>
  <c r="H947" i="1" s="1"/>
  <c r="J947" i="1" s="1"/>
  <c r="C947" i="1"/>
  <c r="G899" i="1"/>
  <c r="H899" i="1" s="1"/>
  <c r="J899" i="1" s="1"/>
  <c r="K899" i="1" s="1"/>
  <c r="C899" i="1"/>
  <c r="G883" i="1"/>
  <c r="H883" i="1" s="1"/>
  <c r="J883" i="1" s="1"/>
  <c r="Q883" i="1" s="1"/>
  <c r="C883" i="1"/>
  <c r="E788" i="1"/>
  <c r="AK788" i="1" s="1"/>
  <c r="M788" i="1"/>
  <c r="M755" i="1"/>
  <c r="E755" i="1"/>
  <c r="AK755" i="1" s="1"/>
  <c r="C720" i="1"/>
  <c r="E720" i="1"/>
  <c r="AK720" i="1" s="1"/>
  <c r="E278" i="1"/>
  <c r="AK278" i="1" s="1"/>
  <c r="G278" i="1"/>
  <c r="H278" i="1" s="1"/>
  <c r="J278" i="1" s="1"/>
  <c r="C278" i="1"/>
  <c r="C717" i="1"/>
  <c r="G717" i="1"/>
  <c r="H717" i="1" s="1"/>
  <c r="J717" i="1" s="1"/>
  <c r="Q717" i="1" s="1"/>
  <c r="G685" i="1"/>
  <c r="H685" i="1" s="1"/>
  <c r="J685" i="1" s="1"/>
  <c r="M685" i="1"/>
  <c r="E638" i="1"/>
  <c r="AK638" i="1" s="1"/>
  <c r="G638" i="1"/>
  <c r="H638" i="1" s="1"/>
  <c r="J638" i="1" s="1"/>
  <c r="K638" i="1" s="1"/>
  <c r="M229" i="1"/>
  <c r="E229" i="1"/>
  <c r="AK229" i="1" s="1"/>
  <c r="M647" i="1"/>
  <c r="E647" i="1"/>
  <c r="AK647" i="1" s="1"/>
  <c r="G615" i="1"/>
  <c r="H615" i="1" s="1"/>
  <c r="J615" i="1" s="1"/>
  <c r="K615" i="1" s="1"/>
  <c r="L615" i="1" s="1"/>
  <c r="M615" i="1"/>
  <c r="G599" i="1"/>
  <c r="H599" i="1" s="1"/>
  <c r="J599" i="1" s="1"/>
  <c r="C599" i="1"/>
  <c r="E599" i="1"/>
  <c r="AK599" i="1" s="1"/>
  <c r="M583" i="1"/>
  <c r="G583" i="1"/>
  <c r="H583" i="1" s="1"/>
  <c r="J583" i="1" s="1"/>
  <c r="C583" i="1"/>
  <c r="M567" i="1"/>
  <c r="E567" i="1"/>
  <c r="AK567" i="1" s="1"/>
  <c r="G654" i="1"/>
  <c r="H654" i="1" s="1"/>
  <c r="J654" i="1" s="1"/>
  <c r="E654" i="1"/>
  <c r="AK654" i="1" s="1"/>
  <c r="M654" i="1"/>
  <c r="G622" i="1"/>
  <c r="H622" i="1" s="1"/>
  <c r="J622" i="1" s="1"/>
  <c r="K622" i="1" s="1"/>
  <c r="C622" i="1"/>
  <c r="E574" i="1"/>
  <c r="AK574" i="1" s="1"/>
  <c r="G574" i="1"/>
  <c r="H574" i="1" s="1"/>
  <c r="J574" i="1" s="1"/>
  <c r="M542" i="1"/>
  <c r="G542" i="1"/>
  <c r="H542" i="1" s="1"/>
  <c r="J542" i="1" s="1"/>
  <c r="E509" i="1"/>
  <c r="AK509" i="1" s="1"/>
  <c r="G509" i="1"/>
  <c r="H509" i="1" s="1"/>
  <c r="J509" i="1" s="1"/>
  <c r="C509" i="1"/>
  <c r="M478" i="1"/>
  <c r="G478" i="1"/>
  <c r="H478" i="1" s="1"/>
  <c r="J478" i="1" s="1"/>
  <c r="Q478" i="1" s="1"/>
  <c r="M378" i="1"/>
  <c r="G378" i="1"/>
  <c r="H378" i="1" s="1"/>
  <c r="J378" i="1" s="1"/>
  <c r="M254" i="1"/>
  <c r="E254" i="1"/>
  <c r="AK254" i="1" s="1"/>
  <c r="G724" i="1"/>
  <c r="H724" i="1" s="1"/>
  <c r="J724" i="1" s="1"/>
  <c r="K724" i="1" s="1"/>
  <c r="C724" i="1"/>
  <c r="M724" i="1"/>
  <c r="E724" i="1"/>
  <c r="AK724" i="1" s="1"/>
  <c r="G789" i="1"/>
  <c r="H789" i="1" s="1"/>
  <c r="J789" i="1" s="1"/>
  <c r="Q789" i="1" s="1"/>
  <c r="R789" i="1" s="1"/>
  <c r="C789" i="1"/>
  <c r="G895" i="1"/>
  <c r="H895" i="1" s="1"/>
  <c r="J895" i="1" s="1"/>
  <c r="C895" i="1"/>
  <c r="C961" i="1"/>
  <c r="M961" i="1"/>
  <c r="E1004" i="1"/>
  <c r="AK1004" i="1" s="1"/>
  <c r="C1004" i="1"/>
  <c r="M1004" i="1"/>
  <c r="E1023" i="1"/>
  <c r="AK1023" i="1" s="1"/>
  <c r="C1023" i="1"/>
  <c r="M1023" i="1"/>
  <c r="G1024" i="1"/>
  <c r="H1024" i="1" s="1"/>
  <c r="J1024" i="1" s="1"/>
  <c r="Q1024" i="1" s="1"/>
  <c r="M1024" i="1"/>
  <c r="C1024" i="1"/>
  <c r="E987" i="1"/>
  <c r="AK987" i="1" s="1"/>
  <c r="C987" i="1"/>
  <c r="G987" i="1"/>
  <c r="H987" i="1" s="1"/>
  <c r="J987" i="1" s="1"/>
  <c r="Q987" i="1" s="1"/>
  <c r="E769" i="1"/>
  <c r="AK769" i="1" s="1"/>
  <c r="G769" i="1"/>
  <c r="H769" i="1" s="1"/>
  <c r="J769" i="1" s="1"/>
  <c r="G997" i="1"/>
  <c r="H997" i="1" s="1"/>
  <c r="J997" i="1" s="1"/>
  <c r="C997" i="1"/>
  <c r="E997" i="1"/>
  <c r="AK997" i="1" s="1"/>
  <c r="C376" i="1"/>
  <c r="C476" i="1"/>
  <c r="C526" i="1"/>
  <c r="C966" i="1"/>
  <c r="C574" i="1"/>
  <c r="C87" i="1"/>
  <c r="C868" i="1"/>
  <c r="C442" i="1"/>
  <c r="C462" i="1"/>
  <c r="C403" i="1"/>
  <c r="C631" i="1"/>
  <c r="C477" i="1"/>
  <c r="G376" i="1"/>
  <c r="H376" i="1" s="1"/>
  <c r="J376" i="1" s="1"/>
  <c r="K376" i="1" s="1"/>
  <c r="G440" i="1"/>
  <c r="H440" i="1" s="1"/>
  <c r="J440" i="1" s="1"/>
  <c r="M464" i="1"/>
  <c r="M516" i="1"/>
  <c r="G520" i="1"/>
  <c r="H520" i="1" s="1"/>
  <c r="J520" i="1" s="1"/>
  <c r="Q520" i="1" s="1"/>
  <c r="M536" i="1"/>
  <c r="M580" i="1"/>
  <c r="M592" i="1"/>
  <c r="M668" i="1"/>
  <c r="G688" i="1"/>
  <c r="H688" i="1" s="1"/>
  <c r="J688" i="1" s="1"/>
  <c r="G716" i="1"/>
  <c r="H716" i="1" s="1"/>
  <c r="J716" i="1" s="1"/>
  <c r="Q716" i="1" s="1"/>
  <c r="R716" i="1" s="1"/>
  <c r="E723" i="1"/>
  <c r="AK723" i="1" s="1"/>
  <c r="E767" i="1"/>
  <c r="AK767" i="1" s="1"/>
  <c r="M832" i="1"/>
  <c r="G848" i="1"/>
  <c r="H848" i="1" s="1"/>
  <c r="J848" i="1" s="1"/>
  <c r="Q848" i="1" s="1"/>
  <c r="R848" i="1" s="1"/>
  <c r="C835" i="1"/>
  <c r="C449" i="1"/>
  <c r="C886" i="1"/>
  <c r="M89" i="1"/>
  <c r="E369" i="1"/>
  <c r="AK369" i="1" s="1"/>
  <c r="G385" i="1"/>
  <c r="H385" i="1" s="1"/>
  <c r="J385" i="1" s="1"/>
  <c r="Q385" i="1" s="1"/>
  <c r="M433" i="1"/>
  <c r="M449" i="1"/>
  <c r="M493" i="1"/>
  <c r="C229" i="1"/>
  <c r="C755" i="1"/>
  <c r="C902" i="1"/>
  <c r="G229" i="1"/>
  <c r="H229" i="1" s="1"/>
  <c r="J229" i="1" s="1"/>
  <c r="G398" i="1"/>
  <c r="H398" i="1" s="1"/>
  <c r="J398" i="1" s="1"/>
  <c r="Q398" i="1" s="1"/>
  <c r="M838" i="1"/>
  <c r="C850" i="1"/>
  <c r="E294" i="1"/>
  <c r="AK294" i="1" s="1"/>
  <c r="E583" i="1"/>
  <c r="AK583" i="1" s="1"/>
  <c r="G631" i="1"/>
  <c r="H631" i="1" s="1"/>
  <c r="J631" i="1" s="1"/>
  <c r="Q631" i="1" s="1"/>
  <c r="G695" i="1"/>
  <c r="H695" i="1" s="1"/>
  <c r="J695" i="1" s="1"/>
  <c r="K695" i="1" s="1"/>
  <c r="G755" i="1"/>
  <c r="H755" i="1" s="1"/>
  <c r="J755" i="1" s="1"/>
  <c r="E850" i="1"/>
  <c r="AK850" i="1" s="1"/>
  <c r="E895" i="1"/>
  <c r="AK895" i="1" s="1"/>
  <c r="E961" i="1"/>
  <c r="AK961" i="1" s="1"/>
  <c r="M993" i="1"/>
  <c r="G1023" i="1"/>
  <c r="H1023" i="1" s="1"/>
  <c r="J1023" i="1" s="1"/>
  <c r="K1023" i="1" s="1"/>
  <c r="G670" i="1"/>
  <c r="H670" i="1" s="1"/>
  <c r="J670" i="1" s="1"/>
  <c r="C862" i="1"/>
  <c r="C769" i="1"/>
  <c r="C945" i="1"/>
  <c r="G733" i="1"/>
  <c r="H733" i="1" s="1"/>
  <c r="J733" i="1" s="1"/>
  <c r="M877" i="1"/>
  <c r="C303" i="1"/>
  <c r="G303" i="1"/>
  <c r="H303" i="1" s="1"/>
  <c r="J303" i="1" s="1"/>
  <c r="Q303" i="1" s="1"/>
  <c r="E1042" i="1"/>
  <c r="AK1042" i="1" s="1"/>
  <c r="G1042" i="1"/>
  <c r="H1042" i="1" s="1"/>
  <c r="J1042" i="1" s="1"/>
  <c r="Q1042" i="1" s="1"/>
  <c r="M270" i="1"/>
  <c r="E270" i="1"/>
  <c r="AK270" i="1" s="1"/>
  <c r="M360" i="1"/>
  <c r="G360" i="1"/>
  <c r="H360" i="1" s="1"/>
  <c r="J360" i="1" s="1"/>
  <c r="M761" i="1"/>
  <c r="G761" i="1"/>
  <c r="H761" i="1" s="1"/>
  <c r="J761" i="1" s="1"/>
  <c r="Q761" i="1" s="1"/>
  <c r="M825" i="1"/>
  <c r="E825" i="1"/>
  <c r="AK825" i="1" s="1"/>
  <c r="G973" i="1"/>
  <c r="H973" i="1" s="1"/>
  <c r="J973" i="1" s="1"/>
  <c r="E973" i="1"/>
  <c r="AK973" i="1" s="1"/>
  <c r="C900" i="1"/>
  <c r="G900" i="1"/>
  <c r="H900" i="1" s="1"/>
  <c r="J900" i="1" s="1"/>
  <c r="K900" i="1" s="1"/>
  <c r="M932" i="1"/>
  <c r="G932" i="1"/>
  <c r="H932" i="1" s="1"/>
  <c r="J932" i="1" s="1"/>
  <c r="K932" i="1" s="1"/>
  <c r="E986" i="1"/>
  <c r="AK986" i="1" s="1"/>
  <c r="C986" i="1"/>
  <c r="E1026" i="1"/>
  <c r="AK1026" i="1" s="1"/>
  <c r="M1026" i="1"/>
  <c r="M1015" i="1"/>
  <c r="C1015" i="1"/>
  <c r="G998" i="1"/>
  <c r="H998" i="1" s="1"/>
  <c r="J998" i="1" s="1"/>
  <c r="M998" i="1"/>
  <c r="G966" i="1"/>
  <c r="H966" i="1" s="1"/>
  <c r="J966" i="1" s="1"/>
  <c r="M966" i="1"/>
  <c r="G935" i="1"/>
  <c r="H935" i="1" s="1"/>
  <c r="J935" i="1" s="1"/>
  <c r="M935" i="1"/>
  <c r="G902" i="1"/>
  <c r="H902" i="1" s="1"/>
  <c r="J902" i="1" s="1"/>
  <c r="E902" i="1"/>
  <c r="AK902" i="1" s="1"/>
  <c r="C347" i="1"/>
  <c r="C210" i="1"/>
  <c r="C800" i="1"/>
  <c r="C815" i="1"/>
  <c r="E452" i="1"/>
  <c r="AK452" i="1" s="1"/>
  <c r="G464" i="1"/>
  <c r="H464" i="1" s="1"/>
  <c r="J464" i="1" s="1"/>
  <c r="Q464" i="1" s="1"/>
  <c r="R464" i="1" s="1"/>
  <c r="E516" i="1"/>
  <c r="AK516" i="1" s="1"/>
  <c r="M568" i="1"/>
  <c r="E580" i="1"/>
  <c r="AK580" i="1" s="1"/>
  <c r="E644" i="1"/>
  <c r="AK644" i="1" s="1"/>
  <c r="E656" i="1"/>
  <c r="AK656" i="1" s="1"/>
  <c r="M720" i="1"/>
  <c r="E752" i="1"/>
  <c r="AK752" i="1" s="1"/>
  <c r="M767" i="1"/>
  <c r="M815" i="1"/>
  <c r="E832" i="1"/>
  <c r="AK832" i="1" s="1"/>
  <c r="C231" i="1"/>
  <c r="C374" i="1"/>
  <c r="C715" i="1"/>
  <c r="C647" i="1"/>
  <c r="M369" i="1"/>
  <c r="E417" i="1"/>
  <c r="AK417" i="1" s="1"/>
  <c r="E433" i="1"/>
  <c r="AK433" i="1" s="1"/>
  <c r="M477" i="1"/>
  <c r="E493" i="1"/>
  <c r="AK493" i="1" s="1"/>
  <c r="C486" i="1"/>
  <c r="C788" i="1"/>
  <c r="G87" i="1"/>
  <c r="H87" i="1" s="1"/>
  <c r="J87" i="1" s="1"/>
  <c r="Q87" i="1" s="1"/>
  <c r="M278" i="1"/>
  <c r="G374" i="1"/>
  <c r="H374" i="1" s="1"/>
  <c r="J374" i="1" s="1"/>
  <c r="M442" i="1"/>
  <c r="E622" i="1"/>
  <c r="AK622" i="1" s="1"/>
  <c r="M686" i="1"/>
  <c r="E758" i="1"/>
  <c r="AK758" i="1" s="1"/>
  <c r="G823" i="1"/>
  <c r="H823" i="1" s="1"/>
  <c r="J823" i="1" s="1"/>
  <c r="E886" i="1"/>
  <c r="AK886" i="1" s="1"/>
  <c r="E950" i="1"/>
  <c r="AK950" i="1" s="1"/>
  <c r="E1015" i="1"/>
  <c r="AK1015" i="1" s="1"/>
  <c r="C662" i="1"/>
  <c r="C567" i="1"/>
  <c r="G294" i="1"/>
  <c r="H294" i="1" s="1"/>
  <c r="J294" i="1" s="1"/>
  <c r="M486" i="1"/>
  <c r="E551" i="1"/>
  <c r="AK551" i="1" s="1"/>
  <c r="M599" i="1"/>
  <c r="E715" i="1"/>
  <c r="AK715" i="1" s="1"/>
  <c r="E868" i="1"/>
  <c r="AK868" i="1" s="1"/>
  <c r="M987" i="1"/>
  <c r="M895" i="1"/>
  <c r="G961" i="1"/>
  <c r="H961" i="1" s="1"/>
  <c r="J961" i="1" s="1"/>
  <c r="E701" i="1"/>
  <c r="AK701" i="1" s="1"/>
  <c r="M881" i="1"/>
  <c r="M769" i="1"/>
  <c r="C525" i="1"/>
  <c r="C408" i="1"/>
  <c r="M995" i="1"/>
  <c r="E995" i="1"/>
  <c r="AK995" i="1" s="1"/>
  <c r="G981" i="1"/>
  <c r="H981" i="1" s="1"/>
  <c r="J981" i="1" s="1"/>
  <c r="E981" i="1"/>
  <c r="AK981" i="1" s="1"/>
  <c r="M981" i="1"/>
  <c r="G855" i="1"/>
  <c r="H855" i="1" s="1"/>
  <c r="J855" i="1" s="1"/>
  <c r="Q855" i="1" s="1"/>
  <c r="E855" i="1"/>
  <c r="AK855" i="1" s="1"/>
  <c r="M855" i="1"/>
  <c r="C855" i="1"/>
  <c r="G806" i="1"/>
  <c r="H806" i="1" s="1"/>
  <c r="J806" i="1" s="1"/>
  <c r="Q806" i="1" s="1"/>
  <c r="M806" i="1"/>
  <c r="G790" i="1"/>
  <c r="H790" i="1" s="1"/>
  <c r="J790" i="1" s="1"/>
  <c r="M790" i="1"/>
  <c r="E790" i="1"/>
  <c r="AK790" i="1" s="1"/>
  <c r="G774" i="1"/>
  <c r="H774" i="1" s="1"/>
  <c r="J774" i="1" s="1"/>
  <c r="M774" i="1"/>
  <c r="C774" i="1"/>
  <c r="G742" i="1"/>
  <c r="H742" i="1" s="1"/>
  <c r="J742" i="1" s="1"/>
  <c r="M742" i="1"/>
  <c r="C604" i="1"/>
  <c r="G604" i="1"/>
  <c r="H604" i="1" s="1"/>
  <c r="J604" i="1" s="1"/>
  <c r="C784" i="1"/>
  <c r="G784" i="1"/>
  <c r="H784" i="1" s="1"/>
  <c r="J784" i="1" s="1"/>
  <c r="G963" i="1"/>
  <c r="H963" i="1" s="1"/>
  <c r="J963" i="1" s="1"/>
  <c r="K963" i="1" s="1"/>
  <c r="C963" i="1"/>
  <c r="G772" i="1"/>
  <c r="H772" i="1" s="1"/>
  <c r="J772" i="1" s="1"/>
  <c r="K772" i="1" s="1"/>
  <c r="L772" i="1" s="1"/>
  <c r="C772" i="1"/>
  <c r="G739" i="1"/>
  <c r="H739" i="1" s="1"/>
  <c r="J739" i="1" s="1"/>
  <c r="Q739" i="1" s="1"/>
  <c r="R739" i="1" s="1"/>
  <c r="C739" i="1"/>
  <c r="E528" i="1"/>
  <c r="AK528" i="1" s="1"/>
  <c r="C528" i="1"/>
  <c r="C558" i="1"/>
  <c r="M558" i="1"/>
  <c r="M541" i="1"/>
  <c r="G541" i="1"/>
  <c r="H541" i="1" s="1"/>
  <c r="J541" i="1" s="1"/>
  <c r="E510" i="1"/>
  <c r="AK510" i="1" s="1"/>
  <c r="G510" i="1"/>
  <c r="H510" i="1" s="1"/>
  <c r="J510" i="1" s="1"/>
  <c r="G535" i="1"/>
  <c r="H535" i="1" s="1"/>
  <c r="J535" i="1" s="1"/>
  <c r="E535" i="1"/>
  <c r="AK535" i="1" s="1"/>
  <c r="M535" i="1"/>
  <c r="M519" i="1"/>
  <c r="C519" i="1"/>
  <c r="M503" i="1"/>
  <c r="E503" i="1"/>
  <c r="AK503" i="1" s="1"/>
  <c r="G503" i="1"/>
  <c r="H503" i="1" s="1"/>
  <c r="J503" i="1" s="1"/>
  <c r="G471" i="1"/>
  <c r="H471" i="1" s="1"/>
  <c r="J471" i="1" s="1"/>
  <c r="Q471" i="1" s="1"/>
  <c r="E471" i="1"/>
  <c r="AK471" i="1" s="1"/>
  <c r="E455" i="1"/>
  <c r="AK455" i="1" s="1"/>
  <c r="C455" i="1"/>
  <c r="M455" i="1"/>
  <c r="C428" i="1"/>
  <c r="M428" i="1"/>
  <c r="E355" i="1"/>
  <c r="AK355" i="1" s="1"/>
  <c r="G355" i="1"/>
  <c r="H355" i="1" s="1"/>
  <c r="J355" i="1" s="1"/>
  <c r="Q355" i="1" s="1"/>
  <c r="C355" i="1"/>
  <c r="G719" i="1"/>
  <c r="H719" i="1" s="1"/>
  <c r="J719" i="1" s="1"/>
  <c r="K719" i="1" s="1"/>
  <c r="M719" i="1"/>
  <c r="C719" i="1"/>
  <c r="E719" i="1"/>
  <c r="AK719" i="1" s="1"/>
  <c r="E702" i="1"/>
  <c r="AK702" i="1" s="1"/>
  <c r="G702" i="1"/>
  <c r="H702" i="1" s="1"/>
  <c r="J702" i="1" s="1"/>
  <c r="M669" i="1"/>
  <c r="G669" i="1"/>
  <c r="H669" i="1" s="1"/>
  <c r="J669" i="1" s="1"/>
  <c r="G637" i="1"/>
  <c r="H637" i="1" s="1"/>
  <c r="J637" i="1" s="1"/>
  <c r="Q637" i="1" s="1"/>
  <c r="E637" i="1"/>
  <c r="AK637" i="1" s="1"/>
  <c r="C637" i="1"/>
  <c r="G605" i="1"/>
  <c r="H605" i="1" s="1"/>
  <c r="J605" i="1" s="1"/>
  <c r="M605" i="1"/>
  <c r="M590" i="1"/>
  <c r="C590" i="1"/>
  <c r="G590" i="1"/>
  <c r="H590" i="1" s="1"/>
  <c r="J590" i="1" s="1"/>
  <c r="E557" i="1"/>
  <c r="AK557" i="1" s="1"/>
  <c r="G557" i="1"/>
  <c r="H557" i="1" s="1"/>
  <c r="J557" i="1" s="1"/>
  <c r="M526" i="1"/>
  <c r="G526" i="1"/>
  <c r="H526" i="1" s="1"/>
  <c r="J526" i="1" s="1"/>
  <c r="M494" i="1"/>
  <c r="C494" i="1"/>
  <c r="G494" i="1"/>
  <c r="H494" i="1" s="1"/>
  <c r="J494" i="1" s="1"/>
  <c r="Q494" i="1" s="1"/>
  <c r="R494" i="1" s="1"/>
  <c r="M462" i="1"/>
  <c r="G462" i="1"/>
  <c r="H462" i="1" s="1"/>
  <c r="J462" i="1" s="1"/>
  <c r="C853" i="1"/>
  <c r="E853" i="1"/>
  <c r="AK853" i="1" s="1"/>
  <c r="G853" i="1"/>
  <c r="H853" i="1" s="1"/>
  <c r="J853" i="1" s="1"/>
  <c r="M927" i="1"/>
  <c r="G927" i="1"/>
  <c r="H927" i="1" s="1"/>
  <c r="J927" i="1" s="1"/>
  <c r="Q927" i="1" s="1"/>
  <c r="G983" i="1"/>
  <c r="H983" i="1" s="1"/>
  <c r="J983" i="1" s="1"/>
  <c r="K983" i="1" s="1"/>
  <c r="E983" i="1"/>
  <c r="AK983" i="1" s="1"/>
  <c r="C877" i="1"/>
  <c r="E877" i="1"/>
  <c r="AK877" i="1" s="1"/>
  <c r="E993" i="1"/>
  <c r="AK993" i="1" s="1"/>
  <c r="C993" i="1"/>
  <c r="G925" i="1"/>
  <c r="H925" i="1" s="1"/>
  <c r="J925" i="1" s="1"/>
  <c r="K925" i="1" s="1"/>
  <c r="M925" i="1"/>
  <c r="E925" i="1"/>
  <c r="AK925" i="1" s="1"/>
  <c r="C865" i="1"/>
  <c r="G865" i="1"/>
  <c r="H865" i="1" s="1"/>
  <c r="J865" i="1" s="1"/>
  <c r="K865" i="1" s="1"/>
  <c r="E976" i="1"/>
  <c r="AK976" i="1" s="1"/>
  <c r="G976" i="1"/>
  <c r="H976" i="1" s="1"/>
  <c r="J976" i="1" s="1"/>
  <c r="Q976" i="1" s="1"/>
  <c r="C493" i="1"/>
  <c r="C535" i="1"/>
  <c r="C387" i="1"/>
  <c r="C464" i="1"/>
  <c r="C402" i="1"/>
  <c r="C742" i="1"/>
  <c r="C752" i="1"/>
  <c r="C542" i="1"/>
  <c r="C863" i="1"/>
  <c r="M60" i="1"/>
  <c r="E376" i="1"/>
  <c r="AK376" i="1" s="1"/>
  <c r="G396" i="1"/>
  <c r="H396" i="1" s="1"/>
  <c r="J396" i="1" s="1"/>
  <c r="E440" i="1"/>
  <c r="AK440" i="1" s="1"/>
  <c r="M476" i="1"/>
  <c r="E520" i="1"/>
  <c r="AK520" i="1" s="1"/>
  <c r="M528" i="1"/>
  <c r="G540" i="1"/>
  <c r="H540" i="1" s="1"/>
  <c r="J540" i="1" s="1"/>
  <c r="E592" i="1"/>
  <c r="AK592" i="1" s="1"/>
  <c r="M604" i="1"/>
  <c r="E668" i="1"/>
  <c r="AK668" i="1" s="1"/>
  <c r="E688" i="1"/>
  <c r="AK688" i="1" s="1"/>
  <c r="M716" i="1"/>
  <c r="M723" i="1"/>
  <c r="M736" i="1"/>
  <c r="E784" i="1"/>
  <c r="AK784" i="1" s="1"/>
  <c r="E800" i="1"/>
  <c r="AK800" i="1" s="1"/>
  <c r="M848" i="1"/>
  <c r="M863" i="1"/>
  <c r="C159" i="1"/>
  <c r="C605" i="1"/>
  <c r="C823" i="1"/>
  <c r="E360" i="1"/>
  <c r="AK360" i="1" s="1"/>
  <c r="E385" i="1"/>
  <c r="AK385" i="1" s="1"/>
  <c r="E402" i="1"/>
  <c r="AK402" i="1" s="1"/>
  <c r="E449" i="1"/>
  <c r="AK449" i="1" s="1"/>
  <c r="E461" i="1"/>
  <c r="AK461" i="1" s="1"/>
  <c r="C378" i="1"/>
  <c r="C686" i="1"/>
  <c r="C471" i="1"/>
  <c r="C871" i="1"/>
  <c r="M285" i="1"/>
  <c r="E398" i="1"/>
  <c r="AK398" i="1" s="1"/>
  <c r="G411" i="1"/>
  <c r="H411" i="1" s="1"/>
  <c r="J411" i="1" s="1"/>
  <c r="E478" i="1"/>
  <c r="AK478" i="1" s="1"/>
  <c r="M509" i="1"/>
  <c r="E542" i="1"/>
  <c r="AK542" i="1" s="1"/>
  <c r="M574" i="1"/>
  <c r="E605" i="1"/>
  <c r="AK605" i="1" s="1"/>
  <c r="E669" i="1"/>
  <c r="AK669" i="1" s="1"/>
  <c r="E742" i="1"/>
  <c r="AK742" i="1" s="1"/>
  <c r="E806" i="1"/>
  <c r="AK806" i="1" s="1"/>
  <c r="E871" i="1"/>
  <c r="AK871" i="1" s="1"/>
  <c r="E935" i="1"/>
  <c r="AK935" i="1" s="1"/>
  <c r="E998" i="1"/>
  <c r="AK998" i="1" s="1"/>
  <c r="G1026" i="1"/>
  <c r="H1026" i="1" s="1"/>
  <c r="J1026" i="1" s="1"/>
  <c r="K1026" i="1" s="1"/>
  <c r="L1026" i="1" s="1"/>
  <c r="M355" i="1"/>
  <c r="G455" i="1"/>
  <c r="H455" i="1" s="1"/>
  <c r="J455" i="1" s="1"/>
  <c r="E519" i="1"/>
  <c r="AK519" i="1" s="1"/>
  <c r="G567" i="1"/>
  <c r="H567" i="1" s="1"/>
  <c r="J567" i="1" s="1"/>
  <c r="E631" i="1"/>
  <c r="AK631" i="1" s="1"/>
  <c r="M739" i="1"/>
  <c r="G803" i="1"/>
  <c r="H803" i="1" s="1"/>
  <c r="J803" i="1" s="1"/>
  <c r="E1024" i="1"/>
  <c r="AK1024" i="1" s="1"/>
  <c r="E927" i="1"/>
  <c r="AK927" i="1" s="1"/>
  <c r="M976" i="1"/>
  <c r="M1016" i="1"/>
  <c r="G607" i="1"/>
  <c r="H607" i="1" s="1"/>
  <c r="J607" i="1" s="1"/>
  <c r="K607" i="1" s="1"/>
  <c r="M789" i="1"/>
  <c r="C653" i="1"/>
  <c r="C925" i="1"/>
  <c r="E865" i="1"/>
  <c r="AK865" i="1" s="1"/>
  <c r="C1033" i="1"/>
  <c r="C716" i="1"/>
  <c r="C176" i="1"/>
  <c r="C177" i="1"/>
  <c r="E41" i="1"/>
  <c r="AK41" i="1" s="1"/>
  <c r="M55" i="1"/>
  <c r="E86" i="1"/>
  <c r="AK86" i="1" s="1"/>
  <c r="E61" i="1"/>
  <c r="AK61" i="1" s="1"/>
  <c r="E107" i="1"/>
  <c r="AK107" i="1" s="1"/>
  <c r="E122" i="1"/>
  <c r="AK122" i="1" s="1"/>
  <c r="E154" i="1"/>
  <c r="AK154" i="1" s="1"/>
  <c r="M58" i="1"/>
  <c r="G147" i="1"/>
  <c r="H147" i="1" s="1"/>
  <c r="J147" i="1" s="1"/>
  <c r="G173" i="1"/>
  <c r="H173" i="1" s="1"/>
  <c r="J173" i="1" s="1"/>
  <c r="E222" i="1"/>
  <c r="AK222" i="1" s="1"/>
  <c r="M188" i="1"/>
  <c r="M112" i="1"/>
  <c r="C300" i="1"/>
  <c r="C349" i="1"/>
  <c r="M226" i="1"/>
  <c r="C26" i="1"/>
  <c r="C356" i="1"/>
  <c r="E319" i="1"/>
  <c r="AK319" i="1" s="1"/>
  <c r="E391" i="1"/>
  <c r="AK391" i="1" s="1"/>
  <c r="G439" i="1"/>
  <c r="H439" i="1" s="1"/>
  <c r="J439" i="1" s="1"/>
  <c r="M311" i="1"/>
  <c r="M323" i="1"/>
  <c r="E777" i="1"/>
  <c r="AK777" i="1" s="1"/>
  <c r="M1000" i="1"/>
  <c r="E813" i="1"/>
  <c r="AK813" i="1" s="1"/>
  <c r="M908" i="1"/>
  <c r="G991" i="1"/>
  <c r="H991" i="1" s="1"/>
  <c r="J991" i="1" s="1"/>
  <c r="Q991" i="1" s="1"/>
  <c r="G1010" i="1"/>
  <c r="H1010" i="1" s="1"/>
  <c r="J1010" i="1" s="1"/>
  <c r="M962" i="1"/>
  <c r="G718" i="1"/>
  <c r="H718" i="1" s="1"/>
  <c r="J718" i="1" s="1"/>
  <c r="C860" i="1"/>
  <c r="M928" i="1"/>
  <c r="G896" i="1"/>
  <c r="H896" i="1" s="1"/>
  <c r="J896" i="1" s="1"/>
  <c r="G864" i="1"/>
  <c r="H864" i="1" s="1"/>
  <c r="J864" i="1" s="1"/>
  <c r="Q864" i="1" s="1"/>
  <c r="G831" i="1"/>
  <c r="H831" i="1" s="1"/>
  <c r="J831" i="1" s="1"/>
  <c r="G799" i="1"/>
  <c r="H799" i="1" s="1"/>
  <c r="J799" i="1" s="1"/>
  <c r="G768" i="1"/>
  <c r="H768" i="1" s="1"/>
  <c r="J768" i="1" s="1"/>
  <c r="G734" i="1"/>
  <c r="H734" i="1" s="1"/>
  <c r="J734" i="1" s="1"/>
  <c r="K734" i="1" s="1"/>
  <c r="C681" i="1"/>
  <c r="M697" i="1"/>
  <c r="E665" i="1"/>
  <c r="AK665" i="1" s="1"/>
  <c r="E617" i="1"/>
  <c r="AK617" i="1" s="1"/>
  <c r="E584" i="1"/>
  <c r="AK584" i="1" s="1"/>
  <c r="M553" i="1"/>
  <c r="E521" i="1"/>
  <c r="AK521" i="1" s="1"/>
  <c r="M627" i="1"/>
  <c r="E611" i="1"/>
  <c r="AK611" i="1" s="1"/>
  <c r="C388" i="1"/>
  <c r="C148" i="1"/>
  <c r="M741" i="1"/>
  <c r="E904" i="1"/>
  <c r="AK904" i="1" s="1"/>
  <c r="M967" i="1"/>
  <c r="G1029" i="1"/>
  <c r="H1029" i="1" s="1"/>
  <c r="J1029" i="1" s="1"/>
  <c r="E1013" i="1"/>
  <c r="AK1013" i="1" s="1"/>
  <c r="C585" i="1"/>
  <c r="C684" i="1"/>
  <c r="C318" i="1"/>
  <c r="C357" i="1"/>
  <c r="C506" i="1"/>
  <c r="C640" i="1"/>
  <c r="C363" i="1"/>
  <c r="C230" i="1"/>
  <c r="C58" i="1"/>
  <c r="C434" i="1"/>
  <c r="C564" i="1"/>
  <c r="C547" i="1"/>
  <c r="C81" i="1"/>
  <c r="C554" i="1"/>
  <c r="C522" i="1"/>
  <c r="M75" i="1"/>
  <c r="G116" i="1"/>
  <c r="H116" i="1" s="1"/>
  <c r="J116" i="1" s="1"/>
  <c r="E148" i="1"/>
  <c r="AK148" i="1" s="1"/>
  <c r="M236" i="1"/>
  <c r="E252" i="1"/>
  <c r="AK252" i="1" s="1"/>
  <c r="E283" i="1"/>
  <c r="AK283" i="1" s="1"/>
  <c r="E300" i="1"/>
  <c r="AK300" i="1" s="1"/>
  <c r="G349" i="1"/>
  <c r="H349" i="1" s="1"/>
  <c r="J349" i="1" s="1"/>
  <c r="E356" i="1"/>
  <c r="AK356" i="1" s="1"/>
  <c r="E400" i="1"/>
  <c r="AK400" i="1" s="1"/>
  <c r="M460" i="1"/>
  <c r="E564" i="1"/>
  <c r="AK564" i="1" s="1"/>
  <c r="M585" i="1"/>
  <c r="G588" i="1"/>
  <c r="H588" i="1" s="1"/>
  <c r="J588" i="1" s="1"/>
  <c r="G632" i="1"/>
  <c r="H632" i="1" s="1"/>
  <c r="J632" i="1" s="1"/>
  <c r="K632" i="1" s="1"/>
  <c r="E681" i="1"/>
  <c r="AK681" i="1" s="1"/>
  <c r="E684" i="1"/>
  <c r="AK684" i="1" s="1"/>
  <c r="E812" i="1"/>
  <c r="AK812" i="1" s="1"/>
  <c r="C36" i="1"/>
  <c r="C86" i="1"/>
  <c r="C370" i="1"/>
  <c r="C65" i="1"/>
  <c r="C928" i="1"/>
  <c r="C515" i="1"/>
  <c r="E26" i="1"/>
  <c r="AK26" i="1" s="1"/>
  <c r="G81" i="1"/>
  <c r="H81" i="1" s="1"/>
  <c r="J81" i="1" s="1"/>
  <c r="Q81" i="1" s="1"/>
  <c r="M105" i="1"/>
  <c r="E121" i="1"/>
  <c r="AK121" i="1" s="1"/>
  <c r="E390" i="1"/>
  <c r="AK390" i="1" s="1"/>
  <c r="E456" i="1"/>
  <c r="AK456" i="1" s="1"/>
  <c r="E489" i="1"/>
  <c r="AK489" i="1" s="1"/>
  <c r="C311" i="1"/>
  <c r="C831" i="1"/>
  <c r="C834" i="1"/>
  <c r="C683" i="1"/>
  <c r="C570" i="1"/>
  <c r="M185" i="1"/>
  <c r="G234" i="1"/>
  <c r="H234" i="1" s="1"/>
  <c r="J234" i="1" s="1"/>
  <c r="Q234" i="1" s="1"/>
  <c r="E331" i="1"/>
  <c r="AK331" i="1" s="1"/>
  <c r="G358" i="1"/>
  <c r="H358" i="1" s="1"/>
  <c r="J358" i="1" s="1"/>
  <c r="M422" i="1"/>
  <c r="E446" i="1"/>
  <c r="AK446" i="1" s="1"/>
  <c r="M522" i="1"/>
  <c r="M619" i="1"/>
  <c r="M714" i="1"/>
  <c r="E754" i="1"/>
  <c r="AK754" i="1" s="1"/>
  <c r="M882" i="1"/>
  <c r="M914" i="1"/>
  <c r="G1038" i="1"/>
  <c r="H1038" i="1" s="1"/>
  <c r="J1038" i="1" s="1"/>
  <c r="Q1038" i="1" s="1"/>
  <c r="M43" i="1"/>
  <c r="M25" i="1"/>
  <c r="M67" i="1"/>
  <c r="G82" i="1"/>
  <c r="H82" i="1" s="1"/>
  <c r="J82" i="1" s="1"/>
  <c r="Q82" i="1" s="1"/>
  <c r="G1041" i="1"/>
  <c r="H1041" i="1" s="1"/>
  <c r="J1041" i="1" s="1"/>
  <c r="G46" i="1"/>
  <c r="H46" i="1" s="1"/>
  <c r="J46" i="1" s="1"/>
  <c r="K46" i="1" s="1"/>
  <c r="G56" i="1"/>
  <c r="H56" i="1" s="1"/>
  <c r="J56" i="1" s="1"/>
  <c r="M31" i="1"/>
  <c r="E71" i="1"/>
  <c r="AK71" i="1" s="1"/>
  <c r="G1039" i="1"/>
  <c r="H1039" i="1" s="1"/>
  <c r="J1039" i="1" s="1"/>
  <c r="K1039" i="1" s="1"/>
  <c r="L1039" i="1" s="1"/>
  <c r="G90" i="1"/>
  <c r="H90" i="1" s="1"/>
  <c r="J90" i="1" s="1"/>
  <c r="M138" i="1"/>
  <c r="G36" i="1"/>
  <c r="H36" i="1" s="1"/>
  <c r="J36" i="1" s="1"/>
  <c r="M115" i="1"/>
  <c r="M189" i="1"/>
  <c r="M202" i="1"/>
  <c r="C268" i="1"/>
  <c r="M167" i="1"/>
  <c r="E291" i="1"/>
  <c r="AK291" i="1" s="1"/>
  <c r="C298" i="1"/>
  <c r="E152" i="1"/>
  <c r="AK152" i="1" s="1"/>
  <c r="E407" i="1"/>
  <c r="AK407" i="1" s="1"/>
  <c r="M119" i="1"/>
  <c r="C488" i="1"/>
  <c r="E749" i="1"/>
  <c r="AK749" i="1" s="1"/>
  <c r="G940" i="1"/>
  <c r="H940" i="1" s="1"/>
  <c r="J940" i="1" s="1"/>
  <c r="E1012" i="1"/>
  <c r="AK1012" i="1" s="1"/>
  <c r="G994" i="1"/>
  <c r="H994" i="1" s="1"/>
  <c r="J994" i="1" s="1"/>
  <c r="Q994" i="1" s="1"/>
  <c r="M946" i="1"/>
  <c r="C524" i="1"/>
  <c r="C796" i="1"/>
  <c r="C748" i="1"/>
  <c r="G943" i="1"/>
  <c r="H943" i="1" s="1"/>
  <c r="J943" i="1" s="1"/>
  <c r="Q943" i="1" s="1"/>
  <c r="G911" i="1"/>
  <c r="H911" i="1" s="1"/>
  <c r="J911" i="1" s="1"/>
  <c r="K911" i="1" s="1"/>
  <c r="G879" i="1"/>
  <c r="H879" i="1" s="1"/>
  <c r="J879" i="1" s="1"/>
  <c r="G847" i="1"/>
  <c r="H847" i="1" s="1"/>
  <c r="J847" i="1" s="1"/>
  <c r="Q847" i="1" s="1"/>
  <c r="E816" i="1"/>
  <c r="AK816" i="1" s="1"/>
  <c r="G783" i="1"/>
  <c r="H783" i="1" s="1"/>
  <c r="J783" i="1" s="1"/>
  <c r="K783" i="1" s="1"/>
  <c r="G751" i="1"/>
  <c r="H751" i="1" s="1"/>
  <c r="J751" i="1" s="1"/>
  <c r="E729" i="1"/>
  <c r="AK729" i="1" s="1"/>
  <c r="E680" i="1"/>
  <c r="AK680" i="1" s="1"/>
  <c r="G649" i="1"/>
  <c r="H649" i="1" s="1"/>
  <c r="J649" i="1" s="1"/>
  <c r="M633" i="1"/>
  <c r="E602" i="1"/>
  <c r="AK602" i="1" s="1"/>
  <c r="E569" i="1"/>
  <c r="AK569" i="1" s="1"/>
  <c r="M537" i="1"/>
  <c r="M505" i="1"/>
  <c r="C600" i="1"/>
  <c r="M869" i="1"/>
  <c r="E988" i="1"/>
  <c r="AK988" i="1" s="1"/>
  <c r="C648" i="1"/>
  <c r="M785" i="1"/>
  <c r="M901" i="1"/>
  <c r="E949" i="1"/>
  <c r="AK949" i="1" s="1"/>
  <c r="C407" i="1"/>
  <c r="C879" i="1"/>
  <c r="C316" i="1"/>
  <c r="C866" i="1"/>
  <c r="C768" i="1"/>
  <c r="E35" i="1"/>
  <c r="AK35" i="1" s="1"/>
  <c r="M28" i="1"/>
  <c r="E60" i="1"/>
  <c r="AK60" i="1" s="1"/>
  <c r="E144" i="1"/>
  <c r="AK144" i="1" s="1"/>
  <c r="G268" i="1"/>
  <c r="H268" i="1" s="1"/>
  <c r="J268" i="1" s="1"/>
  <c r="E316" i="1"/>
  <c r="AK316" i="1" s="1"/>
  <c r="M349" i="1"/>
  <c r="E388" i="1"/>
  <c r="AK388" i="1" s="1"/>
  <c r="M420" i="1"/>
  <c r="G460" i="1"/>
  <c r="H460" i="1" s="1"/>
  <c r="J460" i="1" s="1"/>
  <c r="M488" i="1"/>
  <c r="E500" i="1"/>
  <c r="AK500" i="1" s="1"/>
  <c r="E512" i="1"/>
  <c r="AK512" i="1" s="1"/>
  <c r="M588" i="1"/>
  <c r="G600" i="1"/>
  <c r="H600" i="1" s="1"/>
  <c r="J600" i="1" s="1"/>
  <c r="K600" i="1" s="1"/>
  <c r="L600" i="1" s="1"/>
  <c r="N600" i="1" s="1"/>
  <c r="O600" i="1" s="1"/>
  <c r="M632" i="1"/>
  <c r="E640" i="1"/>
  <c r="AK640" i="1" s="1"/>
  <c r="G648" i="1"/>
  <c r="H648" i="1" s="1"/>
  <c r="J648" i="1" s="1"/>
  <c r="K648" i="1" s="1"/>
  <c r="L648" i="1" s="1"/>
  <c r="N648" i="1" s="1"/>
  <c r="O648" i="1" s="1"/>
  <c r="G681" i="1"/>
  <c r="H681" i="1" s="1"/>
  <c r="J681" i="1" s="1"/>
  <c r="K681" i="1" s="1"/>
  <c r="E712" i="1"/>
  <c r="AK712" i="1" s="1"/>
  <c r="E732" i="1"/>
  <c r="AK732" i="1" s="1"/>
  <c r="E796" i="1"/>
  <c r="AK796" i="1" s="1"/>
  <c r="E860" i="1"/>
  <c r="AK860" i="1" s="1"/>
  <c r="C41" i="1"/>
  <c r="C55" i="1"/>
  <c r="C323" i="1"/>
  <c r="C391" i="1"/>
  <c r="C864" i="1"/>
  <c r="C751" i="1"/>
  <c r="C851" i="1"/>
  <c r="M61" i="1"/>
  <c r="M81" i="1"/>
  <c r="E89" i="1"/>
  <c r="AK89" i="1" s="1"/>
  <c r="E136" i="1"/>
  <c r="AK136" i="1" s="1"/>
  <c r="E153" i="1"/>
  <c r="AK153" i="1" s="1"/>
  <c r="E230" i="1"/>
  <c r="AK230" i="1" s="1"/>
  <c r="E246" i="1"/>
  <c r="AK246" i="1" s="1"/>
  <c r="G276" i="1"/>
  <c r="H276" i="1" s="1"/>
  <c r="J276" i="1" s="1"/>
  <c r="M293" i="1"/>
  <c r="E309" i="1"/>
  <c r="AK309" i="1" s="1"/>
  <c r="M341" i="1"/>
  <c r="G357" i="1"/>
  <c r="H357" i="1" s="1"/>
  <c r="J357" i="1" s="1"/>
  <c r="Q357" i="1" s="1"/>
  <c r="R357" i="1" s="1"/>
  <c r="E473" i="1"/>
  <c r="AK473" i="1" s="1"/>
  <c r="C112" i="1"/>
  <c r="C708" i="1"/>
  <c r="C994" i="1"/>
  <c r="C802" i="1"/>
  <c r="E182" i="1"/>
  <c r="AK182" i="1" s="1"/>
  <c r="E185" i="1"/>
  <c r="AK185" i="1" s="1"/>
  <c r="G218" i="1"/>
  <c r="H218" i="1" s="1"/>
  <c r="J218" i="1" s="1"/>
  <c r="Q218" i="1" s="1"/>
  <c r="R218" i="1" s="1"/>
  <c r="E266" i="1"/>
  <c r="AK266" i="1" s="1"/>
  <c r="M298" i="1"/>
  <c r="M302" i="1"/>
  <c r="G318" i="1"/>
  <c r="H318" i="1" s="1"/>
  <c r="J318" i="1" s="1"/>
  <c r="K318" i="1" s="1"/>
  <c r="E401" i="1"/>
  <c r="AK401" i="1" s="1"/>
  <c r="M434" i="1"/>
  <c r="G446" i="1"/>
  <c r="H446" i="1" s="1"/>
  <c r="J446" i="1" s="1"/>
  <c r="K446" i="1" s="1"/>
  <c r="M474" i="1"/>
  <c r="G538" i="1"/>
  <c r="H538" i="1" s="1"/>
  <c r="J538" i="1" s="1"/>
  <c r="Q538" i="1" s="1"/>
  <c r="R538" i="1" s="1"/>
  <c r="M570" i="1"/>
  <c r="M634" i="1"/>
  <c r="E666" i="1"/>
  <c r="AK666" i="1" s="1"/>
  <c r="G738" i="1"/>
  <c r="H738" i="1" s="1"/>
  <c r="J738" i="1" s="1"/>
  <c r="Q738" i="1" s="1"/>
  <c r="M770" i="1"/>
  <c r="M802" i="1"/>
  <c r="E834" i="1"/>
  <c r="AK834" i="1" s="1"/>
  <c r="E898" i="1"/>
  <c r="AK898" i="1" s="1"/>
  <c r="C483" i="1"/>
  <c r="C451" i="1"/>
  <c r="G33" i="1"/>
  <c r="H33" i="1" s="1"/>
  <c r="J33" i="1" s="1"/>
  <c r="K33" i="1" s="1"/>
  <c r="E29" i="1"/>
  <c r="AK29" i="1" s="1"/>
  <c r="E59" i="1"/>
  <c r="AK59" i="1" s="1"/>
  <c r="G76" i="1"/>
  <c r="H76" i="1" s="1"/>
  <c r="J76" i="1" s="1"/>
  <c r="Q76" i="1" s="1"/>
  <c r="G40" i="1"/>
  <c r="H40" i="1" s="1"/>
  <c r="J40" i="1" s="1"/>
  <c r="G32" i="1"/>
  <c r="H32" i="1" s="1"/>
  <c r="J32" i="1" s="1"/>
  <c r="Q32" i="1" s="1"/>
  <c r="G70" i="1"/>
  <c r="H70" i="1" s="1"/>
  <c r="J70" i="1" s="1"/>
  <c r="M141" i="1"/>
  <c r="E37" i="1"/>
  <c r="AK37" i="1" s="1"/>
  <c r="G93" i="1"/>
  <c r="H93" i="1" s="1"/>
  <c r="J93" i="1" s="1"/>
  <c r="Q93" i="1" s="1"/>
  <c r="C110" i="1"/>
  <c r="G125" i="1"/>
  <c r="H125" i="1" s="1"/>
  <c r="J125" i="1" s="1"/>
  <c r="Q125" i="1" s="1"/>
  <c r="M142" i="1"/>
  <c r="G158" i="1"/>
  <c r="H158" i="1" s="1"/>
  <c r="J158" i="1" s="1"/>
  <c r="K158" i="1" s="1"/>
  <c r="G39" i="1"/>
  <c r="H39" i="1" s="1"/>
  <c r="J39" i="1" s="1"/>
  <c r="M92" i="1"/>
  <c r="G123" i="1"/>
  <c r="H123" i="1" s="1"/>
  <c r="J123" i="1" s="1"/>
  <c r="E155" i="1"/>
  <c r="AK155" i="1" s="1"/>
  <c r="E177" i="1"/>
  <c r="AK177" i="1" s="1"/>
  <c r="M193" i="1"/>
  <c r="M209" i="1"/>
  <c r="C34" i="1"/>
  <c r="C88" i="1"/>
  <c r="C120" i="1"/>
  <c r="E151" i="1"/>
  <c r="AK151" i="1" s="1"/>
  <c r="M176" i="1"/>
  <c r="M192" i="1"/>
  <c r="C208" i="1"/>
  <c r="G179" i="1"/>
  <c r="H179" i="1" s="1"/>
  <c r="J179" i="1" s="1"/>
  <c r="Q179" i="1" s="1"/>
  <c r="G233" i="1"/>
  <c r="H233" i="1" s="1"/>
  <c r="J233" i="1" s="1"/>
  <c r="Q233" i="1" s="1"/>
  <c r="E249" i="1"/>
  <c r="AK249" i="1" s="1"/>
  <c r="G265" i="1"/>
  <c r="H265" i="1" s="1"/>
  <c r="J265" i="1" s="1"/>
  <c r="E313" i="1"/>
  <c r="AK313" i="1" s="1"/>
  <c r="C329" i="1"/>
  <c r="C345" i="1"/>
  <c r="G91" i="1"/>
  <c r="H91" i="1" s="1"/>
  <c r="J91" i="1" s="1"/>
  <c r="Q91" i="1" s="1"/>
  <c r="G194" i="1"/>
  <c r="H194" i="1" s="1"/>
  <c r="J194" i="1" s="1"/>
  <c r="Q194" i="1" s="1"/>
  <c r="M224" i="1"/>
  <c r="C240" i="1"/>
  <c r="C256" i="1"/>
  <c r="C272" i="1"/>
  <c r="E288" i="1"/>
  <c r="AK288" i="1" s="1"/>
  <c r="C304" i="1"/>
  <c r="G320" i="1"/>
  <c r="H320" i="1" s="1"/>
  <c r="J320" i="1" s="1"/>
  <c r="G335" i="1"/>
  <c r="H335" i="1" s="1"/>
  <c r="J335" i="1" s="1"/>
  <c r="M183" i="1"/>
  <c r="M235" i="1"/>
  <c r="M299" i="1"/>
  <c r="E100" i="1"/>
  <c r="AK100" i="1" s="1"/>
  <c r="C242" i="1"/>
  <c r="E361" i="1"/>
  <c r="AK361" i="1" s="1"/>
  <c r="C190" i="1"/>
  <c r="G271" i="1"/>
  <c r="H271" i="1" s="1"/>
  <c r="J271" i="1" s="1"/>
  <c r="K271" i="1" s="1"/>
  <c r="G330" i="1"/>
  <c r="H330" i="1" s="1"/>
  <c r="J330" i="1" s="1"/>
  <c r="Q330" i="1" s="1"/>
  <c r="C362" i="1"/>
  <c r="E379" i="1"/>
  <c r="AK379" i="1" s="1"/>
  <c r="C395" i="1"/>
  <c r="M410" i="1"/>
  <c r="C427" i="1"/>
  <c r="M443" i="1"/>
  <c r="E175" i="1"/>
  <c r="AK175" i="1" s="1"/>
  <c r="C263" i="1"/>
  <c r="C327" i="1"/>
  <c r="M377" i="1"/>
  <c r="M409" i="1"/>
  <c r="M441" i="1"/>
  <c r="C191" i="1"/>
  <c r="M326" i="1"/>
  <c r="G353" i="1"/>
  <c r="H353" i="1" s="1"/>
  <c r="J353" i="1" s="1"/>
  <c r="K353" i="1" s="1"/>
  <c r="C552" i="1"/>
  <c r="G728" i="1"/>
  <c r="H728" i="1" s="1"/>
  <c r="J728" i="1" s="1"/>
  <c r="C793" i="1"/>
  <c r="C857" i="1"/>
  <c r="C929" i="1"/>
  <c r="E984" i="1"/>
  <c r="AK984" i="1" s="1"/>
  <c r="M677" i="1"/>
  <c r="C765" i="1"/>
  <c r="M884" i="1"/>
  <c r="G916" i="1"/>
  <c r="H916" i="1" s="1"/>
  <c r="J916" i="1" s="1"/>
  <c r="E948" i="1"/>
  <c r="AK948" i="1" s="1"/>
  <c r="C974" i="1"/>
  <c r="C996" i="1"/>
  <c r="E1017" i="1"/>
  <c r="AK1017" i="1" s="1"/>
  <c r="C1034" i="1"/>
  <c r="M1006" i="1"/>
  <c r="M975" i="1"/>
  <c r="E926" i="1"/>
  <c r="AK926" i="1" s="1"/>
  <c r="E910" i="1"/>
  <c r="AK910" i="1" s="1"/>
  <c r="M878" i="1"/>
  <c r="M846" i="1"/>
  <c r="C711" i="1"/>
  <c r="M679" i="1"/>
  <c r="G636" i="1"/>
  <c r="H636" i="1" s="1"/>
  <c r="J636" i="1" s="1"/>
  <c r="Q636" i="1" s="1"/>
  <c r="G573" i="1"/>
  <c r="H573" i="1" s="1"/>
  <c r="J573" i="1" s="1"/>
  <c r="Q573" i="1" s="1"/>
  <c r="M508" i="1"/>
  <c r="G856" i="1"/>
  <c r="H856" i="1" s="1"/>
  <c r="J856" i="1" s="1"/>
  <c r="Q856" i="1" s="1"/>
  <c r="G840" i="1"/>
  <c r="H840" i="1" s="1"/>
  <c r="J840" i="1" s="1"/>
  <c r="K840" i="1" s="1"/>
  <c r="G808" i="1"/>
  <c r="H808" i="1" s="1"/>
  <c r="J808" i="1" s="1"/>
  <c r="K808" i="1" s="1"/>
  <c r="G776" i="1"/>
  <c r="H776" i="1" s="1"/>
  <c r="J776" i="1" s="1"/>
  <c r="G760" i="1"/>
  <c r="H760" i="1" s="1"/>
  <c r="J760" i="1" s="1"/>
  <c r="Q760" i="1" s="1"/>
  <c r="E744" i="1"/>
  <c r="AK744" i="1" s="1"/>
  <c r="C727" i="1"/>
  <c r="C699" i="1"/>
  <c r="G667" i="1"/>
  <c r="H667" i="1" s="1"/>
  <c r="J667" i="1" s="1"/>
  <c r="K667" i="1" s="1"/>
  <c r="M612" i="1"/>
  <c r="M548" i="1"/>
  <c r="C484" i="1"/>
  <c r="E955" i="1"/>
  <c r="AK955" i="1" s="1"/>
  <c r="G939" i="1"/>
  <c r="H939" i="1" s="1"/>
  <c r="J939" i="1" s="1"/>
  <c r="K939" i="1" s="1"/>
  <c r="M923" i="1"/>
  <c r="M204" i="1"/>
  <c r="G171" i="1"/>
  <c r="H171" i="1" s="1"/>
  <c r="J171" i="1" s="1"/>
  <c r="K171" i="1" s="1"/>
  <c r="C139" i="1"/>
  <c r="C236" i="1"/>
  <c r="C332" i="1"/>
  <c r="M259" i="1"/>
  <c r="C234" i="1"/>
  <c r="E255" i="1"/>
  <c r="AK255" i="1" s="1"/>
  <c r="C375" i="1"/>
  <c r="C423" i="1"/>
  <c r="E247" i="1"/>
  <c r="AK247" i="1" s="1"/>
  <c r="C700" i="1"/>
  <c r="E890" i="1"/>
  <c r="AK890" i="1" s="1"/>
  <c r="C979" i="1"/>
  <c r="M1044" i="1"/>
  <c r="M876" i="1"/>
  <c r="E969" i="1"/>
  <c r="AK969" i="1" s="1"/>
  <c r="G1030" i="1"/>
  <c r="H1030" i="1" s="1"/>
  <c r="J1030" i="1" s="1"/>
  <c r="K1030" i="1" s="1"/>
  <c r="E978" i="1"/>
  <c r="AK978" i="1" s="1"/>
  <c r="G930" i="1"/>
  <c r="H930" i="1" s="1"/>
  <c r="J930" i="1" s="1"/>
  <c r="Q930" i="1" s="1"/>
  <c r="G959" i="1"/>
  <c r="H959" i="1" s="1"/>
  <c r="J959" i="1" s="1"/>
  <c r="Q959" i="1" s="1"/>
  <c r="E713" i="1"/>
  <c r="AK713" i="1" s="1"/>
  <c r="E804" i="1"/>
  <c r="AK804" i="1" s="1"/>
  <c r="M936" i="1"/>
  <c r="M1009" i="1"/>
  <c r="M909" i="1"/>
  <c r="E957" i="1"/>
  <c r="AK957" i="1" s="1"/>
  <c r="M1008" i="1"/>
  <c r="C78" i="1"/>
  <c r="M116" i="1"/>
  <c r="G252" i="1"/>
  <c r="H252" i="1" s="1"/>
  <c r="J252" i="1" s="1"/>
  <c r="G356" i="1"/>
  <c r="H356" i="1" s="1"/>
  <c r="J356" i="1" s="1"/>
  <c r="M576" i="1"/>
  <c r="M764" i="1"/>
  <c r="C116" i="1"/>
  <c r="C283" i="1"/>
  <c r="C152" i="1"/>
  <c r="C354" i="1"/>
  <c r="C276" i="1"/>
  <c r="C627" i="1"/>
  <c r="C611" i="1"/>
  <c r="C499" i="1"/>
  <c r="C121" i="1"/>
  <c r="C930" i="1"/>
  <c r="C601" i="1"/>
  <c r="C967" i="1"/>
  <c r="M35" i="1"/>
  <c r="G28" i="1"/>
  <c r="H28" i="1" s="1"/>
  <c r="J28" i="1" s="1"/>
  <c r="E75" i="1"/>
  <c r="AK75" i="1" s="1"/>
  <c r="E116" i="1"/>
  <c r="AK116" i="1" s="1"/>
  <c r="E139" i="1"/>
  <c r="AK139" i="1" s="1"/>
  <c r="M148" i="1"/>
  <c r="M220" i="1"/>
  <c r="M300" i="1"/>
  <c r="M316" i="1"/>
  <c r="G332" i="1"/>
  <c r="H332" i="1" s="1"/>
  <c r="J332" i="1" s="1"/>
  <c r="Q332" i="1" s="1"/>
  <c r="R332" i="1" s="1"/>
  <c r="E368" i="1"/>
  <c r="AK368" i="1" s="1"/>
  <c r="G388" i="1"/>
  <c r="H388" i="1" s="1"/>
  <c r="J388" i="1" s="1"/>
  <c r="M400" i="1"/>
  <c r="G420" i="1"/>
  <c r="H420" i="1" s="1"/>
  <c r="J420" i="1" s="1"/>
  <c r="Q420" i="1" s="1"/>
  <c r="E432" i="1"/>
  <c r="AK432" i="1" s="1"/>
  <c r="E488" i="1"/>
  <c r="AK488" i="1" s="1"/>
  <c r="G500" i="1"/>
  <c r="H500" i="1" s="1"/>
  <c r="J500" i="1" s="1"/>
  <c r="K500" i="1" s="1"/>
  <c r="L500" i="1" s="1"/>
  <c r="N500" i="1" s="1"/>
  <c r="O500" i="1" s="1"/>
  <c r="M512" i="1"/>
  <c r="M524" i="1"/>
  <c r="M564" i="1"/>
  <c r="G576" i="1"/>
  <c r="H576" i="1" s="1"/>
  <c r="J576" i="1" s="1"/>
  <c r="K576" i="1" s="1"/>
  <c r="L576" i="1" s="1"/>
  <c r="G585" i="1"/>
  <c r="H585" i="1" s="1"/>
  <c r="J585" i="1" s="1"/>
  <c r="K585" i="1" s="1"/>
  <c r="L585" i="1" s="1"/>
  <c r="E588" i="1"/>
  <c r="AK588" i="1" s="1"/>
  <c r="E628" i="1"/>
  <c r="AK628" i="1" s="1"/>
  <c r="E632" i="1"/>
  <c r="AK632" i="1" s="1"/>
  <c r="M640" i="1"/>
  <c r="M652" i="1"/>
  <c r="M684" i="1"/>
  <c r="G700" i="1"/>
  <c r="H700" i="1" s="1"/>
  <c r="J700" i="1" s="1"/>
  <c r="G712" i="1"/>
  <c r="H712" i="1" s="1"/>
  <c r="J712" i="1" s="1"/>
  <c r="Q712" i="1" s="1"/>
  <c r="R712" i="1" s="1"/>
  <c r="G732" i="1"/>
  <c r="H732" i="1" s="1"/>
  <c r="J732" i="1" s="1"/>
  <c r="M748" i="1"/>
  <c r="G764" i="1"/>
  <c r="H764" i="1" s="1"/>
  <c r="J764" i="1" s="1"/>
  <c r="K764" i="1" s="1"/>
  <c r="L764" i="1" s="1"/>
  <c r="M779" i="1"/>
  <c r="G796" i="1"/>
  <c r="H796" i="1" s="1"/>
  <c r="J796" i="1" s="1"/>
  <c r="K796" i="1" s="1"/>
  <c r="G812" i="1"/>
  <c r="H812" i="1" s="1"/>
  <c r="J812" i="1" s="1"/>
  <c r="K812" i="1" s="1"/>
  <c r="G829" i="1"/>
  <c r="H829" i="1" s="1"/>
  <c r="J829" i="1" s="1"/>
  <c r="M844" i="1"/>
  <c r="G860" i="1"/>
  <c r="H860" i="1" s="1"/>
  <c r="J860" i="1" s="1"/>
  <c r="Q860" i="1" s="1"/>
  <c r="C1039" i="1"/>
  <c r="C61" i="1"/>
  <c r="C185" i="1"/>
  <c r="C136" i="1"/>
  <c r="C421" i="1"/>
  <c r="C816" i="1"/>
  <c r="C896" i="1"/>
  <c r="C458" i="1"/>
  <c r="C586" i="1"/>
  <c r="C882" i="1"/>
  <c r="C946" i="1"/>
  <c r="M26" i="1"/>
  <c r="M65" i="1"/>
  <c r="E81" i="1"/>
  <c r="AK81" i="1" s="1"/>
  <c r="G89" i="1"/>
  <c r="H89" i="1" s="1"/>
  <c r="J89" i="1" s="1"/>
  <c r="M121" i="1"/>
  <c r="M136" i="1"/>
  <c r="G153" i="1"/>
  <c r="H153" i="1" s="1"/>
  <c r="J153" i="1" s="1"/>
  <c r="G230" i="1"/>
  <c r="H230" i="1" s="1"/>
  <c r="J230" i="1" s="1"/>
  <c r="Q230" i="1" s="1"/>
  <c r="R230" i="1" s="1"/>
  <c r="G246" i="1"/>
  <c r="H246" i="1" s="1"/>
  <c r="J246" i="1" s="1"/>
  <c r="K246" i="1" s="1"/>
  <c r="G261" i="1"/>
  <c r="H261" i="1" s="1"/>
  <c r="J261" i="1" s="1"/>
  <c r="Q261" i="1" s="1"/>
  <c r="R261" i="1" s="1"/>
  <c r="E276" i="1"/>
  <c r="AK276" i="1" s="1"/>
  <c r="G293" i="1"/>
  <c r="H293" i="1" s="1"/>
  <c r="J293" i="1" s="1"/>
  <c r="Q293" i="1" s="1"/>
  <c r="R293" i="1" s="1"/>
  <c r="G309" i="1"/>
  <c r="H309" i="1" s="1"/>
  <c r="J309" i="1" s="1"/>
  <c r="Q309" i="1" s="1"/>
  <c r="R309" i="1" s="1"/>
  <c r="G325" i="1"/>
  <c r="H325" i="1" s="1"/>
  <c r="J325" i="1" s="1"/>
  <c r="Q325" i="1" s="1"/>
  <c r="R325" i="1" s="1"/>
  <c r="G341" i="1"/>
  <c r="H341" i="1" s="1"/>
  <c r="J341" i="1" s="1"/>
  <c r="G373" i="1"/>
  <c r="H373" i="1" s="1"/>
  <c r="J373" i="1" s="1"/>
  <c r="G390" i="1"/>
  <c r="H390" i="1" s="1"/>
  <c r="J390" i="1" s="1"/>
  <c r="K390" i="1" s="1"/>
  <c r="G405" i="1"/>
  <c r="H405" i="1" s="1"/>
  <c r="J405" i="1" s="1"/>
  <c r="Q405" i="1" s="1"/>
  <c r="R405" i="1" s="1"/>
  <c r="M421" i="1"/>
  <c r="G437" i="1"/>
  <c r="H437" i="1" s="1"/>
  <c r="J437" i="1" s="1"/>
  <c r="Q437" i="1" s="1"/>
  <c r="M456" i="1"/>
  <c r="G473" i="1"/>
  <c r="H473" i="1" s="1"/>
  <c r="J473" i="1" s="1"/>
  <c r="K473" i="1" s="1"/>
  <c r="M489" i="1"/>
  <c r="C182" i="1"/>
  <c r="C167" i="1"/>
  <c r="C266" i="1"/>
  <c r="C786" i="1"/>
  <c r="C818" i="1"/>
  <c r="G182" i="1"/>
  <c r="H182" i="1" s="1"/>
  <c r="J182" i="1" s="1"/>
  <c r="M221" i="1"/>
  <c r="E234" i="1"/>
  <c r="AK234" i="1" s="1"/>
  <c r="G266" i="1"/>
  <c r="H266" i="1" s="1"/>
  <c r="J266" i="1" s="1"/>
  <c r="K266" i="1" s="1"/>
  <c r="L266" i="1" s="1"/>
  <c r="N266" i="1" s="1"/>
  <c r="O266" i="1" s="1"/>
  <c r="E298" i="1"/>
  <c r="AK298" i="1" s="1"/>
  <c r="G302" i="1"/>
  <c r="H302" i="1" s="1"/>
  <c r="J302" i="1" s="1"/>
  <c r="K302" i="1" s="1"/>
  <c r="L302" i="1" s="1"/>
  <c r="N302" i="1" s="1"/>
  <c r="O302" i="1" s="1"/>
  <c r="M354" i="1"/>
  <c r="E358" i="1"/>
  <c r="AK358" i="1" s="1"/>
  <c r="G370" i="1"/>
  <c r="H370" i="1" s="1"/>
  <c r="J370" i="1" s="1"/>
  <c r="Q370" i="1" s="1"/>
  <c r="G401" i="1"/>
  <c r="H401" i="1" s="1"/>
  <c r="J401" i="1" s="1"/>
  <c r="K401" i="1" s="1"/>
  <c r="E422" i="1"/>
  <c r="AK422" i="1" s="1"/>
  <c r="E434" i="1"/>
  <c r="AK434" i="1" s="1"/>
  <c r="E458" i="1"/>
  <c r="AK458" i="1" s="1"/>
  <c r="G474" i="1"/>
  <c r="H474" i="1" s="1"/>
  <c r="J474" i="1" s="1"/>
  <c r="K474" i="1" s="1"/>
  <c r="L474" i="1" s="1"/>
  <c r="M490" i="1"/>
  <c r="G506" i="1"/>
  <c r="H506" i="1" s="1"/>
  <c r="J506" i="1" s="1"/>
  <c r="K506" i="1" s="1"/>
  <c r="L506" i="1" s="1"/>
  <c r="N506" i="1" s="1"/>
  <c r="O506" i="1" s="1"/>
  <c r="E522" i="1"/>
  <c r="AK522" i="1" s="1"/>
  <c r="M538" i="1"/>
  <c r="M554" i="1"/>
  <c r="G570" i="1"/>
  <c r="H570" i="1" s="1"/>
  <c r="J570" i="1" s="1"/>
  <c r="Q570" i="1" s="1"/>
  <c r="R570" i="1" s="1"/>
  <c r="M586" i="1"/>
  <c r="G601" i="1"/>
  <c r="H601" i="1" s="1"/>
  <c r="J601" i="1" s="1"/>
  <c r="K601" i="1" s="1"/>
  <c r="L601" i="1" s="1"/>
  <c r="N601" i="1" s="1"/>
  <c r="O601" i="1" s="1"/>
  <c r="E619" i="1"/>
  <c r="AK619" i="1" s="1"/>
  <c r="E634" i="1"/>
  <c r="AK634" i="1" s="1"/>
  <c r="E650" i="1"/>
  <c r="AK650" i="1" s="1"/>
  <c r="G666" i="1"/>
  <c r="H666" i="1" s="1"/>
  <c r="J666" i="1" s="1"/>
  <c r="Q666" i="1" s="1"/>
  <c r="G683" i="1"/>
  <c r="H683" i="1" s="1"/>
  <c r="J683" i="1" s="1"/>
  <c r="K683" i="1" s="1"/>
  <c r="L683" i="1" s="1"/>
  <c r="N683" i="1" s="1"/>
  <c r="O683" i="1" s="1"/>
  <c r="G698" i="1"/>
  <c r="H698" i="1" s="1"/>
  <c r="J698" i="1" s="1"/>
  <c r="Q698" i="1" s="1"/>
  <c r="R698" i="1" s="1"/>
  <c r="E714" i="1"/>
  <c r="AK714" i="1" s="1"/>
  <c r="E738" i="1"/>
  <c r="AK738" i="1" s="1"/>
  <c r="M754" i="1"/>
  <c r="G770" i="1"/>
  <c r="H770" i="1" s="1"/>
  <c r="J770" i="1" s="1"/>
  <c r="K770" i="1" s="1"/>
  <c r="L770" i="1" s="1"/>
  <c r="N770" i="1" s="1"/>
  <c r="O770" i="1" s="1"/>
  <c r="M786" i="1"/>
  <c r="G802" i="1"/>
  <c r="H802" i="1" s="1"/>
  <c r="J802" i="1" s="1"/>
  <c r="K802" i="1" s="1"/>
  <c r="L802" i="1" s="1"/>
  <c r="N802" i="1" s="1"/>
  <c r="O802" i="1" s="1"/>
  <c r="M818" i="1"/>
  <c r="G834" i="1"/>
  <c r="H834" i="1" s="1"/>
  <c r="J834" i="1" s="1"/>
  <c r="K834" i="1" s="1"/>
  <c r="M851" i="1"/>
  <c r="G866" i="1"/>
  <c r="H866" i="1" s="1"/>
  <c r="J866" i="1" s="1"/>
  <c r="K866" i="1" s="1"/>
  <c r="E882" i="1"/>
  <c r="AK882" i="1" s="1"/>
  <c r="G898" i="1"/>
  <c r="H898" i="1" s="1"/>
  <c r="J898" i="1" s="1"/>
  <c r="Q898" i="1" s="1"/>
  <c r="R898" i="1" s="1"/>
  <c r="E914" i="1"/>
  <c r="AK914" i="1" s="1"/>
  <c r="C579" i="1"/>
  <c r="C531" i="1"/>
  <c r="E363" i="1"/>
  <c r="AK363" i="1" s="1"/>
  <c r="E451" i="1"/>
  <c r="AK451" i="1" s="1"/>
  <c r="M467" i="1"/>
  <c r="E483" i="1"/>
  <c r="AK483" i="1" s="1"/>
  <c r="M499" i="1"/>
  <c r="M515" i="1"/>
  <c r="E531" i="1"/>
  <c r="AK531" i="1" s="1"/>
  <c r="E547" i="1"/>
  <c r="AK547" i="1" s="1"/>
  <c r="E563" i="1"/>
  <c r="AK563" i="1" s="1"/>
  <c r="E579" i="1"/>
  <c r="AK579" i="1" s="1"/>
  <c r="M597" i="1"/>
  <c r="G1037" i="1"/>
  <c r="H1037" i="1" s="1"/>
  <c r="J1037" i="1" s="1"/>
  <c r="Q1037" i="1" s="1"/>
  <c r="G49" i="1"/>
  <c r="H49" i="1" s="1"/>
  <c r="J49" i="1" s="1"/>
  <c r="G38" i="1"/>
  <c r="H38" i="1" s="1"/>
  <c r="J38" i="1" s="1"/>
  <c r="G44" i="1"/>
  <c r="H44" i="1" s="1"/>
  <c r="J44" i="1" s="1"/>
  <c r="Q44" i="1" s="1"/>
  <c r="G52" i="1"/>
  <c r="H52" i="1" s="1"/>
  <c r="J52" i="1" s="1"/>
  <c r="G68" i="1"/>
  <c r="H68" i="1" s="1"/>
  <c r="J68" i="1" s="1"/>
  <c r="Q68" i="1" s="1"/>
  <c r="G84" i="1"/>
  <c r="H84" i="1" s="1"/>
  <c r="J84" i="1" s="1"/>
  <c r="K84" i="1" s="1"/>
  <c r="G146" i="1"/>
  <c r="H146" i="1" s="1"/>
  <c r="J146" i="1" s="1"/>
  <c r="Q146" i="1" s="1"/>
  <c r="E74" i="1"/>
  <c r="AK74" i="1" s="1"/>
  <c r="M113" i="1"/>
  <c r="E145" i="1"/>
  <c r="AK145" i="1" s="1"/>
  <c r="C161" i="1"/>
  <c r="M27" i="1"/>
  <c r="G99" i="1"/>
  <c r="H99" i="1" s="1"/>
  <c r="J99" i="1" s="1"/>
  <c r="Q99" i="1" s="1"/>
  <c r="G131" i="1"/>
  <c r="H131" i="1" s="1"/>
  <c r="J131" i="1" s="1"/>
  <c r="E162" i="1"/>
  <c r="AK162" i="1" s="1"/>
  <c r="G197" i="1"/>
  <c r="H197" i="1" s="1"/>
  <c r="J197" i="1" s="1"/>
  <c r="C213" i="1"/>
  <c r="M30" i="1"/>
  <c r="C96" i="1"/>
  <c r="M160" i="1"/>
  <c r="M69" i="1"/>
  <c r="M143" i="1"/>
  <c r="G187" i="1"/>
  <c r="H187" i="1" s="1"/>
  <c r="J187" i="1" s="1"/>
  <c r="Q187" i="1" s="1"/>
  <c r="E219" i="1"/>
  <c r="AK219" i="1" s="1"/>
  <c r="G253" i="1"/>
  <c r="H253" i="1" s="1"/>
  <c r="J253" i="1" s="1"/>
  <c r="K253" i="1" s="1"/>
  <c r="G269" i="1"/>
  <c r="H269" i="1" s="1"/>
  <c r="J269" i="1" s="1"/>
  <c r="K269" i="1" s="1"/>
  <c r="E301" i="1"/>
  <c r="AK301" i="1" s="1"/>
  <c r="E334" i="1"/>
  <c r="AK334" i="1" s="1"/>
  <c r="E108" i="1"/>
  <c r="AK108" i="1" s="1"/>
  <c r="M203" i="1"/>
  <c r="M228" i="1"/>
  <c r="C244" i="1"/>
  <c r="E260" i="1"/>
  <c r="AK260" i="1" s="1"/>
  <c r="E277" i="1"/>
  <c r="AK277" i="1" s="1"/>
  <c r="C292" i="1"/>
  <c r="M308" i="1"/>
  <c r="G324" i="1"/>
  <c r="H324" i="1" s="1"/>
  <c r="J324" i="1" s="1"/>
  <c r="Q324" i="1" s="1"/>
  <c r="G103" i="1"/>
  <c r="H103" i="1" s="1"/>
  <c r="J103" i="1" s="1"/>
  <c r="K103" i="1" s="1"/>
  <c r="G199" i="1"/>
  <c r="H199" i="1" s="1"/>
  <c r="J199" i="1" s="1"/>
  <c r="M243" i="1"/>
  <c r="M275" i="1"/>
  <c r="E307" i="1"/>
  <c r="AK307" i="1" s="1"/>
  <c r="G132" i="1"/>
  <c r="H132" i="1" s="1"/>
  <c r="J132" i="1" s="1"/>
  <c r="G250" i="1"/>
  <c r="H250" i="1" s="1"/>
  <c r="J250" i="1" s="1"/>
  <c r="K250" i="1" s="1"/>
  <c r="E282" i="1"/>
  <c r="AK282" i="1" s="1"/>
  <c r="E346" i="1"/>
  <c r="AK346" i="1" s="1"/>
  <c r="G364" i="1"/>
  <c r="H364" i="1" s="1"/>
  <c r="J364" i="1" s="1"/>
  <c r="Q364" i="1" s="1"/>
  <c r="G223" i="1"/>
  <c r="H223" i="1" s="1"/>
  <c r="J223" i="1" s="1"/>
  <c r="M287" i="1"/>
  <c r="E367" i="1"/>
  <c r="AK367" i="1" s="1"/>
  <c r="C383" i="1"/>
  <c r="C399" i="1"/>
  <c r="G415" i="1"/>
  <c r="H415" i="1" s="1"/>
  <c r="J415" i="1" s="1"/>
  <c r="K415" i="1" s="1"/>
  <c r="M431" i="1"/>
  <c r="M447" i="1"/>
  <c r="G207" i="1"/>
  <c r="H207" i="1" s="1"/>
  <c r="J207" i="1" s="1"/>
  <c r="K207" i="1" s="1"/>
  <c r="M279" i="1"/>
  <c r="E336" i="1"/>
  <c r="AK336" i="1" s="1"/>
  <c r="G381" i="1"/>
  <c r="H381" i="1" s="1"/>
  <c r="J381" i="1" s="1"/>
  <c r="K381" i="1" s="1"/>
  <c r="E397" i="1"/>
  <c r="AK397" i="1" s="1"/>
  <c r="E413" i="1"/>
  <c r="AK413" i="1" s="1"/>
  <c r="M429" i="1"/>
  <c r="G445" i="1"/>
  <c r="H445" i="1" s="1"/>
  <c r="J445" i="1" s="1"/>
  <c r="K445" i="1" s="1"/>
  <c r="E239" i="1"/>
  <c r="AK239" i="1" s="1"/>
  <c r="G350" i="1"/>
  <c r="H350" i="1" s="1"/>
  <c r="J350" i="1" s="1"/>
  <c r="K350" i="1" s="1"/>
  <c r="G366" i="1"/>
  <c r="H366" i="1" s="1"/>
  <c r="J366" i="1" s="1"/>
  <c r="G616" i="1"/>
  <c r="H616" i="1" s="1"/>
  <c r="J616" i="1" s="1"/>
  <c r="Q616" i="1" s="1"/>
  <c r="G745" i="1"/>
  <c r="H745" i="1" s="1"/>
  <c r="J745" i="1" s="1"/>
  <c r="Q745" i="1" s="1"/>
  <c r="C809" i="1"/>
  <c r="C905" i="1"/>
  <c r="E937" i="1"/>
  <c r="AK937" i="1" s="1"/>
  <c r="E968" i="1"/>
  <c r="AK968" i="1" s="1"/>
  <c r="M989" i="1"/>
  <c r="M1028" i="1"/>
  <c r="M504" i="1"/>
  <c r="C781" i="1"/>
  <c r="E845" i="1"/>
  <c r="AK845" i="1" s="1"/>
  <c r="C892" i="1"/>
  <c r="M924" i="1"/>
  <c r="C956" i="1"/>
  <c r="C980" i="1"/>
  <c r="C1001" i="1"/>
  <c r="G1019" i="1"/>
  <c r="H1019" i="1" s="1"/>
  <c r="J1019" i="1" s="1"/>
  <c r="K1019" i="1" s="1"/>
  <c r="M1002" i="1"/>
  <c r="E985" i="1"/>
  <c r="AK985" i="1" s="1"/>
  <c r="G970" i="1"/>
  <c r="H970" i="1" s="1"/>
  <c r="J970" i="1" s="1"/>
  <c r="E938" i="1"/>
  <c r="AK938" i="1" s="1"/>
  <c r="M922" i="1"/>
  <c r="G826" i="1"/>
  <c r="H826" i="1" s="1"/>
  <c r="J826" i="1" s="1"/>
  <c r="K826" i="1" s="1"/>
  <c r="G810" i="1"/>
  <c r="H810" i="1" s="1"/>
  <c r="J810" i="1" s="1"/>
  <c r="Q810" i="1" s="1"/>
  <c r="M72" i="1"/>
  <c r="E1040" i="1"/>
  <c r="AK1040" i="1" s="1"/>
  <c r="G53" i="1"/>
  <c r="H53" i="1" s="1"/>
  <c r="J53" i="1" s="1"/>
  <c r="K53" i="1" s="1"/>
  <c r="G85" i="1"/>
  <c r="H85" i="1" s="1"/>
  <c r="J85" i="1" s="1"/>
  <c r="K85" i="1" s="1"/>
  <c r="G102" i="1"/>
  <c r="H102" i="1" s="1"/>
  <c r="J102" i="1" s="1"/>
  <c r="Q102" i="1" s="1"/>
  <c r="G117" i="1"/>
  <c r="H117" i="1" s="1"/>
  <c r="J117" i="1" s="1"/>
  <c r="K117" i="1" s="1"/>
  <c r="G134" i="1"/>
  <c r="H134" i="1" s="1"/>
  <c r="J134" i="1" s="1"/>
  <c r="Q134" i="1" s="1"/>
  <c r="G150" i="1"/>
  <c r="H150" i="1" s="1"/>
  <c r="J150" i="1" s="1"/>
  <c r="Q150" i="1" s="1"/>
  <c r="M166" i="1"/>
  <c r="G51" i="1"/>
  <c r="H51" i="1" s="1"/>
  <c r="J51" i="1" s="1"/>
  <c r="Q51" i="1" s="1"/>
  <c r="M83" i="1"/>
  <c r="G101" i="1"/>
  <c r="H101" i="1" s="1"/>
  <c r="J101" i="1" s="1"/>
  <c r="E118" i="1"/>
  <c r="AK118" i="1" s="1"/>
  <c r="C133" i="1"/>
  <c r="E149" i="1"/>
  <c r="AK149" i="1" s="1"/>
  <c r="C165" i="1"/>
  <c r="M62" i="1"/>
  <c r="M106" i="1"/>
  <c r="E170" i="1"/>
  <c r="AK170" i="1" s="1"/>
  <c r="E186" i="1"/>
  <c r="AK186" i="1" s="1"/>
  <c r="M201" i="1"/>
  <c r="M104" i="1"/>
  <c r="E137" i="1"/>
  <c r="AK137" i="1" s="1"/>
  <c r="C184" i="1"/>
  <c r="C200" i="1"/>
  <c r="E216" i="1"/>
  <c r="AK216" i="1" s="1"/>
  <c r="G251" i="1"/>
  <c r="H251" i="1" s="1"/>
  <c r="J251" i="1" s="1"/>
  <c r="K251" i="1" s="1"/>
  <c r="G284" i="1"/>
  <c r="H284" i="1" s="1"/>
  <c r="J284" i="1" s="1"/>
  <c r="Q284" i="1" s="1"/>
  <c r="G315" i="1"/>
  <c r="H315" i="1" s="1"/>
  <c r="J315" i="1" s="1"/>
  <c r="K315" i="1" s="1"/>
  <c r="M164" i="1"/>
  <c r="M227" i="1"/>
  <c r="M258" i="1"/>
  <c r="M322" i="1"/>
  <c r="E238" i="1"/>
  <c r="AK238" i="1" s="1"/>
  <c r="M303" i="1"/>
  <c r="E352" i="1"/>
  <c r="AK352" i="1" s="1"/>
  <c r="E371" i="1"/>
  <c r="AK371" i="1" s="1"/>
  <c r="E387" i="1"/>
  <c r="AK387" i="1" s="1"/>
  <c r="E403" i="1"/>
  <c r="AK403" i="1" s="1"/>
  <c r="E418" i="1"/>
  <c r="AK418" i="1" s="1"/>
  <c r="C435" i="1"/>
  <c r="E231" i="1"/>
  <c r="AK231" i="1" s="1"/>
  <c r="M294" i="1"/>
  <c r="M347" i="1"/>
  <c r="C668" i="1"/>
  <c r="E761" i="1"/>
  <c r="AK761" i="1" s="1"/>
  <c r="G825" i="1"/>
  <c r="H825" i="1" s="1"/>
  <c r="J825" i="1" s="1"/>
  <c r="Q825" i="1" s="1"/>
  <c r="R825" i="1" s="1"/>
  <c r="E881" i="1"/>
  <c r="AK881" i="1" s="1"/>
  <c r="E913" i="1"/>
  <c r="AK913" i="1" s="1"/>
  <c r="M945" i="1"/>
  <c r="C973" i="1"/>
  <c r="G995" i="1"/>
  <c r="H995" i="1" s="1"/>
  <c r="J995" i="1" s="1"/>
  <c r="G1016" i="1"/>
  <c r="H1016" i="1" s="1"/>
  <c r="J1016" i="1" s="1"/>
  <c r="K1016" i="1" s="1"/>
  <c r="L1016" i="1" s="1"/>
  <c r="N1016" i="1" s="1"/>
  <c r="O1016" i="1" s="1"/>
  <c r="M1033" i="1"/>
  <c r="C568" i="1"/>
  <c r="C733" i="1"/>
  <c r="G797" i="1"/>
  <c r="H797" i="1" s="1"/>
  <c r="J797" i="1" s="1"/>
  <c r="K797" i="1" s="1"/>
  <c r="L797" i="1" s="1"/>
  <c r="M862" i="1"/>
  <c r="E900" i="1"/>
  <c r="AK900" i="1" s="1"/>
  <c r="C932" i="1"/>
  <c r="G964" i="1"/>
  <c r="H964" i="1" s="1"/>
  <c r="J964" i="1" s="1"/>
  <c r="Q964" i="1" s="1"/>
  <c r="R964" i="1" s="1"/>
  <c r="M986" i="1"/>
  <c r="M1007" i="1"/>
  <c r="C723" i="1"/>
  <c r="E695" i="1"/>
  <c r="AK695" i="1" s="1"/>
  <c r="E662" i="1"/>
  <c r="AK662" i="1" s="1"/>
  <c r="C736" i="1"/>
  <c r="M715" i="1"/>
  <c r="G682" i="1"/>
  <c r="H682" i="1" s="1"/>
  <c r="J682" i="1" s="1"/>
  <c r="K682" i="1" s="1"/>
  <c r="L682" i="1" s="1"/>
  <c r="C452" i="1"/>
  <c r="M963" i="1"/>
  <c r="M947" i="1"/>
  <c r="M931" i="1"/>
  <c r="M915" i="1"/>
  <c r="E899" i="1"/>
  <c r="AK899" i="1" s="1"/>
  <c r="M883" i="1"/>
  <c r="G868" i="1"/>
  <c r="H868" i="1" s="1"/>
  <c r="J868" i="1" s="1"/>
  <c r="K868" i="1" s="1"/>
  <c r="L868" i="1" s="1"/>
  <c r="N868" i="1" s="1"/>
  <c r="O868" i="1" s="1"/>
  <c r="G850" i="1"/>
  <c r="H850" i="1" s="1"/>
  <c r="J850" i="1" s="1"/>
  <c r="Q850" i="1" s="1"/>
  <c r="E835" i="1"/>
  <c r="AK835" i="1" s="1"/>
  <c r="E819" i="1"/>
  <c r="AK819" i="1" s="1"/>
  <c r="E803" i="1"/>
  <c r="AK803" i="1" s="1"/>
  <c r="M772" i="1"/>
  <c r="C688" i="1"/>
  <c r="C592" i="1"/>
  <c r="E717" i="1"/>
  <c r="AK717" i="1" s="1"/>
  <c r="G701" i="1"/>
  <c r="H701" i="1" s="1"/>
  <c r="J701" i="1" s="1"/>
  <c r="Q701" i="1" s="1"/>
  <c r="C685" i="1"/>
  <c r="M670" i="1"/>
  <c r="E653" i="1"/>
  <c r="AK653" i="1" s="1"/>
  <c r="M638" i="1"/>
  <c r="C621" i="1"/>
  <c r="E607" i="1"/>
  <c r="AK607" i="1" s="1"/>
  <c r="M589" i="1"/>
  <c r="C572" i="1"/>
  <c r="E558" i="1"/>
  <c r="AK558" i="1" s="1"/>
  <c r="E541" i="1"/>
  <c r="AK541" i="1" s="1"/>
  <c r="E525" i="1"/>
  <c r="AK525" i="1" s="1"/>
  <c r="M510" i="1"/>
  <c r="C396" i="1"/>
  <c r="M907" i="1"/>
  <c r="E891" i="1"/>
  <c r="AK891" i="1" s="1"/>
  <c r="E859" i="1"/>
  <c r="AK859" i="1" s="1"/>
  <c r="M763" i="1"/>
  <c r="M731" i="1"/>
  <c r="E704" i="1"/>
  <c r="AK704" i="1" s="1"/>
  <c r="G673" i="1"/>
  <c r="H673" i="1" s="1"/>
  <c r="J673" i="1" s="1"/>
  <c r="Q673" i="1" s="1"/>
  <c r="G624" i="1"/>
  <c r="H624" i="1" s="1"/>
  <c r="J624" i="1" s="1"/>
  <c r="K624" i="1" s="1"/>
  <c r="G560" i="1"/>
  <c r="H560" i="1" s="1"/>
  <c r="J560" i="1" s="1"/>
  <c r="Q560" i="1" s="1"/>
  <c r="C496" i="1"/>
  <c r="M414" i="1"/>
  <c r="G725" i="1"/>
  <c r="H725" i="1" s="1"/>
  <c r="J725" i="1" s="1"/>
  <c r="K725" i="1" s="1"/>
  <c r="M709" i="1"/>
  <c r="G694" i="1"/>
  <c r="H694" i="1" s="1"/>
  <c r="J694" i="1" s="1"/>
  <c r="K694" i="1" s="1"/>
  <c r="M645" i="1"/>
  <c r="M629" i="1"/>
  <c r="C613" i="1"/>
  <c r="C595" i="1"/>
  <c r="G549" i="1"/>
  <c r="H549" i="1" s="1"/>
  <c r="J549" i="1" s="1"/>
  <c r="K549" i="1" s="1"/>
  <c r="E533" i="1"/>
  <c r="AK533" i="1" s="1"/>
  <c r="G517" i="1"/>
  <c r="H517" i="1" s="1"/>
  <c r="J517" i="1" s="1"/>
  <c r="E501" i="1"/>
  <c r="AK501" i="1" s="1"/>
  <c r="C453" i="1"/>
  <c r="C426" i="1"/>
  <c r="C392" i="1"/>
  <c r="M339" i="1"/>
  <c r="C655" i="1"/>
  <c r="M639" i="1"/>
  <c r="C623" i="1"/>
  <c r="M606" i="1"/>
  <c r="C591" i="1"/>
  <c r="E575" i="1"/>
  <c r="AK575" i="1" s="1"/>
  <c r="C559" i="1"/>
  <c r="M543" i="1"/>
  <c r="C527" i="1"/>
  <c r="E511" i="1"/>
  <c r="AK511" i="1" s="1"/>
  <c r="C495" i="1"/>
  <c r="C463" i="1"/>
  <c r="G444" i="1"/>
  <c r="H444" i="1" s="1"/>
  <c r="J444" i="1" s="1"/>
  <c r="G412" i="1"/>
  <c r="H412" i="1" s="1"/>
  <c r="J412" i="1" s="1"/>
  <c r="K412" i="1" s="1"/>
  <c r="C380" i="1"/>
  <c r="M262" i="1"/>
  <c r="C614" i="1"/>
  <c r="C470" i="1"/>
  <c r="E424" i="1"/>
  <c r="AK424" i="1" s="1"/>
  <c r="M393" i="1"/>
  <c r="E660" i="1"/>
  <c r="AK660" i="1" s="1"/>
  <c r="G757" i="1"/>
  <c r="H757" i="1" s="1"/>
  <c r="J757" i="1" s="1"/>
  <c r="E821" i="1"/>
  <c r="AK821" i="1" s="1"/>
  <c r="E880" i="1"/>
  <c r="AK880" i="1" s="1"/>
  <c r="G912" i="1"/>
  <c r="H912" i="1" s="1"/>
  <c r="J912" i="1" s="1"/>
  <c r="K912" i="1" s="1"/>
  <c r="M944" i="1"/>
  <c r="E972" i="1"/>
  <c r="AK972" i="1" s="1"/>
  <c r="C992" i="1"/>
  <c r="M1014" i="1"/>
  <c r="C1032" i="1"/>
  <c r="C753" i="1"/>
  <c r="G941" i="1"/>
  <c r="H941" i="1" s="1"/>
  <c r="J941" i="1" s="1"/>
  <c r="K941" i="1" s="1"/>
  <c r="E1031" i="1"/>
  <c r="AK1031" i="1" s="1"/>
  <c r="E849" i="1"/>
  <c r="AK849" i="1" s="1"/>
  <c r="C982" i="1"/>
  <c r="G737" i="1"/>
  <c r="H737" i="1" s="1"/>
  <c r="J737" i="1" s="1"/>
  <c r="K737" i="1" s="1"/>
  <c r="G933" i="1"/>
  <c r="H933" i="1" s="1"/>
  <c r="J933" i="1" s="1"/>
  <c r="K933" i="1" s="1"/>
  <c r="C1027" i="1"/>
  <c r="C917" i="1"/>
  <c r="C1035" i="1"/>
  <c r="E730" i="1"/>
  <c r="AK730" i="1" s="1"/>
  <c r="E703" i="1"/>
  <c r="AK703" i="1" s="1"/>
  <c r="G671" i="1"/>
  <c r="H671" i="1" s="1"/>
  <c r="J671" i="1" s="1"/>
  <c r="K671" i="1" s="1"/>
  <c r="G867" i="1"/>
  <c r="H867" i="1" s="1"/>
  <c r="J867" i="1" s="1"/>
  <c r="Q867" i="1" s="1"/>
  <c r="C836" i="1"/>
  <c r="M805" i="1"/>
  <c r="M740" i="1"/>
  <c r="G722" i="1"/>
  <c r="H722" i="1" s="1"/>
  <c r="J722" i="1" s="1"/>
  <c r="Q722" i="1" s="1"/>
  <c r="E659" i="1"/>
  <c r="AK659" i="1" s="1"/>
  <c r="C596" i="1"/>
  <c r="C951" i="1"/>
  <c r="E934" i="1"/>
  <c r="AK934" i="1" s="1"/>
  <c r="G903" i="1"/>
  <c r="H903" i="1" s="1"/>
  <c r="J903" i="1" s="1"/>
  <c r="Q903" i="1" s="1"/>
  <c r="G870" i="1"/>
  <c r="H870" i="1" s="1"/>
  <c r="J870" i="1" s="1"/>
  <c r="Q870" i="1" s="1"/>
  <c r="G854" i="1"/>
  <c r="H854" i="1" s="1"/>
  <c r="J854" i="1" s="1"/>
  <c r="Q854" i="1" s="1"/>
  <c r="M726" i="1"/>
  <c r="G608" i="1"/>
  <c r="H608" i="1" s="1"/>
  <c r="J608" i="1" s="1"/>
  <c r="Q608" i="1" s="1"/>
  <c r="E544" i="1"/>
  <c r="AK544" i="1" s="1"/>
  <c r="M382" i="1"/>
  <c r="G721" i="1"/>
  <c r="H721" i="1" s="1"/>
  <c r="J721" i="1" s="1"/>
  <c r="Q721" i="1" s="1"/>
  <c r="G705" i="1"/>
  <c r="H705" i="1" s="1"/>
  <c r="J705" i="1" s="1"/>
  <c r="M690" i="1"/>
  <c r="M672" i="1"/>
  <c r="M657" i="1"/>
  <c r="M641" i="1"/>
  <c r="M626" i="1"/>
  <c r="E561" i="1"/>
  <c r="AK561" i="1" s="1"/>
  <c r="G545" i="1"/>
  <c r="H545" i="1" s="1"/>
  <c r="J545" i="1" s="1"/>
  <c r="K545" i="1" s="1"/>
  <c r="G529" i="1"/>
  <c r="H529" i="1" s="1"/>
  <c r="J529" i="1" s="1"/>
  <c r="Q529" i="1" s="1"/>
  <c r="M481" i="1"/>
  <c r="G465" i="1"/>
  <c r="H465" i="1" s="1"/>
  <c r="J465" i="1" s="1"/>
  <c r="Q465" i="1" s="1"/>
  <c r="G416" i="1"/>
  <c r="H416" i="1" s="1"/>
  <c r="J416" i="1" s="1"/>
  <c r="Q416" i="1" s="1"/>
  <c r="C295" i="1"/>
  <c r="C651" i="1"/>
  <c r="C587" i="1"/>
  <c r="M571" i="1"/>
  <c r="E539" i="1"/>
  <c r="AK539" i="1" s="1"/>
  <c r="M491" i="1"/>
  <c r="E436" i="1"/>
  <c r="AK436" i="1" s="1"/>
  <c r="G404" i="1"/>
  <c r="H404" i="1" s="1"/>
  <c r="J404" i="1" s="1"/>
  <c r="K404" i="1" s="1"/>
  <c r="M372" i="1"/>
  <c r="E642" i="1"/>
  <c r="AK642" i="1" s="1"/>
  <c r="G625" i="1"/>
  <c r="H625" i="1" s="1"/>
  <c r="J625" i="1" s="1"/>
  <c r="K625" i="1" s="1"/>
  <c r="G594" i="1"/>
  <c r="H594" i="1" s="1"/>
  <c r="J594" i="1" s="1"/>
  <c r="G578" i="1"/>
  <c r="H578" i="1" s="1"/>
  <c r="J578" i="1" s="1"/>
  <c r="K578" i="1" s="1"/>
  <c r="C530" i="1"/>
  <c r="C498" i="1"/>
  <c r="E450" i="1"/>
  <c r="AK450" i="1" s="1"/>
  <c r="C419" i="1"/>
  <c r="G310" i="1"/>
  <c r="H310" i="1" s="1"/>
  <c r="J310" i="1" s="1"/>
  <c r="K310" i="1" s="1"/>
  <c r="E692" i="1"/>
  <c r="AK692" i="1" s="1"/>
  <c r="M888" i="1"/>
  <c r="C999" i="1"/>
  <c r="E1020" i="1"/>
  <c r="AK1020" i="1" s="1"/>
  <c r="C1036" i="1"/>
  <c r="G817" i="1"/>
  <c r="H817" i="1" s="1"/>
  <c r="J817" i="1" s="1"/>
  <c r="Q817" i="1" s="1"/>
  <c r="M971" i="1"/>
  <c r="G965" i="1"/>
  <c r="H965" i="1" s="1"/>
  <c r="J965" i="1" s="1"/>
  <c r="Q965" i="1" s="1"/>
  <c r="G833" i="1"/>
  <c r="H833" i="1" s="1"/>
  <c r="J833" i="1" s="1"/>
  <c r="C1018" i="1"/>
  <c r="E885" i="1"/>
  <c r="AK885" i="1" s="1"/>
  <c r="C209" i="1"/>
  <c r="M88" i="1"/>
  <c r="G120" i="1"/>
  <c r="H120" i="1" s="1"/>
  <c r="J120" i="1" s="1"/>
  <c r="Q120" i="1" s="1"/>
  <c r="R120" i="1" s="1"/>
  <c r="G176" i="1"/>
  <c r="H176" i="1" s="1"/>
  <c r="J176" i="1" s="1"/>
  <c r="Q176" i="1" s="1"/>
  <c r="R176" i="1" s="1"/>
  <c r="M208" i="1"/>
  <c r="M380" i="1"/>
  <c r="E624" i="1"/>
  <c r="AK624" i="1" s="1"/>
  <c r="E34" i="1"/>
  <c r="AK34" i="1" s="1"/>
  <c r="G177" i="1"/>
  <c r="H177" i="1" s="1"/>
  <c r="J177" i="1" s="1"/>
  <c r="M39" i="1"/>
  <c r="M123" i="1"/>
  <c r="E88" i="1"/>
  <c r="AK88" i="1" s="1"/>
  <c r="M151" i="1"/>
  <c r="E192" i="1"/>
  <c r="AK192" i="1" s="1"/>
  <c r="E208" i="1"/>
  <c r="AK208" i="1" s="1"/>
  <c r="E412" i="1"/>
  <c r="AK412" i="1" s="1"/>
  <c r="G548" i="1"/>
  <c r="H548" i="1" s="1"/>
  <c r="J548" i="1" s="1"/>
  <c r="E573" i="1"/>
  <c r="AK573" i="1" s="1"/>
  <c r="M34" i="1"/>
  <c r="E193" i="1"/>
  <c r="AK193" i="1" s="1"/>
  <c r="E209" i="1"/>
  <c r="AK209" i="1" s="1"/>
  <c r="C155" i="1"/>
  <c r="C123" i="1"/>
  <c r="E39" i="1"/>
  <c r="AK39" i="1" s="1"/>
  <c r="C192" i="1"/>
  <c r="C660" i="1"/>
  <c r="C92" i="1"/>
  <c r="C151" i="1"/>
  <c r="G88" i="1"/>
  <c r="H88" i="1" s="1"/>
  <c r="J88" i="1" s="1"/>
  <c r="K88" i="1" s="1"/>
  <c r="M120" i="1"/>
  <c r="G208" i="1"/>
  <c r="H208" i="1" s="1"/>
  <c r="J208" i="1" s="1"/>
  <c r="G304" i="1"/>
  <c r="H304" i="1" s="1"/>
  <c r="J304" i="1" s="1"/>
  <c r="E320" i="1"/>
  <c r="AK320" i="1" s="1"/>
  <c r="M335" i="1"/>
  <c r="E444" i="1"/>
  <c r="AK444" i="1" s="1"/>
  <c r="E560" i="1"/>
  <c r="AK560" i="1" s="1"/>
  <c r="E677" i="1"/>
  <c r="AK677" i="1" s="1"/>
  <c r="G34" i="1"/>
  <c r="H34" i="1" s="1"/>
  <c r="J34" i="1" s="1"/>
  <c r="K34" i="1" s="1"/>
  <c r="C859" i="1"/>
  <c r="C223" i="1"/>
  <c r="M1018" i="1"/>
  <c r="C888" i="1"/>
  <c r="G113" i="1"/>
  <c r="H113" i="1" s="1"/>
  <c r="J113" i="1" s="1"/>
  <c r="Q113" i="1" s="1"/>
  <c r="C103" i="1"/>
  <c r="E132" i="1"/>
  <c r="AK132" i="1" s="1"/>
  <c r="G260" i="1"/>
  <c r="H260" i="1" s="1"/>
  <c r="J260" i="1" s="1"/>
  <c r="Q260" i="1" s="1"/>
  <c r="G292" i="1"/>
  <c r="H292" i="1" s="1"/>
  <c r="J292" i="1" s="1"/>
  <c r="C971" i="1"/>
  <c r="C350" i="1"/>
  <c r="M810" i="1"/>
  <c r="C239" i="1"/>
  <c r="C413" i="1"/>
  <c r="C854" i="1"/>
  <c r="M244" i="1"/>
  <c r="C938" i="1"/>
  <c r="M350" i="1"/>
  <c r="E833" i="1"/>
  <c r="AK833" i="1" s="1"/>
  <c r="E181" i="1"/>
  <c r="AK181" i="1" s="1"/>
  <c r="M181" i="1"/>
  <c r="M128" i="1"/>
  <c r="G128" i="1"/>
  <c r="H128" i="1" s="1"/>
  <c r="J128" i="1" s="1"/>
  <c r="K128" i="1" s="1"/>
  <c r="M180" i="1"/>
  <c r="G180" i="1"/>
  <c r="H180" i="1" s="1"/>
  <c r="J180" i="1" s="1"/>
  <c r="K180" i="1" s="1"/>
  <c r="E212" i="1"/>
  <c r="AK212" i="1" s="1"/>
  <c r="G212" i="1"/>
  <c r="H212" i="1" s="1"/>
  <c r="J212" i="1" s="1"/>
  <c r="Q212" i="1" s="1"/>
  <c r="M237" i="1"/>
  <c r="E237" i="1"/>
  <c r="AK237" i="1" s="1"/>
  <c r="E286" i="1"/>
  <c r="AK286" i="1" s="1"/>
  <c r="G286" i="1"/>
  <c r="H286" i="1" s="1"/>
  <c r="J286" i="1" s="1"/>
  <c r="C108" i="1"/>
  <c r="G108" i="1"/>
  <c r="H108" i="1" s="1"/>
  <c r="J108" i="1" s="1"/>
  <c r="Q108" i="1" s="1"/>
  <c r="C324" i="1"/>
  <c r="M324" i="1"/>
  <c r="G340" i="1"/>
  <c r="H340" i="1" s="1"/>
  <c r="J340" i="1" s="1"/>
  <c r="Q340" i="1" s="1"/>
  <c r="E340" i="1"/>
  <c r="AK340" i="1" s="1"/>
  <c r="E250" i="1"/>
  <c r="AK250" i="1" s="1"/>
  <c r="C250" i="1"/>
  <c r="M342" i="1"/>
  <c r="G342" i="1"/>
  <c r="H342" i="1" s="1"/>
  <c r="J342" i="1" s="1"/>
  <c r="Q342" i="1" s="1"/>
  <c r="G245" i="1"/>
  <c r="H245" i="1" s="1"/>
  <c r="J245" i="1" s="1"/>
  <c r="Q245" i="1" s="1"/>
  <c r="M245" i="1"/>
  <c r="G707" i="1"/>
  <c r="H707" i="1" s="1"/>
  <c r="J707" i="1" s="1"/>
  <c r="Q707" i="1" s="1"/>
  <c r="M707" i="1"/>
  <c r="E707" i="1"/>
  <c r="AK707" i="1" s="1"/>
  <c r="E1022" i="1"/>
  <c r="AK1022" i="1" s="1"/>
  <c r="C1022" i="1"/>
  <c r="M1022" i="1"/>
  <c r="M906" i="1"/>
  <c r="C906" i="1"/>
  <c r="M874" i="1"/>
  <c r="E874" i="1"/>
  <c r="AK874" i="1" s="1"/>
  <c r="G874" i="1"/>
  <c r="H874" i="1" s="1"/>
  <c r="J874" i="1" s="1"/>
  <c r="E841" i="1"/>
  <c r="AK841" i="1" s="1"/>
  <c r="C841" i="1"/>
  <c r="M778" i="1"/>
  <c r="G778" i="1"/>
  <c r="H778" i="1" s="1"/>
  <c r="J778" i="1" s="1"/>
  <c r="E746" i="1"/>
  <c r="AK746" i="1" s="1"/>
  <c r="C746" i="1"/>
  <c r="G556" i="1"/>
  <c r="H556" i="1" s="1"/>
  <c r="J556" i="1" s="1"/>
  <c r="K556" i="1" s="1"/>
  <c r="E556" i="1"/>
  <c r="AK556" i="1" s="1"/>
  <c r="C492" i="1"/>
  <c r="G492" i="1"/>
  <c r="H492" i="1" s="1"/>
  <c r="J492" i="1" s="1"/>
  <c r="E492" i="1"/>
  <c r="AK492" i="1" s="1"/>
  <c r="E406" i="1"/>
  <c r="AK406" i="1" s="1"/>
  <c r="C406" i="1"/>
  <c r="E852" i="1"/>
  <c r="AK852" i="1" s="1"/>
  <c r="M852" i="1"/>
  <c r="G852" i="1"/>
  <c r="H852" i="1" s="1"/>
  <c r="J852" i="1" s="1"/>
  <c r="G820" i="1"/>
  <c r="H820" i="1" s="1"/>
  <c r="J820" i="1" s="1"/>
  <c r="M820" i="1"/>
  <c r="M787" i="1"/>
  <c r="E787" i="1"/>
  <c r="AK787" i="1" s="1"/>
  <c r="G787" i="1"/>
  <c r="H787" i="1" s="1"/>
  <c r="J787" i="1" s="1"/>
  <c r="C771" i="1"/>
  <c r="G771" i="1"/>
  <c r="H771" i="1" s="1"/>
  <c r="J771" i="1" s="1"/>
  <c r="M771" i="1"/>
  <c r="G756" i="1"/>
  <c r="H756" i="1" s="1"/>
  <c r="J756" i="1" s="1"/>
  <c r="K756" i="1" s="1"/>
  <c r="E756" i="1"/>
  <c r="AK756" i="1" s="1"/>
  <c r="E740" i="1"/>
  <c r="AK740" i="1" s="1"/>
  <c r="G740" i="1"/>
  <c r="H740" i="1" s="1"/>
  <c r="J740" i="1" s="1"/>
  <c r="K740" i="1" s="1"/>
  <c r="M532" i="1"/>
  <c r="E532" i="1"/>
  <c r="AK532" i="1" s="1"/>
  <c r="C333" i="1"/>
  <c r="G333" i="1"/>
  <c r="H333" i="1" s="1"/>
  <c r="J333" i="1" s="1"/>
  <c r="K333" i="1" s="1"/>
  <c r="E333" i="1"/>
  <c r="AK333" i="1" s="1"/>
  <c r="M903" i="1"/>
  <c r="C903" i="1"/>
  <c r="M822" i="1"/>
  <c r="C822" i="1"/>
  <c r="E791" i="1"/>
  <c r="AK791" i="1" s="1"/>
  <c r="C791" i="1"/>
  <c r="M759" i="1"/>
  <c r="C759" i="1"/>
  <c r="E759" i="1"/>
  <c r="AK759" i="1" s="1"/>
  <c r="G726" i="1"/>
  <c r="H726" i="1" s="1"/>
  <c r="J726" i="1" s="1"/>
  <c r="Q726" i="1" s="1"/>
  <c r="E726" i="1"/>
  <c r="AK726" i="1" s="1"/>
  <c r="C726" i="1"/>
  <c r="C664" i="1"/>
  <c r="G664" i="1"/>
  <c r="H664" i="1" s="1"/>
  <c r="J664" i="1" s="1"/>
  <c r="Q664" i="1" s="1"/>
  <c r="M664" i="1"/>
  <c r="C544" i="1"/>
  <c r="G544" i="1"/>
  <c r="H544" i="1" s="1"/>
  <c r="J544" i="1" s="1"/>
  <c r="M544" i="1"/>
  <c r="C480" i="1"/>
  <c r="M480" i="1"/>
  <c r="E480" i="1"/>
  <c r="AK480" i="1" s="1"/>
  <c r="G480" i="1"/>
  <c r="H480" i="1" s="1"/>
  <c r="J480" i="1" s="1"/>
  <c r="Q480" i="1" s="1"/>
  <c r="G382" i="1"/>
  <c r="H382" i="1" s="1"/>
  <c r="J382" i="1" s="1"/>
  <c r="E382" i="1"/>
  <c r="AK382" i="1" s="1"/>
  <c r="G609" i="1"/>
  <c r="H609" i="1" s="1"/>
  <c r="J609" i="1" s="1"/>
  <c r="E609" i="1"/>
  <c r="AK609" i="1" s="1"/>
  <c r="M465" i="1"/>
  <c r="C465" i="1"/>
  <c r="E465" i="1"/>
  <c r="AK465" i="1" s="1"/>
  <c r="G384" i="1"/>
  <c r="H384" i="1" s="1"/>
  <c r="J384" i="1" s="1"/>
  <c r="Q384" i="1" s="1"/>
  <c r="E384" i="1"/>
  <c r="AK384" i="1" s="1"/>
  <c r="M635" i="1"/>
  <c r="C635" i="1"/>
  <c r="G635" i="1"/>
  <c r="H635" i="1" s="1"/>
  <c r="J635" i="1" s="1"/>
  <c r="K635" i="1" s="1"/>
  <c r="M603" i="1"/>
  <c r="E603" i="1"/>
  <c r="AK603" i="1" s="1"/>
  <c r="C603" i="1"/>
  <c r="G603" i="1"/>
  <c r="H603" i="1" s="1"/>
  <c r="J603" i="1" s="1"/>
  <c r="K603" i="1" s="1"/>
  <c r="G571" i="1"/>
  <c r="H571" i="1" s="1"/>
  <c r="J571" i="1" s="1"/>
  <c r="Q571" i="1" s="1"/>
  <c r="C571" i="1"/>
  <c r="E571" i="1"/>
  <c r="AK571" i="1" s="1"/>
  <c r="E523" i="1"/>
  <c r="AK523" i="1" s="1"/>
  <c r="C523" i="1"/>
  <c r="E475" i="1"/>
  <c r="AK475" i="1" s="1"/>
  <c r="G475" i="1"/>
  <c r="H475" i="1" s="1"/>
  <c r="J475" i="1" s="1"/>
  <c r="K475" i="1" s="1"/>
  <c r="E404" i="1"/>
  <c r="AK404" i="1" s="1"/>
  <c r="M404" i="1"/>
  <c r="M706" i="1"/>
  <c r="C706" i="1"/>
  <c r="G706" i="1"/>
  <c r="H706" i="1" s="1"/>
  <c r="J706" i="1" s="1"/>
  <c r="Q706" i="1" s="1"/>
  <c r="G642" i="1"/>
  <c r="H642" i="1" s="1"/>
  <c r="J642" i="1" s="1"/>
  <c r="K642" i="1" s="1"/>
  <c r="M642" i="1"/>
  <c r="M578" i="1"/>
  <c r="C578" i="1"/>
  <c r="E578" i="1"/>
  <c r="AK578" i="1" s="1"/>
  <c r="M514" i="1"/>
  <c r="E514" i="1"/>
  <c r="AK514" i="1" s="1"/>
  <c r="G514" i="1"/>
  <c r="H514" i="1" s="1"/>
  <c r="J514" i="1" s="1"/>
  <c r="Q514" i="1" s="1"/>
  <c r="E466" i="1"/>
  <c r="AK466" i="1" s="1"/>
  <c r="G466" i="1"/>
  <c r="H466" i="1" s="1"/>
  <c r="J466" i="1" s="1"/>
  <c r="C466" i="1"/>
  <c r="M466" i="1"/>
  <c r="E386" i="1"/>
  <c r="AK386" i="1" s="1"/>
  <c r="M386" i="1"/>
  <c r="C386" i="1"/>
  <c r="C472" i="1"/>
  <c r="G472" i="1"/>
  <c r="H472" i="1" s="1"/>
  <c r="J472" i="1" s="1"/>
  <c r="Q472" i="1" s="1"/>
  <c r="E472" i="1"/>
  <c r="AK472" i="1" s="1"/>
  <c r="G692" i="1"/>
  <c r="H692" i="1" s="1"/>
  <c r="J692" i="1" s="1"/>
  <c r="M692" i="1"/>
  <c r="G837" i="1"/>
  <c r="H837" i="1" s="1"/>
  <c r="J837" i="1" s="1"/>
  <c r="K837" i="1" s="1"/>
  <c r="E837" i="1"/>
  <c r="AK837" i="1" s="1"/>
  <c r="M920" i="1"/>
  <c r="C920" i="1"/>
  <c r="M977" i="1"/>
  <c r="C977" i="1"/>
  <c r="E999" i="1"/>
  <c r="AK999" i="1" s="1"/>
  <c r="M999" i="1"/>
  <c r="G457" i="1"/>
  <c r="H457" i="1" s="1"/>
  <c r="J457" i="1" s="1"/>
  <c r="Q457" i="1" s="1"/>
  <c r="C457" i="1"/>
  <c r="E457" i="1"/>
  <c r="AK457" i="1" s="1"/>
  <c r="M894" i="1"/>
  <c r="C894" i="1"/>
  <c r="E1003" i="1"/>
  <c r="AK1003" i="1" s="1"/>
  <c r="C1003" i="1"/>
  <c r="M801" i="1"/>
  <c r="C801" i="1"/>
  <c r="C722" i="1"/>
  <c r="C514" i="1"/>
  <c r="C397" i="1"/>
  <c r="G244" i="1"/>
  <c r="H244" i="1" s="1"/>
  <c r="J244" i="1" s="1"/>
  <c r="Q244" i="1" s="1"/>
  <c r="G277" i="1"/>
  <c r="H277" i="1" s="1"/>
  <c r="J277" i="1" s="1"/>
  <c r="K277" i="1" s="1"/>
  <c r="G308" i="1"/>
  <c r="H308" i="1" s="1"/>
  <c r="J308" i="1" s="1"/>
  <c r="M384" i="1"/>
  <c r="M556" i="1"/>
  <c r="E771" i="1"/>
  <c r="AK771" i="1" s="1"/>
  <c r="E820" i="1"/>
  <c r="AK820" i="1" s="1"/>
  <c r="C301" i="1"/>
  <c r="C730" i="1"/>
  <c r="C212" i="1"/>
  <c r="C203" i="1"/>
  <c r="C275" i="1"/>
  <c r="C692" i="1"/>
  <c r="C805" i="1"/>
  <c r="C475" i="1"/>
  <c r="C826" i="1"/>
  <c r="C934" i="1"/>
  <c r="C870" i="1"/>
  <c r="M108" i="1"/>
  <c r="E292" i="1"/>
  <c r="AK292" i="1" s="1"/>
  <c r="E324" i="1"/>
  <c r="AK324" i="1" s="1"/>
  <c r="M457" i="1"/>
  <c r="M472" i="1"/>
  <c r="M492" i="1"/>
  <c r="M756" i="1"/>
  <c r="C671" i="1"/>
  <c r="G746" i="1"/>
  <c r="H746" i="1" s="1"/>
  <c r="J746" i="1" s="1"/>
  <c r="Q746" i="1" s="1"/>
  <c r="M985" i="1"/>
  <c r="G651" i="1"/>
  <c r="H651" i="1" s="1"/>
  <c r="J651" i="1" s="1"/>
  <c r="Q651" i="1" s="1"/>
  <c r="G169" i="1"/>
  <c r="H169" i="1" s="1"/>
  <c r="J169" i="1" s="1"/>
  <c r="M169" i="1"/>
  <c r="E1011" i="1"/>
  <c r="AK1011" i="1" s="1"/>
  <c r="C1011" i="1"/>
  <c r="C504" i="1"/>
  <c r="G504" i="1"/>
  <c r="H504" i="1" s="1"/>
  <c r="J504" i="1" s="1"/>
  <c r="E504" i="1"/>
  <c r="AK504" i="1" s="1"/>
  <c r="G889" i="1"/>
  <c r="H889" i="1" s="1"/>
  <c r="J889" i="1" s="1"/>
  <c r="M889" i="1"/>
  <c r="M858" i="1"/>
  <c r="C858" i="1"/>
  <c r="E858" i="1"/>
  <c r="AK858" i="1" s="1"/>
  <c r="E794" i="1"/>
  <c r="AK794" i="1" s="1"/>
  <c r="G794" i="1"/>
  <c r="H794" i="1" s="1"/>
  <c r="J794" i="1" s="1"/>
  <c r="G762" i="1"/>
  <c r="H762" i="1" s="1"/>
  <c r="J762" i="1" s="1"/>
  <c r="M762" i="1"/>
  <c r="M620" i="1"/>
  <c r="E620" i="1"/>
  <c r="AK620" i="1" s="1"/>
  <c r="G620" i="1"/>
  <c r="H620" i="1" s="1"/>
  <c r="J620" i="1" s="1"/>
  <c r="K620" i="1" s="1"/>
  <c r="G836" i="1"/>
  <c r="H836" i="1" s="1"/>
  <c r="J836" i="1" s="1"/>
  <c r="M836" i="1"/>
  <c r="E805" i="1"/>
  <c r="AK805" i="1" s="1"/>
  <c r="G805" i="1"/>
  <c r="H805" i="1" s="1"/>
  <c r="J805" i="1" s="1"/>
  <c r="Q805" i="1" s="1"/>
  <c r="E691" i="1"/>
  <c r="AK691" i="1" s="1"/>
  <c r="C691" i="1"/>
  <c r="M596" i="1"/>
  <c r="E596" i="1"/>
  <c r="AK596" i="1" s="1"/>
  <c r="G596" i="1"/>
  <c r="H596" i="1" s="1"/>
  <c r="J596" i="1" s="1"/>
  <c r="G468" i="1"/>
  <c r="H468" i="1" s="1"/>
  <c r="J468" i="1" s="1"/>
  <c r="E468" i="1"/>
  <c r="AK468" i="1" s="1"/>
  <c r="M951" i="1"/>
  <c r="E951" i="1"/>
  <c r="AK951" i="1" s="1"/>
  <c r="C919" i="1"/>
  <c r="E919" i="1"/>
  <c r="AK919" i="1" s="1"/>
  <c r="M839" i="1"/>
  <c r="C839" i="1"/>
  <c r="G807" i="1"/>
  <c r="H807" i="1" s="1"/>
  <c r="J807" i="1" s="1"/>
  <c r="C807" i="1"/>
  <c r="M775" i="1"/>
  <c r="C775" i="1"/>
  <c r="C743" i="1"/>
  <c r="G743" i="1"/>
  <c r="H743" i="1" s="1"/>
  <c r="J743" i="1" s="1"/>
  <c r="K743" i="1" s="1"/>
  <c r="E696" i="1"/>
  <c r="AK696" i="1" s="1"/>
  <c r="M696" i="1"/>
  <c r="M608" i="1"/>
  <c r="C608" i="1"/>
  <c r="E608" i="1"/>
  <c r="AK608" i="1" s="1"/>
  <c r="C593" i="1"/>
  <c r="E593" i="1"/>
  <c r="AK593" i="1" s="1"/>
  <c r="M577" i="1"/>
  <c r="G577" i="1"/>
  <c r="H577" i="1" s="1"/>
  <c r="J577" i="1" s="1"/>
  <c r="G497" i="1"/>
  <c r="H497" i="1" s="1"/>
  <c r="J497" i="1" s="1"/>
  <c r="Q497" i="1" s="1"/>
  <c r="C497" i="1"/>
  <c r="E497" i="1"/>
  <c r="AK497" i="1" s="1"/>
  <c r="M448" i="1"/>
  <c r="E448" i="1"/>
  <c r="AK448" i="1" s="1"/>
  <c r="G448" i="1"/>
  <c r="H448" i="1" s="1"/>
  <c r="J448" i="1" s="1"/>
  <c r="C555" i="1"/>
  <c r="E555" i="1"/>
  <c r="AK555" i="1" s="1"/>
  <c r="G491" i="1"/>
  <c r="H491" i="1" s="1"/>
  <c r="J491" i="1" s="1"/>
  <c r="K491" i="1" s="1"/>
  <c r="C491" i="1"/>
  <c r="M436" i="1"/>
  <c r="G436" i="1"/>
  <c r="H436" i="1" s="1"/>
  <c r="J436" i="1" s="1"/>
  <c r="Q436" i="1" s="1"/>
  <c r="M206" i="1"/>
  <c r="E206" i="1"/>
  <c r="AK206" i="1" s="1"/>
  <c r="C206" i="1"/>
  <c r="G206" i="1"/>
  <c r="H206" i="1" s="1"/>
  <c r="J206" i="1" s="1"/>
  <c r="Q206" i="1" s="1"/>
  <c r="G658" i="1"/>
  <c r="H658" i="1" s="1"/>
  <c r="J658" i="1" s="1"/>
  <c r="Q658" i="1" s="1"/>
  <c r="E658" i="1"/>
  <c r="AK658" i="1" s="1"/>
  <c r="C658" i="1"/>
  <c r="M594" i="1"/>
  <c r="E594" i="1"/>
  <c r="AK594" i="1" s="1"/>
  <c r="M546" i="1"/>
  <c r="E546" i="1"/>
  <c r="AK546" i="1" s="1"/>
  <c r="C546" i="1"/>
  <c r="G546" i="1"/>
  <c r="H546" i="1" s="1"/>
  <c r="J546" i="1" s="1"/>
  <c r="Q546" i="1" s="1"/>
  <c r="E498" i="1"/>
  <c r="AK498" i="1" s="1"/>
  <c r="G498" i="1"/>
  <c r="H498" i="1" s="1"/>
  <c r="J498" i="1" s="1"/>
  <c r="K498" i="1" s="1"/>
  <c r="M498" i="1"/>
  <c r="E419" i="1"/>
  <c r="AK419" i="1" s="1"/>
  <c r="G419" i="1"/>
  <c r="H419" i="1" s="1"/>
  <c r="J419" i="1" s="1"/>
  <c r="M952" i="1"/>
  <c r="C952" i="1"/>
  <c r="C243" i="1"/>
  <c r="C307" i="1"/>
  <c r="C382" i="1"/>
  <c r="C404" i="1"/>
  <c r="C625" i="1"/>
  <c r="M132" i="1"/>
  <c r="G160" i="1"/>
  <c r="H160" i="1" s="1"/>
  <c r="J160" i="1" s="1"/>
  <c r="Q160" i="1" s="1"/>
  <c r="E244" i="1"/>
  <c r="AK244" i="1" s="1"/>
  <c r="E308" i="1"/>
  <c r="AK308" i="1" s="1"/>
  <c r="M340" i="1"/>
  <c r="G532" i="1"/>
  <c r="H532" i="1" s="1"/>
  <c r="J532" i="1" s="1"/>
  <c r="G696" i="1"/>
  <c r="H696" i="1" s="1"/>
  <c r="J696" i="1" s="1"/>
  <c r="K696" i="1" s="1"/>
  <c r="L696" i="1" s="1"/>
  <c r="E836" i="1"/>
  <c r="AK836" i="1" s="1"/>
  <c r="C970" i="1"/>
  <c r="G386" i="1"/>
  <c r="H386" i="1" s="1"/>
  <c r="J386" i="1" s="1"/>
  <c r="K386" i="1" s="1"/>
  <c r="G406" i="1"/>
  <c r="H406" i="1" s="1"/>
  <c r="J406" i="1" s="1"/>
  <c r="K406" i="1" s="1"/>
  <c r="M419" i="1"/>
  <c r="E706" i="1"/>
  <c r="AK706" i="1" s="1"/>
  <c r="G1020" i="1"/>
  <c r="H1020" i="1" s="1"/>
  <c r="J1020" i="1" s="1"/>
  <c r="Q1020" i="1" s="1"/>
  <c r="M561" i="1"/>
  <c r="C641" i="1"/>
  <c r="G196" i="1"/>
  <c r="H196" i="1" s="1"/>
  <c r="J196" i="1" s="1"/>
  <c r="M196" i="1"/>
  <c r="G317" i="1"/>
  <c r="H317" i="1" s="1"/>
  <c r="J317" i="1" s="1"/>
  <c r="Q317" i="1" s="1"/>
  <c r="E317" i="1"/>
  <c r="AK317" i="1" s="1"/>
  <c r="E348" i="1"/>
  <c r="AK348" i="1" s="1"/>
  <c r="M348" i="1"/>
  <c r="C228" i="1"/>
  <c r="G228" i="1"/>
  <c r="H228" i="1" s="1"/>
  <c r="J228" i="1" s="1"/>
  <c r="C260" i="1"/>
  <c r="M260" i="1"/>
  <c r="C277" i="1"/>
  <c r="M277" i="1"/>
  <c r="E215" i="1"/>
  <c r="AK215" i="1" s="1"/>
  <c r="G215" i="1"/>
  <c r="H215" i="1" s="1"/>
  <c r="J215" i="1" s="1"/>
  <c r="E314" i="1"/>
  <c r="AK314" i="1" s="1"/>
  <c r="G314" i="1"/>
  <c r="H314" i="1" s="1"/>
  <c r="J314" i="1" s="1"/>
  <c r="C364" i="1"/>
  <c r="E364" i="1"/>
  <c r="AK364" i="1" s="1"/>
  <c r="M364" i="1"/>
  <c r="C365" i="1"/>
  <c r="E365" i="1"/>
  <c r="AK365" i="1" s="1"/>
  <c r="C616" i="1"/>
  <c r="E616" i="1"/>
  <c r="AK616" i="1" s="1"/>
  <c r="M616" i="1"/>
  <c r="G954" i="1"/>
  <c r="H954" i="1" s="1"/>
  <c r="J954" i="1" s="1"/>
  <c r="M954" i="1"/>
  <c r="C954" i="1"/>
  <c r="E887" i="1"/>
  <c r="AK887" i="1" s="1"/>
  <c r="G887" i="1"/>
  <c r="H887" i="1" s="1"/>
  <c r="J887" i="1" s="1"/>
  <c r="C887" i="1"/>
  <c r="M513" i="1"/>
  <c r="C513" i="1"/>
  <c r="G481" i="1"/>
  <c r="H481" i="1" s="1"/>
  <c r="J481" i="1" s="1"/>
  <c r="Q481" i="1" s="1"/>
  <c r="E481" i="1"/>
  <c r="AK481" i="1" s="1"/>
  <c r="M416" i="1"/>
  <c r="E416" i="1"/>
  <c r="AK416" i="1" s="1"/>
  <c r="M295" i="1"/>
  <c r="E295" i="1"/>
  <c r="AK295" i="1" s="1"/>
  <c r="G295" i="1"/>
  <c r="H295" i="1" s="1"/>
  <c r="J295" i="1" s="1"/>
  <c r="M618" i="1"/>
  <c r="C618" i="1"/>
  <c r="E618" i="1"/>
  <c r="AK618" i="1" s="1"/>
  <c r="E507" i="1"/>
  <c r="AK507" i="1" s="1"/>
  <c r="G507" i="1"/>
  <c r="H507" i="1" s="1"/>
  <c r="J507" i="1" s="1"/>
  <c r="K507" i="1" s="1"/>
  <c r="C507" i="1"/>
  <c r="G459" i="1"/>
  <c r="H459" i="1" s="1"/>
  <c r="J459" i="1" s="1"/>
  <c r="Q459" i="1" s="1"/>
  <c r="E459" i="1"/>
  <c r="AK459" i="1" s="1"/>
  <c r="M459" i="1"/>
  <c r="C459" i="1"/>
  <c r="C372" i="1"/>
  <c r="E372" i="1"/>
  <c r="AK372" i="1" s="1"/>
  <c r="G372" i="1"/>
  <c r="H372" i="1" s="1"/>
  <c r="J372" i="1" s="1"/>
  <c r="K372" i="1" s="1"/>
  <c r="M689" i="1"/>
  <c r="E689" i="1"/>
  <c r="AK689" i="1" s="1"/>
  <c r="E675" i="1"/>
  <c r="AK675" i="1" s="1"/>
  <c r="M675" i="1"/>
  <c r="C675" i="1"/>
  <c r="M625" i="1"/>
  <c r="E625" i="1"/>
  <c r="AK625" i="1" s="1"/>
  <c r="M610" i="1"/>
  <c r="C610" i="1"/>
  <c r="E610" i="1"/>
  <c r="AK610" i="1" s="1"/>
  <c r="E562" i="1"/>
  <c r="AK562" i="1" s="1"/>
  <c r="M562" i="1"/>
  <c r="G562" i="1"/>
  <c r="H562" i="1" s="1"/>
  <c r="J562" i="1" s="1"/>
  <c r="Q562" i="1" s="1"/>
  <c r="G530" i="1"/>
  <c r="H530" i="1" s="1"/>
  <c r="J530" i="1" s="1"/>
  <c r="Q530" i="1" s="1"/>
  <c r="E530" i="1"/>
  <c r="AK530" i="1" s="1"/>
  <c r="M530" i="1"/>
  <c r="M482" i="1"/>
  <c r="G482" i="1"/>
  <c r="H482" i="1" s="1"/>
  <c r="J482" i="1" s="1"/>
  <c r="Q482" i="1" s="1"/>
  <c r="E482" i="1"/>
  <c r="AK482" i="1" s="1"/>
  <c r="C450" i="1"/>
  <c r="G450" i="1"/>
  <c r="H450" i="1" s="1"/>
  <c r="J450" i="1" s="1"/>
  <c r="Q450" i="1" s="1"/>
  <c r="M450" i="1"/>
  <c r="M310" i="1"/>
  <c r="C310" i="1"/>
  <c r="E310" i="1"/>
  <c r="AK310" i="1" s="1"/>
  <c r="M773" i="1"/>
  <c r="C773" i="1"/>
  <c r="C27" i="1"/>
  <c r="C429" i="1"/>
  <c r="C820" i="1"/>
  <c r="C269" i="1"/>
  <c r="C594" i="1"/>
  <c r="C762" i="1"/>
  <c r="E228" i="1"/>
  <c r="AK228" i="1" s="1"/>
  <c r="M292" i="1"/>
  <c r="M468" i="1"/>
  <c r="E664" i="1"/>
  <c r="AK664" i="1" s="1"/>
  <c r="M269" i="1"/>
  <c r="M497" i="1"/>
  <c r="G610" i="1"/>
  <c r="H610" i="1" s="1"/>
  <c r="J610" i="1" s="1"/>
  <c r="K610" i="1" s="1"/>
  <c r="G971" i="1"/>
  <c r="H971" i="1" s="1"/>
  <c r="J971" i="1" s="1"/>
  <c r="Q971" i="1" s="1"/>
  <c r="E965" i="1"/>
  <c r="AK965" i="1" s="1"/>
  <c r="G885" i="1"/>
  <c r="H885" i="1" s="1"/>
  <c r="J885" i="1" s="1"/>
  <c r="Q885" i="1" s="1"/>
  <c r="C128" i="1"/>
  <c r="M96" i="1"/>
  <c r="C180" i="1"/>
  <c r="G96" i="1"/>
  <c r="H96" i="1" s="1"/>
  <c r="J96" i="1" s="1"/>
  <c r="E128" i="1"/>
  <c r="AK128" i="1" s="1"/>
  <c r="E160" i="1"/>
  <c r="AK160" i="1" s="1"/>
  <c r="E180" i="1"/>
  <c r="AK180" i="1" s="1"/>
  <c r="M212" i="1"/>
  <c r="C197" i="1"/>
  <c r="E213" i="1"/>
  <c r="AK213" i="1" s="1"/>
  <c r="E27" i="1"/>
  <c r="AK27" i="1" s="1"/>
  <c r="E30" i="1"/>
  <c r="AK30" i="1" s="1"/>
  <c r="G181" i="1"/>
  <c r="H181" i="1" s="1"/>
  <c r="J181" i="1" s="1"/>
  <c r="E197" i="1"/>
  <c r="AK197" i="1" s="1"/>
  <c r="C43" i="1"/>
  <c r="E196" i="1"/>
  <c r="AK196" i="1" s="1"/>
  <c r="C67" i="1"/>
  <c r="C131" i="1"/>
  <c r="C162" i="1"/>
  <c r="C160" i="1"/>
  <c r="E56" i="1"/>
  <c r="AK56" i="1" s="1"/>
  <c r="E72" i="1"/>
  <c r="AK72" i="1" s="1"/>
  <c r="E96" i="1"/>
  <c r="AK96" i="1" s="1"/>
  <c r="G30" i="1"/>
  <c r="H30" i="1" s="1"/>
  <c r="J30" i="1" s="1"/>
  <c r="K30" i="1" s="1"/>
  <c r="L30" i="1" s="1"/>
  <c r="M213" i="1"/>
  <c r="E92" i="1"/>
  <c r="AK92" i="1" s="1"/>
  <c r="M155" i="1"/>
  <c r="C352" i="1"/>
  <c r="M1039" i="1"/>
  <c r="G61" i="1"/>
  <c r="H61" i="1" s="1"/>
  <c r="J61" i="1" s="1"/>
  <c r="K61" i="1" s="1"/>
  <c r="G58" i="1"/>
  <c r="H58" i="1" s="1"/>
  <c r="J58" i="1" s="1"/>
  <c r="M122" i="1"/>
  <c r="C69" i="1"/>
  <c r="M36" i="1"/>
  <c r="E58" i="1"/>
  <c r="AK58" i="1" s="1"/>
  <c r="G107" i="1"/>
  <c r="H107" i="1" s="1"/>
  <c r="J107" i="1" s="1"/>
  <c r="Q107" i="1" s="1"/>
  <c r="G154" i="1"/>
  <c r="H154" i="1" s="1"/>
  <c r="J154" i="1" s="1"/>
  <c r="G383" i="1"/>
  <c r="H383" i="1" s="1"/>
  <c r="J383" i="1" s="1"/>
  <c r="G69" i="1"/>
  <c r="H69" i="1" s="1"/>
  <c r="J69" i="1" s="1"/>
  <c r="Q69" i="1" s="1"/>
  <c r="E90" i="1"/>
  <c r="AK90" i="1" s="1"/>
  <c r="E138" i="1"/>
  <c r="AK138" i="1" s="1"/>
  <c r="G279" i="1"/>
  <c r="H279" i="1" s="1"/>
  <c r="J279" i="1" s="1"/>
  <c r="Q279" i="1" s="1"/>
  <c r="M399" i="1"/>
  <c r="E431" i="1"/>
  <c r="AK431" i="1" s="1"/>
  <c r="M905" i="1"/>
  <c r="M90" i="1"/>
  <c r="G138" i="1"/>
  <c r="H138" i="1" s="1"/>
  <c r="J138" i="1" s="1"/>
  <c r="Q138" i="1" s="1"/>
  <c r="C99" i="1"/>
  <c r="G27" i="1"/>
  <c r="H27" i="1" s="1"/>
  <c r="J27" i="1" s="1"/>
  <c r="M150" i="1"/>
  <c r="C101" i="1"/>
  <c r="C181" i="1"/>
  <c r="M85" i="1"/>
  <c r="E101" i="1"/>
  <c r="AK101" i="1" s="1"/>
  <c r="M197" i="1"/>
  <c r="G213" i="1"/>
  <c r="H213" i="1" s="1"/>
  <c r="J213" i="1" s="1"/>
  <c r="K213" i="1" s="1"/>
  <c r="G83" i="1"/>
  <c r="H83" i="1" s="1"/>
  <c r="J83" i="1" s="1"/>
  <c r="E134" i="1"/>
  <c r="AK134" i="1" s="1"/>
  <c r="M1040" i="1"/>
  <c r="M118" i="1"/>
  <c r="M133" i="1"/>
  <c r="M149" i="1"/>
  <c r="M165" i="1"/>
  <c r="C25" i="1"/>
  <c r="E166" i="1"/>
  <c r="AK166" i="1" s="1"/>
  <c r="E67" i="1"/>
  <c r="AK67" i="1" s="1"/>
  <c r="G92" i="1"/>
  <c r="H92" i="1" s="1"/>
  <c r="J92" i="1" s="1"/>
  <c r="K92" i="1" s="1"/>
  <c r="E123" i="1"/>
  <c r="AK123" i="1" s="1"/>
  <c r="G155" i="1"/>
  <c r="H155" i="1" s="1"/>
  <c r="J155" i="1" s="1"/>
  <c r="K155" i="1" s="1"/>
  <c r="M231" i="1"/>
  <c r="G238" i="1"/>
  <c r="H238" i="1" s="1"/>
  <c r="J238" i="1" s="1"/>
  <c r="E303" i="1"/>
  <c r="AK303" i="1" s="1"/>
  <c r="E347" i="1"/>
  <c r="AK347" i="1" s="1"/>
  <c r="G352" i="1"/>
  <c r="H352" i="1" s="1"/>
  <c r="J352" i="1" s="1"/>
  <c r="M371" i="1"/>
  <c r="M387" i="1"/>
  <c r="M403" i="1"/>
  <c r="M418" i="1"/>
  <c r="E435" i="1"/>
  <c r="AK435" i="1" s="1"/>
  <c r="G662" i="1"/>
  <c r="H662" i="1" s="1"/>
  <c r="J662" i="1" s="1"/>
  <c r="Q662" i="1" s="1"/>
  <c r="M819" i="1"/>
  <c r="G835" i="1"/>
  <c r="H835" i="1" s="1"/>
  <c r="J835" i="1" s="1"/>
  <c r="E883" i="1"/>
  <c r="AK883" i="1" s="1"/>
  <c r="M899" i="1"/>
  <c r="E915" i="1"/>
  <c r="AK915" i="1" s="1"/>
  <c r="G931" i="1"/>
  <c r="H931" i="1" s="1"/>
  <c r="J931" i="1" s="1"/>
  <c r="E947" i="1"/>
  <c r="AK947" i="1" s="1"/>
  <c r="E963" i="1"/>
  <c r="AK963" i="1" s="1"/>
  <c r="G1007" i="1"/>
  <c r="H1007" i="1" s="1"/>
  <c r="J1007" i="1" s="1"/>
  <c r="Q1007" i="1" s="1"/>
  <c r="R1007" i="1" s="1"/>
  <c r="M900" i="1"/>
  <c r="E932" i="1"/>
  <c r="AK932" i="1" s="1"/>
  <c r="C964" i="1"/>
  <c r="C1016" i="1"/>
  <c r="E572" i="1"/>
  <c r="AK572" i="1" s="1"/>
  <c r="C607" i="1"/>
  <c r="C638" i="1"/>
  <c r="C670" i="1"/>
  <c r="C701" i="1"/>
  <c r="C761" i="1"/>
  <c r="C797" i="1"/>
  <c r="E862" i="1"/>
  <c r="AK862" i="1" s="1"/>
  <c r="G881" i="1"/>
  <c r="H881" i="1" s="1"/>
  <c r="J881" i="1" s="1"/>
  <c r="K881" i="1" s="1"/>
  <c r="C510" i="1"/>
  <c r="G589" i="1"/>
  <c r="H589" i="1" s="1"/>
  <c r="J589" i="1" s="1"/>
  <c r="K589" i="1" s="1"/>
  <c r="M653" i="1"/>
  <c r="M717" i="1"/>
  <c r="C825" i="1"/>
  <c r="G913" i="1"/>
  <c r="H913" i="1" s="1"/>
  <c r="J913" i="1" s="1"/>
  <c r="Q913" i="1" s="1"/>
  <c r="R913" i="1" s="1"/>
  <c r="G945" i="1"/>
  <c r="H945" i="1" s="1"/>
  <c r="J945" i="1" s="1"/>
  <c r="K945" i="1" s="1"/>
  <c r="L945" i="1" s="1"/>
  <c r="N945" i="1" s="1"/>
  <c r="O945" i="1" s="1"/>
  <c r="M525" i="1"/>
  <c r="G558" i="1"/>
  <c r="H558" i="1" s="1"/>
  <c r="J558" i="1" s="1"/>
  <c r="M621" i="1"/>
  <c r="E685" i="1"/>
  <c r="AK685" i="1" s="1"/>
  <c r="M733" i="1"/>
  <c r="G986" i="1"/>
  <c r="H986" i="1" s="1"/>
  <c r="J986" i="1" s="1"/>
  <c r="E1033" i="1"/>
  <c r="AK1033" i="1" s="1"/>
  <c r="M973" i="1"/>
  <c r="M284" i="1"/>
  <c r="M435" i="1"/>
  <c r="E781" i="1"/>
  <c r="AK781" i="1" s="1"/>
  <c r="C334" i="1"/>
  <c r="M253" i="1"/>
  <c r="M286" i="1"/>
  <c r="M317" i="1"/>
  <c r="G334" i="1"/>
  <c r="H334" i="1" s="1"/>
  <c r="J334" i="1" s="1"/>
  <c r="Q334" i="1" s="1"/>
  <c r="R334" i="1" s="1"/>
  <c r="G429" i="1"/>
  <c r="H429" i="1" s="1"/>
  <c r="J429" i="1" s="1"/>
  <c r="K429" i="1" s="1"/>
  <c r="M445" i="1"/>
  <c r="E69" i="1"/>
  <c r="AK69" i="1" s="1"/>
  <c r="E169" i="1"/>
  <c r="AK169" i="1" s="1"/>
  <c r="M215" i="1"/>
  <c r="G239" i="1"/>
  <c r="H239" i="1" s="1"/>
  <c r="J239" i="1" s="1"/>
  <c r="Q239" i="1" s="1"/>
  <c r="M250" i="1"/>
  <c r="G282" i="1"/>
  <c r="H282" i="1" s="1"/>
  <c r="J282" i="1" s="1"/>
  <c r="M314" i="1"/>
  <c r="E342" i="1"/>
  <c r="AK342" i="1" s="1"/>
  <c r="E350" i="1"/>
  <c r="AK350" i="1" s="1"/>
  <c r="M366" i="1"/>
  <c r="G938" i="1"/>
  <c r="H938" i="1" s="1"/>
  <c r="J938" i="1" s="1"/>
  <c r="Q938" i="1" s="1"/>
  <c r="G985" i="1"/>
  <c r="H985" i="1" s="1"/>
  <c r="J985" i="1" s="1"/>
  <c r="E1019" i="1"/>
  <c r="AK1019" i="1" s="1"/>
  <c r="C336" i="1"/>
  <c r="C279" i="1"/>
  <c r="M187" i="1"/>
  <c r="M223" i="1"/>
  <c r="M336" i="1"/>
  <c r="E383" i="1"/>
  <c r="AK383" i="1" s="1"/>
  <c r="E903" i="1"/>
  <c r="AK903" i="1" s="1"/>
  <c r="C867" i="1"/>
  <c r="C924" i="1"/>
  <c r="E809" i="1"/>
  <c r="AK809" i="1" s="1"/>
  <c r="C169" i="1"/>
  <c r="G237" i="1"/>
  <c r="H237" i="1" s="1"/>
  <c r="J237" i="1" s="1"/>
  <c r="Q237" i="1" s="1"/>
  <c r="R237" i="1" s="1"/>
  <c r="E269" i="1"/>
  <c r="AK269" i="1" s="1"/>
  <c r="M301" i="1"/>
  <c r="M334" i="1"/>
  <c r="G348" i="1"/>
  <c r="H348" i="1" s="1"/>
  <c r="J348" i="1" s="1"/>
  <c r="K348" i="1" s="1"/>
  <c r="M365" i="1"/>
  <c r="M381" i="1"/>
  <c r="M397" i="1"/>
  <c r="M413" i="1"/>
  <c r="E429" i="1"/>
  <c r="AK429" i="1" s="1"/>
  <c r="C207" i="1"/>
  <c r="C187" i="1"/>
  <c r="C346" i="1"/>
  <c r="C367" i="1"/>
  <c r="C874" i="1"/>
  <c r="C810" i="1"/>
  <c r="E203" i="1"/>
  <c r="AK203" i="1" s="1"/>
  <c r="E245" i="1"/>
  <c r="AK245" i="1" s="1"/>
  <c r="M333" i="1"/>
  <c r="M346" i="1"/>
  <c r="M406" i="1"/>
  <c r="G730" i="1"/>
  <c r="H730" i="1" s="1"/>
  <c r="J730" i="1" s="1"/>
  <c r="Q730" i="1" s="1"/>
  <c r="R730" i="1" s="1"/>
  <c r="M746" i="1"/>
  <c r="M841" i="1"/>
  <c r="G922" i="1"/>
  <c r="H922" i="1" s="1"/>
  <c r="J922" i="1" s="1"/>
  <c r="K922" i="1" s="1"/>
  <c r="M970" i="1"/>
  <c r="E1002" i="1"/>
  <c r="AK1002" i="1" s="1"/>
  <c r="G1022" i="1"/>
  <c r="H1022" i="1" s="1"/>
  <c r="J1022" i="1" s="1"/>
  <c r="K1022" i="1" s="1"/>
  <c r="C115" i="1"/>
  <c r="C539" i="1"/>
  <c r="M207" i="1"/>
  <c r="M307" i="1"/>
  <c r="G431" i="1"/>
  <c r="H431" i="1" s="1"/>
  <c r="J431" i="1" s="1"/>
  <c r="E491" i="1"/>
  <c r="AK491" i="1" s="1"/>
  <c r="M539" i="1"/>
  <c r="M659" i="1"/>
  <c r="M671" i="1"/>
  <c r="G759" i="1"/>
  <c r="H759" i="1" s="1"/>
  <c r="J759" i="1" s="1"/>
  <c r="K759" i="1" s="1"/>
  <c r="E775" i="1"/>
  <c r="AK775" i="1" s="1"/>
  <c r="M892" i="1"/>
  <c r="E956" i="1"/>
  <c r="AK956" i="1" s="1"/>
  <c r="E529" i="1"/>
  <c r="AK529" i="1" s="1"/>
  <c r="E657" i="1"/>
  <c r="AK657" i="1" s="1"/>
  <c r="C545" i="1"/>
  <c r="E817" i="1"/>
  <c r="AK817" i="1" s="1"/>
  <c r="C199" i="1"/>
  <c r="C253" i="1"/>
  <c r="E253" i="1"/>
  <c r="AK253" i="1" s="1"/>
  <c r="G301" i="1"/>
  <c r="H301" i="1" s="1"/>
  <c r="J301" i="1" s="1"/>
  <c r="K301" i="1" s="1"/>
  <c r="L301" i="1" s="1"/>
  <c r="G365" i="1"/>
  <c r="H365" i="1" s="1"/>
  <c r="J365" i="1" s="1"/>
  <c r="K365" i="1" s="1"/>
  <c r="E381" i="1"/>
  <c r="AK381" i="1" s="1"/>
  <c r="G397" i="1"/>
  <c r="H397" i="1" s="1"/>
  <c r="J397" i="1" s="1"/>
  <c r="K397" i="1" s="1"/>
  <c r="G413" i="1"/>
  <c r="H413" i="1" s="1"/>
  <c r="J413" i="1" s="1"/>
  <c r="Q413" i="1" s="1"/>
  <c r="E445" i="1"/>
  <c r="AK445" i="1" s="1"/>
  <c r="C287" i="1"/>
  <c r="C219" i="1"/>
  <c r="C245" i="1"/>
  <c r="C431" i="1"/>
  <c r="G203" i="1"/>
  <c r="H203" i="1" s="1"/>
  <c r="J203" i="1" s="1"/>
  <c r="Q203" i="1" s="1"/>
  <c r="M239" i="1"/>
  <c r="M282" i="1"/>
  <c r="G346" i="1"/>
  <c r="H346" i="1" s="1"/>
  <c r="J346" i="1" s="1"/>
  <c r="M722" i="1"/>
  <c r="M730" i="1"/>
  <c r="E762" i="1"/>
  <c r="AK762" i="1" s="1"/>
  <c r="E778" i="1"/>
  <c r="AK778" i="1" s="1"/>
  <c r="M794" i="1"/>
  <c r="E810" i="1"/>
  <c r="AK810" i="1" s="1"/>
  <c r="E826" i="1"/>
  <c r="AK826" i="1" s="1"/>
  <c r="G906" i="1"/>
  <c r="H906" i="1" s="1"/>
  <c r="J906" i="1" s="1"/>
  <c r="Q906" i="1" s="1"/>
  <c r="M938" i="1"/>
  <c r="E970" i="1"/>
  <c r="AK970" i="1" s="1"/>
  <c r="M1019" i="1"/>
  <c r="E103" i="1"/>
  <c r="AK103" i="1" s="1"/>
  <c r="M219" i="1"/>
  <c r="G243" i="1"/>
  <c r="H243" i="1" s="1"/>
  <c r="J243" i="1" s="1"/>
  <c r="E287" i="1"/>
  <c r="AK287" i="1" s="1"/>
  <c r="G703" i="1"/>
  <c r="H703" i="1" s="1"/>
  <c r="J703" i="1" s="1"/>
  <c r="G775" i="1"/>
  <c r="H775" i="1" s="1"/>
  <c r="J775" i="1" s="1"/>
  <c r="K775" i="1" s="1"/>
  <c r="L775" i="1" s="1"/>
  <c r="E822" i="1"/>
  <c r="AK822" i="1" s="1"/>
  <c r="G839" i="1"/>
  <c r="H839" i="1" s="1"/>
  <c r="J839" i="1" s="1"/>
  <c r="Q839" i="1" s="1"/>
  <c r="M887" i="1"/>
  <c r="G980" i="1"/>
  <c r="H980" i="1" s="1"/>
  <c r="J980" i="1" s="1"/>
  <c r="K980" i="1" s="1"/>
  <c r="C690" i="1"/>
  <c r="C705" i="1"/>
  <c r="M721" i="1"/>
  <c r="E143" i="1"/>
  <c r="AK143" i="1" s="1"/>
  <c r="G367" i="1"/>
  <c r="H367" i="1" s="1"/>
  <c r="J367" i="1" s="1"/>
  <c r="K367" i="1" s="1"/>
  <c r="L367" i="1" s="1"/>
  <c r="E199" i="1"/>
  <c r="AK199" i="1" s="1"/>
  <c r="G275" i="1"/>
  <c r="H275" i="1" s="1"/>
  <c r="J275" i="1" s="1"/>
  <c r="Q275" i="1" s="1"/>
  <c r="G122" i="1"/>
  <c r="H122" i="1" s="1"/>
  <c r="J122" i="1" s="1"/>
  <c r="M107" i="1"/>
  <c r="M154" i="1"/>
  <c r="E187" i="1"/>
  <c r="AK187" i="1" s="1"/>
  <c r="E207" i="1"/>
  <c r="AK207" i="1" s="1"/>
  <c r="G219" i="1"/>
  <c r="H219" i="1" s="1"/>
  <c r="J219" i="1" s="1"/>
  <c r="Q219" i="1" s="1"/>
  <c r="E275" i="1"/>
  <c r="AK275" i="1" s="1"/>
  <c r="G336" i="1"/>
  <c r="H336" i="1" s="1"/>
  <c r="J336" i="1" s="1"/>
  <c r="Q336" i="1" s="1"/>
  <c r="M383" i="1"/>
  <c r="M703" i="1"/>
  <c r="C143" i="1"/>
  <c r="G143" i="1"/>
  <c r="H143" i="1" s="1"/>
  <c r="J143" i="1" s="1"/>
  <c r="G399" i="1"/>
  <c r="H399" i="1" s="1"/>
  <c r="J399" i="1" s="1"/>
  <c r="E399" i="1"/>
  <c r="AK399" i="1" s="1"/>
  <c r="M415" i="1"/>
  <c r="E415" i="1"/>
  <c r="AK415" i="1" s="1"/>
  <c r="E447" i="1"/>
  <c r="AK447" i="1" s="1"/>
  <c r="G447" i="1"/>
  <c r="H447" i="1" s="1"/>
  <c r="J447" i="1" s="1"/>
  <c r="Q447" i="1" s="1"/>
  <c r="G873" i="1"/>
  <c r="H873" i="1" s="1"/>
  <c r="J873" i="1" s="1"/>
  <c r="K873" i="1" s="1"/>
  <c r="E873" i="1"/>
  <c r="AK873" i="1" s="1"/>
  <c r="G691" i="1"/>
  <c r="H691" i="1" s="1"/>
  <c r="J691" i="1" s="1"/>
  <c r="Q691" i="1" s="1"/>
  <c r="M691" i="1"/>
  <c r="M934" i="1"/>
  <c r="G934" i="1"/>
  <c r="H934" i="1" s="1"/>
  <c r="J934" i="1" s="1"/>
  <c r="K934" i="1" s="1"/>
  <c r="M919" i="1"/>
  <c r="G919" i="1"/>
  <c r="H919" i="1" s="1"/>
  <c r="J919" i="1" s="1"/>
  <c r="K919" i="1" s="1"/>
  <c r="E870" i="1"/>
  <c r="AK870" i="1" s="1"/>
  <c r="M870" i="1"/>
  <c r="M854" i="1"/>
  <c r="E854" i="1"/>
  <c r="AK854" i="1" s="1"/>
  <c r="E807" i="1"/>
  <c r="AK807" i="1" s="1"/>
  <c r="M807" i="1"/>
  <c r="M791" i="1"/>
  <c r="G791" i="1"/>
  <c r="H791" i="1" s="1"/>
  <c r="J791" i="1" s="1"/>
  <c r="E743" i="1"/>
  <c r="AK743" i="1" s="1"/>
  <c r="M743" i="1"/>
  <c r="E651" i="1"/>
  <c r="AK651" i="1" s="1"/>
  <c r="M651" i="1"/>
  <c r="G587" i="1"/>
  <c r="H587" i="1" s="1"/>
  <c r="J587" i="1" s="1"/>
  <c r="Q587" i="1" s="1"/>
  <c r="E587" i="1"/>
  <c r="AK587" i="1" s="1"/>
  <c r="M555" i="1"/>
  <c r="G555" i="1"/>
  <c r="H555" i="1" s="1"/>
  <c r="J555" i="1" s="1"/>
  <c r="K555" i="1" s="1"/>
  <c r="M523" i="1"/>
  <c r="G523" i="1"/>
  <c r="H523" i="1" s="1"/>
  <c r="J523" i="1" s="1"/>
  <c r="K523" i="1" s="1"/>
  <c r="M1003" i="1"/>
  <c r="G1003" i="1"/>
  <c r="H1003" i="1" s="1"/>
  <c r="J1003" i="1" s="1"/>
  <c r="K1003" i="1" s="1"/>
  <c r="C381" i="1"/>
  <c r="C314" i="1"/>
  <c r="C985" i="1"/>
  <c r="C447" i="1"/>
  <c r="C922" i="1"/>
  <c r="C282" i="1"/>
  <c r="C415" i="1"/>
  <c r="C659" i="1"/>
  <c r="E366" i="1"/>
  <c r="AK366" i="1" s="1"/>
  <c r="M658" i="1"/>
  <c r="G675" i="1"/>
  <c r="H675" i="1" s="1"/>
  <c r="J675" i="1" s="1"/>
  <c r="K675" i="1" s="1"/>
  <c r="G689" i="1"/>
  <c r="H689" i="1" s="1"/>
  <c r="J689" i="1" s="1"/>
  <c r="K689" i="1" s="1"/>
  <c r="E722" i="1"/>
  <c r="AK722" i="1" s="1"/>
  <c r="M826" i="1"/>
  <c r="G841" i="1"/>
  <c r="H841" i="1" s="1"/>
  <c r="J841" i="1" s="1"/>
  <c r="Q841" i="1" s="1"/>
  <c r="G858" i="1"/>
  <c r="H858" i="1" s="1"/>
  <c r="J858" i="1" s="1"/>
  <c r="K858" i="1" s="1"/>
  <c r="E889" i="1"/>
  <c r="AK889" i="1" s="1"/>
  <c r="E906" i="1"/>
  <c r="AK906" i="1" s="1"/>
  <c r="E922" i="1"/>
  <c r="AK922" i="1" s="1"/>
  <c r="E954" i="1"/>
  <c r="AK954" i="1" s="1"/>
  <c r="G1002" i="1"/>
  <c r="H1002" i="1" s="1"/>
  <c r="J1002" i="1" s="1"/>
  <c r="C703" i="1"/>
  <c r="M103" i="1"/>
  <c r="M199" i="1"/>
  <c r="E223" i="1"/>
  <c r="AK223" i="1" s="1"/>
  <c r="E243" i="1"/>
  <c r="AK243" i="1" s="1"/>
  <c r="E279" i="1"/>
  <c r="AK279" i="1" s="1"/>
  <c r="G287" i="1"/>
  <c r="H287" i="1" s="1"/>
  <c r="J287" i="1" s="1"/>
  <c r="K287" i="1" s="1"/>
  <c r="G307" i="1"/>
  <c r="H307" i="1" s="1"/>
  <c r="J307" i="1" s="1"/>
  <c r="K307" i="1" s="1"/>
  <c r="M367" i="1"/>
  <c r="M475" i="1"/>
  <c r="M507" i="1"/>
  <c r="G539" i="1"/>
  <c r="H539" i="1" s="1"/>
  <c r="J539" i="1" s="1"/>
  <c r="K539" i="1" s="1"/>
  <c r="M587" i="1"/>
  <c r="G618" i="1"/>
  <c r="H618" i="1" s="1"/>
  <c r="J618" i="1" s="1"/>
  <c r="Q618" i="1" s="1"/>
  <c r="E635" i="1"/>
  <c r="AK635" i="1" s="1"/>
  <c r="G659" i="1"/>
  <c r="H659" i="1" s="1"/>
  <c r="J659" i="1" s="1"/>
  <c r="Q659" i="1" s="1"/>
  <c r="E671" i="1"/>
  <c r="AK671" i="1" s="1"/>
  <c r="G822" i="1"/>
  <c r="H822" i="1" s="1"/>
  <c r="J822" i="1" s="1"/>
  <c r="E839" i="1"/>
  <c r="AK839" i="1" s="1"/>
  <c r="G951" i="1"/>
  <c r="H951" i="1" s="1"/>
  <c r="J951" i="1" s="1"/>
  <c r="E971" i="1"/>
  <c r="AK971" i="1" s="1"/>
  <c r="G999" i="1"/>
  <c r="H999" i="1" s="1"/>
  <c r="J999" i="1" s="1"/>
  <c r="Q999" i="1" s="1"/>
  <c r="C968" i="1"/>
  <c r="M1036" i="1"/>
  <c r="G845" i="1"/>
  <c r="H845" i="1" s="1"/>
  <c r="J845" i="1" s="1"/>
  <c r="Q845" i="1" s="1"/>
  <c r="R845" i="1" s="1"/>
  <c r="G937" i="1"/>
  <c r="H937" i="1" s="1"/>
  <c r="J937" i="1" s="1"/>
  <c r="C626" i="1"/>
  <c r="M745" i="1"/>
  <c r="C672" i="1"/>
  <c r="C1038" i="1"/>
  <c r="E82" i="1"/>
  <c r="AK82" i="1" s="1"/>
  <c r="M407" i="1"/>
  <c r="G43" i="1"/>
  <c r="H43" i="1" s="1"/>
  <c r="J43" i="1" s="1"/>
  <c r="K43" i="1" s="1"/>
  <c r="G152" i="1"/>
  <c r="H152" i="1" s="1"/>
  <c r="J152" i="1" s="1"/>
  <c r="K152" i="1" s="1"/>
  <c r="C82" i="1"/>
  <c r="AI9" i="1"/>
  <c r="M1001" i="1"/>
  <c r="G55" i="1"/>
  <c r="H55" i="1" s="1"/>
  <c r="J55" i="1" s="1"/>
  <c r="G226" i="1"/>
  <c r="H226" i="1" s="1"/>
  <c r="J226" i="1" s="1"/>
  <c r="E31" i="1"/>
  <c r="AK31" i="1" s="1"/>
  <c r="G112" i="1"/>
  <c r="H112" i="1" s="1"/>
  <c r="J112" i="1" s="1"/>
  <c r="G978" i="1"/>
  <c r="H978" i="1" s="1"/>
  <c r="J978" i="1" s="1"/>
  <c r="K978" i="1" s="1"/>
  <c r="E994" i="1"/>
  <c r="AK994" i="1" s="1"/>
  <c r="M1030" i="1"/>
  <c r="C259" i="1"/>
  <c r="E930" i="1"/>
  <c r="AK930" i="1" s="1"/>
  <c r="E946" i="1"/>
  <c r="AK946" i="1" s="1"/>
  <c r="E962" i="1"/>
  <c r="AK962" i="1" s="1"/>
  <c r="E167" i="1"/>
  <c r="AK167" i="1" s="1"/>
  <c r="E259" i="1"/>
  <c r="AK259" i="1" s="1"/>
  <c r="M41" i="1"/>
  <c r="G31" i="1"/>
  <c r="H31" i="1" s="1"/>
  <c r="J31" i="1" s="1"/>
  <c r="Q31" i="1" s="1"/>
  <c r="R31" i="1" s="1"/>
  <c r="M86" i="1"/>
  <c r="M171" i="1"/>
  <c r="E202" i="1"/>
  <c r="AK202" i="1" s="1"/>
  <c r="M1010" i="1"/>
  <c r="G41" i="1"/>
  <c r="H41" i="1" s="1"/>
  <c r="J41" i="1" s="1"/>
  <c r="M71" i="1"/>
  <c r="G86" i="1"/>
  <c r="H86" i="1" s="1"/>
  <c r="J86" i="1" s="1"/>
  <c r="Q86" i="1" s="1"/>
  <c r="R86" i="1" s="1"/>
  <c r="G119" i="1"/>
  <c r="H119" i="1" s="1"/>
  <c r="J119" i="1" s="1"/>
  <c r="M131" i="1"/>
  <c r="M152" i="1"/>
  <c r="G202" i="1"/>
  <c r="H202" i="1" s="1"/>
  <c r="J202" i="1" s="1"/>
  <c r="K202" i="1" s="1"/>
  <c r="L202" i="1" s="1"/>
  <c r="N202" i="1" s="1"/>
  <c r="O202" i="1" s="1"/>
  <c r="M319" i="1"/>
  <c r="E423" i="1"/>
  <c r="AK423" i="1" s="1"/>
  <c r="E439" i="1"/>
  <c r="AK439" i="1" s="1"/>
  <c r="E1030" i="1"/>
  <c r="AK1030" i="1" s="1"/>
  <c r="C226" i="1"/>
  <c r="C202" i="1"/>
  <c r="C991" i="1"/>
  <c r="E55" i="1"/>
  <c r="AK55" i="1" s="1"/>
  <c r="G71" i="1"/>
  <c r="H71" i="1" s="1"/>
  <c r="J71" i="1" s="1"/>
  <c r="M99" i="1"/>
  <c r="E112" i="1"/>
  <c r="AK112" i="1" s="1"/>
  <c r="E131" i="1"/>
  <c r="AK131" i="1" s="1"/>
  <c r="G162" i="1"/>
  <c r="H162" i="1" s="1"/>
  <c r="J162" i="1" s="1"/>
  <c r="K162" i="1" s="1"/>
  <c r="M255" i="1"/>
  <c r="G291" i="1"/>
  <c r="H291" i="1" s="1"/>
  <c r="J291" i="1" s="1"/>
  <c r="K291" i="1" s="1"/>
  <c r="L291" i="1" s="1"/>
  <c r="G323" i="1"/>
  <c r="H323" i="1" s="1"/>
  <c r="J323" i="1" s="1"/>
  <c r="K323" i="1" s="1"/>
  <c r="G423" i="1"/>
  <c r="H423" i="1" s="1"/>
  <c r="J423" i="1" s="1"/>
  <c r="M439" i="1"/>
  <c r="C575" i="1"/>
  <c r="C33" i="1"/>
  <c r="M281" i="1"/>
  <c r="G297" i="1"/>
  <c r="H297" i="1" s="1"/>
  <c r="J297" i="1" s="1"/>
  <c r="K297" i="1" s="1"/>
  <c r="G329" i="1"/>
  <c r="H329" i="1" s="1"/>
  <c r="J329" i="1" s="1"/>
  <c r="M345" i="1"/>
  <c r="G24" i="1"/>
  <c r="H24" i="1" s="1"/>
  <c r="J24" i="1" s="1"/>
  <c r="K24" i="1" s="1"/>
  <c r="L24" i="1" s="1"/>
  <c r="M24" i="1"/>
  <c r="C156" i="1"/>
  <c r="M156" i="1"/>
  <c r="E64" i="1"/>
  <c r="AK64" i="1" s="1"/>
  <c r="M91" i="1"/>
  <c r="E104" i="1"/>
  <c r="AK104" i="1" s="1"/>
  <c r="E110" i="1"/>
  <c r="AK110" i="1" s="1"/>
  <c r="M109" i="1"/>
  <c r="C109" i="1"/>
  <c r="E66" i="1"/>
  <c r="AK66" i="1" s="1"/>
  <c r="C66" i="1"/>
  <c r="M140" i="1"/>
  <c r="E217" i="1"/>
  <c r="AK217" i="1" s="1"/>
  <c r="M168" i="1"/>
  <c r="M127" i="1"/>
  <c r="C71" i="1"/>
  <c r="E99" i="1"/>
  <c r="AK99" i="1" s="1"/>
  <c r="G167" i="1"/>
  <c r="H167" i="1" s="1"/>
  <c r="J167" i="1" s="1"/>
  <c r="M247" i="1"/>
  <c r="G255" i="1"/>
  <c r="H255" i="1" s="1"/>
  <c r="J255" i="1" s="1"/>
  <c r="K255" i="1" s="1"/>
  <c r="E311" i="1"/>
  <c r="AK311" i="1" s="1"/>
  <c r="G319" i="1"/>
  <c r="H319" i="1" s="1"/>
  <c r="J319" i="1" s="1"/>
  <c r="K319" i="1" s="1"/>
  <c r="E375" i="1"/>
  <c r="AK375" i="1" s="1"/>
  <c r="M391" i="1"/>
  <c r="G407" i="1"/>
  <c r="H407" i="1" s="1"/>
  <c r="J407" i="1" s="1"/>
  <c r="K407" i="1" s="1"/>
  <c r="L407" i="1" s="1"/>
  <c r="E119" i="1"/>
  <c r="AK119" i="1" s="1"/>
  <c r="M162" i="1"/>
  <c r="E171" i="1"/>
  <c r="AK171" i="1" s="1"/>
  <c r="E226" i="1"/>
  <c r="AK226" i="1" s="1"/>
  <c r="G247" i="1"/>
  <c r="H247" i="1" s="1"/>
  <c r="J247" i="1" s="1"/>
  <c r="Q247" i="1" s="1"/>
  <c r="G259" i="1"/>
  <c r="H259" i="1" s="1"/>
  <c r="J259" i="1" s="1"/>
  <c r="Q259" i="1" s="1"/>
  <c r="M291" i="1"/>
  <c r="G311" i="1"/>
  <c r="H311" i="1" s="1"/>
  <c r="J311" i="1" s="1"/>
  <c r="E323" i="1"/>
  <c r="AK323" i="1" s="1"/>
  <c r="G375" i="1"/>
  <c r="H375" i="1" s="1"/>
  <c r="J375" i="1" s="1"/>
  <c r="G391" i="1"/>
  <c r="H391" i="1" s="1"/>
  <c r="J391" i="1" s="1"/>
  <c r="M44" i="1"/>
  <c r="E52" i="1"/>
  <c r="AK52" i="1" s="1"/>
  <c r="C291" i="1"/>
  <c r="C439" i="1"/>
  <c r="M375" i="1"/>
  <c r="M423" i="1"/>
  <c r="G77" i="1"/>
  <c r="H77" i="1" s="1"/>
  <c r="J77" i="1" s="1"/>
  <c r="K77" i="1" s="1"/>
  <c r="E77" i="1"/>
  <c r="AK77" i="1" s="1"/>
  <c r="C114" i="1"/>
  <c r="E114" i="1"/>
  <c r="AK114" i="1" s="1"/>
  <c r="E163" i="1"/>
  <c r="AK163" i="1" s="1"/>
  <c r="M163" i="1"/>
  <c r="M265" i="1"/>
  <c r="C265" i="1"/>
  <c r="E265" i="1"/>
  <c r="AK265" i="1" s="1"/>
  <c r="G345" i="1"/>
  <c r="H345" i="1" s="1"/>
  <c r="J345" i="1" s="1"/>
  <c r="E345" i="1"/>
  <c r="AK345" i="1" s="1"/>
  <c r="G198" i="1"/>
  <c r="H198" i="1" s="1"/>
  <c r="J198" i="1" s="1"/>
  <c r="M198" i="1"/>
  <c r="M362" i="1"/>
  <c r="E362" i="1"/>
  <c r="AK362" i="1" s="1"/>
  <c r="G362" i="1"/>
  <c r="H362" i="1" s="1"/>
  <c r="J362" i="1" s="1"/>
  <c r="G327" i="1"/>
  <c r="H327" i="1" s="1"/>
  <c r="J327" i="1" s="1"/>
  <c r="Q327" i="1" s="1"/>
  <c r="E327" i="1"/>
  <c r="AK327" i="1" s="1"/>
  <c r="G441" i="1"/>
  <c r="H441" i="1" s="1"/>
  <c r="J441" i="1" s="1"/>
  <c r="E441" i="1"/>
  <c r="AK441" i="1" s="1"/>
  <c r="C441" i="1"/>
  <c r="E893" i="1"/>
  <c r="AK893" i="1" s="1"/>
  <c r="M893" i="1"/>
  <c r="E792" i="1"/>
  <c r="AK792" i="1" s="1"/>
  <c r="M792" i="1"/>
  <c r="C198" i="1"/>
  <c r="C91" i="1"/>
  <c r="C410" i="1"/>
  <c r="C856" i="1"/>
  <c r="C673" i="1"/>
  <c r="C606" i="1"/>
  <c r="C573" i="1"/>
  <c r="C704" i="1"/>
  <c r="C846" i="1"/>
  <c r="C939" i="1"/>
  <c r="C1014" i="1"/>
  <c r="B1046" i="1"/>
  <c r="E38" i="1"/>
  <c r="AK38" i="1" s="1"/>
  <c r="M84" i="1"/>
  <c r="E91" i="1"/>
  <c r="AK91" i="1" s="1"/>
  <c r="G100" i="1"/>
  <c r="H100" i="1" s="1"/>
  <c r="J100" i="1" s="1"/>
  <c r="K100" i="1" s="1"/>
  <c r="G168" i="1"/>
  <c r="H168" i="1" s="1"/>
  <c r="J168" i="1" s="1"/>
  <c r="Q168" i="1" s="1"/>
  <c r="E184" i="1"/>
  <c r="AK184" i="1" s="1"/>
  <c r="M200" i="1"/>
  <c r="G224" i="1"/>
  <c r="H224" i="1" s="1"/>
  <c r="J224" i="1" s="1"/>
  <c r="E240" i="1"/>
  <c r="AK240" i="1" s="1"/>
  <c r="E256" i="1"/>
  <c r="AK256" i="1" s="1"/>
  <c r="G288" i="1"/>
  <c r="H288" i="1" s="1"/>
  <c r="J288" i="1" s="1"/>
  <c r="Q288" i="1" s="1"/>
  <c r="E304" i="1"/>
  <c r="AK304" i="1" s="1"/>
  <c r="M320" i="1"/>
  <c r="G361" i="1"/>
  <c r="H361" i="1" s="1"/>
  <c r="J361" i="1" s="1"/>
  <c r="Q361" i="1" s="1"/>
  <c r="R361" i="1" s="1"/>
  <c r="G392" i="1"/>
  <c r="H392" i="1" s="1"/>
  <c r="J392" i="1" s="1"/>
  <c r="Q392" i="1" s="1"/>
  <c r="G426" i="1"/>
  <c r="H426" i="1" s="1"/>
  <c r="J426" i="1" s="1"/>
  <c r="Q426" i="1" s="1"/>
  <c r="E484" i="1"/>
  <c r="AK484" i="1" s="1"/>
  <c r="M496" i="1"/>
  <c r="E548" i="1"/>
  <c r="AK548" i="1" s="1"/>
  <c r="G552" i="1"/>
  <c r="H552" i="1" s="1"/>
  <c r="J552" i="1" s="1"/>
  <c r="Q552" i="1" s="1"/>
  <c r="M560" i="1"/>
  <c r="E612" i="1"/>
  <c r="AK612" i="1" s="1"/>
  <c r="M624" i="1"/>
  <c r="G660" i="1"/>
  <c r="H660" i="1" s="1"/>
  <c r="J660" i="1" s="1"/>
  <c r="K660" i="1" s="1"/>
  <c r="E673" i="1"/>
  <c r="AK673" i="1" s="1"/>
  <c r="C271" i="1"/>
  <c r="C1031" i="1"/>
  <c r="G145" i="1"/>
  <c r="H145" i="1" s="1"/>
  <c r="J145" i="1" s="1"/>
  <c r="Q145" i="1" s="1"/>
  <c r="C326" i="1"/>
  <c r="C975" i="1"/>
  <c r="E146" i="1"/>
  <c r="AK146" i="1" s="1"/>
  <c r="E534" i="1"/>
  <c r="AK534" i="1" s="1"/>
  <c r="M534" i="1"/>
  <c r="G534" i="1"/>
  <c r="H534" i="1" s="1"/>
  <c r="J534" i="1" s="1"/>
  <c r="M63" i="1"/>
  <c r="G63" i="1"/>
  <c r="H63" i="1" s="1"/>
  <c r="J63" i="1" s="1"/>
  <c r="G48" i="1"/>
  <c r="H48" i="1" s="1"/>
  <c r="J48" i="1" s="1"/>
  <c r="Q48" i="1" s="1"/>
  <c r="E48" i="1"/>
  <c r="AK48" i="1" s="1"/>
  <c r="G98" i="1"/>
  <c r="H98" i="1" s="1"/>
  <c r="J98" i="1" s="1"/>
  <c r="Q98" i="1" s="1"/>
  <c r="M98" i="1"/>
  <c r="G129" i="1"/>
  <c r="H129" i="1" s="1"/>
  <c r="J129" i="1" s="1"/>
  <c r="K129" i="1" s="1"/>
  <c r="M129" i="1"/>
  <c r="C57" i="1"/>
  <c r="G57" i="1"/>
  <c r="H57" i="1" s="1"/>
  <c r="J57" i="1" s="1"/>
  <c r="Q57" i="1" s="1"/>
  <c r="G211" i="1"/>
  <c r="H211" i="1" s="1"/>
  <c r="J211" i="1" s="1"/>
  <c r="C211" i="1"/>
  <c r="G249" i="1"/>
  <c r="H249" i="1" s="1"/>
  <c r="J249" i="1" s="1"/>
  <c r="Q249" i="1" s="1"/>
  <c r="R249" i="1" s="1"/>
  <c r="M249" i="1"/>
  <c r="G281" i="1"/>
  <c r="H281" i="1" s="1"/>
  <c r="J281" i="1" s="1"/>
  <c r="K281" i="1" s="1"/>
  <c r="E281" i="1"/>
  <c r="AK281" i="1" s="1"/>
  <c r="G313" i="1"/>
  <c r="H313" i="1" s="1"/>
  <c r="J313" i="1" s="1"/>
  <c r="Q313" i="1" s="1"/>
  <c r="M313" i="1"/>
  <c r="E329" i="1"/>
  <c r="AK329" i="1" s="1"/>
  <c r="M329" i="1"/>
  <c r="M194" i="1"/>
  <c r="E194" i="1"/>
  <c r="AK194" i="1" s="1"/>
  <c r="C194" i="1"/>
  <c r="E54" i="1"/>
  <c r="AK54" i="1" s="1"/>
  <c r="M54" i="1"/>
  <c r="C54" i="1"/>
  <c r="G54" i="1"/>
  <c r="H54" i="1" s="1"/>
  <c r="J54" i="1" s="1"/>
  <c r="Q54" i="1" s="1"/>
  <c r="G299" i="1"/>
  <c r="H299" i="1" s="1"/>
  <c r="J299" i="1" s="1"/>
  <c r="Q299" i="1" s="1"/>
  <c r="C299" i="1"/>
  <c r="E274" i="1"/>
  <c r="AK274" i="1" s="1"/>
  <c r="G274" i="1"/>
  <c r="H274" i="1" s="1"/>
  <c r="J274" i="1" s="1"/>
  <c r="Q274" i="1" s="1"/>
  <c r="M274" i="1"/>
  <c r="M306" i="1"/>
  <c r="E306" i="1"/>
  <c r="AK306" i="1" s="1"/>
  <c r="G306" i="1"/>
  <c r="H306" i="1" s="1"/>
  <c r="J306" i="1" s="1"/>
  <c r="K306" i="1" s="1"/>
  <c r="M338" i="1"/>
  <c r="G338" i="1"/>
  <c r="H338" i="1" s="1"/>
  <c r="J338" i="1" s="1"/>
  <c r="K338" i="1" s="1"/>
  <c r="E338" i="1"/>
  <c r="AK338" i="1" s="1"/>
  <c r="G377" i="1"/>
  <c r="H377" i="1" s="1"/>
  <c r="J377" i="1" s="1"/>
  <c r="K377" i="1" s="1"/>
  <c r="E377" i="1"/>
  <c r="AK377" i="1" s="1"/>
  <c r="M394" i="1"/>
  <c r="E394" i="1"/>
  <c r="AK394" i="1" s="1"/>
  <c r="C394" i="1"/>
  <c r="G425" i="1"/>
  <c r="H425" i="1" s="1"/>
  <c r="J425" i="1" s="1"/>
  <c r="E425" i="1"/>
  <c r="AK425" i="1" s="1"/>
  <c r="E174" i="1"/>
  <c r="AK174" i="1" s="1"/>
  <c r="M174" i="1"/>
  <c r="M353" i="1"/>
  <c r="E353" i="1"/>
  <c r="AK353" i="1" s="1"/>
  <c r="E990" i="1"/>
  <c r="AK990" i="1" s="1"/>
  <c r="M990" i="1"/>
  <c r="C990" i="1"/>
  <c r="M958" i="1"/>
  <c r="C958" i="1"/>
  <c r="G958" i="1"/>
  <c r="H958" i="1" s="1"/>
  <c r="J958" i="1" s="1"/>
  <c r="K958" i="1" s="1"/>
  <c r="M814" i="1"/>
  <c r="E814" i="1"/>
  <c r="AK814" i="1" s="1"/>
  <c r="E766" i="1"/>
  <c r="AK766" i="1" s="1"/>
  <c r="M766" i="1"/>
  <c r="E840" i="1"/>
  <c r="AK840" i="1" s="1"/>
  <c r="M840" i="1"/>
  <c r="E824" i="1"/>
  <c r="AK824" i="1" s="1"/>
  <c r="M824" i="1"/>
  <c r="C776" i="1"/>
  <c r="M776" i="1"/>
  <c r="E776" i="1"/>
  <c r="AK776" i="1" s="1"/>
  <c r="C744" i="1"/>
  <c r="G744" i="1"/>
  <c r="H744" i="1" s="1"/>
  <c r="J744" i="1" s="1"/>
  <c r="Q744" i="1" s="1"/>
  <c r="M744" i="1"/>
  <c r="M389" i="1"/>
  <c r="E389" i="1"/>
  <c r="AK389" i="1" s="1"/>
  <c r="G389" i="1"/>
  <c r="H389" i="1" s="1"/>
  <c r="J389" i="1" s="1"/>
  <c r="G875" i="1"/>
  <c r="H875" i="1" s="1"/>
  <c r="J875" i="1" s="1"/>
  <c r="Q875" i="1" s="1"/>
  <c r="C875" i="1"/>
  <c r="G811" i="1"/>
  <c r="H811" i="1" s="1"/>
  <c r="J811" i="1" s="1"/>
  <c r="K811" i="1" s="1"/>
  <c r="C811" i="1"/>
  <c r="C760" i="1"/>
  <c r="C731" i="1"/>
  <c r="C639" i="1"/>
  <c r="C679" i="1"/>
  <c r="M100" i="1"/>
  <c r="M137" i="1"/>
  <c r="E156" i="1"/>
  <c r="AK156" i="1" s="1"/>
  <c r="E224" i="1"/>
  <c r="AK224" i="1" s="1"/>
  <c r="G256" i="1"/>
  <c r="H256" i="1" s="1"/>
  <c r="J256" i="1" s="1"/>
  <c r="K256" i="1" s="1"/>
  <c r="E272" i="1"/>
  <c r="AK272" i="1" s="1"/>
  <c r="M288" i="1"/>
  <c r="E335" i="1"/>
  <c r="AK335" i="1" s="1"/>
  <c r="M361" i="1"/>
  <c r="E380" i="1"/>
  <c r="AK380" i="1" s="1"/>
  <c r="E392" i="1"/>
  <c r="AK392" i="1" s="1"/>
  <c r="M412" i="1"/>
  <c r="M426" i="1"/>
  <c r="M444" i="1"/>
  <c r="G496" i="1"/>
  <c r="H496" i="1" s="1"/>
  <c r="J496" i="1" s="1"/>
  <c r="K496" i="1" s="1"/>
  <c r="L496" i="1" s="1"/>
  <c r="E508" i="1"/>
  <c r="AK508" i="1" s="1"/>
  <c r="E552" i="1"/>
  <c r="AK552" i="1" s="1"/>
  <c r="M573" i="1"/>
  <c r="E636" i="1"/>
  <c r="AK636" i="1" s="1"/>
  <c r="G677" i="1"/>
  <c r="H677" i="1" s="1"/>
  <c r="J677" i="1" s="1"/>
  <c r="Q677" i="1" s="1"/>
  <c r="R677" i="1" s="1"/>
  <c r="G704" i="1"/>
  <c r="H704" i="1" s="1"/>
  <c r="J704" i="1" s="1"/>
  <c r="G792" i="1"/>
  <c r="H792" i="1" s="1"/>
  <c r="J792" i="1" s="1"/>
  <c r="Q792" i="1" s="1"/>
  <c r="G824" i="1"/>
  <c r="H824" i="1" s="1"/>
  <c r="J824" i="1" s="1"/>
  <c r="Q824" i="1" s="1"/>
  <c r="C306" i="1"/>
  <c r="C179" i="1"/>
  <c r="C763" i="1"/>
  <c r="C891" i="1"/>
  <c r="E711" i="1"/>
  <c r="AK711" i="1" s="1"/>
  <c r="M79" i="1"/>
  <c r="G79" i="1"/>
  <c r="H79" i="1" s="1"/>
  <c r="J79" i="1" s="1"/>
  <c r="M47" i="1"/>
  <c r="C47" i="1"/>
  <c r="E97" i="1"/>
  <c r="AK97" i="1" s="1"/>
  <c r="G97" i="1"/>
  <c r="H97" i="1" s="1"/>
  <c r="J97" i="1" s="1"/>
  <c r="K97" i="1" s="1"/>
  <c r="M130" i="1"/>
  <c r="G130" i="1"/>
  <c r="H130" i="1" s="1"/>
  <c r="J130" i="1" s="1"/>
  <c r="C130" i="1"/>
  <c r="E161" i="1"/>
  <c r="AK161" i="1" s="1"/>
  <c r="G161" i="1"/>
  <c r="H161" i="1" s="1"/>
  <c r="J161" i="1" s="1"/>
  <c r="K161" i="1" s="1"/>
  <c r="E45" i="1"/>
  <c r="AK45" i="1" s="1"/>
  <c r="G45" i="1"/>
  <c r="H45" i="1" s="1"/>
  <c r="J45" i="1" s="1"/>
  <c r="Q45" i="1" s="1"/>
  <c r="M45" i="1"/>
  <c r="M233" i="1"/>
  <c r="E233" i="1"/>
  <c r="AK233" i="1" s="1"/>
  <c r="M297" i="1"/>
  <c r="E297" i="1"/>
  <c r="AK297" i="1" s="1"/>
  <c r="M267" i="1"/>
  <c r="C267" i="1"/>
  <c r="M242" i="1"/>
  <c r="G242" i="1"/>
  <c r="H242" i="1" s="1"/>
  <c r="J242" i="1" s="1"/>
  <c r="Q242" i="1" s="1"/>
  <c r="G359" i="1"/>
  <c r="H359" i="1" s="1"/>
  <c r="J359" i="1" s="1"/>
  <c r="K359" i="1" s="1"/>
  <c r="C359" i="1"/>
  <c r="G409" i="1"/>
  <c r="H409" i="1" s="1"/>
  <c r="J409" i="1" s="1"/>
  <c r="Q409" i="1" s="1"/>
  <c r="C409" i="1"/>
  <c r="E409" i="1"/>
  <c r="AK409" i="1" s="1"/>
  <c r="G191" i="1"/>
  <c r="H191" i="1" s="1"/>
  <c r="J191" i="1" s="1"/>
  <c r="M191" i="1"/>
  <c r="C728" i="1"/>
  <c r="E728" i="1"/>
  <c r="AK728" i="1" s="1"/>
  <c r="M728" i="1"/>
  <c r="M430" i="1"/>
  <c r="E430" i="1"/>
  <c r="AK430" i="1" s="1"/>
  <c r="E1034" i="1"/>
  <c r="AK1034" i="1" s="1"/>
  <c r="M1034" i="1"/>
  <c r="E942" i="1"/>
  <c r="AK942" i="1" s="1"/>
  <c r="C942" i="1"/>
  <c r="M926" i="1"/>
  <c r="C926" i="1"/>
  <c r="E861" i="1"/>
  <c r="AK861" i="1" s="1"/>
  <c r="M861" i="1"/>
  <c r="C861" i="1"/>
  <c r="M830" i="1"/>
  <c r="E830" i="1"/>
  <c r="AK830" i="1" s="1"/>
  <c r="M798" i="1"/>
  <c r="E798" i="1"/>
  <c r="AK798" i="1" s="1"/>
  <c r="C798" i="1"/>
  <c r="E782" i="1"/>
  <c r="AK782" i="1" s="1"/>
  <c r="M782" i="1"/>
  <c r="C782" i="1"/>
  <c r="M750" i="1"/>
  <c r="E750" i="1"/>
  <c r="AK750" i="1" s="1"/>
  <c r="M735" i="1"/>
  <c r="E735" i="1"/>
  <c r="AK735" i="1" s="1"/>
  <c r="G438" i="1"/>
  <c r="H438" i="1" s="1"/>
  <c r="J438" i="1" s="1"/>
  <c r="M438" i="1"/>
  <c r="E856" i="1"/>
  <c r="AK856" i="1" s="1"/>
  <c r="M856" i="1"/>
  <c r="C808" i="1"/>
  <c r="E808" i="1"/>
  <c r="AK808" i="1" s="1"/>
  <c r="M808" i="1"/>
  <c r="M760" i="1"/>
  <c r="E760" i="1"/>
  <c r="AK760" i="1" s="1"/>
  <c r="G843" i="1"/>
  <c r="H843" i="1" s="1"/>
  <c r="J843" i="1" s="1"/>
  <c r="K843" i="1" s="1"/>
  <c r="C843" i="1"/>
  <c r="E827" i="1"/>
  <c r="AK827" i="1" s="1"/>
  <c r="C827" i="1"/>
  <c r="M795" i="1"/>
  <c r="C795" i="1"/>
  <c r="E780" i="1"/>
  <c r="AK780" i="1" s="1"/>
  <c r="C780" i="1"/>
  <c r="G747" i="1"/>
  <c r="H747" i="1" s="1"/>
  <c r="J747" i="1" s="1"/>
  <c r="Q747" i="1" s="1"/>
  <c r="C747" i="1"/>
  <c r="G414" i="1"/>
  <c r="H414" i="1" s="1"/>
  <c r="J414" i="1" s="1"/>
  <c r="Q414" i="1" s="1"/>
  <c r="E414" i="1"/>
  <c r="AK414" i="1" s="1"/>
  <c r="M485" i="1"/>
  <c r="E485" i="1"/>
  <c r="AK485" i="1" s="1"/>
  <c r="G485" i="1"/>
  <c r="H485" i="1" s="1"/>
  <c r="J485" i="1" s="1"/>
  <c r="Q485" i="1" s="1"/>
  <c r="E469" i="1"/>
  <c r="AK469" i="1" s="1"/>
  <c r="M469" i="1"/>
  <c r="G469" i="1"/>
  <c r="H469" i="1" s="1"/>
  <c r="J469" i="1" s="1"/>
  <c r="K469" i="1" s="1"/>
  <c r="M453" i="1"/>
  <c r="E453" i="1"/>
  <c r="AK453" i="1" s="1"/>
  <c r="G453" i="1"/>
  <c r="H453" i="1" s="1"/>
  <c r="J453" i="1" s="1"/>
  <c r="Q453" i="1" s="1"/>
  <c r="E339" i="1"/>
  <c r="AK339" i="1" s="1"/>
  <c r="G339" i="1"/>
  <c r="H339" i="1" s="1"/>
  <c r="J339" i="1" s="1"/>
  <c r="C339" i="1"/>
  <c r="E479" i="1"/>
  <c r="AK479" i="1" s="1"/>
  <c r="C479" i="1"/>
  <c r="G262" i="1"/>
  <c r="H262" i="1" s="1"/>
  <c r="J262" i="1" s="1"/>
  <c r="K262" i="1" s="1"/>
  <c r="E262" i="1"/>
  <c r="AK262" i="1" s="1"/>
  <c r="E710" i="1"/>
  <c r="AK710" i="1" s="1"/>
  <c r="M710" i="1"/>
  <c r="G710" i="1"/>
  <c r="H710" i="1" s="1"/>
  <c r="J710" i="1" s="1"/>
  <c r="Q710" i="1" s="1"/>
  <c r="M693" i="1"/>
  <c r="E693" i="1"/>
  <c r="AK693" i="1" s="1"/>
  <c r="G693" i="1"/>
  <c r="H693" i="1" s="1"/>
  <c r="J693" i="1" s="1"/>
  <c r="E678" i="1"/>
  <c r="AK678" i="1" s="1"/>
  <c r="C678" i="1"/>
  <c r="M678" i="1"/>
  <c r="G678" i="1"/>
  <c r="H678" i="1" s="1"/>
  <c r="J678" i="1" s="1"/>
  <c r="K678" i="1" s="1"/>
  <c r="G663" i="1"/>
  <c r="H663" i="1" s="1"/>
  <c r="J663" i="1" s="1"/>
  <c r="Q663" i="1" s="1"/>
  <c r="M663" i="1"/>
  <c r="C663" i="1"/>
  <c r="E663" i="1"/>
  <c r="AK663" i="1" s="1"/>
  <c r="M646" i="1"/>
  <c r="G646" i="1"/>
  <c r="H646" i="1" s="1"/>
  <c r="J646" i="1" s="1"/>
  <c r="Q646" i="1" s="1"/>
  <c r="C646" i="1"/>
  <c r="E646" i="1"/>
  <c r="AK646" i="1" s="1"/>
  <c r="M630" i="1"/>
  <c r="E630" i="1"/>
  <c r="AK630" i="1" s="1"/>
  <c r="G630" i="1"/>
  <c r="H630" i="1" s="1"/>
  <c r="J630" i="1" s="1"/>
  <c r="Q630" i="1" s="1"/>
  <c r="M614" i="1"/>
  <c r="E614" i="1"/>
  <c r="AK614" i="1" s="1"/>
  <c r="G614" i="1"/>
  <c r="H614" i="1" s="1"/>
  <c r="J614" i="1" s="1"/>
  <c r="Q614" i="1" s="1"/>
  <c r="G598" i="1"/>
  <c r="H598" i="1" s="1"/>
  <c r="J598" i="1" s="1"/>
  <c r="Q598" i="1" s="1"/>
  <c r="E598" i="1"/>
  <c r="AK598" i="1" s="1"/>
  <c r="M598" i="1"/>
  <c r="M582" i="1"/>
  <c r="E582" i="1"/>
  <c r="AK582" i="1" s="1"/>
  <c r="G582" i="1"/>
  <c r="H582" i="1" s="1"/>
  <c r="J582" i="1" s="1"/>
  <c r="K582" i="1" s="1"/>
  <c r="C582" i="1"/>
  <c r="M565" i="1"/>
  <c r="E565" i="1"/>
  <c r="AK565" i="1" s="1"/>
  <c r="G565" i="1"/>
  <c r="H565" i="1" s="1"/>
  <c r="J565" i="1" s="1"/>
  <c r="C565" i="1"/>
  <c r="E550" i="1"/>
  <c r="AK550" i="1" s="1"/>
  <c r="M550" i="1"/>
  <c r="G550" i="1"/>
  <c r="H550" i="1" s="1"/>
  <c r="J550" i="1" s="1"/>
  <c r="Q550" i="1" s="1"/>
  <c r="M518" i="1"/>
  <c r="E518" i="1"/>
  <c r="AK518" i="1" s="1"/>
  <c r="G518" i="1"/>
  <c r="H518" i="1" s="1"/>
  <c r="J518" i="1" s="1"/>
  <c r="Q518" i="1" s="1"/>
  <c r="M502" i="1"/>
  <c r="C502" i="1"/>
  <c r="E502" i="1"/>
  <c r="AK502" i="1" s="1"/>
  <c r="G502" i="1"/>
  <c r="H502" i="1" s="1"/>
  <c r="J502" i="1" s="1"/>
  <c r="K502" i="1" s="1"/>
  <c r="M487" i="1"/>
  <c r="E487" i="1"/>
  <c r="AK487" i="1" s="1"/>
  <c r="C487" i="1"/>
  <c r="G487" i="1"/>
  <c r="H487" i="1" s="1"/>
  <c r="J487" i="1" s="1"/>
  <c r="Q487" i="1" s="1"/>
  <c r="G470" i="1"/>
  <c r="H470" i="1" s="1"/>
  <c r="J470" i="1" s="1"/>
  <c r="K470" i="1" s="1"/>
  <c r="M470" i="1"/>
  <c r="E470" i="1"/>
  <c r="AK470" i="1" s="1"/>
  <c r="G454" i="1"/>
  <c r="H454" i="1" s="1"/>
  <c r="J454" i="1" s="1"/>
  <c r="C454" i="1"/>
  <c r="M454" i="1"/>
  <c r="E454" i="1"/>
  <c r="AK454" i="1" s="1"/>
  <c r="G424" i="1"/>
  <c r="H424" i="1" s="1"/>
  <c r="J424" i="1" s="1"/>
  <c r="K424" i="1" s="1"/>
  <c r="L424" i="1" s="1"/>
  <c r="M424" i="1"/>
  <c r="C424" i="1"/>
  <c r="G393" i="1"/>
  <c r="H393" i="1" s="1"/>
  <c r="J393" i="1" s="1"/>
  <c r="K393" i="1" s="1"/>
  <c r="E393" i="1"/>
  <c r="AK393" i="1" s="1"/>
  <c r="M343" i="1"/>
  <c r="E343" i="1"/>
  <c r="AK343" i="1" s="1"/>
  <c r="G343" i="1"/>
  <c r="H343" i="1" s="1"/>
  <c r="J343" i="1" s="1"/>
  <c r="C343" i="1"/>
  <c r="E42" i="1"/>
  <c r="AK42" i="1" s="1"/>
  <c r="C42" i="1"/>
  <c r="M42" i="1"/>
  <c r="G42" i="1"/>
  <c r="H42" i="1" s="1"/>
  <c r="J42" i="1" s="1"/>
  <c r="Q42" i="1" s="1"/>
  <c r="C174" i="1"/>
  <c r="C438" i="1"/>
  <c r="C235" i="1"/>
  <c r="C511" i="1"/>
  <c r="C224" i="1"/>
  <c r="C414" i="1"/>
  <c r="C330" i="1"/>
  <c r="C667" i="1"/>
  <c r="C923" i="1"/>
  <c r="C1006" i="1"/>
  <c r="M68" i="1"/>
  <c r="G156" i="1"/>
  <c r="H156" i="1" s="1"/>
  <c r="J156" i="1" s="1"/>
  <c r="Q156" i="1" s="1"/>
  <c r="M240" i="1"/>
  <c r="G272" i="1"/>
  <c r="H272" i="1" s="1"/>
  <c r="J272" i="1" s="1"/>
  <c r="K272" i="1" s="1"/>
  <c r="M304" i="1"/>
  <c r="G380" i="1"/>
  <c r="H380" i="1" s="1"/>
  <c r="J380" i="1" s="1"/>
  <c r="K380" i="1" s="1"/>
  <c r="M392" i="1"/>
  <c r="E426" i="1"/>
  <c r="AK426" i="1" s="1"/>
  <c r="M484" i="1"/>
  <c r="M552" i="1"/>
  <c r="M660" i="1"/>
  <c r="M673" i="1"/>
  <c r="C274" i="1"/>
  <c r="C693" i="1"/>
  <c r="G394" i="1"/>
  <c r="H394" i="1" s="1"/>
  <c r="J394" i="1" s="1"/>
  <c r="Q394" i="1" s="1"/>
  <c r="R394" i="1" s="1"/>
  <c r="M425" i="1"/>
  <c r="C389" i="1"/>
  <c r="C878" i="1"/>
  <c r="C750" i="1"/>
  <c r="E242" i="1"/>
  <c r="AK242" i="1" s="1"/>
  <c r="C907" i="1"/>
  <c r="M1035" i="1"/>
  <c r="G267" i="1"/>
  <c r="H267" i="1" s="1"/>
  <c r="J267" i="1" s="1"/>
  <c r="Q267" i="1" s="1"/>
  <c r="E127" i="1"/>
  <c r="AK127" i="1" s="1"/>
  <c r="M211" i="1"/>
  <c r="M330" i="1"/>
  <c r="G846" i="1"/>
  <c r="H846" i="1" s="1"/>
  <c r="J846" i="1" s="1"/>
  <c r="Q846" i="1" s="1"/>
  <c r="E878" i="1"/>
  <c r="AK878" i="1" s="1"/>
  <c r="M910" i="1"/>
  <c r="M942" i="1"/>
  <c r="E975" i="1"/>
  <c r="AK975" i="1" s="1"/>
  <c r="E1006" i="1"/>
  <c r="AK1006" i="1" s="1"/>
  <c r="G1034" i="1"/>
  <c r="H1034" i="1" s="1"/>
  <c r="J1034" i="1" s="1"/>
  <c r="C955" i="1"/>
  <c r="M179" i="1"/>
  <c r="G190" i="1"/>
  <c r="H190" i="1" s="1"/>
  <c r="J190" i="1" s="1"/>
  <c r="G235" i="1"/>
  <c r="H235" i="1" s="1"/>
  <c r="J235" i="1" s="1"/>
  <c r="K235" i="1" s="1"/>
  <c r="E1038" i="1"/>
  <c r="AK1038" i="1" s="1"/>
  <c r="E43" i="1"/>
  <c r="AK43" i="1" s="1"/>
  <c r="AJ9" i="1"/>
  <c r="G67" i="1"/>
  <c r="H67" i="1" s="1"/>
  <c r="J67" i="1" s="1"/>
  <c r="M1038" i="1"/>
  <c r="E25" i="1"/>
  <c r="G25" i="1"/>
  <c r="H25" i="1" s="1"/>
  <c r="J25" i="1" s="1"/>
  <c r="Q25" i="1" s="1"/>
  <c r="M82" i="1"/>
  <c r="C127" i="1"/>
  <c r="G174" i="1"/>
  <c r="H174" i="1" s="1"/>
  <c r="J174" i="1" s="1"/>
  <c r="E191" i="1"/>
  <c r="AK191" i="1" s="1"/>
  <c r="E198" i="1"/>
  <c r="AK198" i="1" s="1"/>
  <c r="M327" i="1"/>
  <c r="G430" i="1"/>
  <c r="H430" i="1" s="1"/>
  <c r="J430" i="1" s="1"/>
  <c r="Q430" i="1" s="1"/>
  <c r="R430" i="1" s="1"/>
  <c r="E438" i="1"/>
  <c r="AK438" i="1" s="1"/>
  <c r="G735" i="1"/>
  <c r="H735" i="1" s="1"/>
  <c r="J735" i="1" s="1"/>
  <c r="K735" i="1" s="1"/>
  <c r="G750" i="1"/>
  <c r="H750" i="1" s="1"/>
  <c r="J750" i="1" s="1"/>
  <c r="Q750" i="1" s="1"/>
  <c r="R750" i="1" s="1"/>
  <c r="G766" i="1"/>
  <c r="H766" i="1" s="1"/>
  <c r="J766" i="1" s="1"/>
  <c r="G782" i="1"/>
  <c r="H782" i="1" s="1"/>
  <c r="J782" i="1" s="1"/>
  <c r="Q782" i="1" s="1"/>
  <c r="G798" i="1"/>
  <c r="H798" i="1" s="1"/>
  <c r="J798" i="1" s="1"/>
  <c r="Q798" i="1" s="1"/>
  <c r="G814" i="1"/>
  <c r="H814" i="1" s="1"/>
  <c r="J814" i="1" s="1"/>
  <c r="Q814" i="1" s="1"/>
  <c r="R814" i="1" s="1"/>
  <c r="G830" i="1"/>
  <c r="H830" i="1" s="1"/>
  <c r="J830" i="1" s="1"/>
  <c r="K830" i="1" s="1"/>
  <c r="E846" i="1"/>
  <c r="AK846" i="1" s="1"/>
  <c r="G861" i="1"/>
  <c r="H861" i="1" s="1"/>
  <c r="J861" i="1" s="1"/>
  <c r="G878" i="1"/>
  <c r="H878" i="1" s="1"/>
  <c r="J878" i="1" s="1"/>
  <c r="Q878" i="1" s="1"/>
  <c r="G893" i="1"/>
  <c r="H893" i="1" s="1"/>
  <c r="J893" i="1" s="1"/>
  <c r="K893" i="1" s="1"/>
  <c r="G910" i="1"/>
  <c r="H910" i="1" s="1"/>
  <c r="J910" i="1" s="1"/>
  <c r="K910" i="1" s="1"/>
  <c r="G926" i="1"/>
  <c r="H926" i="1" s="1"/>
  <c r="J926" i="1" s="1"/>
  <c r="K926" i="1" s="1"/>
  <c r="L926" i="1" s="1"/>
  <c r="G942" i="1"/>
  <c r="H942" i="1" s="1"/>
  <c r="J942" i="1" s="1"/>
  <c r="E958" i="1"/>
  <c r="AK958" i="1" s="1"/>
  <c r="G975" i="1"/>
  <c r="H975" i="1" s="1"/>
  <c r="J975" i="1" s="1"/>
  <c r="K975" i="1" s="1"/>
  <c r="G990" i="1"/>
  <c r="H990" i="1" s="1"/>
  <c r="J990" i="1" s="1"/>
  <c r="G1006" i="1"/>
  <c r="H1006" i="1" s="1"/>
  <c r="J1006" i="1" s="1"/>
  <c r="Q1006" i="1" s="1"/>
  <c r="E106" i="1"/>
  <c r="AK106" i="1" s="1"/>
  <c r="G127" i="1"/>
  <c r="H127" i="1" s="1"/>
  <c r="J127" i="1" s="1"/>
  <c r="K127" i="1" s="1"/>
  <c r="L127" i="1" s="1"/>
  <c r="G175" i="1"/>
  <c r="H175" i="1" s="1"/>
  <c r="J175" i="1" s="1"/>
  <c r="G183" i="1"/>
  <c r="H183" i="1" s="1"/>
  <c r="J183" i="1" s="1"/>
  <c r="E190" i="1"/>
  <c r="AK190" i="1" s="1"/>
  <c r="E235" i="1"/>
  <c r="AK235" i="1" s="1"/>
  <c r="E267" i="1"/>
  <c r="AK267" i="1" s="1"/>
  <c r="E299" i="1"/>
  <c r="AK299" i="1" s="1"/>
  <c r="G326" i="1"/>
  <c r="H326" i="1" s="1"/>
  <c r="J326" i="1" s="1"/>
  <c r="C45" i="1"/>
  <c r="M175" i="1"/>
  <c r="E179" i="1"/>
  <c r="AK179" i="1" s="1"/>
  <c r="M190" i="1"/>
  <c r="E211" i="1"/>
  <c r="AK211" i="1" s="1"/>
  <c r="M263" i="1"/>
  <c r="M271" i="1"/>
  <c r="C745" i="1"/>
  <c r="E745" i="1"/>
  <c r="AK745" i="1" s="1"/>
  <c r="M809" i="1"/>
  <c r="G809" i="1"/>
  <c r="H809" i="1" s="1"/>
  <c r="J809" i="1" s="1"/>
  <c r="Q809" i="1" s="1"/>
  <c r="C873" i="1"/>
  <c r="M873" i="1"/>
  <c r="E905" i="1"/>
  <c r="AK905" i="1" s="1"/>
  <c r="G905" i="1"/>
  <c r="H905" i="1" s="1"/>
  <c r="J905" i="1" s="1"/>
  <c r="C937" i="1"/>
  <c r="M937" i="1"/>
  <c r="M968" i="1"/>
  <c r="G968" i="1"/>
  <c r="H968" i="1" s="1"/>
  <c r="J968" i="1" s="1"/>
  <c r="Q968" i="1" s="1"/>
  <c r="E989" i="1"/>
  <c r="AK989" i="1" s="1"/>
  <c r="G989" i="1"/>
  <c r="H989" i="1" s="1"/>
  <c r="J989" i="1" s="1"/>
  <c r="K989" i="1" s="1"/>
  <c r="M1011" i="1"/>
  <c r="G1011" i="1"/>
  <c r="H1011" i="1" s="1"/>
  <c r="J1011" i="1" s="1"/>
  <c r="K1011" i="1" s="1"/>
  <c r="E1028" i="1"/>
  <c r="AK1028" i="1" s="1"/>
  <c r="G1028" i="1"/>
  <c r="H1028" i="1" s="1"/>
  <c r="J1028" i="1" s="1"/>
  <c r="K1028" i="1" s="1"/>
  <c r="M781" i="1"/>
  <c r="G781" i="1"/>
  <c r="H781" i="1" s="1"/>
  <c r="J781" i="1" s="1"/>
  <c r="Q781" i="1" s="1"/>
  <c r="C845" i="1"/>
  <c r="M845" i="1"/>
  <c r="E892" i="1"/>
  <c r="AK892" i="1" s="1"/>
  <c r="G892" i="1"/>
  <c r="H892" i="1" s="1"/>
  <c r="J892" i="1" s="1"/>
  <c r="K892" i="1" s="1"/>
  <c r="E924" i="1"/>
  <c r="AK924" i="1" s="1"/>
  <c r="G924" i="1"/>
  <c r="H924" i="1" s="1"/>
  <c r="J924" i="1" s="1"/>
  <c r="K924" i="1" s="1"/>
  <c r="M956" i="1"/>
  <c r="G956" i="1"/>
  <c r="H956" i="1" s="1"/>
  <c r="J956" i="1" s="1"/>
  <c r="K956" i="1" s="1"/>
  <c r="M980" i="1"/>
  <c r="E980" i="1"/>
  <c r="AK980" i="1" s="1"/>
  <c r="E1001" i="1"/>
  <c r="AK1001" i="1" s="1"/>
  <c r="G1001" i="1"/>
  <c r="H1001" i="1" s="1"/>
  <c r="J1001" i="1" s="1"/>
  <c r="Q1001" i="1" s="1"/>
  <c r="M867" i="1"/>
  <c r="E867" i="1"/>
  <c r="AK867" i="1" s="1"/>
  <c r="C721" i="1"/>
  <c r="E721" i="1"/>
  <c r="AK721" i="1" s="1"/>
  <c r="M705" i="1"/>
  <c r="E705" i="1"/>
  <c r="AK705" i="1" s="1"/>
  <c r="E690" i="1"/>
  <c r="AK690" i="1" s="1"/>
  <c r="G690" i="1"/>
  <c r="H690" i="1" s="1"/>
  <c r="J690" i="1" s="1"/>
  <c r="Q690" i="1" s="1"/>
  <c r="E672" i="1"/>
  <c r="AK672" i="1" s="1"/>
  <c r="G672" i="1"/>
  <c r="H672" i="1" s="1"/>
  <c r="J672" i="1" s="1"/>
  <c r="G657" i="1"/>
  <c r="H657" i="1" s="1"/>
  <c r="J657" i="1" s="1"/>
  <c r="C657" i="1"/>
  <c r="E641" i="1"/>
  <c r="AK641" i="1" s="1"/>
  <c r="G641" i="1"/>
  <c r="H641" i="1" s="1"/>
  <c r="J641" i="1" s="1"/>
  <c r="E626" i="1"/>
  <c r="AK626" i="1" s="1"/>
  <c r="G626" i="1"/>
  <c r="H626" i="1" s="1"/>
  <c r="J626" i="1" s="1"/>
  <c r="K626" i="1" s="1"/>
  <c r="C609" i="1"/>
  <c r="M609" i="1"/>
  <c r="M593" i="1"/>
  <c r="G593" i="1"/>
  <c r="H593" i="1" s="1"/>
  <c r="J593" i="1" s="1"/>
  <c r="Q593" i="1" s="1"/>
  <c r="C577" i="1"/>
  <c r="E577" i="1"/>
  <c r="AK577" i="1" s="1"/>
  <c r="G561" i="1"/>
  <c r="H561" i="1" s="1"/>
  <c r="J561" i="1" s="1"/>
  <c r="C561" i="1"/>
  <c r="E545" i="1"/>
  <c r="AK545" i="1" s="1"/>
  <c r="M545" i="1"/>
  <c r="C529" i="1"/>
  <c r="M529" i="1"/>
  <c r="E513" i="1"/>
  <c r="AK513" i="1" s="1"/>
  <c r="G513" i="1"/>
  <c r="H513" i="1" s="1"/>
  <c r="J513" i="1" s="1"/>
  <c r="Q513" i="1" s="1"/>
  <c r="E773" i="1"/>
  <c r="AK773" i="1" s="1"/>
  <c r="G773" i="1"/>
  <c r="H773" i="1" s="1"/>
  <c r="J773" i="1" s="1"/>
  <c r="C837" i="1"/>
  <c r="M837" i="1"/>
  <c r="E888" i="1"/>
  <c r="AK888" i="1" s="1"/>
  <c r="G888" i="1"/>
  <c r="H888" i="1" s="1"/>
  <c r="J888" i="1" s="1"/>
  <c r="K888" i="1" s="1"/>
  <c r="E920" i="1"/>
  <c r="AK920" i="1" s="1"/>
  <c r="G920" i="1"/>
  <c r="H920" i="1" s="1"/>
  <c r="J920" i="1" s="1"/>
  <c r="Q920" i="1" s="1"/>
  <c r="E952" i="1"/>
  <c r="AK952" i="1" s="1"/>
  <c r="G952" i="1"/>
  <c r="H952" i="1" s="1"/>
  <c r="J952" i="1" s="1"/>
  <c r="K952" i="1" s="1"/>
  <c r="E977" i="1"/>
  <c r="AK977" i="1" s="1"/>
  <c r="G977" i="1"/>
  <c r="H977" i="1" s="1"/>
  <c r="J977" i="1" s="1"/>
  <c r="K977" i="1" s="1"/>
  <c r="C1020" i="1"/>
  <c r="M1020" i="1"/>
  <c r="E1036" i="1"/>
  <c r="AK1036" i="1" s="1"/>
  <c r="G1036" i="1"/>
  <c r="H1036" i="1" s="1"/>
  <c r="J1036" i="1" s="1"/>
  <c r="C817" i="1"/>
  <c r="M817" i="1"/>
  <c r="E894" i="1"/>
  <c r="AK894" i="1" s="1"/>
  <c r="G894" i="1"/>
  <c r="H894" i="1" s="1"/>
  <c r="J894" i="1" s="1"/>
  <c r="K894" i="1" s="1"/>
  <c r="E801" i="1"/>
  <c r="AK801" i="1" s="1"/>
  <c r="G801" i="1"/>
  <c r="H801" i="1" s="1"/>
  <c r="J801" i="1" s="1"/>
  <c r="K801" i="1" s="1"/>
  <c r="C965" i="1"/>
  <c r="M965" i="1"/>
  <c r="C833" i="1"/>
  <c r="M833" i="1"/>
  <c r="E1018" i="1"/>
  <c r="AK1018" i="1" s="1"/>
  <c r="G1018" i="1"/>
  <c r="H1018" i="1" s="1"/>
  <c r="J1018" i="1" s="1"/>
  <c r="Q1018" i="1" s="1"/>
  <c r="C885" i="1"/>
  <c r="M885" i="1"/>
  <c r="C183" i="1"/>
  <c r="C175" i="1"/>
  <c r="C379" i="1"/>
  <c r="E183" i="1"/>
  <c r="AK183" i="1" s="1"/>
  <c r="G263" i="1"/>
  <c r="H263" i="1" s="1"/>
  <c r="J263" i="1" s="1"/>
  <c r="E271" i="1"/>
  <c r="AK271" i="1" s="1"/>
  <c r="E326" i="1"/>
  <c r="AK326" i="1" s="1"/>
  <c r="C989" i="1"/>
  <c r="C1028" i="1"/>
  <c r="M379" i="1"/>
  <c r="G379" i="1"/>
  <c r="H379" i="1" s="1"/>
  <c r="J379" i="1" s="1"/>
  <c r="G395" i="1"/>
  <c r="H395" i="1" s="1"/>
  <c r="J395" i="1" s="1"/>
  <c r="K395" i="1" s="1"/>
  <c r="E395" i="1"/>
  <c r="AK395" i="1" s="1"/>
  <c r="G410" i="1"/>
  <c r="H410" i="1" s="1"/>
  <c r="J410" i="1" s="1"/>
  <c r="K410" i="1" s="1"/>
  <c r="E410" i="1"/>
  <c r="AK410" i="1" s="1"/>
  <c r="M427" i="1"/>
  <c r="G427" i="1"/>
  <c r="H427" i="1" s="1"/>
  <c r="J427" i="1" s="1"/>
  <c r="K427" i="1" s="1"/>
  <c r="C443" i="1"/>
  <c r="G443" i="1"/>
  <c r="H443" i="1" s="1"/>
  <c r="J443" i="1" s="1"/>
  <c r="E443" i="1"/>
  <c r="AK443" i="1" s="1"/>
  <c r="E359" i="1"/>
  <c r="AK359" i="1" s="1"/>
  <c r="M359" i="1"/>
  <c r="M793" i="1"/>
  <c r="G793" i="1"/>
  <c r="H793" i="1" s="1"/>
  <c r="J793" i="1" s="1"/>
  <c r="E793" i="1"/>
  <c r="AK793" i="1" s="1"/>
  <c r="M857" i="1"/>
  <c r="E857" i="1"/>
  <c r="AK857" i="1" s="1"/>
  <c r="G857" i="1"/>
  <c r="H857" i="1" s="1"/>
  <c r="J857" i="1" s="1"/>
  <c r="G897" i="1"/>
  <c r="H897" i="1" s="1"/>
  <c r="J897" i="1" s="1"/>
  <c r="Q897" i="1" s="1"/>
  <c r="M897" i="1"/>
  <c r="C897" i="1"/>
  <c r="E897" i="1"/>
  <c r="AK897" i="1" s="1"/>
  <c r="M929" i="1"/>
  <c r="E929" i="1"/>
  <c r="AK929" i="1" s="1"/>
  <c r="G929" i="1"/>
  <c r="H929" i="1" s="1"/>
  <c r="J929" i="1" s="1"/>
  <c r="M960" i="1"/>
  <c r="C960" i="1"/>
  <c r="E960" i="1"/>
  <c r="AK960" i="1" s="1"/>
  <c r="G984" i="1"/>
  <c r="H984" i="1" s="1"/>
  <c r="J984" i="1" s="1"/>
  <c r="K984" i="1" s="1"/>
  <c r="L984" i="1" s="1"/>
  <c r="M984" i="1"/>
  <c r="C984" i="1"/>
  <c r="E1005" i="1"/>
  <c r="AK1005" i="1" s="1"/>
  <c r="G1005" i="1"/>
  <c r="H1005" i="1" s="1"/>
  <c r="J1005" i="1" s="1"/>
  <c r="M1005" i="1"/>
  <c r="G1025" i="1"/>
  <c r="H1025" i="1" s="1"/>
  <c r="J1025" i="1" s="1"/>
  <c r="K1025" i="1" s="1"/>
  <c r="M1025" i="1"/>
  <c r="E1025" i="1"/>
  <c r="AK1025" i="1" s="1"/>
  <c r="M765" i="1"/>
  <c r="E765" i="1"/>
  <c r="AK765" i="1" s="1"/>
  <c r="G765" i="1"/>
  <c r="H765" i="1" s="1"/>
  <c r="J765" i="1" s="1"/>
  <c r="K765" i="1" s="1"/>
  <c r="E828" i="1"/>
  <c r="AK828" i="1" s="1"/>
  <c r="M828" i="1"/>
  <c r="G828" i="1"/>
  <c r="H828" i="1" s="1"/>
  <c r="J828" i="1" s="1"/>
  <c r="Q828" i="1" s="1"/>
  <c r="G884" i="1"/>
  <c r="H884" i="1" s="1"/>
  <c r="J884" i="1" s="1"/>
  <c r="K884" i="1" s="1"/>
  <c r="E884" i="1"/>
  <c r="AK884" i="1" s="1"/>
  <c r="C884" i="1"/>
  <c r="E916" i="1"/>
  <c r="AK916" i="1" s="1"/>
  <c r="C916" i="1"/>
  <c r="M916" i="1"/>
  <c r="M948" i="1"/>
  <c r="G948" i="1"/>
  <c r="H948" i="1" s="1"/>
  <c r="J948" i="1" s="1"/>
  <c r="K948" i="1" s="1"/>
  <c r="L948" i="1" s="1"/>
  <c r="C948" i="1"/>
  <c r="G974" i="1"/>
  <c r="H974" i="1" s="1"/>
  <c r="J974" i="1" s="1"/>
  <c r="E974" i="1"/>
  <c r="AK974" i="1" s="1"/>
  <c r="M996" i="1"/>
  <c r="E996" i="1"/>
  <c r="AK996" i="1" s="1"/>
  <c r="G996" i="1"/>
  <c r="H996" i="1" s="1"/>
  <c r="J996" i="1" s="1"/>
  <c r="Q996" i="1" s="1"/>
  <c r="M1017" i="1"/>
  <c r="G1017" i="1"/>
  <c r="H1017" i="1" s="1"/>
  <c r="J1017" i="1" s="1"/>
  <c r="Q1017" i="1" s="1"/>
  <c r="R1017" i="1" s="1"/>
  <c r="C1017" i="1"/>
  <c r="G711" i="1"/>
  <c r="H711" i="1" s="1"/>
  <c r="J711" i="1" s="1"/>
  <c r="M711" i="1"/>
  <c r="G679" i="1"/>
  <c r="H679" i="1" s="1"/>
  <c r="J679" i="1" s="1"/>
  <c r="K679" i="1" s="1"/>
  <c r="E679" i="1"/>
  <c r="AK679" i="1" s="1"/>
  <c r="C872" i="1"/>
  <c r="G872" i="1"/>
  <c r="H872" i="1" s="1"/>
  <c r="J872" i="1" s="1"/>
  <c r="Q872" i="1" s="1"/>
  <c r="E872" i="1"/>
  <c r="AK872" i="1" s="1"/>
  <c r="E727" i="1"/>
  <c r="AK727" i="1" s="1"/>
  <c r="M727" i="1"/>
  <c r="G727" i="1"/>
  <c r="H727" i="1" s="1"/>
  <c r="J727" i="1" s="1"/>
  <c r="Q727" i="1" s="1"/>
  <c r="E699" i="1"/>
  <c r="AK699" i="1" s="1"/>
  <c r="M699" i="1"/>
  <c r="G699" i="1"/>
  <c r="H699" i="1" s="1"/>
  <c r="J699" i="1" s="1"/>
  <c r="K699" i="1" s="1"/>
  <c r="E667" i="1"/>
  <c r="AK667" i="1" s="1"/>
  <c r="M667" i="1"/>
  <c r="G955" i="1"/>
  <c r="H955" i="1" s="1"/>
  <c r="J955" i="1" s="1"/>
  <c r="Q955" i="1" s="1"/>
  <c r="M955" i="1"/>
  <c r="M939" i="1"/>
  <c r="E939" i="1"/>
  <c r="AK939" i="1" s="1"/>
  <c r="G923" i="1"/>
  <c r="H923" i="1" s="1"/>
  <c r="J923" i="1" s="1"/>
  <c r="K923" i="1" s="1"/>
  <c r="E923" i="1"/>
  <c r="AK923" i="1" s="1"/>
  <c r="G907" i="1"/>
  <c r="H907" i="1" s="1"/>
  <c r="J907" i="1" s="1"/>
  <c r="K907" i="1" s="1"/>
  <c r="E907" i="1"/>
  <c r="AK907" i="1" s="1"/>
  <c r="G891" i="1"/>
  <c r="H891" i="1" s="1"/>
  <c r="J891" i="1" s="1"/>
  <c r="Q891" i="1" s="1"/>
  <c r="M891" i="1"/>
  <c r="E875" i="1"/>
  <c r="AK875" i="1" s="1"/>
  <c r="M875" i="1"/>
  <c r="G859" i="1"/>
  <c r="H859" i="1" s="1"/>
  <c r="J859" i="1" s="1"/>
  <c r="Q859" i="1" s="1"/>
  <c r="R859" i="1" s="1"/>
  <c r="M859" i="1"/>
  <c r="M843" i="1"/>
  <c r="E843" i="1"/>
  <c r="AK843" i="1" s="1"/>
  <c r="G827" i="1"/>
  <c r="H827" i="1" s="1"/>
  <c r="J827" i="1" s="1"/>
  <c r="Q827" i="1" s="1"/>
  <c r="R827" i="1" s="1"/>
  <c r="M827" i="1"/>
  <c r="E811" i="1"/>
  <c r="AK811" i="1" s="1"/>
  <c r="M811" i="1"/>
  <c r="G795" i="1"/>
  <c r="H795" i="1" s="1"/>
  <c r="J795" i="1" s="1"/>
  <c r="Q795" i="1" s="1"/>
  <c r="E795" i="1"/>
  <c r="AK795" i="1" s="1"/>
  <c r="M780" i="1"/>
  <c r="G780" i="1"/>
  <c r="H780" i="1" s="1"/>
  <c r="J780" i="1" s="1"/>
  <c r="G763" i="1"/>
  <c r="H763" i="1" s="1"/>
  <c r="J763" i="1" s="1"/>
  <c r="Q763" i="1" s="1"/>
  <c r="E763" i="1"/>
  <c r="AK763" i="1" s="1"/>
  <c r="M747" i="1"/>
  <c r="E747" i="1"/>
  <c r="AK747" i="1" s="1"/>
  <c r="G731" i="1"/>
  <c r="H731" i="1" s="1"/>
  <c r="J731" i="1" s="1"/>
  <c r="Q731" i="1" s="1"/>
  <c r="E731" i="1"/>
  <c r="AK731" i="1" s="1"/>
  <c r="M725" i="1"/>
  <c r="C725" i="1"/>
  <c r="E725" i="1"/>
  <c r="AK725" i="1" s="1"/>
  <c r="G709" i="1"/>
  <c r="H709" i="1" s="1"/>
  <c r="J709" i="1" s="1"/>
  <c r="K709" i="1" s="1"/>
  <c r="E709" i="1"/>
  <c r="AK709" i="1" s="1"/>
  <c r="C709" i="1"/>
  <c r="E694" i="1"/>
  <c r="AK694" i="1" s="1"/>
  <c r="C694" i="1"/>
  <c r="M694" i="1"/>
  <c r="E676" i="1"/>
  <c r="AK676" i="1" s="1"/>
  <c r="C676" i="1"/>
  <c r="M676" i="1"/>
  <c r="C661" i="1"/>
  <c r="G661" i="1"/>
  <c r="H661" i="1" s="1"/>
  <c r="J661" i="1" s="1"/>
  <c r="Q661" i="1" s="1"/>
  <c r="E661" i="1"/>
  <c r="AK661" i="1" s="1"/>
  <c r="G645" i="1"/>
  <c r="H645" i="1" s="1"/>
  <c r="J645" i="1" s="1"/>
  <c r="K645" i="1" s="1"/>
  <c r="E645" i="1"/>
  <c r="AK645" i="1" s="1"/>
  <c r="C645" i="1"/>
  <c r="G629" i="1"/>
  <c r="H629" i="1" s="1"/>
  <c r="J629" i="1" s="1"/>
  <c r="E629" i="1"/>
  <c r="AK629" i="1" s="1"/>
  <c r="C629" i="1"/>
  <c r="E613" i="1"/>
  <c r="AK613" i="1" s="1"/>
  <c r="M613" i="1"/>
  <c r="G613" i="1"/>
  <c r="H613" i="1" s="1"/>
  <c r="J613" i="1" s="1"/>
  <c r="M595" i="1"/>
  <c r="E595" i="1"/>
  <c r="AK595" i="1" s="1"/>
  <c r="G595" i="1"/>
  <c r="H595" i="1" s="1"/>
  <c r="J595" i="1" s="1"/>
  <c r="K595" i="1" s="1"/>
  <c r="M581" i="1"/>
  <c r="E581" i="1"/>
  <c r="AK581" i="1" s="1"/>
  <c r="G581" i="1"/>
  <c r="H581" i="1" s="1"/>
  <c r="J581" i="1" s="1"/>
  <c r="E566" i="1"/>
  <c r="AK566" i="1" s="1"/>
  <c r="G566" i="1"/>
  <c r="H566" i="1" s="1"/>
  <c r="J566" i="1" s="1"/>
  <c r="Q566" i="1" s="1"/>
  <c r="C566" i="1"/>
  <c r="E549" i="1"/>
  <c r="AK549" i="1" s="1"/>
  <c r="C549" i="1"/>
  <c r="M549" i="1"/>
  <c r="C533" i="1"/>
  <c r="G533" i="1"/>
  <c r="H533" i="1" s="1"/>
  <c r="J533" i="1" s="1"/>
  <c r="Q533" i="1" s="1"/>
  <c r="M533" i="1"/>
  <c r="M517" i="1"/>
  <c r="C517" i="1"/>
  <c r="E517" i="1"/>
  <c r="AK517" i="1" s="1"/>
  <c r="C501" i="1"/>
  <c r="G501" i="1"/>
  <c r="H501" i="1" s="1"/>
  <c r="J501" i="1" s="1"/>
  <c r="K501" i="1" s="1"/>
  <c r="M501" i="1"/>
  <c r="E655" i="1"/>
  <c r="AK655" i="1" s="1"/>
  <c r="M655" i="1"/>
  <c r="G655" i="1"/>
  <c r="H655" i="1" s="1"/>
  <c r="J655" i="1" s="1"/>
  <c r="G639" i="1"/>
  <c r="H639" i="1" s="1"/>
  <c r="J639" i="1" s="1"/>
  <c r="K639" i="1" s="1"/>
  <c r="E639" i="1"/>
  <c r="AK639" i="1" s="1"/>
  <c r="M623" i="1"/>
  <c r="E623" i="1"/>
  <c r="AK623" i="1" s="1"/>
  <c r="G623" i="1"/>
  <c r="H623" i="1" s="1"/>
  <c r="J623" i="1" s="1"/>
  <c r="G606" i="1"/>
  <c r="H606" i="1" s="1"/>
  <c r="J606" i="1" s="1"/>
  <c r="E606" i="1"/>
  <c r="AK606" i="1" s="1"/>
  <c r="M591" i="1"/>
  <c r="E591" i="1"/>
  <c r="AK591" i="1" s="1"/>
  <c r="G591" i="1"/>
  <c r="H591" i="1" s="1"/>
  <c r="J591" i="1" s="1"/>
  <c r="G575" i="1"/>
  <c r="H575" i="1" s="1"/>
  <c r="J575" i="1" s="1"/>
  <c r="Q575" i="1" s="1"/>
  <c r="M575" i="1"/>
  <c r="M559" i="1"/>
  <c r="E559" i="1"/>
  <c r="AK559" i="1" s="1"/>
  <c r="G559" i="1"/>
  <c r="H559" i="1" s="1"/>
  <c r="J559" i="1" s="1"/>
  <c r="G543" i="1"/>
  <c r="H543" i="1" s="1"/>
  <c r="J543" i="1" s="1"/>
  <c r="Q543" i="1" s="1"/>
  <c r="C543" i="1"/>
  <c r="E543" i="1"/>
  <c r="AK543" i="1" s="1"/>
  <c r="E527" i="1"/>
  <c r="AK527" i="1" s="1"/>
  <c r="M527" i="1"/>
  <c r="G527" i="1"/>
  <c r="H527" i="1" s="1"/>
  <c r="J527" i="1" s="1"/>
  <c r="K527" i="1" s="1"/>
  <c r="G511" i="1"/>
  <c r="H511" i="1" s="1"/>
  <c r="J511" i="1" s="1"/>
  <c r="M511" i="1"/>
  <c r="E495" i="1"/>
  <c r="AK495" i="1" s="1"/>
  <c r="M495" i="1"/>
  <c r="G495" i="1"/>
  <c r="H495" i="1" s="1"/>
  <c r="J495" i="1" s="1"/>
  <c r="G479" i="1"/>
  <c r="H479" i="1" s="1"/>
  <c r="J479" i="1" s="1"/>
  <c r="M479" i="1"/>
  <c r="M463" i="1"/>
  <c r="E463" i="1"/>
  <c r="AK463" i="1" s="1"/>
  <c r="G463" i="1"/>
  <c r="H463" i="1" s="1"/>
  <c r="J463" i="1" s="1"/>
  <c r="Q463" i="1" s="1"/>
  <c r="C757" i="1"/>
  <c r="E757" i="1"/>
  <c r="AK757" i="1" s="1"/>
  <c r="M757" i="1"/>
  <c r="G821" i="1"/>
  <c r="H821" i="1" s="1"/>
  <c r="J821" i="1" s="1"/>
  <c r="K821" i="1" s="1"/>
  <c r="M821" i="1"/>
  <c r="C821" i="1"/>
  <c r="G880" i="1"/>
  <c r="H880" i="1" s="1"/>
  <c r="J880" i="1" s="1"/>
  <c r="K880" i="1" s="1"/>
  <c r="L880" i="1" s="1"/>
  <c r="M880" i="1"/>
  <c r="C880" i="1"/>
  <c r="M912" i="1"/>
  <c r="C912" i="1"/>
  <c r="E912" i="1"/>
  <c r="AK912" i="1" s="1"/>
  <c r="G944" i="1"/>
  <c r="H944" i="1" s="1"/>
  <c r="J944" i="1" s="1"/>
  <c r="K944" i="1" s="1"/>
  <c r="E944" i="1"/>
  <c r="AK944" i="1" s="1"/>
  <c r="C944" i="1"/>
  <c r="G972" i="1"/>
  <c r="H972" i="1" s="1"/>
  <c r="J972" i="1" s="1"/>
  <c r="Q972" i="1" s="1"/>
  <c r="M972" i="1"/>
  <c r="C972" i="1"/>
  <c r="M992" i="1"/>
  <c r="E992" i="1"/>
  <c r="AK992" i="1" s="1"/>
  <c r="G992" i="1"/>
  <c r="H992" i="1" s="1"/>
  <c r="J992" i="1" s="1"/>
  <c r="K992" i="1" s="1"/>
  <c r="G1014" i="1"/>
  <c r="H1014" i="1" s="1"/>
  <c r="J1014" i="1" s="1"/>
  <c r="K1014" i="1" s="1"/>
  <c r="E1014" i="1"/>
  <c r="AK1014" i="1" s="1"/>
  <c r="E1032" i="1"/>
  <c r="AK1032" i="1" s="1"/>
  <c r="M1032" i="1"/>
  <c r="G1032" i="1"/>
  <c r="H1032" i="1" s="1"/>
  <c r="J1032" i="1" s="1"/>
  <c r="Q1032" i="1" s="1"/>
  <c r="M753" i="1"/>
  <c r="E753" i="1"/>
  <c r="AK753" i="1" s="1"/>
  <c r="G753" i="1"/>
  <c r="H753" i="1" s="1"/>
  <c r="J753" i="1" s="1"/>
  <c r="M941" i="1"/>
  <c r="C941" i="1"/>
  <c r="E941" i="1"/>
  <c r="AK941" i="1" s="1"/>
  <c r="G1031" i="1"/>
  <c r="H1031" i="1" s="1"/>
  <c r="J1031" i="1" s="1"/>
  <c r="K1031" i="1" s="1"/>
  <c r="M1031" i="1"/>
  <c r="G849" i="1"/>
  <c r="H849" i="1" s="1"/>
  <c r="J849" i="1" s="1"/>
  <c r="Q849" i="1" s="1"/>
  <c r="M849" i="1"/>
  <c r="C849" i="1"/>
  <c r="M982" i="1"/>
  <c r="E982" i="1"/>
  <c r="AK982" i="1" s="1"/>
  <c r="G982" i="1"/>
  <c r="H982" i="1" s="1"/>
  <c r="J982" i="1" s="1"/>
  <c r="K982" i="1" s="1"/>
  <c r="M737" i="1"/>
  <c r="C737" i="1"/>
  <c r="E737" i="1"/>
  <c r="AK737" i="1" s="1"/>
  <c r="E933" i="1"/>
  <c r="AK933" i="1" s="1"/>
  <c r="C933" i="1"/>
  <c r="M933" i="1"/>
  <c r="M1027" i="1"/>
  <c r="E1027" i="1"/>
  <c r="AK1027" i="1" s="1"/>
  <c r="G1027" i="1"/>
  <c r="H1027" i="1" s="1"/>
  <c r="J1027" i="1" s="1"/>
  <c r="K1027" i="1" s="1"/>
  <c r="M917" i="1"/>
  <c r="E917" i="1"/>
  <c r="AK917" i="1" s="1"/>
  <c r="G917" i="1"/>
  <c r="H917" i="1" s="1"/>
  <c r="J917" i="1" s="1"/>
  <c r="Q917" i="1" s="1"/>
  <c r="G1035" i="1"/>
  <c r="H1035" i="1" s="1"/>
  <c r="J1035" i="1" s="1"/>
  <c r="Q1035" i="1" s="1"/>
  <c r="E1035" i="1"/>
  <c r="AK1035" i="1" s="1"/>
  <c r="E140" i="1"/>
  <c r="AK140" i="1" s="1"/>
  <c r="E263" i="1"/>
  <c r="AK263" i="1" s="1"/>
  <c r="E330" i="1"/>
  <c r="AK330" i="1" s="1"/>
  <c r="M395" i="1"/>
  <c r="E427" i="1"/>
  <c r="AK427" i="1" s="1"/>
  <c r="M974" i="1"/>
  <c r="M872" i="1"/>
  <c r="G960" i="1"/>
  <c r="H960" i="1" s="1"/>
  <c r="J960" i="1" s="1"/>
  <c r="Q960" i="1" s="1"/>
  <c r="M566" i="1"/>
  <c r="G676" i="1"/>
  <c r="H676" i="1" s="1"/>
  <c r="J676" i="1" s="1"/>
  <c r="K676" i="1" s="1"/>
  <c r="C581" i="1"/>
  <c r="M661" i="1"/>
  <c r="C828" i="1"/>
  <c r="C1025" i="1"/>
  <c r="C1005" i="1"/>
  <c r="C68" i="1"/>
  <c r="C134" i="1"/>
  <c r="M46" i="1"/>
  <c r="G1040" i="1"/>
  <c r="H1040" i="1" s="1"/>
  <c r="J1040" i="1" s="1"/>
  <c r="M53" i="1"/>
  <c r="E85" i="1"/>
  <c r="AK85" i="1" s="1"/>
  <c r="M101" i="1"/>
  <c r="G118" i="1"/>
  <c r="H118" i="1" s="1"/>
  <c r="J118" i="1" s="1"/>
  <c r="Q118" i="1" s="1"/>
  <c r="E133" i="1"/>
  <c r="AK133" i="1" s="1"/>
  <c r="G149" i="1"/>
  <c r="H149" i="1" s="1"/>
  <c r="J149" i="1" s="1"/>
  <c r="K149" i="1" s="1"/>
  <c r="E165" i="1"/>
  <c r="AK165" i="1" s="1"/>
  <c r="E51" i="1"/>
  <c r="AK51" i="1" s="1"/>
  <c r="E83" i="1"/>
  <c r="AK83" i="1" s="1"/>
  <c r="M102" i="1"/>
  <c r="M117" i="1"/>
  <c r="M134" i="1"/>
  <c r="E150" i="1"/>
  <c r="AK150" i="1" s="1"/>
  <c r="G166" i="1"/>
  <c r="H166" i="1" s="1"/>
  <c r="J166" i="1" s="1"/>
  <c r="C777" i="1"/>
  <c r="G777" i="1"/>
  <c r="H777" i="1" s="1"/>
  <c r="J777" i="1" s="1"/>
  <c r="K777" i="1" s="1"/>
  <c r="M777" i="1"/>
  <c r="C842" i="1"/>
  <c r="G842" i="1"/>
  <c r="H842" i="1" s="1"/>
  <c r="J842" i="1" s="1"/>
  <c r="K842" i="1" s="1"/>
  <c r="M842" i="1"/>
  <c r="C890" i="1"/>
  <c r="G890" i="1"/>
  <c r="H890" i="1" s="1"/>
  <c r="J890" i="1" s="1"/>
  <c r="M890" i="1"/>
  <c r="C921" i="1"/>
  <c r="G921" i="1"/>
  <c r="H921" i="1" s="1"/>
  <c r="J921" i="1" s="1"/>
  <c r="K921" i="1" s="1"/>
  <c r="E921" i="1"/>
  <c r="AK921" i="1" s="1"/>
  <c r="C953" i="1"/>
  <c r="G953" i="1"/>
  <c r="H953" i="1" s="1"/>
  <c r="J953" i="1" s="1"/>
  <c r="Q953" i="1" s="1"/>
  <c r="M953" i="1"/>
  <c r="G979" i="1"/>
  <c r="H979" i="1" s="1"/>
  <c r="J979" i="1" s="1"/>
  <c r="M979" i="1"/>
  <c r="E979" i="1"/>
  <c r="AK979" i="1" s="1"/>
  <c r="C1000" i="1"/>
  <c r="G1000" i="1"/>
  <c r="H1000" i="1" s="1"/>
  <c r="J1000" i="1" s="1"/>
  <c r="Q1000" i="1" s="1"/>
  <c r="E1000" i="1"/>
  <c r="AK1000" i="1" s="1"/>
  <c r="C1021" i="1"/>
  <c r="G1021" i="1"/>
  <c r="H1021" i="1" s="1"/>
  <c r="J1021" i="1" s="1"/>
  <c r="K1021" i="1" s="1"/>
  <c r="M1021" i="1"/>
  <c r="C1044" i="1"/>
  <c r="G1044" i="1"/>
  <c r="H1044" i="1" s="1"/>
  <c r="J1044" i="1" s="1"/>
  <c r="E1044" i="1"/>
  <c r="AK1044" i="1" s="1"/>
  <c r="C749" i="1"/>
  <c r="M749" i="1"/>
  <c r="G749" i="1"/>
  <c r="H749" i="1" s="1"/>
  <c r="J749" i="1" s="1"/>
  <c r="C813" i="1"/>
  <c r="G813" i="1"/>
  <c r="H813" i="1" s="1"/>
  <c r="J813" i="1" s="1"/>
  <c r="M813" i="1"/>
  <c r="C876" i="1"/>
  <c r="G876" i="1"/>
  <c r="H876" i="1" s="1"/>
  <c r="J876" i="1" s="1"/>
  <c r="K876" i="1" s="1"/>
  <c r="E876" i="1"/>
  <c r="AK876" i="1" s="1"/>
  <c r="C908" i="1"/>
  <c r="G908" i="1"/>
  <c r="H908" i="1" s="1"/>
  <c r="J908" i="1" s="1"/>
  <c r="Q908" i="1" s="1"/>
  <c r="E908" i="1"/>
  <c r="AK908" i="1" s="1"/>
  <c r="C940" i="1"/>
  <c r="E940" i="1"/>
  <c r="AK940" i="1" s="1"/>
  <c r="M940" i="1"/>
  <c r="C969" i="1"/>
  <c r="G969" i="1"/>
  <c r="H969" i="1" s="1"/>
  <c r="J969" i="1" s="1"/>
  <c r="M969" i="1"/>
  <c r="M991" i="1"/>
  <c r="E991" i="1"/>
  <c r="AK991" i="1" s="1"/>
  <c r="C1012" i="1"/>
  <c r="G1012" i="1"/>
  <c r="H1012" i="1" s="1"/>
  <c r="J1012" i="1" s="1"/>
  <c r="K1012" i="1" s="1"/>
  <c r="L1012" i="1" s="1"/>
  <c r="M1012" i="1"/>
  <c r="M718" i="1"/>
  <c r="E718" i="1"/>
  <c r="AK718" i="1" s="1"/>
  <c r="E687" i="1"/>
  <c r="AK687" i="1" s="1"/>
  <c r="M687" i="1"/>
  <c r="M708" i="1"/>
  <c r="E708" i="1"/>
  <c r="AK708" i="1" s="1"/>
  <c r="G708" i="1"/>
  <c r="H708" i="1" s="1"/>
  <c r="J708" i="1" s="1"/>
  <c r="E674" i="1"/>
  <c r="AK674" i="1" s="1"/>
  <c r="M674" i="1"/>
  <c r="G674" i="1"/>
  <c r="H674" i="1" s="1"/>
  <c r="J674" i="1" s="1"/>
  <c r="Q674" i="1" s="1"/>
  <c r="E959" i="1"/>
  <c r="AK959" i="1" s="1"/>
  <c r="M959" i="1"/>
  <c r="M943" i="1"/>
  <c r="E943" i="1"/>
  <c r="AK943" i="1" s="1"/>
  <c r="E928" i="1"/>
  <c r="AK928" i="1" s="1"/>
  <c r="G928" i="1"/>
  <c r="H928" i="1" s="1"/>
  <c r="J928" i="1" s="1"/>
  <c r="E911" i="1"/>
  <c r="AK911" i="1" s="1"/>
  <c r="M911" i="1"/>
  <c r="E896" i="1"/>
  <c r="AK896" i="1" s="1"/>
  <c r="M896" i="1"/>
  <c r="M879" i="1"/>
  <c r="E879" i="1"/>
  <c r="AK879" i="1" s="1"/>
  <c r="M864" i="1"/>
  <c r="E864" i="1"/>
  <c r="AK864" i="1" s="1"/>
  <c r="E847" i="1"/>
  <c r="AK847" i="1" s="1"/>
  <c r="M847" i="1"/>
  <c r="M831" i="1"/>
  <c r="E831" i="1"/>
  <c r="AK831" i="1" s="1"/>
  <c r="M816" i="1"/>
  <c r="G816" i="1"/>
  <c r="H816" i="1" s="1"/>
  <c r="J816" i="1" s="1"/>
  <c r="M799" i="1"/>
  <c r="E799" i="1"/>
  <c r="AK799" i="1" s="1"/>
  <c r="M783" i="1"/>
  <c r="E783" i="1"/>
  <c r="AK783" i="1" s="1"/>
  <c r="M768" i="1"/>
  <c r="E768" i="1"/>
  <c r="AK768" i="1" s="1"/>
  <c r="E751" i="1"/>
  <c r="AK751" i="1" s="1"/>
  <c r="M751" i="1"/>
  <c r="E734" i="1"/>
  <c r="AK734" i="1" s="1"/>
  <c r="M734" i="1"/>
  <c r="C729" i="1"/>
  <c r="G729" i="1"/>
  <c r="H729" i="1" s="1"/>
  <c r="J729" i="1" s="1"/>
  <c r="K729" i="1" s="1"/>
  <c r="L729" i="1" s="1"/>
  <c r="M729" i="1"/>
  <c r="C713" i="1"/>
  <c r="G713" i="1"/>
  <c r="H713" i="1" s="1"/>
  <c r="J713" i="1" s="1"/>
  <c r="Q713" i="1" s="1"/>
  <c r="M713" i="1"/>
  <c r="C697" i="1"/>
  <c r="G697" i="1"/>
  <c r="H697" i="1" s="1"/>
  <c r="J697" i="1" s="1"/>
  <c r="E697" i="1"/>
  <c r="AK697" i="1" s="1"/>
  <c r="C680" i="1"/>
  <c r="G680" i="1"/>
  <c r="H680" i="1" s="1"/>
  <c r="J680" i="1" s="1"/>
  <c r="K680" i="1" s="1"/>
  <c r="L680" i="1" s="1"/>
  <c r="M680" i="1"/>
  <c r="C665" i="1"/>
  <c r="G665" i="1"/>
  <c r="H665" i="1" s="1"/>
  <c r="J665" i="1" s="1"/>
  <c r="M665" i="1"/>
  <c r="C649" i="1"/>
  <c r="M649" i="1"/>
  <c r="E649" i="1"/>
  <c r="AK649" i="1" s="1"/>
  <c r="C633" i="1"/>
  <c r="G633" i="1"/>
  <c r="H633" i="1" s="1"/>
  <c r="J633" i="1" s="1"/>
  <c r="E633" i="1"/>
  <c r="AK633" i="1" s="1"/>
  <c r="C617" i="1"/>
  <c r="G617" i="1"/>
  <c r="H617" i="1" s="1"/>
  <c r="J617" i="1" s="1"/>
  <c r="K617" i="1" s="1"/>
  <c r="M617" i="1"/>
  <c r="C602" i="1"/>
  <c r="G602" i="1"/>
  <c r="H602" i="1" s="1"/>
  <c r="J602" i="1" s="1"/>
  <c r="K602" i="1" s="1"/>
  <c r="L602" i="1" s="1"/>
  <c r="M602" i="1"/>
  <c r="C584" i="1"/>
  <c r="G584" i="1"/>
  <c r="H584" i="1" s="1"/>
  <c r="J584" i="1" s="1"/>
  <c r="K584" i="1" s="1"/>
  <c r="M584" i="1"/>
  <c r="C569" i="1"/>
  <c r="G569" i="1"/>
  <c r="H569" i="1" s="1"/>
  <c r="J569" i="1" s="1"/>
  <c r="M569" i="1"/>
  <c r="C553" i="1"/>
  <c r="G553" i="1"/>
  <c r="H553" i="1" s="1"/>
  <c r="J553" i="1" s="1"/>
  <c r="Q553" i="1" s="1"/>
  <c r="E553" i="1"/>
  <c r="AK553" i="1" s="1"/>
  <c r="C537" i="1"/>
  <c r="G537" i="1"/>
  <c r="H537" i="1" s="1"/>
  <c r="J537" i="1" s="1"/>
  <c r="K537" i="1" s="1"/>
  <c r="E537" i="1"/>
  <c r="AK537" i="1" s="1"/>
  <c r="C521" i="1"/>
  <c r="G521" i="1"/>
  <c r="H521" i="1" s="1"/>
  <c r="J521" i="1" s="1"/>
  <c r="Q521" i="1" s="1"/>
  <c r="R521" i="1" s="1"/>
  <c r="M521" i="1"/>
  <c r="C505" i="1"/>
  <c r="G505" i="1"/>
  <c r="H505" i="1" s="1"/>
  <c r="J505" i="1" s="1"/>
  <c r="K505" i="1" s="1"/>
  <c r="E505" i="1"/>
  <c r="AK505" i="1" s="1"/>
  <c r="E643" i="1"/>
  <c r="AK643" i="1" s="1"/>
  <c r="G643" i="1"/>
  <c r="H643" i="1" s="1"/>
  <c r="J643" i="1" s="1"/>
  <c r="Q643" i="1" s="1"/>
  <c r="E627" i="1"/>
  <c r="AK627" i="1" s="1"/>
  <c r="G627" i="1"/>
  <c r="H627" i="1" s="1"/>
  <c r="J627" i="1" s="1"/>
  <c r="Q627" i="1" s="1"/>
  <c r="M611" i="1"/>
  <c r="G611" i="1"/>
  <c r="H611" i="1" s="1"/>
  <c r="J611" i="1" s="1"/>
  <c r="K611" i="1" s="1"/>
  <c r="L611" i="1" s="1"/>
  <c r="E597" i="1"/>
  <c r="AK597" i="1" s="1"/>
  <c r="G597" i="1"/>
  <c r="H597" i="1" s="1"/>
  <c r="J597" i="1" s="1"/>
  <c r="K597" i="1" s="1"/>
  <c r="M579" i="1"/>
  <c r="G579" i="1"/>
  <c r="H579" i="1" s="1"/>
  <c r="J579" i="1" s="1"/>
  <c r="Q579" i="1" s="1"/>
  <c r="M563" i="1"/>
  <c r="G563" i="1"/>
  <c r="H563" i="1" s="1"/>
  <c r="J563" i="1" s="1"/>
  <c r="M547" i="1"/>
  <c r="G547" i="1"/>
  <c r="H547" i="1" s="1"/>
  <c r="J547" i="1" s="1"/>
  <c r="Q547" i="1" s="1"/>
  <c r="R547" i="1" s="1"/>
  <c r="M531" i="1"/>
  <c r="G531" i="1"/>
  <c r="H531" i="1" s="1"/>
  <c r="J531" i="1" s="1"/>
  <c r="K531" i="1" s="1"/>
  <c r="E515" i="1"/>
  <c r="AK515" i="1" s="1"/>
  <c r="G515" i="1"/>
  <c r="H515" i="1" s="1"/>
  <c r="J515" i="1" s="1"/>
  <c r="E499" i="1"/>
  <c r="AK499" i="1" s="1"/>
  <c r="G499" i="1"/>
  <c r="H499" i="1" s="1"/>
  <c r="J499" i="1" s="1"/>
  <c r="K499" i="1" s="1"/>
  <c r="M483" i="1"/>
  <c r="G483" i="1"/>
  <c r="H483" i="1" s="1"/>
  <c r="J483" i="1" s="1"/>
  <c r="Q483" i="1" s="1"/>
  <c r="R483" i="1" s="1"/>
  <c r="E467" i="1"/>
  <c r="AK467" i="1" s="1"/>
  <c r="G467" i="1"/>
  <c r="H467" i="1" s="1"/>
  <c r="J467" i="1" s="1"/>
  <c r="Q467" i="1" s="1"/>
  <c r="M451" i="1"/>
  <c r="G451" i="1"/>
  <c r="H451" i="1" s="1"/>
  <c r="J451" i="1" s="1"/>
  <c r="Q451" i="1" s="1"/>
  <c r="C741" i="1"/>
  <c r="G741" i="1"/>
  <c r="H741" i="1" s="1"/>
  <c r="J741" i="1" s="1"/>
  <c r="K741" i="1" s="1"/>
  <c r="E741" i="1"/>
  <c r="AK741" i="1" s="1"/>
  <c r="C804" i="1"/>
  <c r="G804" i="1"/>
  <c r="H804" i="1" s="1"/>
  <c r="J804" i="1" s="1"/>
  <c r="Q804" i="1" s="1"/>
  <c r="M804" i="1"/>
  <c r="C869" i="1"/>
  <c r="G869" i="1"/>
  <c r="H869" i="1" s="1"/>
  <c r="J869" i="1" s="1"/>
  <c r="K869" i="1" s="1"/>
  <c r="E869" i="1"/>
  <c r="AK869" i="1" s="1"/>
  <c r="C904" i="1"/>
  <c r="G904" i="1"/>
  <c r="H904" i="1" s="1"/>
  <c r="J904" i="1" s="1"/>
  <c r="Q904" i="1" s="1"/>
  <c r="M904" i="1"/>
  <c r="C936" i="1"/>
  <c r="G936" i="1"/>
  <c r="H936" i="1" s="1"/>
  <c r="J936" i="1" s="1"/>
  <c r="K936" i="1" s="1"/>
  <c r="E936" i="1"/>
  <c r="AK936" i="1" s="1"/>
  <c r="G967" i="1"/>
  <c r="H967" i="1" s="1"/>
  <c r="J967" i="1" s="1"/>
  <c r="Q967" i="1" s="1"/>
  <c r="E967" i="1"/>
  <c r="AK967" i="1" s="1"/>
  <c r="C988" i="1"/>
  <c r="G988" i="1"/>
  <c r="H988" i="1" s="1"/>
  <c r="J988" i="1" s="1"/>
  <c r="M988" i="1"/>
  <c r="C1009" i="1"/>
  <c r="G1009" i="1"/>
  <c r="H1009" i="1" s="1"/>
  <c r="J1009" i="1" s="1"/>
  <c r="K1009" i="1" s="1"/>
  <c r="E1009" i="1"/>
  <c r="AK1009" i="1" s="1"/>
  <c r="C1029" i="1"/>
  <c r="M1029" i="1"/>
  <c r="E1029" i="1"/>
  <c r="AK1029" i="1" s="1"/>
  <c r="C909" i="1"/>
  <c r="G909" i="1"/>
  <c r="H909" i="1" s="1"/>
  <c r="J909" i="1" s="1"/>
  <c r="E909" i="1"/>
  <c r="AK909" i="1" s="1"/>
  <c r="C1013" i="1"/>
  <c r="G1013" i="1"/>
  <c r="H1013" i="1" s="1"/>
  <c r="J1013" i="1" s="1"/>
  <c r="M1013" i="1"/>
  <c r="C785" i="1"/>
  <c r="G785" i="1"/>
  <c r="H785" i="1" s="1"/>
  <c r="J785" i="1" s="1"/>
  <c r="K785" i="1" s="1"/>
  <c r="E785" i="1"/>
  <c r="AK785" i="1" s="1"/>
  <c r="C957" i="1"/>
  <c r="G957" i="1"/>
  <c r="H957" i="1" s="1"/>
  <c r="J957" i="1" s="1"/>
  <c r="Q957" i="1" s="1"/>
  <c r="M957" i="1"/>
  <c r="C901" i="1"/>
  <c r="G901" i="1"/>
  <c r="H901" i="1" s="1"/>
  <c r="J901" i="1" s="1"/>
  <c r="K901" i="1" s="1"/>
  <c r="E901" i="1"/>
  <c r="AK901" i="1" s="1"/>
  <c r="C1008" i="1"/>
  <c r="G1008" i="1"/>
  <c r="H1008" i="1" s="1"/>
  <c r="J1008" i="1" s="1"/>
  <c r="K1008" i="1" s="1"/>
  <c r="E1008" i="1"/>
  <c r="AK1008" i="1" s="1"/>
  <c r="C949" i="1"/>
  <c r="G949" i="1"/>
  <c r="H949" i="1" s="1"/>
  <c r="J949" i="1" s="1"/>
  <c r="Q949" i="1" s="1"/>
  <c r="M949" i="1"/>
  <c r="M56" i="1"/>
  <c r="C85" i="1"/>
  <c r="C150" i="1"/>
  <c r="E1041" i="1"/>
  <c r="AK1041" i="1" s="1"/>
  <c r="E46" i="1"/>
  <c r="AK46" i="1" s="1"/>
  <c r="G72" i="1"/>
  <c r="H72" i="1" s="1"/>
  <c r="J72" i="1" s="1"/>
  <c r="E53" i="1"/>
  <c r="AK53" i="1" s="1"/>
  <c r="G133" i="1"/>
  <c r="H133" i="1" s="1"/>
  <c r="J133" i="1" s="1"/>
  <c r="Q133" i="1" s="1"/>
  <c r="G165" i="1"/>
  <c r="H165" i="1" s="1"/>
  <c r="J165" i="1" s="1"/>
  <c r="K165" i="1" s="1"/>
  <c r="M51" i="1"/>
  <c r="E102" i="1"/>
  <c r="AK102" i="1" s="1"/>
  <c r="E117" i="1"/>
  <c r="AK117" i="1" s="1"/>
  <c r="M1037" i="1"/>
  <c r="E49" i="1"/>
  <c r="AK49" i="1" s="1"/>
  <c r="E842" i="1"/>
  <c r="AK842" i="1" s="1"/>
  <c r="M921" i="1"/>
  <c r="E1021" i="1"/>
  <c r="AK1021" i="1" s="1"/>
  <c r="C166" i="1"/>
  <c r="M1041" i="1"/>
  <c r="C53" i="1"/>
  <c r="C83" i="1"/>
  <c r="C117" i="1"/>
  <c r="E953" i="1"/>
  <c r="AK953" i="1" s="1"/>
  <c r="C520" i="1"/>
  <c r="C398" i="1"/>
  <c r="C430" i="1"/>
  <c r="C1026" i="1"/>
  <c r="C981" i="1"/>
  <c r="C950" i="1"/>
  <c r="C806" i="1"/>
  <c r="C758" i="1"/>
  <c r="C540" i="1"/>
  <c r="C848" i="1"/>
  <c r="C832" i="1"/>
  <c r="C767" i="1"/>
  <c r="C644" i="1"/>
  <c r="C580" i="1"/>
  <c r="C461" i="1"/>
  <c r="C440" i="1"/>
  <c r="C669" i="1"/>
  <c r="C557" i="1"/>
  <c r="C478" i="1"/>
  <c r="C254" i="1"/>
  <c r="C632" i="1"/>
  <c r="C1010" i="1"/>
  <c r="C962" i="1"/>
  <c r="C914" i="1"/>
  <c r="C738" i="1"/>
  <c r="C652" i="1"/>
  <c r="C588" i="1"/>
  <c r="C221" i="1"/>
  <c r="C844" i="1"/>
  <c r="C829" i="1"/>
  <c r="C812" i="1"/>
  <c r="C779" i="1"/>
  <c r="C732" i="1"/>
  <c r="C500" i="1"/>
  <c r="C512" i="1"/>
  <c r="C446" i="1"/>
  <c r="C489" i="1"/>
  <c r="C473" i="1"/>
  <c r="C432" i="1"/>
  <c r="C698" i="1"/>
  <c r="C650" i="1"/>
  <c r="C634" i="1"/>
  <c r="C490" i="1"/>
  <c r="C474" i="1"/>
  <c r="C401" i="1"/>
  <c r="C368" i="1"/>
  <c r="C677" i="1"/>
  <c r="C893" i="1"/>
  <c r="C830" i="1"/>
  <c r="C814" i="1"/>
  <c r="C766" i="1"/>
  <c r="C735" i="1"/>
  <c r="C636" i="1"/>
  <c r="C508" i="1"/>
  <c r="C840" i="1"/>
  <c r="C824" i="1"/>
  <c r="C792" i="1"/>
  <c r="C612" i="1"/>
  <c r="C624" i="1"/>
  <c r="C560" i="1"/>
  <c r="C485" i="1"/>
  <c r="C469" i="1"/>
  <c r="C444" i="1"/>
  <c r="C412" i="1"/>
  <c r="C262" i="1"/>
  <c r="C710" i="1"/>
  <c r="C630" i="1"/>
  <c r="C598" i="1"/>
  <c r="C550" i="1"/>
  <c r="C534" i="1"/>
  <c r="C518" i="1"/>
  <c r="C393" i="1"/>
  <c r="C707" i="1"/>
  <c r="C1019" i="1"/>
  <c r="C1002" i="1"/>
  <c r="C889" i="1"/>
  <c r="C794" i="1"/>
  <c r="C778" i="1"/>
  <c r="C620" i="1"/>
  <c r="C556" i="1"/>
  <c r="C852" i="1"/>
  <c r="C787" i="1"/>
  <c r="C756" i="1"/>
  <c r="C740" i="1"/>
  <c r="C532" i="1"/>
  <c r="C468" i="1"/>
  <c r="C696" i="1"/>
  <c r="C481" i="1"/>
  <c r="C448" i="1"/>
  <c r="C416" i="1"/>
  <c r="C384" i="1"/>
  <c r="C436" i="1"/>
  <c r="C689" i="1"/>
  <c r="C642" i="1"/>
  <c r="C562" i="1"/>
  <c r="C482" i="1"/>
  <c r="C353" i="1"/>
  <c r="C366" i="1"/>
  <c r="C270" i="1"/>
  <c r="C360" i="1"/>
  <c r="C302" i="1"/>
  <c r="C373" i="1"/>
  <c r="C390" i="1"/>
  <c r="C405" i="1"/>
  <c r="C437" i="1"/>
  <c r="C425" i="1"/>
  <c r="C342" i="1"/>
  <c r="C445" i="1"/>
  <c r="C1042" i="1"/>
  <c r="C369" i="1"/>
  <c r="C417" i="1"/>
  <c r="C433" i="1"/>
  <c r="M33" i="1"/>
  <c r="E33" i="1"/>
  <c r="AK33" i="1" s="1"/>
  <c r="C29" i="1"/>
  <c r="G29" i="1"/>
  <c r="H29" i="1" s="1"/>
  <c r="J29" i="1" s="1"/>
  <c r="K29" i="1" s="1"/>
  <c r="M29" i="1"/>
  <c r="C59" i="1"/>
  <c r="M59" i="1"/>
  <c r="G59" i="1"/>
  <c r="H59" i="1" s="1"/>
  <c r="J59" i="1" s="1"/>
  <c r="Q59" i="1" s="1"/>
  <c r="R59" i="1" s="1"/>
  <c r="E76" i="1"/>
  <c r="AK76" i="1" s="1"/>
  <c r="M76" i="1"/>
  <c r="C76" i="1"/>
  <c r="M40" i="1"/>
  <c r="E40" i="1"/>
  <c r="AK40" i="1" s="1"/>
  <c r="G50" i="1"/>
  <c r="H50" i="1" s="1"/>
  <c r="J50" i="1" s="1"/>
  <c r="Q50" i="1" s="1"/>
  <c r="E50" i="1"/>
  <c r="AK50" i="1" s="1"/>
  <c r="M50" i="1"/>
  <c r="M64" i="1"/>
  <c r="G64" i="1"/>
  <c r="H64" i="1" s="1"/>
  <c r="J64" i="1" s="1"/>
  <c r="K64" i="1" s="1"/>
  <c r="L64" i="1" s="1"/>
  <c r="C64" i="1"/>
  <c r="M80" i="1"/>
  <c r="E80" i="1"/>
  <c r="AK80" i="1" s="1"/>
  <c r="G80" i="1"/>
  <c r="H80" i="1" s="1"/>
  <c r="J80" i="1" s="1"/>
  <c r="K80" i="1" s="1"/>
  <c r="E32" i="1"/>
  <c r="AK32" i="1" s="1"/>
  <c r="C32" i="1"/>
  <c r="M32" i="1"/>
  <c r="E70" i="1"/>
  <c r="AK70" i="1" s="1"/>
  <c r="M70" i="1"/>
  <c r="E95" i="1"/>
  <c r="AK95" i="1" s="1"/>
  <c r="M95" i="1"/>
  <c r="G95" i="1"/>
  <c r="H95" i="1" s="1"/>
  <c r="J95" i="1" s="1"/>
  <c r="K95" i="1" s="1"/>
  <c r="E109" i="1"/>
  <c r="AK109" i="1" s="1"/>
  <c r="G109" i="1"/>
  <c r="H109" i="1" s="1"/>
  <c r="J109" i="1" s="1"/>
  <c r="K109" i="1" s="1"/>
  <c r="G126" i="1"/>
  <c r="H126" i="1" s="1"/>
  <c r="J126" i="1" s="1"/>
  <c r="Q126" i="1" s="1"/>
  <c r="E126" i="1"/>
  <c r="AK126" i="1" s="1"/>
  <c r="M126" i="1"/>
  <c r="E141" i="1"/>
  <c r="AK141" i="1" s="1"/>
  <c r="G141" i="1"/>
  <c r="H141" i="1" s="1"/>
  <c r="J141" i="1" s="1"/>
  <c r="Q141" i="1" s="1"/>
  <c r="E157" i="1"/>
  <c r="AK157" i="1" s="1"/>
  <c r="G157" i="1"/>
  <c r="H157" i="1" s="1"/>
  <c r="J157" i="1" s="1"/>
  <c r="Q157" i="1" s="1"/>
  <c r="C157" i="1"/>
  <c r="M157" i="1"/>
  <c r="G37" i="1"/>
  <c r="H37" i="1" s="1"/>
  <c r="J37" i="1" s="1"/>
  <c r="Q37" i="1" s="1"/>
  <c r="R37" i="1" s="1"/>
  <c r="M37" i="1"/>
  <c r="C37" i="1"/>
  <c r="M66" i="1"/>
  <c r="G66" i="1"/>
  <c r="H66" i="1" s="1"/>
  <c r="J66" i="1" s="1"/>
  <c r="K66" i="1" s="1"/>
  <c r="M93" i="1"/>
  <c r="E93" i="1"/>
  <c r="AK93" i="1" s="1"/>
  <c r="M110" i="1"/>
  <c r="G110" i="1"/>
  <c r="H110" i="1" s="1"/>
  <c r="J110" i="1" s="1"/>
  <c r="E125" i="1"/>
  <c r="AK125" i="1" s="1"/>
  <c r="M125" i="1"/>
  <c r="C125" i="1"/>
  <c r="G142" i="1"/>
  <c r="H142" i="1" s="1"/>
  <c r="J142" i="1" s="1"/>
  <c r="E142" i="1"/>
  <c r="AK142" i="1" s="1"/>
  <c r="C142" i="1"/>
  <c r="E158" i="1"/>
  <c r="AK158" i="1" s="1"/>
  <c r="M158" i="1"/>
  <c r="G78" i="1"/>
  <c r="H78" i="1" s="1"/>
  <c r="J78" i="1" s="1"/>
  <c r="Q78" i="1" s="1"/>
  <c r="M78" i="1"/>
  <c r="E78" i="1"/>
  <c r="AK78" i="1" s="1"/>
  <c r="G115" i="1"/>
  <c r="H115" i="1" s="1"/>
  <c r="J115" i="1" s="1"/>
  <c r="E115" i="1"/>
  <c r="AK115" i="1" s="1"/>
  <c r="E147" i="1"/>
  <c r="AK147" i="1" s="1"/>
  <c r="M147" i="1"/>
  <c r="C147" i="1"/>
  <c r="M173" i="1"/>
  <c r="E173" i="1"/>
  <c r="AK173" i="1" s="1"/>
  <c r="G189" i="1"/>
  <c r="H189" i="1" s="1"/>
  <c r="J189" i="1" s="1"/>
  <c r="K189" i="1" s="1"/>
  <c r="E189" i="1"/>
  <c r="AK189" i="1" s="1"/>
  <c r="E205" i="1"/>
  <c r="AK205" i="1" s="1"/>
  <c r="M205" i="1"/>
  <c r="C205" i="1"/>
  <c r="G222" i="1"/>
  <c r="H222" i="1" s="1"/>
  <c r="J222" i="1" s="1"/>
  <c r="M222" i="1"/>
  <c r="G73" i="1"/>
  <c r="H73" i="1" s="1"/>
  <c r="J73" i="1" s="1"/>
  <c r="Q73" i="1" s="1"/>
  <c r="E73" i="1"/>
  <c r="AK73" i="1" s="1"/>
  <c r="C73" i="1"/>
  <c r="M73" i="1"/>
  <c r="G111" i="1"/>
  <c r="H111" i="1" s="1"/>
  <c r="J111" i="1" s="1"/>
  <c r="K111" i="1" s="1"/>
  <c r="C111" i="1"/>
  <c r="E111" i="1"/>
  <c r="AK111" i="1" s="1"/>
  <c r="M111" i="1"/>
  <c r="C144" i="1"/>
  <c r="M144" i="1"/>
  <c r="G144" i="1"/>
  <c r="H144" i="1" s="1"/>
  <c r="J144" i="1" s="1"/>
  <c r="Q144" i="1" s="1"/>
  <c r="R144" i="1" s="1"/>
  <c r="G172" i="1"/>
  <c r="H172" i="1" s="1"/>
  <c r="J172" i="1" s="1"/>
  <c r="M172" i="1"/>
  <c r="C188" i="1"/>
  <c r="G188" i="1"/>
  <c r="H188" i="1" s="1"/>
  <c r="J188" i="1" s="1"/>
  <c r="E188" i="1"/>
  <c r="AK188" i="1" s="1"/>
  <c r="C204" i="1"/>
  <c r="G204" i="1"/>
  <c r="H204" i="1" s="1"/>
  <c r="J204" i="1" s="1"/>
  <c r="E204" i="1"/>
  <c r="AK204" i="1" s="1"/>
  <c r="G220" i="1"/>
  <c r="H220" i="1" s="1"/>
  <c r="J220" i="1" s="1"/>
  <c r="Q220" i="1" s="1"/>
  <c r="E220" i="1"/>
  <c r="AK220" i="1" s="1"/>
  <c r="E94" i="1"/>
  <c r="AK94" i="1" s="1"/>
  <c r="C94" i="1"/>
  <c r="G94" i="1"/>
  <c r="H94" i="1" s="1"/>
  <c r="J94" i="1" s="1"/>
  <c r="E159" i="1"/>
  <c r="AK159" i="1" s="1"/>
  <c r="G159" i="1"/>
  <c r="H159" i="1" s="1"/>
  <c r="J159" i="1" s="1"/>
  <c r="M195" i="1"/>
  <c r="E195" i="1"/>
  <c r="AK195" i="1" s="1"/>
  <c r="C195" i="1"/>
  <c r="E225" i="1"/>
  <c r="AK225" i="1" s="1"/>
  <c r="G225" i="1"/>
  <c r="H225" i="1" s="1"/>
  <c r="J225" i="1" s="1"/>
  <c r="E241" i="1"/>
  <c r="AK241" i="1" s="1"/>
  <c r="G241" i="1"/>
  <c r="H241" i="1" s="1"/>
  <c r="J241" i="1" s="1"/>
  <c r="Q241" i="1" s="1"/>
  <c r="E257" i="1"/>
  <c r="AK257" i="1" s="1"/>
  <c r="G257" i="1"/>
  <c r="H257" i="1" s="1"/>
  <c r="J257" i="1" s="1"/>
  <c r="E273" i="1"/>
  <c r="AK273" i="1" s="1"/>
  <c r="G273" i="1"/>
  <c r="H273" i="1" s="1"/>
  <c r="J273" i="1" s="1"/>
  <c r="Q273" i="1" s="1"/>
  <c r="M289" i="1"/>
  <c r="G289" i="1"/>
  <c r="H289" i="1" s="1"/>
  <c r="J289" i="1" s="1"/>
  <c r="K289" i="1" s="1"/>
  <c r="L289" i="1" s="1"/>
  <c r="E305" i="1"/>
  <c r="AK305" i="1" s="1"/>
  <c r="G305" i="1"/>
  <c r="H305" i="1" s="1"/>
  <c r="J305" i="1" s="1"/>
  <c r="K305" i="1" s="1"/>
  <c r="E321" i="1"/>
  <c r="AK321" i="1" s="1"/>
  <c r="G321" i="1"/>
  <c r="H321" i="1" s="1"/>
  <c r="J321" i="1" s="1"/>
  <c r="C321" i="1"/>
  <c r="M337" i="1"/>
  <c r="G337" i="1"/>
  <c r="H337" i="1" s="1"/>
  <c r="J337" i="1" s="1"/>
  <c r="C1043" i="1"/>
  <c r="E1043" i="1"/>
  <c r="AK1043" i="1" s="1"/>
  <c r="G1043" i="1"/>
  <c r="H1043" i="1" s="1"/>
  <c r="J1043" i="1" s="1"/>
  <c r="K1043" i="1" s="1"/>
  <c r="C124" i="1"/>
  <c r="E124" i="1"/>
  <c r="AK124" i="1" s="1"/>
  <c r="M124" i="1"/>
  <c r="M178" i="1"/>
  <c r="E178" i="1"/>
  <c r="AK178" i="1" s="1"/>
  <c r="M210" i="1"/>
  <c r="E210" i="1"/>
  <c r="AK210" i="1" s="1"/>
  <c r="G232" i="1"/>
  <c r="H232" i="1" s="1"/>
  <c r="J232" i="1" s="1"/>
  <c r="K232" i="1" s="1"/>
  <c r="M232" i="1"/>
  <c r="E232" i="1"/>
  <c r="AK232" i="1" s="1"/>
  <c r="G248" i="1"/>
  <c r="H248" i="1" s="1"/>
  <c r="J248" i="1" s="1"/>
  <c r="K248" i="1" s="1"/>
  <c r="E248" i="1"/>
  <c r="AK248" i="1" s="1"/>
  <c r="M248" i="1"/>
  <c r="C248" i="1"/>
  <c r="G264" i="1"/>
  <c r="H264" i="1" s="1"/>
  <c r="J264" i="1" s="1"/>
  <c r="K264" i="1" s="1"/>
  <c r="M264" i="1"/>
  <c r="E264" i="1"/>
  <c r="AK264" i="1" s="1"/>
  <c r="C280" i="1"/>
  <c r="G280" i="1"/>
  <c r="H280" i="1" s="1"/>
  <c r="J280" i="1" s="1"/>
  <c r="E280" i="1"/>
  <c r="AK280" i="1" s="1"/>
  <c r="M280" i="1"/>
  <c r="C296" i="1"/>
  <c r="G296" i="1"/>
  <c r="H296" i="1" s="1"/>
  <c r="J296" i="1" s="1"/>
  <c r="K296" i="1" s="1"/>
  <c r="M296" i="1"/>
  <c r="E296" i="1"/>
  <c r="AK296" i="1" s="1"/>
  <c r="C312" i="1"/>
  <c r="G312" i="1"/>
  <c r="H312" i="1" s="1"/>
  <c r="J312" i="1" s="1"/>
  <c r="E312" i="1"/>
  <c r="AK312" i="1" s="1"/>
  <c r="M312" i="1"/>
  <c r="G328" i="1"/>
  <c r="H328" i="1" s="1"/>
  <c r="J328" i="1" s="1"/>
  <c r="Q328" i="1" s="1"/>
  <c r="E328" i="1"/>
  <c r="AK328" i="1" s="1"/>
  <c r="M328" i="1"/>
  <c r="C344" i="1"/>
  <c r="G344" i="1"/>
  <c r="H344" i="1" s="1"/>
  <c r="J344" i="1" s="1"/>
  <c r="K344" i="1" s="1"/>
  <c r="M344" i="1"/>
  <c r="E344" i="1"/>
  <c r="AK344" i="1" s="1"/>
  <c r="E135" i="1"/>
  <c r="AK135" i="1" s="1"/>
  <c r="G135" i="1"/>
  <c r="H135" i="1" s="1"/>
  <c r="J135" i="1" s="1"/>
  <c r="Q135" i="1" s="1"/>
  <c r="G214" i="1"/>
  <c r="H214" i="1" s="1"/>
  <c r="J214" i="1" s="1"/>
  <c r="E214" i="1"/>
  <c r="AK214" i="1" s="1"/>
  <c r="C214" i="1"/>
  <c r="M214" i="1"/>
  <c r="E290" i="1"/>
  <c r="AK290" i="1" s="1"/>
  <c r="M290" i="1"/>
  <c r="C290" i="1"/>
  <c r="C351" i="1"/>
  <c r="M351" i="1"/>
  <c r="G351" i="1"/>
  <c r="H351" i="1" s="1"/>
  <c r="J351" i="1" s="1"/>
  <c r="K351" i="1" s="1"/>
  <c r="L351" i="1" s="1"/>
  <c r="C251" i="1"/>
  <c r="C322" i="1"/>
  <c r="E251" i="1"/>
  <c r="AK251" i="1" s="1"/>
  <c r="E284" i="1"/>
  <c r="AK284" i="1" s="1"/>
  <c r="E315" i="1"/>
  <c r="AK315" i="1" s="1"/>
  <c r="C331" i="1"/>
  <c r="C100" i="1"/>
  <c r="C338" i="1"/>
  <c r="C361" i="1"/>
  <c r="C164" i="1"/>
  <c r="C227" i="1"/>
  <c r="C258" i="1"/>
  <c r="E164" i="1"/>
  <c r="AK164" i="1" s="1"/>
  <c r="C315" i="1"/>
  <c r="E227" i="1"/>
  <c r="AK227" i="1" s="1"/>
  <c r="E258" i="1"/>
  <c r="AK258" i="1" s="1"/>
  <c r="E322" i="1"/>
  <c r="AK322" i="1" s="1"/>
  <c r="C284" i="1"/>
  <c r="C132" i="1"/>
  <c r="C215" i="1"/>
  <c r="C233" i="1"/>
  <c r="C249" i="1"/>
  <c r="C281" i="1"/>
  <c r="C297" i="1"/>
  <c r="C313" i="1"/>
  <c r="C288" i="1"/>
  <c r="C320" i="1"/>
  <c r="C335" i="1"/>
  <c r="C237" i="1"/>
  <c r="C286" i="1"/>
  <c r="C317" i="1"/>
  <c r="C348" i="1"/>
  <c r="C308" i="1"/>
  <c r="C340" i="1"/>
  <c r="C225" i="1"/>
  <c r="C241" i="1"/>
  <c r="C257" i="1"/>
  <c r="C273" i="1"/>
  <c r="C289" i="1"/>
  <c r="C305" i="1"/>
  <c r="C337" i="1"/>
  <c r="C178" i="1"/>
  <c r="C232" i="1"/>
  <c r="C264" i="1"/>
  <c r="C328" i="1"/>
  <c r="C261" i="1"/>
  <c r="C309" i="1"/>
  <c r="C325" i="1"/>
  <c r="C341" i="1"/>
  <c r="C218" i="1"/>
  <c r="C113" i="1"/>
  <c r="C145" i="1"/>
  <c r="M184" i="1"/>
  <c r="E200" i="1"/>
  <c r="AK200" i="1" s="1"/>
  <c r="M216" i="1"/>
  <c r="M48" i="1"/>
  <c r="M77" i="1"/>
  <c r="M97" i="1"/>
  <c r="E113" i="1"/>
  <c r="AK113" i="1" s="1"/>
  <c r="E130" i="1"/>
  <c r="AK130" i="1" s="1"/>
  <c r="M145" i="1"/>
  <c r="M161" i="1"/>
  <c r="G47" i="1"/>
  <c r="H47" i="1" s="1"/>
  <c r="J47" i="1" s="1"/>
  <c r="K47" i="1" s="1"/>
  <c r="G74" i="1"/>
  <c r="H74" i="1" s="1"/>
  <c r="J74" i="1" s="1"/>
  <c r="Q74" i="1" s="1"/>
  <c r="E98" i="1"/>
  <c r="AK98" i="1" s="1"/>
  <c r="M114" i="1"/>
  <c r="E129" i="1"/>
  <c r="AK129" i="1" s="1"/>
  <c r="M146" i="1"/>
  <c r="G163" i="1"/>
  <c r="H163" i="1" s="1"/>
  <c r="J163" i="1" s="1"/>
  <c r="Q163" i="1" s="1"/>
  <c r="R163" i="1" s="1"/>
  <c r="E63" i="1"/>
  <c r="AK63" i="1" s="1"/>
  <c r="E79" i="1"/>
  <c r="AK79" i="1" s="1"/>
  <c r="C30" i="1"/>
  <c r="C196" i="1"/>
  <c r="C170" i="1"/>
  <c r="C186" i="1"/>
  <c r="C201" i="1"/>
  <c r="C49" i="1"/>
  <c r="C1037" i="1"/>
  <c r="C79" i="1"/>
  <c r="C129" i="1"/>
  <c r="M38" i="1"/>
  <c r="E44" i="1"/>
  <c r="AK44" i="1" s="1"/>
  <c r="M52" i="1"/>
  <c r="E68" i="1"/>
  <c r="AK68" i="1" s="1"/>
  <c r="E84" i="1"/>
  <c r="AK84" i="1" s="1"/>
  <c r="G104" i="1"/>
  <c r="H104" i="1" s="1"/>
  <c r="J104" i="1" s="1"/>
  <c r="K104" i="1" s="1"/>
  <c r="G137" i="1"/>
  <c r="H137" i="1" s="1"/>
  <c r="J137" i="1" s="1"/>
  <c r="E168" i="1"/>
  <c r="AK168" i="1" s="1"/>
  <c r="G184" i="1"/>
  <c r="H184" i="1" s="1"/>
  <c r="J184" i="1" s="1"/>
  <c r="G200" i="1"/>
  <c r="H200" i="1" s="1"/>
  <c r="J200" i="1" s="1"/>
  <c r="K200" i="1" s="1"/>
  <c r="G216" i="1"/>
  <c r="H216" i="1" s="1"/>
  <c r="J216" i="1" s="1"/>
  <c r="K216" i="1" s="1"/>
  <c r="E57" i="1"/>
  <c r="AK57" i="1" s="1"/>
  <c r="M170" i="1"/>
  <c r="M186" i="1"/>
  <c r="E201" i="1"/>
  <c r="AK201" i="1" s="1"/>
  <c r="M217" i="1"/>
  <c r="C62" i="1"/>
  <c r="C74" i="1"/>
  <c r="E47" i="1"/>
  <c r="AK47" i="1" s="1"/>
  <c r="E62" i="1"/>
  <c r="AK62" i="1" s="1"/>
  <c r="M74" i="1"/>
  <c r="G114" i="1"/>
  <c r="H114" i="1" s="1"/>
  <c r="J114" i="1" s="1"/>
  <c r="K114" i="1" s="1"/>
  <c r="C140" i="1"/>
  <c r="E1037" i="1"/>
  <c r="AK1037" i="1" s="1"/>
  <c r="M49" i="1"/>
  <c r="G106" i="1"/>
  <c r="H106" i="1" s="1"/>
  <c r="J106" i="1" s="1"/>
  <c r="K106" i="1" s="1"/>
  <c r="G140" i="1"/>
  <c r="H140" i="1" s="1"/>
  <c r="J140" i="1" s="1"/>
  <c r="Q140" i="1" s="1"/>
  <c r="C104" i="1"/>
  <c r="C137" i="1"/>
  <c r="C168" i="1"/>
  <c r="C216" i="1"/>
  <c r="C173" i="1"/>
  <c r="C189" i="1"/>
  <c r="C222" i="1"/>
  <c r="C172" i="1"/>
  <c r="C220" i="1"/>
  <c r="C217" i="1"/>
  <c r="M57" i="1"/>
  <c r="G170" i="1"/>
  <c r="H170" i="1" s="1"/>
  <c r="J170" i="1" s="1"/>
  <c r="K170" i="1" s="1"/>
  <c r="L170" i="1" s="1"/>
  <c r="G186" i="1"/>
  <c r="H186" i="1" s="1"/>
  <c r="J186" i="1" s="1"/>
  <c r="K186" i="1" s="1"/>
  <c r="L186" i="1" s="1"/>
  <c r="G201" i="1"/>
  <c r="H201" i="1" s="1"/>
  <c r="J201" i="1" s="1"/>
  <c r="G217" i="1"/>
  <c r="H217" i="1" s="1"/>
  <c r="J217" i="1" s="1"/>
  <c r="K217" i="1" s="1"/>
  <c r="C63" i="1"/>
  <c r="G62" i="1"/>
  <c r="H62" i="1" s="1"/>
  <c r="J62" i="1" s="1"/>
  <c r="Q62" i="1" s="1"/>
  <c r="C106" i="1"/>
  <c r="C39" i="1"/>
  <c r="C193" i="1"/>
  <c r="C70" i="1"/>
  <c r="C95" i="1"/>
  <c r="C126" i="1"/>
  <c r="C141" i="1"/>
  <c r="C105" i="1"/>
  <c r="C153" i="1"/>
  <c r="C48" i="1"/>
  <c r="C77" i="1"/>
  <c r="C98" i="1"/>
  <c r="C146" i="1"/>
  <c r="C163" i="1"/>
  <c r="C93" i="1"/>
  <c r="C158" i="1"/>
  <c r="C1040" i="1"/>
  <c r="C97" i="1"/>
  <c r="C138" i="1"/>
  <c r="C122" i="1"/>
  <c r="C51" i="1"/>
  <c r="C118" i="1"/>
  <c r="C149" i="1"/>
  <c r="AI8" i="1"/>
  <c r="C1041" i="1"/>
  <c r="C46" i="1"/>
  <c r="C56" i="1"/>
  <c r="C72" i="1"/>
  <c r="C24" i="1"/>
  <c r="I24" i="1" s="1"/>
  <c r="C35" i="1"/>
  <c r="C28" i="1"/>
  <c r="C60" i="1"/>
  <c r="C75" i="1"/>
  <c r="C40" i="1"/>
  <c r="C50" i="1"/>
  <c r="C80" i="1"/>
  <c r="C38" i="1"/>
  <c r="C44" i="1"/>
  <c r="C52" i="1"/>
  <c r="C84" i="1"/>
  <c r="S60" i="1"/>
  <c r="Q192" i="1"/>
  <c r="R192" i="1" s="1"/>
  <c r="K192" i="1"/>
  <c r="Q368" i="1"/>
  <c r="R368" i="1" s="1"/>
  <c r="K368" i="1"/>
  <c r="K400" i="1"/>
  <c r="S440" i="1"/>
  <c r="K592" i="1"/>
  <c r="Q592" i="1"/>
  <c r="R592" i="1" s="1"/>
  <c r="K640" i="1"/>
  <c r="Q640" i="1"/>
  <c r="Q720" i="1"/>
  <c r="R720" i="1" s="1"/>
  <c r="K720" i="1"/>
  <c r="L720" i="1" s="1"/>
  <c r="Q736" i="1"/>
  <c r="K736" i="1"/>
  <c r="K784" i="1"/>
  <c r="L784" i="1" s="1"/>
  <c r="N784" i="1" s="1"/>
  <c r="O784" i="1" s="1"/>
  <c r="Q784" i="1"/>
  <c r="R784" i="1" s="1"/>
  <c r="K832" i="1"/>
  <c r="Q832" i="1"/>
  <c r="K32" i="1"/>
  <c r="K70" i="1"/>
  <c r="Q70" i="1"/>
  <c r="S177" i="1"/>
  <c r="S305" i="1"/>
  <c r="S390" i="1"/>
  <c r="Q266" i="1"/>
  <c r="R266" i="1" s="1"/>
  <c r="Q331" i="1"/>
  <c r="K331" i="1"/>
  <c r="S401" i="1"/>
  <c r="Q442" i="1"/>
  <c r="R442" i="1" s="1"/>
  <c r="K442" i="1"/>
  <c r="L442" i="1" s="1"/>
  <c r="K490" i="1"/>
  <c r="L490" i="1" s="1"/>
  <c r="Q490" i="1"/>
  <c r="R490" i="1" s="1"/>
  <c r="Q586" i="1"/>
  <c r="R586" i="1" s="1"/>
  <c r="K586" i="1"/>
  <c r="L586" i="1" s="1"/>
  <c r="S742" i="1"/>
  <c r="S834" i="1"/>
  <c r="S994" i="1"/>
  <c r="S94" i="1"/>
  <c r="S159" i="1"/>
  <c r="S315" i="1"/>
  <c r="Q371" i="1"/>
  <c r="K371" i="1"/>
  <c r="K387" i="1"/>
  <c r="Q387" i="1"/>
  <c r="K418" i="1"/>
  <c r="Q418" i="1"/>
  <c r="Q435" i="1"/>
  <c r="K435" i="1"/>
  <c r="Q819" i="1"/>
  <c r="K819" i="1"/>
  <c r="Q963" i="1"/>
  <c r="S976" i="1"/>
  <c r="S633" i="1"/>
  <c r="K973" i="1"/>
  <c r="Q973" i="1"/>
  <c r="Q75" i="1"/>
  <c r="K75" i="1"/>
  <c r="K124" i="1"/>
  <c r="Q124" i="1"/>
  <c r="Q60" i="1"/>
  <c r="K60" i="1"/>
  <c r="Q84" i="1"/>
  <c r="K148" i="1"/>
  <c r="Q148" i="1"/>
  <c r="R148" i="1" s="1"/>
  <c r="K164" i="1"/>
  <c r="Q164" i="1"/>
  <c r="S192" i="1"/>
  <c r="S236" i="1"/>
  <c r="S256" i="1"/>
  <c r="S268" i="1"/>
  <c r="K349" i="1"/>
  <c r="L349" i="1" s="1"/>
  <c r="Q349" i="1"/>
  <c r="R349" i="1" s="1"/>
  <c r="S368" i="1"/>
  <c r="S432" i="1"/>
  <c r="Q484" i="1"/>
  <c r="K484" i="1"/>
  <c r="S500" i="1"/>
  <c r="Q508" i="1"/>
  <c r="K508" i="1"/>
  <c r="Q516" i="1"/>
  <c r="K516" i="1"/>
  <c r="K528" i="1"/>
  <c r="Q528" i="1"/>
  <c r="Q564" i="1"/>
  <c r="R564" i="1" s="1"/>
  <c r="K564" i="1"/>
  <c r="L564" i="1" s="1"/>
  <c r="K580" i="1"/>
  <c r="L580" i="1" s="1"/>
  <c r="Q580" i="1"/>
  <c r="R580" i="1" s="1"/>
  <c r="S592" i="1"/>
  <c r="K612" i="1"/>
  <c r="Q612" i="1"/>
  <c r="K628" i="1"/>
  <c r="Q628" i="1"/>
  <c r="S636" i="1"/>
  <c r="K644" i="1"/>
  <c r="Q644" i="1"/>
  <c r="S656" i="1"/>
  <c r="S688" i="1"/>
  <c r="S700" i="1"/>
  <c r="Q723" i="1"/>
  <c r="R723" i="1" s="1"/>
  <c r="K723" i="1"/>
  <c r="L723" i="1" s="1"/>
  <c r="S732" i="1"/>
  <c r="S752" i="1"/>
  <c r="S784" i="1"/>
  <c r="S796" i="1"/>
  <c r="S860" i="1"/>
  <c r="S81" i="1"/>
  <c r="K105" i="1"/>
  <c r="L105" i="1" s="1"/>
  <c r="Q105" i="1"/>
  <c r="R105" i="1" s="1"/>
  <c r="Q121" i="1"/>
  <c r="R121" i="1" s="1"/>
  <c r="K121" i="1"/>
  <c r="L121" i="1" s="1"/>
  <c r="K136" i="1"/>
  <c r="Q136" i="1"/>
  <c r="Q421" i="1"/>
  <c r="R421" i="1" s="1"/>
  <c r="K421" i="1"/>
  <c r="S437" i="1"/>
  <c r="Q489" i="1"/>
  <c r="K489" i="1"/>
  <c r="S1042" i="1"/>
  <c r="Q39" i="1"/>
  <c r="K39" i="1"/>
  <c r="S182" i="1"/>
  <c r="Q185" i="1"/>
  <c r="K185" i="1"/>
  <c r="S218" i="1"/>
  <c r="K270" i="1"/>
  <c r="Q270" i="1"/>
  <c r="S278" i="1"/>
  <c r="Q285" i="1"/>
  <c r="R285" i="1" s="1"/>
  <c r="K285" i="1"/>
  <c r="L285" i="1" s="1"/>
  <c r="N285" i="1" s="1"/>
  <c r="O285" i="1" s="1"/>
  <c r="S358" i="1"/>
  <c r="S398" i="1"/>
  <c r="S458" i="1"/>
  <c r="S506" i="1"/>
  <c r="K526" i="1"/>
  <c r="L526" i="1" s="1"/>
  <c r="Q526" i="1"/>
  <c r="R526" i="1" s="1"/>
  <c r="K542" i="1"/>
  <c r="Q542" i="1"/>
  <c r="S570" i="1"/>
  <c r="Q590" i="1"/>
  <c r="R590" i="1" s="1"/>
  <c r="K590" i="1"/>
  <c r="L590" i="1" s="1"/>
  <c r="K605" i="1"/>
  <c r="L605" i="1" s="1"/>
  <c r="Q605" i="1"/>
  <c r="S619" i="1"/>
  <c r="Q622" i="1"/>
  <c r="R622" i="1" s="1"/>
  <c r="S650" i="1"/>
  <c r="Q654" i="1"/>
  <c r="K654" i="1"/>
  <c r="K686" i="1"/>
  <c r="Q686" i="1"/>
  <c r="S918" i="1"/>
  <c r="S966" i="1"/>
  <c r="Q1022" i="1"/>
  <c r="Q231" i="1"/>
  <c r="K231" i="1"/>
  <c r="S238" i="1"/>
  <c r="Q294" i="1"/>
  <c r="R294" i="1" s="1"/>
  <c r="K294" i="1"/>
  <c r="L294" i="1" s="1"/>
  <c r="S352" i="1"/>
  <c r="Q455" i="1"/>
  <c r="K455" i="1"/>
  <c r="K471" i="1"/>
  <c r="L471" i="1" s="1"/>
  <c r="N471" i="1" s="1"/>
  <c r="O471" i="1" s="1"/>
  <c r="K519" i="1"/>
  <c r="Q519" i="1"/>
  <c r="K551" i="1"/>
  <c r="Q551" i="1"/>
  <c r="K583" i="1"/>
  <c r="Q583" i="1"/>
  <c r="K599" i="1"/>
  <c r="Q599" i="1"/>
  <c r="K631" i="1"/>
  <c r="Q647" i="1"/>
  <c r="K647" i="1"/>
  <c r="S739" i="1"/>
  <c r="Q743" i="1"/>
  <c r="Q772" i="1"/>
  <c r="R772" i="1" s="1"/>
  <c r="S788" i="1"/>
  <c r="S803" i="1"/>
  <c r="S607" i="1"/>
  <c r="S865" i="1"/>
  <c r="S139" i="1"/>
  <c r="Q256" i="1"/>
  <c r="S396" i="1"/>
  <c r="Q512" i="1"/>
  <c r="K512" i="1"/>
  <c r="S528" i="1"/>
  <c r="S632" i="1"/>
  <c r="K656" i="1"/>
  <c r="Q656" i="1"/>
  <c r="S712" i="1"/>
  <c r="Q752" i="1"/>
  <c r="R752" i="1" s="1"/>
  <c r="K752" i="1"/>
  <c r="L752" i="1" s="1"/>
  <c r="N752" i="1" s="1"/>
  <c r="O752" i="1" s="1"/>
  <c r="Q767" i="1"/>
  <c r="K767" i="1"/>
  <c r="Q800" i="1"/>
  <c r="K800" i="1"/>
  <c r="S829" i="1"/>
  <c r="S225" i="1"/>
  <c r="S241" i="1"/>
  <c r="S257" i="1"/>
  <c r="S273" i="1"/>
  <c r="S321" i="1"/>
  <c r="S369" i="1"/>
  <c r="K437" i="1"/>
  <c r="S461" i="1"/>
  <c r="S493" i="1"/>
  <c r="S411" i="1"/>
  <c r="Q522" i="1"/>
  <c r="K522" i="1"/>
  <c r="Q554" i="1"/>
  <c r="R554" i="1" s="1"/>
  <c r="S683" i="1"/>
  <c r="S738" i="1"/>
  <c r="S806" i="1"/>
  <c r="S898" i="1"/>
  <c r="S950" i="1"/>
  <c r="S962" i="1"/>
  <c r="K1015" i="1"/>
  <c r="Q1015" i="1"/>
  <c r="S251" i="1"/>
  <c r="K355" i="1"/>
  <c r="S868" i="1"/>
  <c r="S260" i="1"/>
  <c r="Q316" i="1"/>
  <c r="K316" i="1"/>
  <c r="S508" i="1"/>
  <c r="S648" i="1"/>
  <c r="Q652" i="1"/>
  <c r="R652" i="1" s="1"/>
  <c r="K652" i="1"/>
  <c r="L652" i="1" s="1"/>
  <c r="K668" i="1"/>
  <c r="Q668" i="1"/>
  <c r="R668" i="1" s="1"/>
  <c r="Q684" i="1"/>
  <c r="K684" i="1"/>
  <c r="K716" i="1"/>
  <c r="L716" i="1" s="1"/>
  <c r="K748" i="1"/>
  <c r="L748" i="1" s="1"/>
  <c r="Q748" i="1"/>
  <c r="R748" i="1" s="1"/>
  <c r="K779" i="1"/>
  <c r="L779" i="1" s="1"/>
  <c r="Q779" i="1"/>
  <c r="R779" i="1" s="1"/>
  <c r="Q796" i="1"/>
  <c r="S812" i="1"/>
  <c r="K26" i="1"/>
  <c r="Q26" i="1"/>
  <c r="S153" i="1"/>
  <c r="Q193" i="1"/>
  <c r="K193" i="1"/>
  <c r="Q209" i="1"/>
  <c r="K209" i="1"/>
  <c r="Q369" i="1"/>
  <c r="R369" i="1" s="1"/>
  <c r="K369" i="1"/>
  <c r="L369" i="1" s="1"/>
  <c r="N369" i="1" s="1"/>
  <c r="O369" i="1" s="1"/>
  <c r="S385" i="1"/>
  <c r="K402" i="1"/>
  <c r="Q402" i="1"/>
  <c r="K417" i="1"/>
  <c r="Q417" i="1"/>
  <c r="S429" i="1"/>
  <c r="Q433" i="1"/>
  <c r="K433" i="1"/>
  <c r="S441" i="1"/>
  <c r="S445" i="1"/>
  <c r="K449" i="1"/>
  <c r="Q449" i="1"/>
  <c r="K465" i="1"/>
  <c r="L465" i="1" s="1"/>
  <c r="S473" i="1"/>
  <c r="S87" i="1"/>
  <c r="K102" i="1"/>
  <c r="Q229" i="1"/>
  <c r="K229" i="1"/>
  <c r="S242" i="1"/>
  <c r="K254" i="1"/>
  <c r="Q254" i="1"/>
  <c r="S270" i="1"/>
  <c r="K278" i="1"/>
  <c r="Q278" i="1"/>
  <c r="S318" i="1"/>
  <c r="Q354" i="1"/>
  <c r="R354" i="1" s="1"/>
  <c r="K354" i="1"/>
  <c r="L354" i="1" s="1"/>
  <c r="Q358" i="1"/>
  <c r="K358" i="1"/>
  <c r="S370" i="1"/>
  <c r="S382" i="1"/>
  <c r="K422" i="1"/>
  <c r="Q422" i="1"/>
  <c r="S509" i="1"/>
  <c r="S557" i="1"/>
  <c r="S686" i="1"/>
  <c r="Q758" i="1"/>
  <c r="K758" i="1"/>
  <c r="S770" i="1"/>
  <c r="Q774" i="1"/>
  <c r="R774" i="1" s="1"/>
  <c r="K774" i="1"/>
  <c r="L774" i="1" s="1"/>
  <c r="K806" i="1"/>
  <c r="Q838" i="1"/>
  <c r="K838" i="1"/>
  <c r="K855" i="1"/>
  <c r="L855" i="1" s="1"/>
  <c r="S866" i="1"/>
  <c r="S886" i="1"/>
  <c r="S914" i="1"/>
  <c r="S930" i="1"/>
  <c r="K935" i="1"/>
  <c r="L935" i="1" s="1"/>
  <c r="Q935" i="1"/>
  <c r="R935" i="1" s="1"/>
  <c r="Q950" i="1"/>
  <c r="R950" i="1" s="1"/>
  <c r="K950" i="1"/>
  <c r="L950" i="1" s="1"/>
  <c r="N950" i="1" s="1"/>
  <c r="O950" i="1" s="1"/>
  <c r="K981" i="1"/>
  <c r="Q981" i="1"/>
  <c r="K998" i="1"/>
  <c r="Q998" i="1"/>
  <c r="S55" i="1"/>
  <c r="S311" i="1"/>
  <c r="Q319" i="1"/>
  <c r="S363" i="1"/>
  <c r="S471" i="1"/>
  <c r="S503" i="1"/>
  <c r="S631" i="1"/>
  <c r="S647" i="1"/>
  <c r="S662" i="1"/>
  <c r="Q687" i="1"/>
  <c r="K687" i="1"/>
  <c r="K715" i="1"/>
  <c r="L715" i="1" s="1"/>
  <c r="Q715" i="1"/>
  <c r="R715" i="1" s="1"/>
  <c r="Q734" i="1"/>
  <c r="K751" i="1"/>
  <c r="Q751" i="1"/>
  <c r="Q768" i="1"/>
  <c r="K768" i="1"/>
  <c r="K879" i="1"/>
  <c r="Q879" i="1"/>
  <c r="K896" i="1"/>
  <c r="Q896" i="1"/>
  <c r="K1024" i="1"/>
  <c r="S932" i="1"/>
  <c r="K961" i="1"/>
  <c r="Q961" i="1"/>
  <c r="S505" i="1"/>
  <c r="K541" i="1"/>
  <c r="Q541" i="1"/>
  <c r="S701" i="1"/>
  <c r="K789" i="1"/>
  <c r="L789" i="1" s="1"/>
  <c r="Q862" i="1"/>
  <c r="K862" i="1"/>
  <c r="K525" i="1"/>
  <c r="Q525" i="1"/>
  <c r="S877" i="1"/>
  <c r="S997" i="1"/>
  <c r="Q1033" i="1"/>
  <c r="K1033" i="1"/>
  <c r="K240" i="1"/>
  <c r="Q240" i="1"/>
  <c r="S252" i="1"/>
  <c r="S283" i="1"/>
  <c r="S376" i="1"/>
  <c r="S488" i="1"/>
  <c r="S520" i="1"/>
  <c r="K540" i="1"/>
  <c r="L540" i="1" s="1"/>
  <c r="Q540" i="1"/>
  <c r="R540" i="1" s="1"/>
  <c r="S744" i="1"/>
  <c r="Q863" i="1"/>
  <c r="K863" i="1"/>
  <c r="S1043" i="1"/>
  <c r="S189" i="1"/>
  <c r="K309" i="1"/>
  <c r="L309" i="1" s="1"/>
  <c r="N309" i="1" s="1"/>
  <c r="O309" i="1" s="1"/>
  <c r="K385" i="1"/>
  <c r="L385" i="1" s="1"/>
  <c r="N385" i="1" s="1"/>
  <c r="O385" i="1" s="1"/>
  <c r="Q90" i="1"/>
  <c r="K90" i="1"/>
  <c r="Q298" i="1"/>
  <c r="K298" i="1"/>
  <c r="S434" i="1"/>
  <c r="Q619" i="1"/>
  <c r="K619" i="1"/>
  <c r="S758" i="1"/>
  <c r="S786" i="1"/>
  <c r="S823" i="1"/>
  <c r="S902" i="1"/>
  <c r="Q33" i="1"/>
  <c r="K195" i="1"/>
  <c r="Q195" i="1"/>
  <c r="S235" i="1"/>
  <c r="S383" i="1"/>
  <c r="K403" i="1"/>
  <c r="Q403" i="1"/>
  <c r="S475" i="1"/>
  <c r="S639" i="1"/>
  <c r="Q755" i="1"/>
  <c r="K755" i="1"/>
  <c r="Q788" i="1"/>
  <c r="K788" i="1"/>
  <c r="Q915" i="1"/>
  <c r="K915" i="1"/>
  <c r="S993" i="1"/>
  <c r="S913" i="1"/>
  <c r="K621" i="1"/>
  <c r="L621" i="1" s="1"/>
  <c r="Q621" i="1"/>
  <c r="R621" i="1" s="1"/>
  <c r="Q853" i="1"/>
  <c r="K853" i="1"/>
  <c r="K35" i="1"/>
  <c r="Q35" i="1"/>
  <c r="K236" i="1"/>
  <c r="L236" i="1" s="1"/>
  <c r="N236" i="1" s="1"/>
  <c r="O236" i="1" s="1"/>
  <c r="Q236" i="1"/>
  <c r="R236" i="1" s="1"/>
  <c r="K283" i="1"/>
  <c r="Q283" i="1"/>
  <c r="K300" i="1"/>
  <c r="Q300" i="1"/>
  <c r="R300" i="1" s="1"/>
  <c r="S388" i="1"/>
  <c r="K476" i="1"/>
  <c r="L476" i="1" s="1"/>
  <c r="Q476" i="1"/>
  <c r="R476" i="1" s="1"/>
  <c r="S516" i="1"/>
  <c r="Q524" i="1"/>
  <c r="R524" i="1" s="1"/>
  <c r="S681" i="1"/>
  <c r="Q46" i="1"/>
  <c r="Q56" i="1"/>
  <c r="K56" i="1"/>
  <c r="K151" i="1"/>
  <c r="Q151" i="1"/>
  <c r="S272" i="1"/>
  <c r="S356" i="1"/>
  <c r="Q440" i="1"/>
  <c r="R440" i="1" s="1"/>
  <c r="K440" i="1"/>
  <c r="L440" i="1" s="1"/>
  <c r="N440" i="1" s="1"/>
  <c r="O440" i="1" s="1"/>
  <c r="S452" i="1"/>
  <c r="S464" i="1"/>
  <c r="Q488" i="1"/>
  <c r="K488" i="1"/>
  <c r="K536" i="1"/>
  <c r="L536" i="1" s="1"/>
  <c r="N536" i="1" s="1"/>
  <c r="O536" i="1" s="1"/>
  <c r="Q536" i="1"/>
  <c r="R536" i="1" s="1"/>
  <c r="K568" i="1"/>
  <c r="L568" i="1" s="1"/>
  <c r="Q568" i="1"/>
  <c r="R568" i="1" s="1"/>
  <c r="S628" i="1"/>
  <c r="Q632" i="1"/>
  <c r="S644" i="1"/>
  <c r="Q681" i="1"/>
  <c r="R681" i="1" s="1"/>
  <c r="S704" i="1"/>
  <c r="Q728" i="1"/>
  <c r="K728" i="1"/>
  <c r="K776" i="1"/>
  <c r="Q776" i="1"/>
  <c r="S800" i="1"/>
  <c r="S815" i="1"/>
  <c r="S136" i="1"/>
  <c r="Q158" i="1"/>
  <c r="Q173" i="1"/>
  <c r="K173" i="1"/>
  <c r="Q205" i="1"/>
  <c r="K205" i="1"/>
  <c r="S230" i="1"/>
  <c r="S246" i="1"/>
  <c r="S261" i="1"/>
  <c r="Q269" i="1"/>
  <c r="S276" i="1"/>
  <c r="S309" i="1"/>
  <c r="S325" i="1"/>
  <c r="Q397" i="1"/>
  <c r="S405" i="1"/>
  <c r="Q461" i="1"/>
  <c r="K461" i="1"/>
  <c r="L461" i="1" s="1"/>
  <c r="N461" i="1" s="1"/>
  <c r="O461" i="1" s="1"/>
  <c r="Q477" i="1"/>
  <c r="R477" i="1" s="1"/>
  <c r="K477" i="1"/>
  <c r="Q493" i="1"/>
  <c r="R493" i="1" s="1"/>
  <c r="K493" i="1"/>
  <c r="L493" i="1" s="1"/>
  <c r="N493" i="1" s="1"/>
  <c r="O493" i="1" s="1"/>
  <c r="Q178" i="1"/>
  <c r="K178" i="1"/>
  <c r="K210" i="1"/>
  <c r="Q210" i="1"/>
  <c r="Q221" i="1"/>
  <c r="R221" i="1" s="1"/>
  <c r="K221" i="1"/>
  <c r="L221" i="1" s="1"/>
  <c r="Q227" i="1"/>
  <c r="K227" i="1"/>
  <c r="S234" i="1"/>
  <c r="K239" i="1"/>
  <c r="S254" i="1"/>
  <c r="K258" i="1"/>
  <c r="Q258" i="1"/>
  <c r="S266" i="1"/>
  <c r="S285" i="1"/>
  <c r="K290" i="1"/>
  <c r="Q290" i="1"/>
  <c r="S298" i="1"/>
  <c r="K322" i="1"/>
  <c r="Q322" i="1"/>
  <c r="Q338" i="1"/>
  <c r="K370" i="1"/>
  <c r="K434" i="1"/>
  <c r="Q434" i="1"/>
  <c r="S446" i="1"/>
  <c r="S462" i="1"/>
  <c r="S478" i="1"/>
  <c r="S542" i="1"/>
  <c r="S622" i="1"/>
  <c r="Q625" i="1"/>
  <c r="Q634" i="1"/>
  <c r="K634" i="1"/>
  <c r="S637" i="1"/>
  <c r="S666" i="1"/>
  <c r="Q669" i="1"/>
  <c r="R669" i="1" s="1"/>
  <c r="K669" i="1"/>
  <c r="L669" i="1" s="1"/>
  <c r="S702" i="1"/>
  <c r="K754" i="1"/>
  <c r="Q754" i="1"/>
  <c r="K786" i="1"/>
  <c r="L786" i="1" s="1"/>
  <c r="Q851" i="1"/>
  <c r="R851" i="1" s="1"/>
  <c r="K851" i="1"/>
  <c r="L851" i="1" s="1"/>
  <c r="N851" i="1" s="1"/>
  <c r="O851" i="1" s="1"/>
  <c r="Q882" i="1"/>
  <c r="K882" i="1"/>
  <c r="Q914" i="1"/>
  <c r="K914" i="1"/>
  <c r="S942" i="1"/>
  <c r="K946" i="1"/>
  <c r="Q946" i="1"/>
  <c r="Q962" i="1"/>
  <c r="K962" i="1"/>
  <c r="Q1026" i="1"/>
  <c r="R1026" i="1" s="1"/>
  <c r="S67" i="1"/>
  <c r="S119" i="1"/>
  <c r="S135" i="1"/>
  <c r="Q171" i="1"/>
  <c r="K179" i="1"/>
  <c r="S226" i="1"/>
  <c r="K284" i="1"/>
  <c r="K330" i="1"/>
  <c r="Q347" i="1"/>
  <c r="K347" i="1"/>
  <c r="Q363" i="1"/>
  <c r="K363" i="1"/>
  <c r="S515" i="1"/>
  <c r="S519" i="1"/>
  <c r="S583" i="1"/>
  <c r="Q615" i="1"/>
  <c r="R615" i="1" s="1"/>
  <c r="K618" i="1"/>
  <c r="L618" i="1" s="1"/>
  <c r="S724" i="1"/>
  <c r="S835" i="1"/>
  <c r="Q843" i="1"/>
  <c r="S850" i="1"/>
  <c r="S883" i="1"/>
  <c r="S983" i="1"/>
  <c r="K987" i="1"/>
  <c r="K872" i="1"/>
  <c r="Q895" i="1"/>
  <c r="K895" i="1"/>
  <c r="Q900" i="1"/>
  <c r="K916" i="1"/>
  <c r="Q916" i="1"/>
  <c r="K927" i="1"/>
  <c r="K976" i="1"/>
  <c r="L976" i="1" s="1"/>
  <c r="N976" i="1" s="1"/>
  <c r="O976" i="1" s="1"/>
  <c r="Q993" i="1"/>
  <c r="K993" i="1"/>
  <c r="Q1004" i="1"/>
  <c r="R1004" i="1" s="1"/>
  <c r="K1004" i="1"/>
  <c r="L1004" i="1" s="1"/>
  <c r="N1004" i="1" s="1"/>
  <c r="O1004" i="1" s="1"/>
  <c r="Q1023" i="1"/>
  <c r="Q1029" i="1"/>
  <c r="K1029" i="1"/>
  <c r="S572" i="1"/>
  <c r="S761" i="1"/>
  <c r="S869" i="1"/>
  <c r="S881" i="1"/>
  <c r="Q653" i="1"/>
  <c r="K653" i="1"/>
  <c r="S558" i="1"/>
  <c r="S853" i="1"/>
  <c r="K877" i="1"/>
  <c r="L877" i="1" s="1"/>
  <c r="N877" i="1" s="1"/>
  <c r="O877" i="1" s="1"/>
  <c r="Q877" i="1"/>
  <c r="R877" i="1" s="1"/>
  <c r="Q997" i="1"/>
  <c r="R997" i="1" s="1"/>
  <c r="K997" i="1"/>
  <c r="L997" i="1" s="1"/>
  <c r="N997" i="1" s="1"/>
  <c r="O997" i="1" s="1"/>
  <c r="L318" i="1" l="1"/>
  <c r="N318" i="1" s="1"/>
  <c r="O318" i="1" s="1"/>
  <c r="AY23" i="1"/>
  <c r="N682" i="1"/>
  <c r="O682" i="1" s="1"/>
  <c r="N797" i="1"/>
  <c r="O797" i="1" s="1"/>
  <c r="R370" i="1"/>
  <c r="L555" i="1"/>
  <c r="D628" i="1"/>
  <c r="R659" i="1"/>
  <c r="L539" i="1"/>
  <c r="AV628" i="1"/>
  <c r="AW628" i="1" s="1"/>
  <c r="I38" i="1"/>
  <c r="I75" i="1"/>
  <c r="I1041" i="1"/>
  <c r="I51" i="1"/>
  <c r="I1040" i="1"/>
  <c r="I146" i="1"/>
  <c r="I153" i="1"/>
  <c r="I95" i="1"/>
  <c r="I106" i="1"/>
  <c r="I217" i="1"/>
  <c r="I189" i="1"/>
  <c r="I137" i="1"/>
  <c r="I62" i="1"/>
  <c r="I49" i="1"/>
  <c r="I196" i="1"/>
  <c r="I341" i="1"/>
  <c r="I328" i="1"/>
  <c r="I337" i="1"/>
  <c r="I257" i="1"/>
  <c r="I308" i="1"/>
  <c r="I237" i="1"/>
  <c r="I313" i="1"/>
  <c r="I233" i="1"/>
  <c r="I361" i="1"/>
  <c r="I251" i="1"/>
  <c r="I290" i="1"/>
  <c r="I214" i="1"/>
  <c r="I344" i="1"/>
  <c r="I124" i="1"/>
  <c r="I188" i="1"/>
  <c r="I111" i="1"/>
  <c r="I205" i="1"/>
  <c r="I125" i="1"/>
  <c r="I1042" i="1"/>
  <c r="I437" i="1"/>
  <c r="I302" i="1"/>
  <c r="I353" i="1"/>
  <c r="I689" i="1"/>
  <c r="I448" i="1"/>
  <c r="I532" i="1"/>
  <c r="I852" i="1"/>
  <c r="I794" i="1"/>
  <c r="I707" i="1"/>
  <c r="I550" i="1"/>
  <c r="I262" i="1"/>
  <c r="I485" i="1"/>
  <c r="I792" i="1"/>
  <c r="I636" i="1"/>
  <c r="I830" i="1"/>
  <c r="I401" i="1"/>
  <c r="I650" i="1"/>
  <c r="I489" i="1"/>
  <c r="I732" i="1"/>
  <c r="I844" i="1"/>
  <c r="I738" i="1"/>
  <c r="I632" i="1"/>
  <c r="I669" i="1"/>
  <c r="I644" i="1"/>
  <c r="I540" i="1"/>
  <c r="I981" i="1"/>
  <c r="I520" i="1"/>
  <c r="I53" i="1"/>
  <c r="I901" i="1"/>
  <c r="I909" i="1"/>
  <c r="I869" i="1"/>
  <c r="I553" i="1"/>
  <c r="I617" i="1"/>
  <c r="I680" i="1"/>
  <c r="I1012" i="1"/>
  <c r="I940" i="1"/>
  <c r="I749" i="1"/>
  <c r="I842" i="1"/>
  <c r="I134" i="1"/>
  <c r="I828" i="1"/>
  <c r="I941" i="1"/>
  <c r="I944" i="1"/>
  <c r="I912" i="1"/>
  <c r="I645" i="1"/>
  <c r="I709" i="1"/>
  <c r="I725" i="1"/>
  <c r="I984" i="1"/>
  <c r="I960" i="1"/>
  <c r="I1028" i="1"/>
  <c r="I183" i="1"/>
  <c r="I965" i="1"/>
  <c r="I837" i="1"/>
  <c r="I577" i="1"/>
  <c r="I609" i="1"/>
  <c r="I845" i="1"/>
  <c r="I937" i="1"/>
  <c r="I873" i="1"/>
  <c r="I745" i="1"/>
  <c r="I750" i="1"/>
  <c r="I923" i="1"/>
  <c r="I224" i="1"/>
  <c r="I174" i="1"/>
  <c r="I454" i="1"/>
  <c r="I479" i="1"/>
  <c r="I747" i="1"/>
  <c r="I795" i="1"/>
  <c r="I843" i="1"/>
  <c r="I942" i="1"/>
  <c r="I728" i="1"/>
  <c r="I409" i="1"/>
  <c r="I763" i="1"/>
  <c r="I731" i="1"/>
  <c r="I875" i="1"/>
  <c r="I958" i="1"/>
  <c r="I54" i="1"/>
  <c r="I704" i="1"/>
  <c r="I856" i="1"/>
  <c r="I441" i="1"/>
  <c r="I291" i="1"/>
  <c r="I66" i="1"/>
  <c r="I33" i="1"/>
  <c r="I82" i="1"/>
  <c r="I626" i="1"/>
  <c r="I968" i="1"/>
  <c r="I659" i="1"/>
  <c r="I447" i="1"/>
  <c r="I690" i="1"/>
  <c r="I219" i="1"/>
  <c r="I545" i="1"/>
  <c r="I810" i="1"/>
  <c r="I187" i="1"/>
  <c r="I169" i="1"/>
  <c r="I825" i="1"/>
  <c r="I510" i="1"/>
  <c r="I761" i="1"/>
  <c r="I607" i="1"/>
  <c r="I101" i="1"/>
  <c r="I162" i="1"/>
  <c r="I43" i="1"/>
  <c r="I180" i="1"/>
  <c r="I820" i="1"/>
  <c r="I372" i="1"/>
  <c r="I887" i="1"/>
  <c r="I616" i="1"/>
  <c r="I382" i="1"/>
  <c r="I658" i="1"/>
  <c r="I206" i="1"/>
  <c r="I555" i="1"/>
  <c r="I608" i="1"/>
  <c r="I807" i="1"/>
  <c r="I475" i="1"/>
  <c r="I203" i="1"/>
  <c r="I514" i="1"/>
  <c r="I1003" i="1"/>
  <c r="I386" i="1"/>
  <c r="I466" i="1"/>
  <c r="I706" i="1"/>
  <c r="I603" i="1"/>
  <c r="I635" i="1"/>
  <c r="I664" i="1"/>
  <c r="I771" i="1"/>
  <c r="I746" i="1"/>
  <c r="I841" i="1"/>
  <c r="I1022" i="1"/>
  <c r="I108" i="1"/>
  <c r="I888" i="1"/>
  <c r="I660" i="1"/>
  <c r="I155" i="1"/>
  <c r="I1036" i="1"/>
  <c r="I498" i="1"/>
  <c r="I587" i="1"/>
  <c r="I951" i="1"/>
  <c r="I917" i="1"/>
  <c r="I982" i="1"/>
  <c r="I753" i="1"/>
  <c r="I380" i="1"/>
  <c r="I495" i="1"/>
  <c r="I559" i="1"/>
  <c r="I623" i="1"/>
  <c r="I392" i="1"/>
  <c r="I613" i="1"/>
  <c r="I592" i="1"/>
  <c r="I723" i="1"/>
  <c r="I932" i="1"/>
  <c r="I733" i="1"/>
  <c r="I184" i="1"/>
  <c r="I165" i="1"/>
  <c r="I1001" i="1"/>
  <c r="I892" i="1"/>
  <c r="I905" i="1"/>
  <c r="I167" i="1"/>
  <c r="I458" i="1"/>
  <c r="I136" i="1"/>
  <c r="I601" i="1"/>
  <c r="I611" i="1"/>
  <c r="I152" i="1"/>
  <c r="I78" i="1"/>
  <c r="I375" i="1"/>
  <c r="I332" i="1"/>
  <c r="I484" i="1"/>
  <c r="I699" i="1"/>
  <c r="I711" i="1"/>
  <c r="I191" i="1"/>
  <c r="I327" i="1"/>
  <c r="I427" i="1"/>
  <c r="I362" i="1"/>
  <c r="I304" i="1"/>
  <c r="I240" i="1"/>
  <c r="I345" i="1"/>
  <c r="I88" i="1"/>
  <c r="I110" i="1"/>
  <c r="I483" i="1"/>
  <c r="I112" i="1"/>
  <c r="I864" i="1"/>
  <c r="I41" i="1"/>
  <c r="I768" i="1"/>
  <c r="I407" i="1"/>
  <c r="I648" i="1"/>
  <c r="I796" i="1"/>
  <c r="I570" i="1"/>
  <c r="I311" i="1"/>
  <c r="I515" i="1"/>
  <c r="I86" i="1"/>
  <c r="I522" i="1"/>
  <c r="I564" i="1"/>
  <c r="I363" i="1"/>
  <c r="I318" i="1"/>
  <c r="I148" i="1"/>
  <c r="I356" i="1"/>
  <c r="I300" i="1"/>
  <c r="I716" i="1"/>
  <c r="I653" i="1"/>
  <c r="I378" i="1"/>
  <c r="I159" i="1"/>
  <c r="I863" i="1"/>
  <c r="I402" i="1"/>
  <c r="I493" i="1"/>
  <c r="I865" i="1"/>
  <c r="I993" i="1"/>
  <c r="I355" i="1"/>
  <c r="I428" i="1"/>
  <c r="I528" i="1"/>
  <c r="I772" i="1"/>
  <c r="I525" i="1"/>
  <c r="I231" i="1"/>
  <c r="I347" i="1"/>
  <c r="I303" i="1"/>
  <c r="I769" i="1"/>
  <c r="I835" i="1"/>
  <c r="I477" i="1"/>
  <c r="I442" i="1"/>
  <c r="I966" i="1"/>
  <c r="I1024" i="1"/>
  <c r="I1023" i="1"/>
  <c r="I622" i="1"/>
  <c r="I717" i="1"/>
  <c r="I899" i="1"/>
  <c r="I695" i="1"/>
  <c r="I252" i="1"/>
  <c r="I551" i="1"/>
  <c r="I913" i="1"/>
  <c r="I460" i="1"/>
  <c r="I84" i="1"/>
  <c r="I80" i="1"/>
  <c r="I60" i="1"/>
  <c r="I72" i="1"/>
  <c r="I122" i="1"/>
  <c r="I158" i="1"/>
  <c r="I98" i="1"/>
  <c r="I105" i="1"/>
  <c r="I70" i="1"/>
  <c r="I220" i="1"/>
  <c r="I173" i="1"/>
  <c r="I104" i="1"/>
  <c r="I129" i="1"/>
  <c r="I201" i="1"/>
  <c r="I30" i="1"/>
  <c r="I145" i="1"/>
  <c r="I325" i="1"/>
  <c r="I264" i="1"/>
  <c r="I305" i="1"/>
  <c r="I241" i="1"/>
  <c r="I348" i="1"/>
  <c r="I335" i="1"/>
  <c r="I297" i="1"/>
  <c r="I215" i="1"/>
  <c r="I258" i="1"/>
  <c r="I338" i="1"/>
  <c r="I195" i="1"/>
  <c r="I204" i="1"/>
  <c r="I144" i="1"/>
  <c r="I142" i="1"/>
  <c r="I37" i="1"/>
  <c r="I157" i="1"/>
  <c r="I32" i="1"/>
  <c r="I433" i="1"/>
  <c r="I445" i="1"/>
  <c r="I405" i="1"/>
  <c r="I360" i="1"/>
  <c r="I482" i="1"/>
  <c r="I436" i="1"/>
  <c r="I481" i="1"/>
  <c r="I740" i="1"/>
  <c r="I556" i="1"/>
  <c r="I889" i="1"/>
  <c r="I393" i="1"/>
  <c r="I598" i="1"/>
  <c r="I412" i="1"/>
  <c r="I560" i="1"/>
  <c r="I824" i="1"/>
  <c r="I735" i="1"/>
  <c r="I893" i="1"/>
  <c r="I474" i="1"/>
  <c r="I698" i="1"/>
  <c r="I446" i="1"/>
  <c r="I779" i="1"/>
  <c r="I221" i="1"/>
  <c r="I914" i="1"/>
  <c r="I254" i="1"/>
  <c r="I440" i="1"/>
  <c r="I767" i="1"/>
  <c r="I758" i="1"/>
  <c r="I1026" i="1"/>
  <c r="I150" i="1"/>
  <c r="I1008" i="1"/>
  <c r="I1013" i="1"/>
  <c r="I988" i="1"/>
  <c r="I904" i="1"/>
  <c r="I537" i="1"/>
  <c r="I602" i="1"/>
  <c r="I665" i="1"/>
  <c r="I729" i="1"/>
  <c r="I969" i="1"/>
  <c r="I813" i="1"/>
  <c r="I1000" i="1"/>
  <c r="I890" i="1"/>
  <c r="I68" i="1"/>
  <c r="I737" i="1"/>
  <c r="I972" i="1"/>
  <c r="I821" i="1"/>
  <c r="I543" i="1"/>
  <c r="I517" i="1"/>
  <c r="I533" i="1"/>
  <c r="I566" i="1"/>
  <c r="I629" i="1"/>
  <c r="I661" i="1"/>
  <c r="I884" i="1"/>
  <c r="I989" i="1"/>
  <c r="I561" i="1"/>
  <c r="I657" i="1"/>
  <c r="I127" i="1"/>
  <c r="I955" i="1"/>
  <c r="I878" i="1"/>
  <c r="I693" i="1"/>
  <c r="I667" i="1"/>
  <c r="I511" i="1"/>
  <c r="I343" i="1"/>
  <c r="I646" i="1"/>
  <c r="I663" i="1"/>
  <c r="I130" i="1"/>
  <c r="I179" i="1"/>
  <c r="I760" i="1"/>
  <c r="I299" i="1"/>
  <c r="I57" i="1"/>
  <c r="I1031" i="1"/>
  <c r="I1014" i="1"/>
  <c r="I573" i="1"/>
  <c r="I410" i="1"/>
  <c r="I265" i="1"/>
  <c r="I156" i="1"/>
  <c r="I575" i="1"/>
  <c r="I991" i="1"/>
  <c r="I1038" i="1"/>
  <c r="I415" i="1"/>
  <c r="I985" i="1"/>
  <c r="I287" i="1"/>
  <c r="I253" i="1"/>
  <c r="I874" i="1"/>
  <c r="I207" i="1"/>
  <c r="I279" i="1"/>
  <c r="I701" i="1"/>
  <c r="I131" i="1"/>
  <c r="I762" i="1"/>
  <c r="I429" i="1"/>
  <c r="I610" i="1"/>
  <c r="I675" i="1"/>
  <c r="I459" i="1"/>
  <c r="I507" i="1"/>
  <c r="I618" i="1"/>
  <c r="I364" i="1"/>
  <c r="I260" i="1"/>
  <c r="I970" i="1"/>
  <c r="I307" i="1"/>
  <c r="I491" i="1"/>
  <c r="I497" i="1"/>
  <c r="I743" i="1"/>
  <c r="I919" i="1"/>
  <c r="I691" i="1"/>
  <c r="I504" i="1"/>
  <c r="I671" i="1"/>
  <c r="I870" i="1"/>
  <c r="I805" i="1"/>
  <c r="I212" i="1"/>
  <c r="I722" i="1"/>
  <c r="I457" i="1"/>
  <c r="I977" i="1"/>
  <c r="I571" i="1"/>
  <c r="I465" i="1"/>
  <c r="I544" i="1"/>
  <c r="I726" i="1"/>
  <c r="I759" i="1"/>
  <c r="I822" i="1"/>
  <c r="I406" i="1"/>
  <c r="I492" i="1"/>
  <c r="I906" i="1"/>
  <c r="I250" i="1"/>
  <c r="I854" i="1"/>
  <c r="I350" i="1"/>
  <c r="I192" i="1"/>
  <c r="I209" i="1"/>
  <c r="I530" i="1"/>
  <c r="I651" i="1"/>
  <c r="I596" i="1"/>
  <c r="I1027" i="1"/>
  <c r="I1032" i="1"/>
  <c r="I470" i="1"/>
  <c r="I426" i="1"/>
  <c r="I396" i="1"/>
  <c r="I621" i="1"/>
  <c r="I685" i="1"/>
  <c r="I688" i="1"/>
  <c r="I736" i="1"/>
  <c r="I568" i="1"/>
  <c r="I973" i="1"/>
  <c r="I980" i="1"/>
  <c r="I809" i="1"/>
  <c r="I213" i="1"/>
  <c r="I818" i="1"/>
  <c r="I182" i="1"/>
  <c r="I946" i="1"/>
  <c r="I896" i="1"/>
  <c r="I185" i="1"/>
  <c r="I930" i="1"/>
  <c r="I627" i="1"/>
  <c r="I283" i="1"/>
  <c r="I700" i="1"/>
  <c r="I236" i="1"/>
  <c r="I727" i="1"/>
  <c r="I996" i="1"/>
  <c r="I929" i="1"/>
  <c r="I552" i="1"/>
  <c r="I263" i="1"/>
  <c r="I242" i="1"/>
  <c r="I329" i="1"/>
  <c r="I34" i="1"/>
  <c r="I802" i="1"/>
  <c r="I391" i="1"/>
  <c r="I866" i="1"/>
  <c r="I524" i="1"/>
  <c r="I683" i="1"/>
  <c r="I928" i="1"/>
  <c r="I36" i="1"/>
  <c r="I554" i="1"/>
  <c r="I434" i="1"/>
  <c r="I640" i="1"/>
  <c r="I684" i="1"/>
  <c r="I388" i="1"/>
  <c r="I26" i="1"/>
  <c r="I1033" i="1"/>
  <c r="I871" i="1"/>
  <c r="I542" i="1"/>
  <c r="I464" i="1"/>
  <c r="I590" i="1"/>
  <c r="I637" i="1"/>
  <c r="I719" i="1"/>
  <c r="I519" i="1"/>
  <c r="I784" i="1"/>
  <c r="I567" i="1"/>
  <c r="I647" i="1"/>
  <c r="I815" i="1"/>
  <c r="I1015" i="1"/>
  <c r="I986" i="1"/>
  <c r="I862" i="1"/>
  <c r="I850" i="1"/>
  <c r="I902" i="1"/>
  <c r="I631" i="1"/>
  <c r="I868" i="1"/>
  <c r="I526" i="1"/>
  <c r="I997" i="1"/>
  <c r="I789" i="1"/>
  <c r="I724" i="1"/>
  <c r="I509" i="1"/>
  <c r="I278" i="1"/>
  <c r="I720" i="1"/>
  <c r="I656" i="1"/>
  <c r="I931" i="1"/>
  <c r="I819" i="1"/>
  <c r="I898" i="1"/>
  <c r="I754" i="1"/>
  <c r="I764" i="1"/>
  <c r="I687" i="1"/>
  <c r="I628" i="1"/>
  <c r="I52" i="1"/>
  <c r="I50" i="1"/>
  <c r="I28" i="1"/>
  <c r="I56" i="1"/>
  <c r="I149" i="1"/>
  <c r="I138" i="1"/>
  <c r="I93" i="1"/>
  <c r="I77" i="1"/>
  <c r="I141" i="1"/>
  <c r="I193" i="1"/>
  <c r="I63" i="1"/>
  <c r="I172" i="1"/>
  <c r="I216" i="1"/>
  <c r="I140" i="1"/>
  <c r="I79" i="1"/>
  <c r="I186" i="1"/>
  <c r="I113" i="1"/>
  <c r="I309" i="1"/>
  <c r="I232" i="1"/>
  <c r="I289" i="1"/>
  <c r="I225" i="1"/>
  <c r="I317" i="1"/>
  <c r="I320" i="1"/>
  <c r="I281" i="1"/>
  <c r="I132" i="1"/>
  <c r="I227" i="1"/>
  <c r="I100" i="1"/>
  <c r="I321" i="1"/>
  <c r="I64" i="1"/>
  <c r="I76" i="1"/>
  <c r="I29" i="1"/>
  <c r="I417" i="1"/>
  <c r="I342" i="1"/>
  <c r="I390" i="1"/>
  <c r="I270" i="1"/>
  <c r="I562" i="1"/>
  <c r="I384" i="1"/>
  <c r="I696" i="1"/>
  <c r="I756" i="1"/>
  <c r="I620" i="1"/>
  <c r="I1002" i="1"/>
  <c r="I518" i="1"/>
  <c r="I630" i="1"/>
  <c r="I444" i="1"/>
  <c r="I624" i="1"/>
  <c r="I840" i="1"/>
  <c r="I766" i="1"/>
  <c r="I677" i="1"/>
  <c r="I490" i="1"/>
  <c r="I432" i="1"/>
  <c r="I512" i="1"/>
  <c r="I812" i="1"/>
  <c r="I588" i="1"/>
  <c r="I962" i="1"/>
  <c r="I478" i="1"/>
  <c r="I461" i="1"/>
  <c r="I832" i="1"/>
  <c r="I806" i="1"/>
  <c r="I430" i="1"/>
  <c r="I117" i="1"/>
  <c r="I166" i="1"/>
  <c r="I85" i="1"/>
  <c r="I949" i="1"/>
  <c r="I785" i="1"/>
  <c r="I1009" i="1"/>
  <c r="I936" i="1"/>
  <c r="I741" i="1"/>
  <c r="I521" i="1"/>
  <c r="I584" i="1"/>
  <c r="I649" i="1"/>
  <c r="I713" i="1"/>
  <c r="I876" i="1"/>
  <c r="I1021" i="1"/>
  <c r="I921" i="1"/>
  <c r="I1005" i="1"/>
  <c r="I581" i="1"/>
  <c r="I933" i="1"/>
  <c r="I849" i="1"/>
  <c r="I880" i="1"/>
  <c r="I757" i="1"/>
  <c r="I694" i="1"/>
  <c r="I872" i="1"/>
  <c r="I897" i="1"/>
  <c r="I379" i="1"/>
  <c r="I885" i="1"/>
  <c r="I833" i="1"/>
  <c r="I817" i="1"/>
  <c r="I1020" i="1"/>
  <c r="I529" i="1"/>
  <c r="I721" i="1"/>
  <c r="I907" i="1"/>
  <c r="I389" i="1"/>
  <c r="I274" i="1"/>
  <c r="I330" i="1"/>
  <c r="I235" i="1"/>
  <c r="I487" i="1"/>
  <c r="I678" i="1"/>
  <c r="I339" i="1"/>
  <c r="I780" i="1"/>
  <c r="I827" i="1"/>
  <c r="I808" i="1"/>
  <c r="I798" i="1"/>
  <c r="I926" i="1"/>
  <c r="I359" i="1"/>
  <c r="I267" i="1"/>
  <c r="I47" i="1"/>
  <c r="I306" i="1"/>
  <c r="I679" i="1"/>
  <c r="I811" i="1"/>
  <c r="I776" i="1"/>
  <c r="I990" i="1"/>
  <c r="I211" i="1"/>
  <c r="I975" i="1"/>
  <c r="I271" i="1"/>
  <c r="I939" i="1"/>
  <c r="I606" i="1"/>
  <c r="I91" i="1"/>
  <c r="I114" i="1"/>
  <c r="I109" i="1"/>
  <c r="I202" i="1"/>
  <c r="I259" i="1"/>
  <c r="I672" i="1"/>
  <c r="I703" i="1"/>
  <c r="I282" i="1"/>
  <c r="I314" i="1"/>
  <c r="I431" i="1"/>
  <c r="I199" i="1"/>
  <c r="I539" i="1"/>
  <c r="I367" i="1"/>
  <c r="I924" i="1"/>
  <c r="I336" i="1"/>
  <c r="I334" i="1"/>
  <c r="I670" i="1"/>
  <c r="I1016" i="1"/>
  <c r="I69" i="1"/>
  <c r="I67" i="1"/>
  <c r="I197" i="1"/>
  <c r="I128" i="1"/>
  <c r="I594" i="1"/>
  <c r="I27" i="1"/>
  <c r="I310" i="1"/>
  <c r="I450" i="1"/>
  <c r="I513" i="1"/>
  <c r="I365" i="1"/>
  <c r="I641" i="1"/>
  <c r="I625" i="1"/>
  <c r="I243" i="1"/>
  <c r="I593" i="1"/>
  <c r="I775" i="1"/>
  <c r="I839" i="1"/>
  <c r="I1011" i="1"/>
  <c r="I934" i="1"/>
  <c r="I692" i="1"/>
  <c r="I730" i="1"/>
  <c r="I801" i="1"/>
  <c r="I894" i="1"/>
  <c r="I523" i="1"/>
  <c r="I480" i="1"/>
  <c r="I324" i="1"/>
  <c r="I413" i="1"/>
  <c r="I971" i="1"/>
  <c r="I103" i="1"/>
  <c r="I223" i="1"/>
  <c r="I151" i="1"/>
  <c r="I999" i="1"/>
  <c r="I419" i="1"/>
  <c r="I295" i="1"/>
  <c r="I836" i="1"/>
  <c r="I614" i="1"/>
  <c r="I527" i="1"/>
  <c r="I591" i="1"/>
  <c r="I655" i="1"/>
  <c r="I453" i="1"/>
  <c r="I572" i="1"/>
  <c r="I452" i="1"/>
  <c r="I133" i="1"/>
  <c r="I956" i="1"/>
  <c r="I781" i="1"/>
  <c r="I399" i="1"/>
  <c r="I244" i="1"/>
  <c r="I531" i="1"/>
  <c r="I786" i="1"/>
  <c r="I882" i="1"/>
  <c r="I816" i="1"/>
  <c r="I61" i="1"/>
  <c r="I121" i="1"/>
  <c r="I276" i="1"/>
  <c r="I116" i="1"/>
  <c r="I234" i="1"/>
  <c r="I139" i="1"/>
  <c r="I974" i="1"/>
  <c r="I765" i="1"/>
  <c r="I857" i="1"/>
  <c r="I395" i="1"/>
  <c r="I272" i="1"/>
  <c r="I994" i="1"/>
  <c r="I851" i="1"/>
  <c r="I323" i="1"/>
  <c r="I316" i="1"/>
  <c r="I268" i="1"/>
  <c r="I834" i="1"/>
  <c r="I65" i="1"/>
  <c r="I81" i="1"/>
  <c r="I58" i="1"/>
  <c r="I506" i="1"/>
  <c r="I585" i="1"/>
  <c r="I681" i="1"/>
  <c r="I860" i="1"/>
  <c r="I177" i="1"/>
  <c r="I471" i="1"/>
  <c r="I823" i="1"/>
  <c r="I752" i="1"/>
  <c r="I387" i="1"/>
  <c r="I853" i="1"/>
  <c r="I494" i="1"/>
  <c r="I455" i="1"/>
  <c r="I739" i="1"/>
  <c r="I963" i="1"/>
  <c r="I774" i="1"/>
  <c r="I855" i="1"/>
  <c r="I662" i="1"/>
  <c r="I788" i="1"/>
  <c r="I715" i="1"/>
  <c r="I800" i="1"/>
  <c r="I900" i="1"/>
  <c r="I755" i="1"/>
  <c r="I886" i="1"/>
  <c r="I403" i="1"/>
  <c r="I87" i="1"/>
  <c r="I476" i="1"/>
  <c r="I987" i="1"/>
  <c r="I961" i="1"/>
  <c r="I883" i="1"/>
  <c r="I947" i="1"/>
  <c r="I838" i="1"/>
  <c r="I536" i="1"/>
  <c r="I238" i="1"/>
  <c r="I411" i="1"/>
  <c r="I285" i="1"/>
  <c r="I385" i="1"/>
  <c r="I358" i="1"/>
  <c r="I422" i="1"/>
  <c r="I702" i="1"/>
  <c r="I615" i="1"/>
  <c r="F628" i="1"/>
  <c r="I44" i="1"/>
  <c r="I40" i="1"/>
  <c r="I35" i="1"/>
  <c r="I46" i="1"/>
  <c r="I118" i="1"/>
  <c r="I97" i="1"/>
  <c r="I163" i="1"/>
  <c r="I48" i="1"/>
  <c r="I126" i="1"/>
  <c r="I39" i="1"/>
  <c r="I222" i="1"/>
  <c r="I168" i="1"/>
  <c r="I74" i="1"/>
  <c r="I1037" i="1"/>
  <c r="I170" i="1"/>
  <c r="I218" i="1"/>
  <c r="I261" i="1"/>
  <c r="I178" i="1"/>
  <c r="I273" i="1"/>
  <c r="I340" i="1"/>
  <c r="I286" i="1"/>
  <c r="I288" i="1"/>
  <c r="I249" i="1"/>
  <c r="I284" i="1"/>
  <c r="I315" i="1"/>
  <c r="I164" i="1"/>
  <c r="I331" i="1"/>
  <c r="I322" i="1"/>
  <c r="I351" i="1"/>
  <c r="I312" i="1"/>
  <c r="I296" i="1"/>
  <c r="I280" i="1"/>
  <c r="I248" i="1"/>
  <c r="I1043" i="1"/>
  <c r="I94" i="1"/>
  <c r="I73" i="1"/>
  <c r="I147" i="1"/>
  <c r="I59" i="1"/>
  <c r="I369" i="1"/>
  <c r="I425" i="1"/>
  <c r="I373" i="1"/>
  <c r="I366" i="1"/>
  <c r="I642" i="1"/>
  <c r="I416" i="1"/>
  <c r="I468" i="1"/>
  <c r="I787" i="1"/>
  <c r="I778" i="1"/>
  <c r="I1019" i="1"/>
  <c r="I534" i="1"/>
  <c r="I710" i="1"/>
  <c r="I469" i="1"/>
  <c r="I612" i="1"/>
  <c r="I508" i="1"/>
  <c r="I814" i="1"/>
  <c r="I368" i="1"/>
  <c r="I634" i="1"/>
  <c r="I473" i="1"/>
  <c r="I500" i="1"/>
  <c r="I829" i="1"/>
  <c r="I652" i="1"/>
  <c r="I1010" i="1"/>
  <c r="I557" i="1"/>
  <c r="I580" i="1"/>
  <c r="I848" i="1"/>
  <c r="I950" i="1"/>
  <c r="I398" i="1"/>
  <c r="I83" i="1"/>
  <c r="I957" i="1"/>
  <c r="I1029" i="1"/>
  <c r="I804" i="1"/>
  <c r="I505" i="1"/>
  <c r="I569" i="1"/>
  <c r="I633" i="1"/>
  <c r="I697" i="1"/>
  <c r="I908" i="1"/>
  <c r="I1044" i="1"/>
  <c r="I953" i="1"/>
  <c r="I777" i="1"/>
  <c r="I1025" i="1"/>
  <c r="I501" i="1"/>
  <c r="I549" i="1"/>
  <c r="I676" i="1"/>
  <c r="I1017" i="1"/>
  <c r="I948" i="1"/>
  <c r="I916" i="1"/>
  <c r="I443" i="1"/>
  <c r="I175" i="1"/>
  <c r="I45" i="1"/>
  <c r="I1006" i="1"/>
  <c r="I414" i="1"/>
  <c r="I438" i="1"/>
  <c r="I42" i="1"/>
  <c r="I424" i="1"/>
  <c r="I502" i="1"/>
  <c r="I565" i="1"/>
  <c r="I582" i="1"/>
  <c r="I782" i="1"/>
  <c r="I861" i="1"/>
  <c r="I891" i="1"/>
  <c r="I639" i="1"/>
  <c r="I744" i="1"/>
  <c r="I394" i="1"/>
  <c r="I194" i="1"/>
  <c r="I326" i="1"/>
  <c r="I846" i="1"/>
  <c r="I673" i="1"/>
  <c r="I198" i="1"/>
  <c r="I439" i="1"/>
  <c r="I71" i="1"/>
  <c r="I226" i="1"/>
  <c r="I922" i="1"/>
  <c r="I381" i="1"/>
  <c r="I143" i="1"/>
  <c r="I705" i="1"/>
  <c r="I245" i="1"/>
  <c r="I115" i="1"/>
  <c r="I346" i="1"/>
  <c r="I867" i="1"/>
  <c r="I797" i="1"/>
  <c r="I638" i="1"/>
  <c r="I964" i="1"/>
  <c r="I25" i="1"/>
  <c r="I181" i="1"/>
  <c r="I99" i="1"/>
  <c r="I352" i="1"/>
  <c r="I160" i="1"/>
  <c r="I269" i="1"/>
  <c r="I773" i="1"/>
  <c r="I954" i="1"/>
  <c r="I277" i="1"/>
  <c r="I228" i="1"/>
  <c r="I404" i="1"/>
  <c r="I952" i="1"/>
  <c r="I546" i="1"/>
  <c r="I858" i="1"/>
  <c r="I826" i="1"/>
  <c r="I275" i="1"/>
  <c r="I301" i="1"/>
  <c r="I397" i="1"/>
  <c r="I920" i="1"/>
  <c r="I472" i="1"/>
  <c r="I578" i="1"/>
  <c r="I791" i="1"/>
  <c r="I903" i="1"/>
  <c r="I333" i="1"/>
  <c r="I938" i="1"/>
  <c r="I239" i="1"/>
  <c r="I859" i="1"/>
  <c r="I92" i="1"/>
  <c r="I123" i="1"/>
  <c r="I1018" i="1"/>
  <c r="I1035" i="1"/>
  <c r="I992" i="1"/>
  <c r="I463" i="1"/>
  <c r="I595" i="1"/>
  <c r="I496" i="1"/>
  <c r="I668" i="1"/>
  <c r="I435" i="1"/>
  <c r="I200" i="1"/>
  <c r="I383" i="1"/>
  <c r="I292" i="1"/>
  <c r="I96" i="1"/>
  <c r="I161" i="1"/>
  <c r="I579" i="1"/>
  <c r="I266" i="1"/>
  <c r="I586" i="1"/>
  <c r="I421" i="1"/>
  <c r="I1039" i="1"/>
  <c r="I967" i="1"/>
  <c r="I499" i="1"/>
  <c r="I354" i="1"/>
  <c r="I979" i="1"/>
  <c r="I423" i="1"/>
  <c r="I1034" i="1"/>
  <c r="I793" i="1"/>
  <c r="I190" i="1"/>
  <c r="I256" i="1"/>
  <c r="I208" i="1"/>
  <c r="I120" i="1"/>
  <c r="I451" i="1"/>
  <c r="I708" i="1"/>
  <c r="I751" i="1"/>
  <c r="I55" i="1"/>
  <c r="I879" i="1"/>
  <c r="I600" i="1"/>
  <c r="I748" i="1"/>
  <c r="I488" i="1"/>
  <c r="I298" i="1"/>
  <c r="I831" i="1"/>
  <c r="I370" i="1"/>
  <c r="I547" i="1"/>
  <c r="I230" i="1"/>
  <c r="I357" i="1"/>
  <c r="I349" i="1"/>
  <c r="I176" i="1"/>
  <c r="I925" i="1"/>
  <c r="I686" i="1"/>
  <c r="I605" i="1"/>
  <c r="I742" i="1"/>
  <c r="I535" i="1"/>
  <c r="I877" i="1"/>
  <c r="I558" i="1"/>
  <c r="I604" i="1"/>
  <c r="I408" i="1"/>
  <c r="I486" i="1"/>
  <c r="I374" i="1"/>
  <c r="I210" i="1"/>
  <c r="I945" i="1"/>
  <c r="I229" i="1"/>
  <c r="I449" i="1"/>
  <c r="I462" i="1"/>
  <c r="I574" i="1"/>
  <c r="I376" i="1"/>
  <c r="I1004" i="1"/>
  <c r="I895" i="1"/>
  <c r="I583" i="1"/>
  <c r="I599" i="1"/>
  <c r="I135" i="1"/>
  <c r="I371" i="1"/>
  <c r="I803" i="1"/>
  <c r="I915" i="1"/>
  <c r="I666" i="1"/>
  <c r="I983" i="1"/>
  <c r="AK25" i="1"/>
  <c r="H21" i="1"/>
  <c r="AA548" i="1"/>
  <c r="AB548" i="1" s="1"/>
  <c r="AC548" i="1"/>
  <c r="AA377" i="1"/>
  <c r="AB377" i="1" s="1"/>
  <c r="AC377" i="1"/>
  <c r="AA154" i="1"/>
  <c r="AB154" i="1" s="1"/>
  <c r="AC154" i="1"/>
  <c r="AA90" i="1"/>
  <c r="AB90" i="1" s="1"/>
  <c r="AC90" i="1"/>
  <c r="AA171" i="1"/>
  <c r="AB171" i="1" s="1"/>
  <c r="AC171" i="1"/>
  <c r="AA628" i="1"/>
  <c r="AB628" i="1" s="1"/>
  <c r="AC628" i="1"/>
  <c r="AA538" i="1"/>
  <c r="AB538" i="1" s="1"/>
  <c r="AC538" i="1"/>
  <c r="AA714" i="1"/>
  <c r="AB714" i="1" s="1"/>
  <c r="AC714" i="1"/>
  <c r="AA467" i="1"/>
  <c r="AB467" i="1" s="1"/>
  <c r="AC467" i="1"/>
  <c r="AA597" i="1"/>
  <c r="AB597" i="1" s="1"/>
  <c r="AC597" i="1"/>
  <c r="AA400" i="1"/>
  <c r="AB400" i="1" s="1"/>
  <c r="AC400" i="1"/>
  <c r="AA576" i="1"/>
  <c r="AB576" i="1" s="1"/>
  <c r="AC576" i="1"/>
  <c r="AA734" i="1"/>
  <c r="AB734" i="1" s="1"/>
  <c r="AC734" i="1"/>
  <c r="AA799" i="1"/>
  <c r="AB799" i="1" s="1"/>
  <c r="AC799" i="1"/>
  <c r="AA911" i="1"/>
  <c r="AB911" i="1" s="1"/>
  <c r="AC911" i="1"/>
  <c r="AA959" i="1"/>
  <c r="AB959" i="1" s="1"/>
  <c r="AC959" i="1"/>
  <c r="AA718" i="1"/>
  <c r="AB718" i="1" s="1"/>
  <c r="AC718" i="1"/>
  <c r="AA978" i="1"/>
  <c r="AB978" i="1" s="1"/>
  <c r="AC978" i="1"/>
  <c r="AA247" i="1"/>
  <c r="AB247" i="1" s="1"/>
  <c r="AC247" i="1"/>
  <c r="AA255" i="1"/>
  <c r="AB255" i="1" s="1"/>
  <c r="AC255" i="1"/>
  <c r="AA294" i="1"/>
  <c r="AB294" i="1" s="1"/>
  <c r="AC294" i="1"/>
  <c r="AA927" i="1"/>
  <c r="AB927" i="1" s="1"/>
  <c r="AC927" i="1"/>
  <c r="AA541" i="1"/>
  <c r="AB541" i="1" s="1"/>
  <c r="AC541" i="1"/>
  <c r="AA516" i="1"/>
  <c r="AB516" i="1" s="1"/>
  <c r="AC516" i="1"/>
  <c r="AA790" i="1"/>
  <c r="AB790" i="1" s="1"/>
  <c r="AC790" i="1"/>
  <c r="AA998" i="1"/>
  <c r="AB998" i="1" s="1"/>
  <c r="AC998" i="1"/>
  <c r="AA31" i="1"/>
  <c r="AB31" i="1" s="1"/>
  <c r="AC31" i="1"/>
  <c r="AA246" i="1"/>
  <c r="AB246" i="1" s="1"/>
  <c r="AC246" i="1"/>
  <c r="AA1007" i="1"/>
  <c r="AB1007" i="1" s="1"/>
  <c r="AC1007" i="1"/>
  <c r="AA910" i="1"/>
  <c r="AB910" i="1" s="1"/>
  <c r="AC910" i="1"/>
  <c r="AA89" i="1"/>
  <c r="AB89" i="1" s="1"/>
  <c r="AC89" i="1"/>
  <c r="AA107" i="1"/>
  <c r="AB107" i="1" s="1"/>
  <c r="AC107" i="1"/>
  <c r="AA319" i="1"/>
  <c r="AB319" i="1" s="1"/>
  <c r="AC319" i="1"/>
  <c r="AA102" i="1"/>
  <c r="AB102" i="1" s="1"/>
  <c r="AC102" i="1"/>
  <c r="AA935" i="1"/>
  <c r="AB935" i="1" s="1"/>
  <c r="AC935" i="1"/>
  <c r="AA619" i="1"/>
  <c r="AB619" i="1" s="1"/>
  <c r="AC619" i="1"/>
  <c r="AA420" i="1"/>
  <c r="AB420" i="1" s="1"/>
  <c r="AC420" i="1"/>
  <c r="AA563" i="1"/>
  <c r="AB563" i="1" s="1"/>
  <c r="AC563" i="1"/>
  <c r="AA643" i="1"/>
  <c r="AB643" i="1" s="1"/>
  <c r="AC643" i="1"/>
  <c r="AA456" i="1"/>
  <c r="AB456" i="1" s="1"/>
  <c r="AC456" i="1"/>
  <c r="AA712" i="1"/>
  <c r="AB712" i="1" s="1"/>
  <c r="AC712" i="1"/>
  <c r="AA783" i="1"/>
  <c r="AB783" i="1" s="1"/>
  <c r="AC783" i="1"/>
  <c r="AA847" i="1"/>
  <c r="AB847" i="1" s="1"/>
  <c r="AC847" i="1"/>
  <c r="AA943" i="1"/>
  <c r="AB943" i="1" s="1"/>
  <c r="AC943" i="1"/>
  <c r="AA674" i="1"/>
  <c r="AB674" i="1" s="1"/>
  <c r="AC674" i="1"/>
  <c r="AA770" i="1"/>
  <c r="AB770" i="1" s="1"/>
  <c r="AC770" i="1"/>
  <c r="AA1030" i="1"/>
  <c r="AB1030" i="1" s="1"/>
  <c r="AC1030" i="1"/>
  <c r="AA119" i="1"/>
  <c r="AB119" i="1" s="1"/>
  <c r="AC119" i="1"/>
  <c r="AA881" i="1"/>
  <c r="AB881" i="1" s="1"/>
  <c r="AC881" i="1"/>
  <c r="AA976" i="1"/>
  <c r="AB976" i="1" s="1"/>
  <c r="AC976" i="1"/>
  <c r="AA503" i="1"/>
  <c r="AB503" i="1" s="1"/>
  <c r="AC503" i="1"/>
  <c r="AA589" i="1"/>
  <c r="AB589" i="1" s="1"/>
  <c r="AC589" i="1"/>
  <c r="AA682" i="1"/>
  <c r="AB682" i="1" s="1"/>
  <c r="AC682" i="1"/>
  <c r="AA918" i="1"/>
  <c r="AB918" i="1" s="1"/>
  <c r="AC918" i="1"/>
  <c r="AA418" i="1"/>
  <c r="AB418" i="1" s="1"/>
  <c r="AC418" i="1"/>
  <c r="AA293" i="1"/>
  <c r="AB293" i="1" s="1"/>
  <c r="AC293" i="1"/>
  <c r="AA654" i="1"/>
  <c r="AB654" i="1" s="1"/>
  <c r="AC654" i="1"/>
  <c r="AA995" i="1"/>
  <c r="AB995" i="1" s="1"/>
  <c r="AC995" i="1"/>
  <c r="R999" i="1"/>
  <c r="R618" i="1"/>
  <c r="X46" i="1"/>
  <c r="Z46" i="1" s="1"/>
  <c r="F46" i="1"/>
  <c r="X163" i="1"/>
  <c r="Z163" i="1" s="1"/>
  <c r="F163" i="1"/>
  <c r="X39" i="1"/>
  <c r="Z39" i="1" s="1"/>
  <c r="F39" i="1"/>
  <c r="X261" i="1"/>
  <c r="Z261" i="1" s="1"/>
  <c r="F261" i="1"/>
  <c r="X286" i="1"/>
  <c r="Z286" i="1" s="1"/>
  <c r="F286" i="1"/>
  <c r="X315" i="1"/>
  <c r="Z315" i="1" s="1"/>
  <c r="F315" i="1"/>
  <c r="X351" i="1"/>
  <c r="Z351" i="1" s="1"/>
  <c r="F351" i="1"/>
  <c r="X296" i="1"/>
  <c r="Z296" i="1" s="1"/>
  <c r="F296" i="1"/>
  <c r="X248" i="1"/>
  <c r="Z248" i="1" s="1"/>
  <c r="F248" i="1"/>
  <c r="D24" i="1"/>
  <c r="F24" i="1"/>
  <c r="X51" i="1"/>
  <c r="Z51" i="1" s="1"/>
  <c r="F51" i="1"/>
  <c r="X153" i="1"/>
  <c r="Z153" i="1" s="1"/>
  <c r="F153" i="1"/>
  <c r="X106" i="1"/>
  <c r="Z106" i="1" s="1"/>
  <c r="F106" i="1"/>
  <c r="X217" i="1"/>
  <c r="Z217" i="1" s="1"/>
  <c r="F217" i="1"/>
  <c r="X189" i="1"/>
  <c r="Z189" i="1" s="1"/>
  <c r="F189" i="1"/>
  <c r="X237" i="1"/>
  <c r="Z237" i="1" s="1"/>
  <c r="F237" i="1"/>
  <c r="X52" i="1"/>
  <c r="Z52" i="1" s="1"/>
  <c r="F52" i="1"/>
  <c r="X50" i="1"/>
  <c r="Z50" i="1" s="1"/>
  <c r="F50" i="1"/>
  <c r="X28" i="1"/>
  <c r="Z28" i="1" s="1"/>
  <c r="F28" i="1"/>
  <c r="X56" i="1"/>
  <c r="Z56" i="1" s="1"/>
  <c r="F56" i="1"/>
  <c r="X149" i="1"/>
  <c r="Z149" i="1" s="1"/>
  <c r="F149" i="1"/>
  <c r="X138" i="1"/>
  <c r="Z138" i="1" s="1"/>
  <c r="F138" i="1"/>
  <c r="X93" i="1"/>
  <c r="Z93" i="1" s="1"/>
  <c r="F93" i="1"/>
  <c r="X77" i="1"/>
  <c r="Z77" i="1" s="1"/>
  <c r="F77" i="1"/>
  <c r="X141" i="1"/>
  <c r="Z141" i="1" s="1"/>
  <c r="F141" i="1"/>
  <c r="X193" i="1"/>
  <c r="Z193" i="1" s="1"/>
  <c r="F193" i="1"/>
  <c r="X63" i="1"/>
  <c r="Z63" i="1" s="1"/>
  <c r="F63" i="1"/>
  <c r="X172" i="1"/>
  <c r="Z172" i="1" s="1"/>
  <c r="F172" i="1"/>
  <c r="X216" i="1"/>
  <c r="Z216" i="1" s="1"/>
  <c r="F216" i="1"/>
  <c r="X140" i="1"/>
  <c r="Z140" i="1" s="1"/>
  <c r="F140" i="1"/>
  <c r="X79" i="1"/>
  <c r="Z79" i="1" s="1"/>
  <c r="F79" i="1"/>
  <c r="X186" i="1"/>
  <c r="Z186" i="1" s="1"/>
  <c r="F186" i="1"/>
  <c r="X113" i="1"/>
  <c r="Z113" i="1" s="1"/>
  <c r="F113" i="1"/>
  <c r="X309" i="1"/>
  <c r="Z309" i="1" s="1"/>
  <c r="F309" i="1"/>
  <c r="X232" i="1"/>
  <c r="Z232" i="1" s="1"/>
  <c r="F232" i="1"/>
  <c r="X289" i="1"/>
  <c r="Z289" i="1" s="1"/>
  <c r="F289" i="1"/>
  <c r="X225" i="1"/>
  <c r="Z225" i="1" s="1"/>
  <c r="F225" i="1"/>
  <c r="X317" i="1"/>
  <c r="Z317" i="1" s="1"/>
  <c r="F317" i="1"/>
  <c r="X320" i="1"/>
  <c r="Z320" i="1" s="1"/>
  <c r="F320" i="1"/>
  <c r="X281" i="1"/>
  <c r="Z281" i="1" s="1"/>
  <c r="F281" i="1"/>
  <c r="X132" i="1"/>
  <c r="Z132" i="1" s="1"/>
  <c r="F132" i="1"/>
  <c r="X227" i="1"/>
  <c r="Z227" i="1" s="1"/>
  <c r="F227" i="1"/>
  <c r="X100" i="1"/>
  <c r="Z100" i="1" s="1"/>
  <c r="F100" i="1"/>
  <c r="X321" i="1"/>
  <c r="Z321" i="1" s="1"/>
  <c r="F321" i="1"/>
  <c r="X64" i="1"/>
  <c r="Z64" i="1" s="1"/>
  <c r="F64" i="1"/>
  <c r="X76" i="1"/>
  <c r="Z76" i="1" s="1"/>
  <c r="F76" i="1"/>
  <c r="X29" i="1"/>
  <c r="Z29" i="1" s="1"/>
  <c r="F29" i="1"/>
  <c r="X417" i="1"/>
  <c r="Z417" i="1" s="1"/>
  <c r="F417" i="1"/>
  <c r="X342" i="1"/>
  <c r="Z342" i="1" s="1"/>
  <c r="F342" i="1"/>
  <c r="X390" i="1"/>
  <c r="Z390" i="1" s="1"/>
  <c r="F390" i="1"/>
  <c r="X270" i="1"/>
  <c r="Z270" i="1" s="1"/>
  <c r="F270" i="1"/>
  <c r="X562" i="1"/>
  <c r="Z562" i="1" s="1"/>
  <c r="F562" i="1"/>
  <c r="X384" i="1"/>
  <c r="Z384" i="1" s="1"/>
  <c r="F384" i="1"/>
  <c r="X696" i="1"/>
  <c r="Z696" i="1" s="1"/>
  <c r="F696" i="1"/>
  <c r="X756" i="1"/>
  <c r="Z756" i="1" s="1"/>
  <c r="F756" i="1"/>
  <c r="X620" i="1"/>
  <c r="Z620" i="1" s="1"/>
  <c r="F620" i="1"/>
  <c r="X1002" i="1"/>
  <c r="Z1002" i="1" s="1"/>
  <c r="F1002" i="1"/>
  <c r="X518" i="1"/>
  <c r="Z518" i="1" s="1"/>
  <c r="F518" i="1"/>
  <c r="X630" i="1"/>
  <c r="Z630" i="1" s="1"/>
  <c r="F630" i="1"/>
  <c r="X444" i="1"/>
  <c r="Z444" i="1" s="1"/>
  <c r="F444" i="1"/>
  <c r="X624" i="1"/>
  <c r="Z624" i="1" s="1"/>
  <c r="F624" i="1"/>
  <c r="X840" i="1"/>
  <c r="Z840" i="1" s="1"/>
  <c r="F840" i="1"/>
  <c r="X766" i="1"/>
  <c r="Z766" i="1" s="1"/>
  <c r="F766" i="1"/>
  <c r="X677" i="1"/>
  <c r="Z677" i="1" s="1"/>
  <c r="F677" i="1"/>
  <c r="X490" i="1"/>
  <c r="Z490" i="1" s="1"/>
  <c r="F490" i="1"/>
  <c r="X432" i="1"/>
  <c r="Z432" i="1" s="1"/>
  <c r="F432" i="1"/>
  <c r="X512" i="1"/>
  <c r="Z512" i="1" s="1"/>
  <c r="F512" i="1"/>
  <c r="X812" i="1"/>
  <c r="Z812" i="1" s="1"/>
  <c r="F812" i="1"/>
  <c r="X588" i="1"/>
  <c r="Z588" i="1" s="1"/>
  <c r="F588" i="1"/>
  <c r="X962" i="1"/>
  <c r="Z962" i="1" s="1"/>
  <c r="F962" i="1"/>
  <c r="X478" i="1"/>
  <c r="Z478" i="1" s="1"/>
  <c r="F478" i="1"/>
  <c r="X461" i="1"/>
  <c r="Z461" i="1" s="1"/>
  <c r="F461" i="1"/>
  <c r="X832" i="1"/>
  <c r="Z832" i="1" s="1"/>
  <c r="F832" i="1"/>
  <c r="X806" i="1"/>
  <c r="Z806" i="1" s="1"/>
  <c r="F806" i="1"/>
  <c r="X430" i="1"/>
  <c r="Z430" i="1" s="1"/>
  <c r="F430" i="1"/>
  <c r="X117" i="1"/>
  <c r="Z117" i="1" s="1"/>
  <c r="F117" i="1"/>
  <c r="X166" i="1"/>
  <c r="Z166" i="1" s="1"/>
  <c r="F166" i="1"/>
  <c r="X85" i="1"/>
  <c r="Z85" i="1" s="1"/>
  <c r="F85" i="1"/>
  <c r="X949" i="1"/>
  <c r="Z949" i="1" s="1"/>
  <c r="F949" i="1"/>
  <c r="X785" i="1"/>
  <c r="Z785" i="1" s="1"/>
  <c r="F785" i="1"/>
  <c r="X1009" i="1"/>
  <c r="Z1009" i="1" s="1"/>
  <c r="F1009" i="1"/>
  <c r="X936" i="1"/>
  <c r="Z936" i="1" s="1"/>
  <c r="F936" i="1"/>
  <c r="X741" i="1"/>
  <c r="Z741" i="1" s="1"/>
  <c r="F741" i="1"/>
  <c r="X521" i="1"/>
  <c r="Z521" i="1" s="1"/>
  <c r="F521" i="1"/>
  <c r="X584" i="1"/>
  <c r="Z584" i="1" s="1"/>
  <c r="F584" i="1"/>
  <c r="X649" i="1"/>
  <c r="Z649" i="1" s="1"/>
  <c r="F649" i="1"/>
  <c r="X713" i="1"/>
  <c r="Z713" i="1" s="1"/>
  <c r="F713" i="1"/>
  <c r="X876" i="1"/>
  <c r="Z876" i="1" s="1"/>
  <c r="F876" i="1"/>
  <c r="X1021" i="1"/>
  <c r="Z1021" i="1" s="1"/>
  <c r="F1021" i="1"/>
  <c r="X921" i="1"/>
  <c r="Z921" i="1" s="1"/>
  <c r="F921" i="1"/>
  <c r="X1005" i="1"/>
  <c r="Z1005" i="1" s="1"/>
  <c r="F1005" i="1"/>
  <c r="X581" i="1"/>
  <c r="Z581" i="1" s="1"/>
  <c r="F581" i="1"/>
  <c r="X933" i="1"/>
  <c r="Z933" i="1" s="1"/>
  <c r="F933" i="1"/>
  <c r="X849" i="1"/>
  <c r="Z849" i="1" s="1"/>
  <c r="F849" i="1"/>
  <c r="X880" i="1"/>
  <c r="Z880" i="1" s="1"/>
  <c r="F880" i="1"/>
  <c r="X757" i="1"/>
  <c r="Z757" i="1" s="1"/>
  <c r="F757" i="1"/>
  <c r="X694" i="1"/>
  <c r="Z694" i="1" s="1"/>
  <c r="F694" i="1"/>
  <c r="X872" i="1"/>
  <c r="Z872" i="1" s="1"/>
  <c r="F872" i="1"/>
  <c r="X897" i="1"/>
  <c r="Z897" i="1" s="1"/>
  <c r="F897" i="1"/>
  <c r="X379" i="1"/>
  <c r="Z379" i="1" s="1"/>
  <c r="F379" i="1"/>
  <c r="X885" i="1"/>
  <c r="Z885" i="1" s="1"/>
  <c r="F885" i="1"/>
  <c r="X833" i="1"/>
  <c r="Z833" i="1" s="1"/>
  <c r="F833" i="1"/>
  <c r="X817" i="1"/>
  <c r="Z817" i="1" s="1"/>
  <c r="F817" i="1"/>
  <c r="X1020" i="1"/>
  <c r="Z1020" i="1" s="1"/>
  <c r="F1020" i="1"/>
  <c r="X529" i="1"/>
  <c r="Z529" i="1" s="1"/>
  <c r="F529" i="1"/>
  <c r="X721" i="1"/>
  <c r="Z721" i="1" s="1"/>
  <c r="F721" i="1"/>
  <c r="X907" i="1"/>
  <c r="Z907" i="1" s="1"/>
  <c r="F907" i="1"/>
  <c r="X389" i="1"/>
  <c r="Z389" i="1" s="1"/>
  <c r="F389" i="1"/>
  <c r="X274" i="1"/>
  <c r="Z274" i="1" s="1"/>
  <c r="F274" i="1"/>
  <c r="X330" i="1"/>
  <c r="Z330" i="1" s="1"/>
  <c r="F330" i="1"/>
  <c r="X235" i="1"/>
  <c r="Z235" i="1" s="1"/>
  <c r="F235" i="1"/>
  <c r="X487" i="1"/>
  <c r="Z487" i="1" s="1"/>
  <c r="F487" i="1"/>
  <c r="X678" i="1"/>
  <c r="Z678" i="1" s="1"/>
  <c r="F678" i="1"/>
  <c r="X339" i="1"/>
  <c r="Z339" i="1" s="1"/>
  <c r="F339" i="1"/>
  <c r="X780" i="1"/>
  <c r="Z780" i="1" s="1"/>
  <c r="F780" i="1"/>
  <c r="X827" i="1"/>
  <c r="Z827" i="1" s="1"/>
  <c r="F827" i="1"/>
  <c r="X808" i="1"/>
  <c r="Z808" i="1" s="1"/>
  <c r="F808" i="1"/>
  <c r="X798" i="1"/>
  <c r="Z798" i="1" s="1"/>
  <c r="F798" i="1"/>
  <c r="X926" i="1"/>
  <c r="Z926" i="1" s="1"/>
  <c r="F926" i="1"/>
  <c r="X359" i="1"/>
  <c r="Z359" i="1" s="1"/>
  <c r="F359" i="1"/>
  <c r="X267" i="1"/>
  <c r="Z267" i="1" s="1"/>
  <c r="F267" i="1"/>
  <c r="X47" i="1"/>
  <c r="Z47" i="1" s="1"/>
  <c r="F47" i="1"/>
  <c r="X306" i="1"/>
  <c r="Z306" i="1" s="1"/>
  <c r="F306" i="1"/>
  <c r="X679" i="1"/>
  <c r="Z679" i="1" s="1"/>
  <c r="F679" i="1"/>
  <c r="X811" i="1"/>
  <c r="Z811" i="1" s="1"/>
  <c r="F811" i="1"/>
  <c r="X776" i="1"/>
  <c r="Z776" i="1" s="1"/>
  <c r="F776" i="1"/>
  <c r="X990" i="1"/>
  <c r="Z990" i="1" s="1"/>
  <c r="F990" i="1"/>
  <c r="X211" i="1"/>
  <c r="Z211" i="1" s="1"/>
  <c r="F211" i="1"/>
  <c r="X975" i="1"/>
  <c r="Z975" i="1" s="1"/>
  <c r="F975" i="1"/>
  <c r="X271" i="1"/>
  <c r="Z271" i="1" s="1"/>
  <c r="F271" i="1"/>
  <c r="X939" i="1"/>
  <c r="Z939" i="1" s="1"/>
  <c r="F939" i="1"/>
  <c r="X606" i="1"/>
  <c r="Z606" i="1" s="1"/>
  <c r="F606" i="1"/>
  <c r="X91" i="1"/>
  <c r="Z91" i="1" s="1"/>
  <c r="F91" i="1"/>
  <c r="X114" i="1"/>
  <c r="Z114" i="1" s="1"/>
  <c r="F114" i="1"/>
  <c r="X109" i="1"/>
  <c r="Z109" i="1" s="1"/>
  <c r="F109" i="1"/>
  <c r="X202" i="1"/>
  <c r="Z202" i="1" s="1"/>
  <c r="F202" i="1"/>
  <c r="X259" i="1"/>
  <c r="Z259" i="1" s="1"/>
  <c r="F259" i="1"/>
  <c r="X672" i="1"/>
  <c r="Z672" i="1" s="1"/>
  <c r="F672" i="1"/>
  <c r="X703" i="1"/>
  <c r="Z703" i="1" s="1"/>
  <c r="F703" i="1"/>
  <c r="X282" i="1"/>
  <c r="Z282" i="1" s="1"/>
  <c r="F282" i="1"/>
  <c r="X314" i="1"/>
  <c r="Z314" i="1" s="1"/>
  <c r="F314" i="1"/>
  <c r="X431" i="1"/>
  <c r="Z431" i="1" s="1"/>
  <c r="F431" i="1"/>
  <c r="X199" i="1"/>
  <c r="Z199" i="1" s="1"/>
  <c r="F199" i="1"/>
  <c r="X539" i="1"/>
  <c r="Z539" i="1" s="1"/>
  <c r="F539" i="1"/>
  <c r="X367" i="1"/>
  <c r="Z367" i="1" s="1"/>
  <c r="F367" i="1"/>
  <c r="X924" i="1"/>
  <c r="Z924" i="1" s="1"/>
  <c r="F924" i="1"/>
  <c r="X336" i="1"/>
  <c r="Z336" i="1" s="1"/>
  <c r="F336" i="1"/>
  <c r="X334" i="1"/>
  <c r="Z334" i="1" s="1"/>
  <c r="F334" i="1"/>
  <c r="X670" i="1"/>
  <c r="Z670" i="1" s="1"/>
  <c r="F670" i="1"/>
  <c r="X1016" i="1"/>
  <c r="Z1016" i="1" s="1"/>
  <c r="F1016" i="1"/>
  <c r="X69" i="1"/>
  <c r="Z69" i="1" s="1"/>
  <c r="F69" i="1"/>
  <c r="X67" i="1"/>
  <c r="Z67" i="1" s="1"/>
  <c r="F67" i="1"/>
  <c r="X197" i="1"/>
  <c r="Z197" i="1" s="1"/>
  <c r="F197" i="1"/>
  <c r="X128" i="1"/>
  <c r="Z128" i="1" s="1"/>
  <c r="F128" i="1"/>
  <c r="X594" i="1"/>
  <c r="Z594" i="1" s="1"/>
  <c r="F594" i="1"/>
  <c r="X27" i="1"/>
  <c r="Z27" i="1" s="1"/>
  <c r="F27" i="1"/>
  <c r="X310" i="1"/>
  <c r="Z310" i="1" s="1"/>
  <c r="F310" i="1"/>
  <c r="X450" i="1"/>
  <c r="Z450" i="1" s="1"/>
  <c r="F450" i="1"/>
  <c r="X513" i="1"/>
  <c r="Z513" i="1" s="1"/>
  <c r="F513" i="1"/>
  <c r="X365" i="1"/>
  <c r="Z365" i="1" s="1"/>
  <c r="F365" i="1"/>
  <c r="X641" i="1"/>
  <c r="Z641" i="1" s="1"/>
  <c r="F641" i="1"/>
  <c r="X625" i="1"/>
  <c r="Z625" i="1" s="1"/>
  <c r="F625" i="1"/>
  <c r="X243" i="1"/>
  <c r="Z243" i="1" s="1"/>
  <c r="F243" i="1"/>
  <c r="X593" i="1"/>
  <c r="Z593" i="1" s="1"/>
  <c r="F593" i="1"/>
  <c r="X775" i="1"/>
  <c r="Z775" i="1" s="1"/>
  <c r="F775" i="1"/>
  <c r="X839" i="1"/>
  <c r="Z839" i="1" s="1"/>
  <c r="F839" i="1"/>
  <c r="X1011" i="1"/>
  <c r="Z1011" i="1" s="1"/>
  <c r="F1011" i="1"/>
  <c r="X934" i="1"/>
  <c r="Z934" i="1" s="1"/>
  <c r="F934" i="1"/>
  <c r="X692" i="1"/>
  <c r="Z692" i="1" s="1"/>
  <c r="F692" i="1"/>
  <c r="X730" i="1"/>
  <c r="Z730" i="1" s="1"/>
  <c r="F730" i="1"/>
  <c r="X801" i="1"/>
  <c r="Z801" i="1" s="1"/>
  <c r="F801" i="1"/>
  <c r="X894" i="1"/>
  <c r="Z894" i="1" s="1"/>
  <c r="F894" i="1"/>
  <c r="X523" i="1"/>
  <c r="Z523" i="1" s="1"/>
  <c r="F523" i="1"/>
  <c r="X480" i="1"/>
  <c r="Z480" i="1" s="1"/>
  <c r="F480" i="1"/>
  <c r="X324" i="1"/>
  <c r="Z324" i="1" s="1"/>
  <c r="F324" i="1"/>
  <c r="X413" i="1"/>
  <c r="Z413" i="1" s="1"/>
  <c r="F413" i="1"/>
  <c r="X971" i="1"/>
  <c r="Z971" i="1" s="1"/>
  <c r="F971" i="1"/>
  <c r="X103" i="1"/>
  <c r="Z103" i="1" s="1"/>
  <c r="F103" i="1"/>
  <c r="X223" i="1"/>
  <c r="Z223" i="1" s="1"/>
  <c r="F223" i="1"/>
  <c r="X151" i="1"/>
  <c r="Z151" i="1" s="1"/>
  <c r="F151" i="1"/>
  <c r="X999" i="1"/>
  <c r="Z999" i="1" s="1"/>
  <c r="F999" i="1"/>
  <c r="X419" i="1"/>
  <c r="Z419" i="1" s="1"/>
  <c r="F419" i="1"/>
  <c r="X295" i="1"/>
  <c r="Z295" i="1" s="1"/>
  <c r="F295" i="1"/>
  <c r="X836" i="1"/>
  <c r="Z836" i="1" s="1"/>
  <c r="F836" i="1"/>
  <c r="X614" i="1"/>
  <c r="Z614" i="1" s="1"/>
  <c r="F614" i="1"/>
  <c r="X527" i="1"/>
  <c r="Z527" i="1" s="1"/>
  <c r="F527" i="1"/>
  <c r="X591" i="1"/>
  <c r="Z591" i="1" s="1"/>
  <c r="F591" i="1"/>
  <c r="X655" i="1"/>
  <c r="Z655" i="1" s="1"/>
  <c r="F655" i="1"/>
  <c r="X453" i="1"/>
  <c r="Z453" i="1" s="1"/>
  <c r="F453" i="1"/>
  <c r="X572" i="1"/>
  <c r="Z572" i="1" s="1"/>
  <c r="F572" i="1"/>
  <c r="X452" i="1"/>
  <c r="Z452" i="1" s="1"/>
  <c r="F452" i="1"/>
  <c r="X133" i="1"/>
  <c r="Z133" i="1" s="1"/>
  <c r="F133" i="1"/>
  <c r="X956" i="1"/>
  <c r="Z956" i="1" s="1"/>
  <c r="F956" i="1"/>
  <c r="X781" i="1"/>
  <c r="Z781" i="1" s="1"/>
  <c r="F781" i="1"/>
  <c r="X399" i="1"/>
  <c r="Z399" i="1" s="1"/>
  <c r="F399" i="1"/>
  <c r="X244" i="1"/>
  <c r="Z244" i="1" s="1"/>
  <c r="F244" i="1"/>
  <c r="X531" i="1"/>
  <c r="Z531" i="1" s="1"/>
  <c r="F531" i="1"/>
  <c r="X786" i="1"/>
  <c r="Z786" i="1" s="1"/>
  <c r="F786" i="1"/>
  <c r="X882" i="1"/>
  <c r="Z882" i="1" s="1"/>
  <c r="F882" i="1"/>
  <c r="X816" i="1"/>
  <c r="Z816" i="1" s="1"/>
  <c r="F816" i="1"/>
  <c r="X61" i="1"/>
  <c r="Z61" i="1" s="1"/>
  <c r="F61" i="1"/>
  <c r="X121" i="1"/>
  <c r="Z121" i="1" s="1"/>
  <c r="F121" i="1"/>
  <c r="X276" i="1"/>
  <c r="Z276" i="1" s="1"/>
  <c r="F276" i="1"/>
  <c r="X116" i="1"/>
  <c r="Z116" i="1" s="1"/>
  <c r="F116" i="1"/>
  <c r="X234" i="1"/>
  <c r="Z234" i="1" s="1"/>
  <c r="F234" i="1"/>
  <c r="X139" i="1"/>
  <c r="Z139" i="1" s="1"/>
  <c r="F139" i="1"/>
  <c r="X974" i="1"/>
  <c r="Z974" i="1" s="1"/>
  <c r="F974" i="1"/>
  <c r="X765" i="1"/>
  <c r="Z765" i="1" s="1"/>
  <c r="F765" i="1"/>
  <c r="X857" i="1"/>
  <c r="Z857" i="1" s="1"/>
  <c r="F857" i="1"/>
  <c r="X395" i="1"/>
  <c r="Z395" i="1" s="1"/>
  <c r="F395" i="1"/>
  <c r="X272" i="1"/>
  <c r="Z272" i="1" s="1"/>
  <c r="F272" i="1"/>
  <c r="X994" i="1"/>
  <c r="Z994" i="1" s="1"/>
  <c r="F994" i="1"/>
  <c r="X851" i="1"/>
  <c r="Z851" i="1" s="1"/>
  <c r="F851" i="1"/>
  <c r="X323" i="1"/>
  <c r="Z323" i="1" s="1"/>
  <c r="F323" i="1"/>
  <c r="X316" i="1"/>
  <c r="Z316" i="1" s="1"/>
  <c r="F316" i="1"/>
  <c r="X268" i="1"/>
  <c r="Z268" i="1" s="1"/>
  <c r="F268" i="1"/>
  <c r="X834" i="1"/>
  <c r="Z834" i="1" s="1"/>
  <c r="F834" i="1"/>
  <c r="X65" i="1"/>
  <c r="Z65" i="1" s="1"/>
  <c r="F65" i="1"/>
  <c r="X81" i="1"/>
  <c r="Z81" i="1" s="1"/>
  <c r="F81" i="1"/>
  <c r="X58" i="1"/>
  <c r="Z58" i="1" s="1"/>
  <c r="F58" i="1"/>
  <c r="X506" i="1"/>
  <c r="Z506" i="1" s="1"/>
  <c r="F506" i="1"/>
  <c r="X585" i="1"/>
  <c r="Z585" i="1" s="1"/>
  <c r="F585" i="1"/>
  <c r="X681" i="1"/>
  <c r="Z681" i="1" s="1"/>
  <c r="F681" i="1"/>
  <c r="X860" i="1"/>
  <c r="Z860" i="1" s="1"/>
  <c r="F860" i="1"/>
  <c r="X177" i="1"/>
  <c r="Z177" i="1" s="1"/>
  <c r="F177" i="1"/>
  <c r="X471" i="1"/>
  <c r="Z471" i="1" s="1"/>
  <c r="F471" i="1"/>
  <c r="X823" i="1"/>
  <c r="Z823" i="1" s="1"/>
  <c r="F823" i="1"/>
  <c r="X752" i="1"/>
  <c r="Z752" i="1" s="1"/>
  <c r="F752" i="1"/>
  <c r="X387" i="1"/>
  <c r="Z387" i="1" s="1"/>
  <c r="F387" i="1"/>
  <c r="X853" i="1"/>
  <c r="Z853" i="1" s="1"/>
  <c r="F853" i="1"/>
  <c r="X494" i="1"/>
  <c r="Z494" i="1" s="1"/>
  <c r="F494" i="1"/>
  <c r="X455" i="1"/>
  <c r="Z455" i="1" s="1"/>
  <c r="F455" i="1"/>
  <c r="X739" i="1"/>
  <c r="Z739" i="1" s="1"/>
  <c r="F739" i="1"/>
  <c r="X963" i="1"/>
  <c r="Z963" i="1" s="1"/>
  <c r="F963" i="1"/>
  <c r="X774" i="1"/>
  <c r="Z774" i="1" s="1"/>
  <c r="F774" i="1"/>
  <c r="X855" i="1"/>
  <c r="Z855" i="1" s="1"/>
  <c r="F855" i="1"/>
  <c r="X662" i="1"/>
  <c r="Z662" i="1" s="1"/>
  <c r="F662" i="1"/>
  <c r="X788" i="1"/>
  <c r="Z788" i="1" s="1"/>
  <c r="F788" i="1"/>
  <c r="X715" i="1"/>
  <c r="Z715" i="1" s="1"/>
  <c r="F715" i="1"/>
  <c r="X800" i="1"/>
  <c r="Z800" i="1" s="1"/>
  <c r="F800" i="1"/>
  <c r="X900" i="1"/>
  <c r="Z900" i="1" s="1"/>
  <c r="F900" i="1"/>
  <c r="X755" i="1"/>
  <c r="Z755" i="1" s="1"/>
  <c r="F755" i="1"/>
  <c r="X886" i="1"/>
  <c r="Z886" i="1" s="1"/>
  <c r="F886" i="1"/>
  <c r="X403" i="1"/>
  <c r="Z403" i="1" s="1"/>
  <c r="F403" i="1"/>
  <c r="X87" i="1"/>
  <c r="Z87" i="1" s="1"/>
  <c r="F87" i="1"/>
  <c r="X476" i="1"/>
  <c r="Z476" i="1" s="1"/>
  <c r="F476" i="1"/>
  <c r="X987" i="1"/>
  <c r="Z987" i="1" s="1"/>
  <c r="F987" i="1"/>
  <c r="X961" i="1"/>
  <c r="Z961" i="1" s="1"/>
  <c r="F961" i="1"/>
  <c r="X883" i="1"/>
  <c r="Z883" i="1" s="1"/>
  <c r="F883" i="1"/>
  <c r="X947" i="1"/>
  <c r="Z947" i="1" s="1"/>
  <c r="F947" i="1"/>
  <c r="X838" i="1"/>
  <c r="Z838" i="1" s="1"/>
  <c r="F838" i="1"/>
  <c r="X536" i="1"/>
  <c r="Z536" i="1" s="1"/>
  <c r="F536" i="1"/>
  <c r="X238" i="1"/>
  <c r="Z238" i="1" s="1"/>
  <c r="F238" i="1"/>
  <c r="X411" i="1"/>
  <c r="Z411" i="1" s="1"/>
  <c r="F411" i="1"/>
  <c r="X285" i="1"/>
  <c r="Z285" i="1" s="1"/>
  <c r="F285" i="1"/>
  <c r="X385" i="1"/>
  <c r="Z385" i="1" s="1"/>
  <c r="F385" i="1"/>
  <c r="X358" i="1"/>
  <c r="Z358" i="1" s="1"/>
  <c r="F358" i="1"/>
  <c r="X422" i="1"/>
  <c r="Z422" i="1" s="1"/>
  <c r="F422" i="1"/>
  <c r="X702" i="1"/>
  <c r="Z702" i="1" s="1"/>
  <c r="F702" i="1"/>
  <c r="X615" i="1"/>
  <c r="Z615" i="1" s="1"/>
  <c r="F615" i="1"/>
  <c r="X40" i="1"/>
  <c r="Z40" i="1" s="1"/>
  <c r="F40" i="1"/>
  <c r="X97" i="1"/>
  <c r="Z97" i="1" s="1"/>
  <c r="F97" i="1"/>
  <c r="X126" i="1"/>
  <c r="Z126" i="1" s="1"/>
  <c r="F126" i="1"/>
  <c r="X74" i="1"/>
  <c r="Z74" i="1" s="1"/>
  <c r="F74" i="1"/>
  <c r="X170" i="1"/>
  <c r="Z170" i="1" s="1"/>
  <c r="F170" i="1"/>
  <c r="X340" i="1"/>
  <c r="Z340" i="1" s="1"/>
  <c r="F340" i="1"/>
  <c r="X73" i="1"/>
  <c r="Z73" i="1" s="1"/>
  <c r="F73" i="1"/>
  <c r="X147" i="1"/>
  <c r="Z147" i="1" s="1"/>
  <c r="F147" i="1"/>
  <c r="X59" i="1"/>
  <c r="Z59" i="1" s="1"/>
  <c r="F59" i="1"/>
  <c r="X369" i="1"/>
  <c r="Z369" i="1" s="1"/>
  <c r="F369" i="1"/>
  <c r="X425" i="1"/>
  <c r="Z425" i="1" s="1"/>
  <c r="F425" i="1"/>
  <c r="X373" i="1"/>
  <c r="Z373" i="1" s="1"/>
  <c r="F373" i="1"/>
  <c r="X366" i="1"/>
  <c r="Z366" i="1" s="1"/>
  <c r="F366" i="1"/>
  <c r="X642" i="1"/>
  <c r="Z642" i="1" s="1"/>
  <c r="F642" i="1"/>
  <c r="X416" i="1"/>
  <c r="Z416" i="1" s="1"/>
  <c r="F416" i="1"/>
  <c r="X468" i="1"/>
  <c r="Z468" i="1" s="1"/>
  <c r="F468" i="1"/>
  <c r="X787" i="1"/>
  <c r="Z787" i="1" s="1"/>
  <c r="F787" i="1"/>
  <c r="X778" i="1"/>
  <c r="Z778" i="1" s="1"/>
  <c r="F778" i="1"/>
  <c r="X1019" i="1"/>
  <c r="Z1019" i="1" s="1"/>
  <c r="F1019" i="1"/>
  <c r="X534" i="1"/>
  <c r="Z534" i="1" s="1"/>
  <c r="F534" i="1"/>
  <c r="X710" i="1"/>
  <c r="Z710" i="1" s="1"/>
  <c r="F710" i="1"/>
  <c r="X469" i="1"/>
  <c r="Z469" i="1" s="1"/>
  <c r="F469" i="1"/>
  <c r="X612" i="1"/>
  <c r="Z612" i="1" s="1"/>
  <c r="F612" i="1"/>
  <c r="X508" i="1"/>
  <c r="Z508" i="1" s="1"/>
  <c r="F508" i="1"/>
  <c r="X814" i="1"/>
  <c r="Z814" i="1" s="1"/>
  <c r="F814" i="1"/>
  <c r="X368" i="1"/>
  <c r="Z368" i="1" s="1"/>
  <c r="F368" i="1"/>
  <c r="X634" i="1"/>
  <c r="Z634" i="1" s="1"/>
  <c r="F634" i="1"/>
  <c r="X473" i="1"/>
  <c r="Z473" i="1" s="1"/>
  <c r="F473" i="1"/>
  <c r="X500" i="1"/>
  <c r="Z500" i="1" s="1"/>
  <c r="F500" i="1"/>
  <c r="X829" i="1"/>
  <c r="Z829" i="1" s="1"/>
  <c r="F829" i="1"/>
  <c r="X652" i="1"/>
  <c r="Z652" i="1" s="1"/>
  <c r="F652" i="1"/>
  <c r="X1010" i="1"/>
  <c r="Z1010" i="1" s="1"/>
  <c r="F1010" i="1"/>
  <c r="X557" i="1"/>
  <c r="Z557" i="1" s="1"/>
  <c r="F557" i="1"/>
  <c r="X580" i="1"/>
  <c r="Z580" i="1" s="1"/>
  <c r="F580" i="1"/>
  <c r="X848" i="1"/>
  <c r="Z848" i="1" s="1"/>
  <c r="F848" i="1"/>
  <c r="X950" i="1"/>
  <c r="Z950" i="1" s="1"/>
  <c r="F950" i="1"/>
  <c r="X398" i="1"/>
  <c r="Z398" i="1" s="1"/>
  <c r="F398" i="1"/>
  <c r="X83" i="1"/>
  <c r="Z83" i="1" s="1"/>
  <c r="F83" i="1"/>
  <c r="X957" i="1"/>
  <c r="Z957" i="1" s="1"/>
  <c r="F957" i="1"/>
  <c r="X1029" i="1"/>
  <c r="Z1029" i="1" s="1"/>
  <c r="F1029" i="1"/>
  <c r="X804" i="1"/>
  <c r="Z804" i="1" s="1"/>
  <c r="F804" i="1"/>
  <c r="X505" i="1"/>
  <c r="Z505" i="1" s="1"/>
  <c r="F505" i="1"/>
  <c r="X569" i="1"/>
  <c r="Z569" i="1" s="1"/>
  <c r="F569" i="1"/>
  <c r="X633" i="1"/>
  <c r="Z633" i="1" s="1"/>
  <c r="F633" i="1"/>
  <c r="X697" i="1"/>
  <c r="Z697" i="1" s="1"/>
  <c r="F697" i="1"/>
  <c r="X908" i="1"/>
  <c r="Z908" i="1" s="1"/>
  <c r="F908" i="1"/>
  <c r="X1044" i="1"/>
  <c r="Z1044" i="1" s="1"/>
  <c r="F1044" i="1"/>
  <c r="X953" i="1"/>
  <c r="Z953" i="1" s="1"/>
  <c r="F953" i="1"/>
  <c r="X777" i="1"/>
  <c r="Z777" i="1" s="1"/>
  <c r="F777" i="1"/>
  <c r="X1025" i="1"/>
  <c r="Z1025" i="1" s="1"/>
  <c r="F1025" i="1"/>
  <c r="X501" i="1"/>
  <c r="Z501" i="1" s="1"/>
  <c r="F501" i="1"/>
  <c r="X549" i="1"/>
  <c r="Z549" i="1" s="1"/>
  <c r="F549" i="1"/>
  <c r="X676" i="1"/>
  <c r="Z676" i="1" s="1"/>
  <c r="F676" i="1"/>
  <c r="X1017" i="1"/>
  <c r="Z1017" i="1" s="1"/>
  <c r="F1017" i="1"/>
  <c r="X948" i="1"/>
  <c r="Z948" i="1" s="1"/>
  <c r="F948" i="1"/>
  <c r="X916" i="1"/>
  <c r="Z916" i="1" s="1"/>
  <c r="F916" i="1"/>
  <c r="X443" i="1"/>
  <c r="Z443" i="1" s="1"/>
  <c r="F443" i="1"/>
  <c r="X175" i="1"/>
  <c r="Z175" i="1" s="1"/>
  <c r="F175" i="1"/>
  <c r="X45" i="1"/>
  <c r="Z45" i="1" s="1"/>
  <c r="F45" i="1"/>
  <c r="X1006" i="1"/>
  <c r="Z1006" i="1" s="1"/>
  <c r="F1006" i="1"/>
  <c r="X414" i="1"/>
  <c r="Z414" i="1" s="1"/>
  <c r="F414" i="1"/>
  <c r="X438" i="1"/>
  <c r="Z438" i="1" s="1"/>
  <c r="F438" i="1"/>
  <c r="X42" i="1"/>
  <c r="Z42" i="1" s="1"/>
  <c r="F42" i="1"/>
  <c r="X424" i="1"/>
  <c r="Z424" i="1" s="1"/>
  <c r="F424" i="1"/>
  <c r="X502" i="1"/>
  <c r="Z502" i="1" s="1"/>
  <c r="F502" i="1"/>
  <c r="X565" i="1"/>
  <c r="Z565" i="1" s="1"/>
  <c r="F565" i="1"/>
  <c r="X582" i="1"/>
  <c r="Z582" i="1" s="1"/>
  <c r="F582" i="1"/>
  <c r="X782" i="1"/>
  <c r="Z782" i="1" s="1"/>
  <c r="F782" i="1"/>
  <c r="X861" i="1"/>
  <c r="Z861" i="1" s="1"/>
  <c r="F861" i="1"/>
  <c r="X891" i="1"/>
  <c r="Z891" i="1" s="1"/>
  <c r="F891" i="1"/>
  <c r="X639" i="1"/>
  <c r="Z639" i="1" s="1"/>
  <c r="F639" i="1"/>
  <c r="X744" i="1"/>
  <c r="Z744" i="1" s="1"/>
  <c r="F744" i="1"/>
  <c r="X394" i="1"/>
  <c r="Z394" i="1" s="1"/>
  <c r="F394" i="1"/>
  <c r="X194" i="1"/>
  <c r="Z194" i="1" s="1"/>
  <c r="F194" i="1"/>
  <c r="X326" i="1"/>
  <c r="Z326" i="1" s="1"/>
  <c r="F326" i="1"/>
  <c r="X846" i="1"/>
  <c r="Z846" i="1" s="1"/>
  <c r="F846" i="1"/>
  <c r="X673" i="1"/>
  <c r="Z673" i="1" s="1"/>
  <c r="F673" i="1"/>
  <c r="X198" i="1"/>
  <c r="Z198" i="1" s="1"/>
  <c r="F198" i="1"/>
  <c r="X439" i="1"/>
  <c r="Z439" i="1" s="1"/>
  <c r="F439" i="1"/>
  <c r="X71" i="1"/>
  <c r="Z71" i="1" s="1"/>
  <c r="F71" i="1"/>
  <c r="X226" i="1"/>
  <c r="Z226" i="1" s="1"/>
  <c r="F226" i="1"/>
  <c r="X922" i="1"/>
  <c r="Z922" i="1" s="1"/>
  <c r="F922" i="1"/>
  <c r="X381" i="1"/>
  <c r="Z381" i="1" s="1"/>
  <c r="F381" i="1"/>
  <c r="X143" i="1"/>
  <c r="Z143" i="1" s="1"/>
  <c r="F143" i="1"/>
  <c r="X705" i="1"/>
  <c r="Z705" i="1" s="1"/>
  <c r="F705" i="1"/>
  <c r="X245" i="1"/>
  <c r="Z245" i="1" s="1"/>
  <c r="F245" i="1"/>
  <c r="X115" i="1"/>
  <c r="Z115" i="1" s="1"/>
  <c r="F115" i="1"/>
  <c r="X346" i="1"/>
  <c r="Z346" i="1" s="1"/>
  <c r="F346" i="1"/>
  <c r="X867" i="1"/>
  <c r="Z867" i="1" s="1"/>
  <c r="F867" i="1"/>
  <c r="X797" i="1"/>
  <c r="Z797" i="1" s="1"/>
  <c r="F797" i="1"/>
  <c r="X638" i="1"/>
  <c r="Z638" i="1" s="1"/>
  <c r="F638" i="1"/>
  <c r="X964" i="1"/>
  <c r="Z964" i="1" s="1"/>
  <c r="F964" i="1"/>
  <c r="X25" i="1"/>
  <c r="Z25" i="1" s="1"/>
  <c r="F25" i="1"/>
  <c r="X181" i="1"/>
  <c r="Z181" i="1" s="1"/>
  <c r="F181" i="1"/>
  <c r="X99" i="1"/>
  <c r="Z99" i="1" s="1"/>
  <c r="F99" i="1"/>
  <c r="X352" i="1"/>
  <c r="Z352" i="1" s="1"/>
  <c r="F352" i="1"/>
  <c r="X160" i="1"/>
  <c r="Z160" i="1" s="1"/>
  <c r="F160" i="1"/>
  <c r="X269" i="1"/>
  <c r="Z269" i="1" s="1"/>
  <c r="F269" i="1"/>
  <c r="X773" i="1"/>
  <c r="Z773" i="1" s="1"/>
  <c r="F773" i="1"/>
  <c r="X954" i="1"/>
  <c r="Z954" i="1" s="1"/>
  <c r="F954" i="1"/>
  <c r="X277" i="1"/>
  <c r="Z277" i="1" s="1"/>
  <c r="F277" i="1"/>
  <c r="X228" i="1"/>
  <c r="Z228" i="1" s="1"/>
  <c r="F228" i="1"/>
  <c r="X404" i="1"/>
  <c r="Z404" i="1" s="1"/>
  <c r="F404" i="1"/>
  <c r="X952" i="1"/>
  <c r="Z952" i="1" s="1"/>
  <c r="F952" i="1"/>
  <c r="X546" i="1"/>
  <c r="Z546" i="1" s="1"/>
  <c r="F546" i="1"/>
  <c r="X858" i="1"/>
  <c r="Z858" i="1" s="1"/>
  <c r="F858" i="1"/>
  <c r="X826" i="1"/>
  <c r="Z826" i="1" s="1"/>
  <c r="F826" i="1"/>
  <c r="X275" i="1"/>
  <c r="Z275" i="1" s="1"/>
  <c r="F275" i="1"/>
  <c r="X301" i="1"/>
  <c r="Z301" i="1" s="1"/>
  <c r="F301" i="1"/>
  <c r="X397" i="1"/>
  <c r="Z397" i="1" s="1"/>
  <c r="F397" i="1"/>
  <c r="X920" i="1"/>
  <c r="Z920" i="1" s="1"/>
  <c r="F920" i="1"/>
  <c r="X472" i="1"/>
  <c r="Z472" i="1" s="1"/>
  <c r="F472" i="1"/>
  <c r="X578" i="1"/>
  <c r="Z578" i="1" s="1"/>
  <c r="F578" i="1"/>
  <c r="X791" i="1"/>
  <c r="Z791" i="1" s="1"/>
  <c r="F791" i="1"/>
  <c r="X903" i="1"/>
  <c r="Z903" i="1" s="1"/>
  <c r="F903" i="1"/>
  <c r="X333" i="1"/>
  <c r="Z333" i="1" s="1"/>
  <c r="F333" i="1"/>
  <c r="X938" i="1"/>
  <c r="Z938" i="1" s="1"/>
  <c r="F938" i="1"/>
  <c r="X239" i="1"/>
  <c r="Z239" i="1" s="1"/>
  <c r="F239" i="1"/>
  <c r="X859" i="1"/>
  <c r="Z859" i="1" s="1"/>
  <c r="F859" i="1"/>
  <c r="X92" i="1"/>
  <c r="Z92" i="1" s="1"/>
  <c r="F92" i="1"/>
  <c r="X123" i="1"/>
  <c r="Z123" i="1" s="1"/>
  <c r="F123" i="1"/>
  <c r="X1018" i="1"/>
  <c r="Z1018" i="1" s="1"/>
  <c r="F1018" i="1"/>
  <c r="X1035" i="1"/>
  <c r="Z1035" i="1" s="1"/>
  <c r="F1035" i="1"/>
  <c r="X992" i="1"/>
  <c r="Z992" i="1" s="1"/>
  <c r="F992" i="1"/>
  <c r="X463" i="1"/>
  <c r="Z463" i="1" s="1"/>
  <c r="F463" i="1"/>
  <c r="X595" i="1"/>
  <c r="Z595" i="1" s="1"/>
  <c r="F595" i="1"/>
  <c r="X496" i="1"/>
  <c r="Z496" i="1" s="1"/>
  <c r="F496" i="1"/>
  <c r="X668" i="1"/>
  <c r="Z668" i="1" s="1"/>
  <c r="F668" i="1"/>
  <c r="X435" i="1"/>
  <c r="Z435" i="1" s="1"/>
  <c r="F435" i="1"/>
  <c r="X200" i="1"/>
  <c r="Z200" i="1" s="1"/>
  <c r="F200" i="1"/>
  <c r="X383" i="1"/>
  <c r="Z383" i="1" s="1"/>
  <c r="F383" i="1"/>
  <c r="X292" i="1"/>
  <c r="Z292" i="1" s="1"/>
  <c r="F292" i="1"/>
  <c r="X96" i="1"/>
  <c r="Z96" i="1" s="1"/>
  <c r="F96" i="1"/>
  <c r="X161" i="1"/>
  <c r="Z161" i="1" s="1"/>
  <c r="F161" i="1"/>
  <c r="X579" i="1"/>
  <c r="Z579" i="1" s="1"/>
  <c r="F579" i="1"/>
  <c r="X266" i="1"/>
  <c r="Z266" i="1" s="1"/>
  <c r="F266" i="1"/>
  <c r="X586" i="1"/>
  <c r="Z586" i="1" s="1"/>
  <c r="F586" i="1"/>
  <c r="X421" i="1"/>
  <c r="Z421" i="1" s="1"/>
  <c r="F421" i="1"/>
  <c r="X1039" i="1"/>
  <c r="Z1039" i="1" s="1"/>
  <c r="F1039" i="1"/>
  <c r="X967" i="1"/>
  <c r="Z967" i="1" s="1"/>
  <c r="F967" i="1"/>
  <c r="X499" i="1"/>
  <c r="Z499" i="1" s="1"/>
  <c r="F499" i="1"/>
  <c r="X354" i="1"/>
  <c r="Z354" i="1" s="1"/>
  <c r="F354" i="1"/>
  <c r="X979" i="1"/>
  <c r="Z979" i="1" s="1"/>
  <c r="F979" i="1"/>
  <c r="X423" i="1"/>
  <c r="Z423" i="1" s="1"/>
  <c r="F423" i="1"/>
  <c r="X1034" i="1"/>
  <c r="Z1034" i="1" s="1"/>
  <c r="F1034" i="1"/>
  <c r="X793" i="1"/>
  <c r="Z793" i="1" s="1"/>
  <c r="F793" i="1"/>
  <c r="X190" i="1"/>
  <c r="Z190" i="1" s="1"/>
  <c r="F190" i="1"/>
  <c r="X256" i="1"/>
  <c r="Z256" i="1" s="1"/>
  <c r="F256" i="1"/>
  <c r="X208" i="1"/>
  <c r="Z208" i="1" s="1"/>
  <c r="F208" i="1"/>
  <c r="X120" i="1"/>
  <c r="Z120" i="1" s="1"/>
  <c r="F120" i="1"/>
  <c r="X451" i="1"/>
  <c r="Z451" i="1" s="1"/>
  <c r="F451" i="1"/>
  <c r="X708" i="1"/>
  <c r="Z708" i="1" s="1"/>
  <c r="F708" i="1"/>
  <c r="X751" i="1"/>
  <c r="Z751" i="1" s="1"/>
  <c r="F751" i="1"/>
  <c r="X55" i="1"/>
  <c r="Z55" i="1" s="1"/>
  <c r="F55" i="1"/>
  <c r="X879" i="1"/>
  <c r="Z879" i="1" s="1"/>
  <c r="F879" i="1"/>
  <c r="X600" i="1"/>
  <c r="Z600" i="1" s="1"/>
  <c r="F600" i="1"/>
  <c r="X748" i="1"/>
  <c r="Z748" i="1" s="1"/>
  <c r="F748" i="1"/>
  <c r="X488" i="1"/>
  <c r="Z488" i="1" s="1"/>
  <c r="F488" i="1"/>
  <c r="X298" i="1"/>
  <c r="Z298" i="1" s="1"/>
  <c r="F298" i="1"/>
  <c r="X831" i="1"/>
  <c r="Z831" i="1" s="1"/>
  <c r="F831" i="1"/>
  <c r="X370" i="1"/>
  <c r="Z370" i="1" s="1"/>
  <c r="F370" i="1"/>
  <c r="X547" i="1"/>
  <c r="Z547" i="1" s="1"/>
  <c r="F547" i="1"/>
  <c r="X230" i="1"/>
  <c r="Z230" i="1" s="1"/>
  <c r="F230" i="1"/>
  <c r="X357" i="1"/>
  <c r="Z357" i="1" s="1"/>
  <c r="F357" i="1"/>
  <c r="X349" i="1"/>
  <c r="Z349" i="1" s="1"/>
  <c r="F349" i="1"/>
  <c r="X176" i="1"/>
  <c r="Z176" i="1" s="1"/>
  <c r="F176" i="1"/>
  <c r="X925" i="1"/>
  <c r="Z925" i="1" s="1"/>
  <c r="F925" i="1"/>
  <c r="X686" i="1"/>
  <c r="Z686" i="1" s="1"/>
  <c r="F686" i="1"/>
  <c r="X605" i="1"/>
  <c r="Z605" i="1" s="1"/>
  <c r="F605" i="1"/>
  <c r="X742" i="1"/>
  <c r="Z742" i="1" s="1"/>
  <c r="F742" i="1"/>
  <c r="X535" i="1"/>
  <c r="Z535" i="1" s="1"/>
  <c r="F535" i="1"/>
  <c r="X877" i="1"/>
  <c r="Z877" i="1" s="1"/>
  <c r="F877" i="1"/>
  <c r="X558" i="1"/>
  <c r="Z558" i="1" s="1"/>
  <c r="F558" i="1"/>
  <c r="X604" i="1"/>
  <c r="Z604" i="1" s="1"/>
  <c r="F604" i="1"/>
  <c r="X408" i="1"/>
  <c r="Z408" i="1" s="1"/>
  <c r="F408" i="1"/>
  <c r="X486" i="1"/>
  <c r="Z486" i="1" s="1"/>
  <c r="F486" i="1"/>
  <c r="X374" i="1"/>
  <c r="Z374" i="1" s="1"/>
  <c r="F374" i="1"/>
  <c r="X210" i="1"/>
  <c r="Z210" i="1" s="1"/>
  <c r="F210" i="1"/>
  <c r="X945" i="1"/>
  <c r="Z945" i="1" s="1"/>
  <c r="F945" i="1"/>
  <c r="X229" i="1"/>
  <c r="Z229" i="1" s="1"/>
  <c r="F229" i="1"/>
  <c r="X449" i="1"/>
  <c r="Z449" i="1" s="1"/>
  <c r="F449" i="1"/>
  <c r="X462" i="1"/>
  <c r="Z462" i="1" s="1"/>
  <c r="F462" i="1"/>
  <c r="X574" i="1"/>
  <c r="Z574" i="1" s="1"/>
  <c r="F574" i="1"/>
  <c r="X376" i="1"/>
  <c r="Z376" i="1" s="1"/>
  <c r="F376" i="1"/>
  <c r="X1004" i="1"/>
  <c r="Z1004" i="1" s="1"/>
  <c r="F1004" i="1"/>
  <c r="X895" i="1"/>
  <c r="Z895" i="1" s="1"/>
  <c r="F895" i="1"/>
  <c r="X583" i="1"/>
  <c r="Z583" i="1" s="1"/>
  <c r="F583" i="1"/>
  <c r="X599" i="1"/>
  <c r="Z599" i="1" s="1"/>
  <c r="F599" i="1"/>
  <c r="X135" i="1"/>
  <c r="Z135" i="1" s="1"/>
  <c r="F135" i="1"/>
  <c r="X371" i="1"/>
  <c r="Z371" i="1" s="1"/>
  <c r="F371" i="1"/>
  <c r="X803" i="1"/>
  <c r="Z803" i="1" s="1"/>
  <c r="F803" i="1"/>
  <c r="X915" i="1"/>
  <c r="Z915" i="1" s="1"/>
  <c r="F915" i="1"/>
  <c r="X666" i="1"/>
  <c r="Z666" i="1" s="1"/>
  <c r="F666" i="1"/>
  <c r="X983" i="1"/>
  <c r="Z983" i="1" s="1"/>
  <c r="F983" i="1"/>
  <c r="X35" i="1"/>
  <c r="Z35" i="1" s="1"/>
  <c r="F35" i="1"/>
  <c r="X222" i="1"/>
  <c r="Z222" i="1" s="1"/>
  <c r="F222" i="1"/>
  <c r="X168" i="1"/>
  <c r="Z168" i="1" s="1"/>
  <c r="F168" i="1"/>
  <c r="X273" i="1"/>
  <c r="Z273" i="1" s="1"/>
  <c r="F273" i="1"/>
  <c r="X249" i="1"/>
  <c r="Z249" i="1" s="1"/>
  <c r="F249" i="1"/>
  <c r="X164" i="1"/>
  <c r="Z164" i="1" s="1"/>
  <c r="F164" i="1"/>
  <c r="X322" i="1"/>
  <c r="Z322" i="1" s="1"/>
  <c r="F322" i="1"/>
  <c r="X280" i="1"/>
  <c r="Z280" i="1" s="1"/>
  <c r="F280" i="1"/>
  <c r="X94" i="1"/>
  <c r="Z94" i="1" s="1"/>
  <c r="F94" i="1"/>
  <c r="X38" i="1"/>
  <c r="Z38" i="1" s="1"/>
  <c r="F38" i="1"/>
  <c r="X1040" i="1"/>
  <c r="Z1040" i="1" s="1"/>
  <c r="F1040" i="1"/>
  <c r="X137" i="1"/>
  <c r="Z137" i="1" s="1"/>
  <c r="F137" i="1"/>
  <c r="X49" i="1"/>
  <c r="Z49" i="1" s="1"/>
  <c r="F49" i="1"/>
  <c r="X196" i="1"/>
  <c r="Z196" i="1" s="1"/>
  <c r="F196" i="1"/>
  <c r="X341" i="1"/>
  <c r="Z341" i="1" s="1"/>
  <c r="F341" i="1"/>
  <c r="X328" i="1"/>
  <c r="Z328" i="1" s="1"/>
  <c r="F328" i="1"/>
  <c r="X337" i="1"/>
  <c r="Z337" i="1" s="1"/>
  <c r="F337" i="1"/>
  <c r="X257" i="1"/>
  <c r="Z257" i="1" s="1"/>
  <c r="F257" i="1"/>
  <c r="X308" i="1"/>
  <c r="Z308" i="1" s="1"/>
  <c r="F308" i="1"/>
  <c r="X313" i="1"/>
  <c r="Z313" i="1" s="1"/>
  <c r="F313" i="1"/>
  <c r="X233" i="1"/>
  <c r="Z233" i="1" s="1"/>
  <c r="F233" i="1"/>
  <c r="X361" i="1"/>
  <c r="Z361" i="1" s="1"/>
  <c r="F361" i="1"/>
  <c r="X251" i="1"/>
  <c r="Z251" i="1" s="1"/>
  <c r="F251" i="1"/>
  <c r="X290" i="1"/>
  <c r="Z290" i="1" s="1"/>
  <c r="F290" i="1"/>
  <c r="X214" i="1"/>
  <c r="Z214" i="1" s="1"/>
  <c r="F214" i="1"/>
  <c r="X344" i="1"/>
  <c r="Z344" i="1" s="1"/>
  <c r="F344" i="1"/>
  <c r="X124" i="1"/>
  <c r="Z124" i="1" s="1"/>
  <c r="F124" i="1"/>
  <c r="X188" i="1"/>
  <c r="Z188" i="1" s="1"/>
  <c r="F188" i="1"/>
  <c r="X111" i="1"/>
  <c r="Z111" i="1" s="1"/>
  <c r="F111" i="1"/>
  <c r="X205" i="1"/>
  <c r="Z205" i="1" s="1"/>
  <c r="F205" i="1"/>
  <c r="X125" i="1"/>
  <c r="Z125" i="1" s="1"/>
  <c r="F125" i="1"/>
  <c r="X1042" i="1"/>
  <c r="Z1042" i="1" s="1"/>
  <c r="F1042" i="1"/>
  <c r="X437" i="1"/>
  <c r="Z437" i="1" s="1"/>
  <c r="F437" i="1"/>
  <c r="X302" i="1"/>
  <c r="Z302" i="1" s="1"/>
  <c r="F302" i="1"/>
  <c r="X353" i="1"/>
  <c r="Z353" i="1" s="1"/>
  <c r="F353" i="1"/>
  <c r="X689" i="1"/>
  <c r="Z689" i="1" s="1"/>
  <c r="F689" i="1"/>
  <c r="X448" i="1"/>
  <c r="Z448" i="1" s="1"/>
  <c r="F448" i="1"/>
  <c r="X532" i="1"/>
  <c r="Z532" i="1" s="1"/>
  <c r="F532" i="1"/>
  <c r="X852" i="1"/>
  <c r="Z852" i="1" s="1"/>
  <c r="F852" i="1"/>
  <c r="X794" i="1"/>
  <c r="Z794" i="1" s="1"/>
  <c r="F794" i="1"/>
  <c r="X707" i="1"/>
  <c r="Z707" i="1" s="1"/>
  <c r="F707" i="1"/>
  <c r="X550" i="1"/>
  <c r="Z550" i="1" s="1"/>
  <c r="F550" i="1"/>
  <c r="X262" i="1"/>
  <c r="Z262" i="1" s="1"/>
  <c r="F262" i="1"/>
  <c r="X485" i="1"/>
  <c r="Z485" i="1" s="1"/>
  <c r="F485" i="1"/>
  <c r="X792" i="1"/>
  <c r="Z792" i="1" s="1"/>
  <c r="F792" i="1"/>
  <c r="X636" i="1"/>
  <c r="Z636" i="1" s="1"/>
  <c r="F636" i="1"/>
  <c r="X830" i="1"/>
  <c r="Z830" i="1" s="1"/>
  <c r="F830" i="1"/>
  <c r="X401" i="1"/>
  <c r="Z401" i="1" s="1"/>
  <c r="F401" i="1"/>
  <c r="X650" i="1"/>
  <c r="Z650" i="1" s="1"/>
  <c r="F650" i="1"/>
  <c r="X489" i="1"/>
  <c r="Z489" i="1" s="1"/>
  <c r="F489" i="1"/>
  <c r="X732" i="1"/>
  <c r="Z732" i="1" s="1"/>
  <c r="F732" i="1"/>
  <c r="X844" i="1"/>
  <c r="Z844" i="1" s="1"/>
  <c r="F844" i="1"/>
  <c r="X738" i="1"/>
  <c r="Z738" i="1" s="1"/>
  <c r="F738" i="1"/>
  <c r="X632" i="1"/>
  <c r="Z632" i="1" s="1"/>
  <c r="F632" i="1"/>
  <c r="X669" i="1"/>
  <c r="Z669" i="1" s="1"/>
  <c r="F669" i="1"/>
  <c r="X644" i="1"/>
  <c r="Z644" i="1" s="1"/>
  <c r="F644" i="1"/>
  <c r="X540" i="1"/>
  <c r="Z540" i="1" s="1"/>
  <c r="F540" i="1"/>
  <c r="X981" i="1"/>
  <c r="Z981" i="1" s="1"/>
  <c r="F981" i="1"/>
  <c r="X520" i="1"/>
  <c r="Z520" i="1" s="1"/>
  <c r="F520" i="1"/>
  <c r="X53" i="1"/>
  <c r="Z53" i="1" s="1"/>
  <c r="F53" i="1"/>
  <c r="X901" i="1"/>
  <c r="Z901" i="1" s="1"/>
  <c r="F901" i="1"/>
  <c r="X909" i="1"/>
  <c r="Z909" i="1" s="1"/>
  <c r="F909" i="1"/>
  <c r="X869" i="1"/>
  <c r="Z869" i="1" s="1"/>
  <c r="F869" i="1"/>
  <c r="X553" i="1"/>
  <c r="Z553" i="1" s="1"/>
  <c r="F553" i="1"/>
  <c r="X617" i="1"/>
  <c r="Z617" i="1" s="1"/>
  <c r="F617" i="1"/>
  <c r="X680" i="1"/>
  <c r="Z680" i="1" s="1"/>
  <c r="F680" i="1"/>
  <c r="X1012" i="1"/>
  <c r="Z1012" i="1" s="1"/>
  <c r="F1012" i="1"/>
  <c r="X940" i="1"/>
  <c r="Z940" i="1" s="1"/>
  <c r="F940" i="1"/>
  <c r="X749" i="1"/>
  <c r="Z749" i="1" s="1"/>
  <c r="F749" i="1"/>
  <c r="X842" i="1"/>
  <c r="Z842" i="1" s="1"/>
  <c r="F842" i="1"/>
  <c r="X134" i="1"/>
  <c r="Z134" i="1" s="1"/>
  <c r="F134" i="1"/>
  <c r="X828" i="1"/>
  <c r="Z828" i="1" s="1"/>
  <c r="F828" i="1"/>
  <c r="X941" i="1"/>
  <c r="Z941" i="1" s="1"/>
  <c r="F941" i="1"/>
  <c r="X944" i="1"/>
  <c r="Z944" i="1" s="1"/>
  <c r="F944" i="1"/>
  <c r="X912" i="1"/>
  <c r="Z912" i="1" s="1"/>
  <c r="F912" i="1"/>
  <c r="X645" i="1"/>
  <c r="Z645" i="1" s="1"/>
  <c r="F645" i="1"/>
  <c r="X709" i="1"/>
  <c r="Z709" i="1" s="1"/>
  <c r="F709" i="1"/>
  <c r="X725" i="1"/>
  <c r="Z725" i="1" s="1"/>
  <c r="F725" i="1"/>
  <c r="X984" i="1"/>
  <c r="Z984" i="1" s="1"/>
  <c r="F984" i="1"/>
  <c r="X960" i="1"/>
  <c r="Z960" i="1" s="1"/>
  <c r="F960" i="1"/>
  <c r="X1028" i="1"/>
  <c r="Z1028" i="1" s="1"/>
  <c r="F1028" i="1"/>
  <c r="X183" i="1"/>
  <c r="Z183" i="1" s="1"/>
  <c r="F183" i="1"/>
  <c r="X965" i="1"/>
  <c r="Z965" i="1" s="1"/>
  <c r="F965" i="1"/>
  <c r="X837" i="1"/>
  <c r="Z837" i="1" s="1"/>
  <c r="F837" i="1"/>
  <c r="X577" i="1"/>
  <c r="Z577" i="1" s="1"/>
  <c r="F577" i="1"/>
  <c r="X609" i="1"/>
  <c r="Z609" i="1" s="1"/>
  <c r="F609" i="1"/>
  <c r="X845" i="1"/>
  <c r="Z845" i="1" s="1"/>
  <c r="F845" i="1"/>
  <c r="X937" i="1"/>
  <c r="Z937" i="1" s="1"/>
  <c r="F937" i="1"/>
  <c r="X873" i="1"/>
  <c r="Z873" i="1" s="1"/>
  <c r="F873" i="1"/>
  <c r="X745" i="1"/>
  <c r="Z745" i="1" s="1"/>
  <c r="F745" i="1"/>
  <c r="X750" i="1"/>
  <c r="Z750" i="1" s="1"/>
  <c r="F750" i="1"/>
  <c r="X923" i="1"/>
  <c r="Z923" i="1" s="1"/>
  <c r="F923" i="1"/>
  <c r="X224" i="1"/>
  <c r="Z224" i="1" s="1"/>
  <c r="F224" i="1"/>
  <c r="X174" i="1"/>
  <c r="Z174" i="1" s="1"/>
  <c r="F174" i="1"/>
  <c r="X454" i="1"/>
  <c r="Z454" i="1" s="1"/>
  <c r="F454" i="1"/>
  <c r="X479" i="1"/>
  <c r="Z479" i="1" s="1"/>
  <c r="F479" i="1"/>
  <c r="X747" i="1"/>
  <c r="Z747" i="1" s="1"/>
  <c r="F747" i="1"/>
  <c r="X795" i="1"/>
  <c r="Z795" i="1" s="1"/>
  <c r="F795" i="1"/>
  <c r="X843" i="1"/>
  <c r="Z843" i="1" s="1"/>
  <c r="F843" i="1"/>
  <c r="X942" i="1"/>
  <c r="Z942" i="1" s="1"/>
  <c r="F942" i="1"/>
  <c r="X728" i="1"/>
  <c r="Z728" i="1" s="1"/>
  <c r="F728" i="1"/>
  <c r="X409" i="1"/>
  <c r="Z409" i="1" s="1"/>
  <c r="F409" i="1"/>
  <c r="X763" i="1"/>
  <c r="Z763" i="1" s="1"/>
  <c r="F763" i="1"/>
  <c r="X731" i="1"/>
  <c r="Z731" i="1" s="1"/>
  <c r="F731" i="1"/>
  <c r="X875" i="1"/>
  <c r="Z875" i="1" s="1"/>
  <c r="F875" i="1"/>
  <c r="X958" i="1"/>
  <c r="Z958" i="1" s="1"/>
  <c r="F958" i="1"/>
  <c r="X54" i="1"/>
  <c r="Z54" i="1" s="1"/>
  <c r="F54" i="1"/>
  <c r="X704" i="1"/>
  <c r="Z704" i="1" s="1"/>
  <c r="F704" i="1"/>
  <c r="X856" i="1"/>
  <c r="Z856" i="1" s="1"/>
  <c r="F856" i="1"/>
  <c r="X441" i="1"/>
  <c r="Z441" i="1" s="1"/>
  <c r="F441" i="1"/>
  <c r="X291" i="1"/>
  <c r="Z291" i="1" s="1"/>
  <c r="F291" i="1"/>
  <c r="X66" i="1"/>
  <c r="Z66" i="1" s="1"/>
  <c r="F66" i="1"/>
  <c r="X33" i="1"/>
  <c r="Z33" i="1" s="1"/>
  <c r="F33" i="1"/>
  <c r="X82" i="1"/>
  <c r="Z82" i="1" s="1"/>
  <c r="F82" i="1"/>
  <c r="X626" i="1"/>
  <c r="Z626" i="1" s="1"/>
  <c r="F626" i="1"/>
  <c r="X968" i="1"/>
  <c r="Z968" i="1" s="1"/>
  <c r="F968" i="1"/>
  <c r="X659" i="1"/>
  <c r="Z659" i="1" s="1"/>
  <c r="F659" i="1"/>
  <c r="X447" i="1"/>
  <c r="Z447" i="1" s="1"/>
  <c r="F447" i="1"/>
  <c r="X690" i="1"/>
  <c r="Z690" i="1" s="1"/>
  <c r="F690" i="1"/>
  <c r="X219" i="1"/>
  <c r="Z219" i="1" s="1"/>
  <c r="F219" i="1"/>
  <c r="X545" i="1"/>
  <c r="Z545" i="1" s="1"/>
  <c r="F545" i="1"/>
  <c r="X810" i="1"/>
  <c r="Z810" i="1" s="1"/>
  <c r="F810" i="1"/>
  <c r="X187" i="1"/>
  <c r="Z187" i="1" s="1"/>
  <c r="F187" i="1"/>
  <c r="X169" i="1"/>
  <c r="Z169" i="1" s="1"/>
  <c r="F169" i="1"/>
  <c r="X825" i="1"/>
  <c r="Z825" i="1" s="1"/>
  <c r="F825" i="1"/>
  <c r="X510" i="1"/>
  <c r="Z510" i="1" s="1"/>
  <c r="F510" i="1"/>
  <c r="X761" i="1"/>
  <c r="Z761" i="1" s="1"/>
  <c r="F761" i="1"/>
  <c r="X607" i="1"/>
  <c r="Z607" i="1" s="1"/>
  <c r="F607" i="1"/>
  <c r="X101" i="1"/>
  <c r="Z101" i="1" s="1"/>
  <c r="F101" i="1"/>
  <c r="X162" i="1"/>
  <c r="Z162" i="1" s="1"/>
  <c r="F162" i="1"/>
  <c r="X43" i="1"/>
  <c r="Z43" i="1" s="1"/>
  <c r="F43" i="1"/>
  <c r="X180" i="1"/>
  <c r="Z180" i="1" s="1"/>
  <c r="F180" i="1"/>
  <c r="X820" i="1"/>
  <c r="Z820" i="1" s="1"/>
  <c r="F820" i="1"/>
  <c r="X372" i="1"/>
  <c r="Z372" i="1" s="1"/>
  <c r="F372" i="1"/>
  <c r="X887" i="1"/>
  <c r="Z887" i="1" s="1"/>
  <c r="F887" i="1"/>
  <c r="X616" i="1"/>
  <c r="Z616" i="1" s="1"/>
  <c r="F616" i="1"/>
  <c r="X382" i="1"/>
  <c r="Z382" i="1" s="1"/>
  <c r="F382" i="1"/>
  <c r="X658" i="1"/>
  <c r="Z658" i="1" s="1"/>
  <c r="F658" i="1"/>
  <c r="X206" i="1"/>
  <c r="Z206" i="1" s="1"/>
  <c r="F206" i="1"/>
  <c r="X555" i="1"/>
  <c r="Z555" i="1" s="1"/>
  <c r="F555" i="1"/>
  <c r="X608" i="1"/>
  <c r="Z608" i="1" s="1"/>
  <c r="F608" i="1"/>
  <c r="X807" i="1"/>
  <c r="Z807" i="1" s="1"/>
  <c r="F807" i="1"/>
  <c r="X475" i="1"/>
  <c r="Z475" i="1" s="1"/>
  <c r="F475" i="1"/>
  <c r="X203" i="1"/>
  <c r="Z203" i="1" s="1"/>
  <c r="F203" i="1"/>
  <c r="X514" i="1"/>
  <c r="Z514" i="1" s="1"/>
  <c r="F514" i="1"/>
  <c r="X1003" i="1"/>
  <c r="Z1003" i="1" s="1"/>
  <c r="F1003" i="1"/>
  <c r="X386" i="1"/>
  <c r="Z386" i="1" s="1"/>
  <c r="F386" i="1"/>
  <c r="X466" i="1"/>
  <c r="Z466" i="1" s="1"/>
  <c r="F466" i="1"/>
  <c r="X706" i="1"/>
  <c r="Z706" i="1" s="1"/>
  <c r="F706" i="1"/>
  <c r="X603" i="1"/>
  <c r="Z603" i="1" s="1"/>
  <c r="F603" i="1"/>
  <c r="X635" i="1"/>
  <c r="Z635" i="1" s="1"/>
  <c r="F635" i="1"/>
  <c r="X664" i="1"/>
  <c r="Z664" i="1" s="1"/>
  <c r="F664" i="1"/>
  <c r="X771" i="1"/>
  <c r="Z771" i="1" s="1"/>
  <c r="F771" i="1"/>
  <c r="X746" i="1"/>
  <c r="Z746" i="1" s="1"/>
  <c r="F746" i="1"/>
  <c r="X841" i="1"/>
  <c r="Z841" i="1" s="1"/>
  <c r="F841" i="1"/>
  <c r="X1022" i="1"/>
  <c r="Z1022" i="1" s="1"/>
  <c r="F1022" i="1"/>
  <c r="X108" i="1"/>
  <c r="Z108" i="1" s="1"/>
  <c r="F108" i="1"/>
  <c r="X888" i="1"/>
  <c r="Z888" i="1" s="1"/>
  <c r="F888" i="1"/>
  <c r="X660" i="1"/>
  <c r="Z660" i="1" s="1"/>
  <c r="F660" i="1"/>
  <c r="X155" i="1"/>
  <c r="Z155" i="1" s="1"/>
  <c r="F155" i="1"/>
  <c r="X1036" i="1"/>
  <c r="Z1036" i="1" s="1"/>
  <c r="F1036" i="1"/>
  <c r="X498" i="1"/>
  <c r="Z498" i="1" s="1"/>
  <c r="F498" i="1"/>
  <c r="X587" i="1"/>
  <c r="Z587" i="1" s="1"/>
  <c r="F587" i="1"/>
  <c r="X951" i="1"/>
  <c r="Z951" i="1" s="1"/>
  <c r="F951" i="1"/>
  <c r="X917" i="1"/>
  <c r="Z917" i="1" s="1"/>
  <c r="F917" i="1"/>
  <c r="X982" i="1"/>
  <c r="Z982" i="1" s="1"/>
  <c r="F982" i="1"/>
  <c r="X753" i="1"/>
  <c r="Z753" i="1" s="1"/>
  <c r="F753" i="1"/>
  <c r="X380" i="1"/>
  <c r="Z380" i="1" s="1"/>
  <c r="F380" i="1"/>
  <c r="X495" i="1"/>
  <c r="Z495" i="1" s="1"/>
  <c r="F495" i="1"/>
  <c r="X559" i="1"/>
  <c r="Z559" i="1" s="1"/>
  <c r="F559" i="1"/>
  <c r="X623" i="1"/>
  <c r="Z623" i="1" s="1"/>
  <c r="F623" i="1"/>
  <c r="X392" i="1"/>
  <c r="Z392" i="1" s="1"/>
  <c r="F392" i="1"/>
  <c r="X613" i="1"/>
  <c r="Z613" i="1" s="1"/>
  <c r="F613" i="1"/>
  <c r="X592" i="1"/>
  <c r="Z592" i="1" s="1"/>
  <c r="F592" i="1"/>
  <c r="X723" i="1"/>
  <c r="Z723" i="1" s="1"/>
  <c r="F723" i="1"/>
  <c r="X932" i="1"/>
  <c r="Z932" i="1" s="1"/>
  <c r="F932" i="1"/>
  <c r="X733" i="1"/>
  <c r="Z733" i="1" s="1"/>
  <c r="F733" i="1"/>
  <c r="X184" i="1"/>
  <c r="Z184" i="1" s="1"/>
  <c r="F184" i="1"/>
  <c r="X165" i="1"/>
  <c r="Z165" i="1" s="1"/>
  <c r="F165" i="1"/>
  <c r="X1001" i="1"/>
  <c r="Z1001" i="1" s="1"/>
  <c r="F1001" i="1"/>
  <c r="X892" i="1"/>
  <c r="Z892" i="1" s="1"/>
  <c r="F892" i="1"/>
  <c r="X905" i="1"/>
  <c r="Z905" i="1" s="1"/>
  <c r="F905" i="1"/>
  <c r="X167" i="1"/>
  <c r="Z167" i="1" s="1"/>
  <c r="F167" i="1"/>
  <c r="X458" i="1"/>
  <c r="Z458" i="1" s="1"/>
  <c r="F458" i="1"/>
  <c r="X136" i="1"/>
  <c r="Z136" i="1" s="1"/>
  <c r="F136" i="1"/>
  <c r="X601" i="1"/>
  <c r="Z601" i="1" s="1"/>
  <c r="F601" i="1"/>
  <c r="X611" i="1"/>
  <c r="Z611" i="1" s="1"/>
  <c r="F611" i="1"/>
  <c r="X152" i="1"/>
  <c r="Z152" i="1" s="1"/>
  <c r="F152" i="1"/>
  <c r="X78" i="1"/>
  <c r="Z78" i="1" s="1"/>
  <c r="F78" i="1"/>
  <c r="X375" i="1"/>
  <c r="Z375" i="1" s="1"/>
  <c r="F375" i="1"/>
  <c r="X332" i="1"/>
  <c r="Z332" i="1" s="1"/>
  <c r="F332" i="1"/>
  <c r="X484" i="1"/>
  <c r="Z484" i="1" s="1"/>
  <c r="F484" i="1"/>
  <c r="X699" i="1"/>
  <c r="Z699" i="1" s="1"/>
  <c r="F699" i="1"/>
  <c r="X711" i="1"/>
  <c r="Z711" i="1" s="1"/>
  <c r="F711" i="1"/>
  <c r="X191" i="1"/>
  <c r="Z191" i="1" s="1"/>
  <c r="F191" i="1"/>
  <c r="X327" i="1"/>
  <c r="Z327" i="1" s="1"/>
  <c r="F327" i="1"/>
  <c r="X427" i="1"/>
  <c r="Z427" i="1" s="1"/>
  <c r="F427" i="1"/>
  <c r="X362" i="1"/>
  <c r="Z362" i="1" s="1"/>
  <c r="F362" i="1"/>
  <c r="X304" i="1"/>
  <c r="Z304" i="1" s="1"/>
  <c r="F304" i="1"/>
  <c r="X240" i="1"/>
  <c r="Z240" i="1" s="1"/>
  <c r="F240" i="1"/>
  <c r="X345" i="1"/>
  <c r="Z345" i="1" s="1"/>
  <c r="F345" i="1"/>
  <c r="X88" i="1"/>
  <c r="Z88" i="1" s="1"/>
  <c r="F88" i="1"/>
  <c r="X110" i="1"/>
  <c r="Z110" i="1" s="1"/>
  <c r="F110" i="1"/>
  <c r="X483" i="1"/>
  <c r="Z483" i="1" s="1"/>
  <c r="F483" i="1"/>
  <c r="X112" i="1"/>
  <c r="Z112" i="1" s="1"/>
  <c r="F112" i="1"/>
  <c r="X864" i="1"/>
  <c r="Z864" i="1" s="1"/>
  <c r="F864" i="1"/>
  <c r="X41" i="1"/>
  <c r="Z41" i="1" s="1"/>
  <c r="F41" i="1"/>
  <c r="X768" i="1"/>
  <c r="Z768" i="1" s="1"/>
  <c r="F768" i="1"/>
  <c r="X407" i="1"/>
  <c r="Z407" i="1" s="1"/>
  <c r="F407" i="1"/>
  <c r="X648" i="1"/>
  <c r="Z648" i="1" s="1"/>
  <c r="F648" i="1"/>
  <c r="X796" i="1"/>
  <c r="Z796" i="1" s="1"/>
  <c r="F796" i="1"/>
  <c r="X570" i="1"/>
  <c r="Z570" i="1" s="1"/>
  <c r="F570" i="1"/>
  <c r="X311" i="1"/>
  <c r="Z311" i="1" s="1"/>
  <c r="F311" i="1"/>
  <c r="X515" i="1"/>
  <c r="Z515" i="1" s="1"/>
  <c r="F515" i="1"/>
  <c r="X86" i="1"/>
  <c r="Z86" i="1" s="1"/>
  <c r="F86" i="1"/>
  <c r="X522" i="1"/>
  <c r="Z522" i="1" s="1"/>
  <c r="F522" i="1"/>
  <c r="X564" i="1"/>
  <c r="Z564" i="1" s="1"/>
  <c r="F564" i="1"/>
  <c r="X363" i="1"/>
  <c r="Z363" i="1" s="1"/>
  <c r="F363" i="1"/>
  <c r="X318" i="1"/>
  <c r="Z318" i="1" s="1"/>
  <c r="F318" i="1"/>
  <c r="X148" i="1"/>
  <c r="Z148" i="1" s="1"/>
  <c r="F148" i="1"/>
  <c r="X356" i="1"/>
  <c r="Z356" i="1" s="1"/>
  <c r="F356" i="1"/>
  <c r="X300" i="1"/>
  <c r="Z300" i="1" s="1"/>
  <c r="F300" i="1"/>
  <c r="X716" i="1"/>
  <c r="Z716" i="1" s="1"/>
  <c r="F716" i="1"/>
  <c r="X653" i="1"/>
  <c r="Z653" i="1" s="1"/>
  <c r="F653" i="1"/>
  <c r="X378" i="1"/>
  <c r="Z378" i="1" s="1"/>
  <c r="F378" i="1"/>
  <c r="X159" i="1"/>
  <c r="Z159" i="1" s="1"/>
  <c r="F159" i="1"/>
  <c r="X863" i="1"/>
  <c r="Z863" i="1" s="1"/>
  <c r="F863" i="1"/>
  <c r="X402" i="1"/>
  <c r="Z402" i="1" s="1"/>
  <c r="F402" i="1"/>
  <c r="X493" i="1"/>
  <c r="Z493" i="1" s="1"/>
  <c r="F493" i="1"/>
  <c r="X865" i="1"/>
  <c r="Z865" i="1" s="1"/>
  <c r="F865" i="1"/>
  <c r="X993" i="1"/>
  <c r="Z993" i="1" s="1"/>
  <c r="F993" i="1"/>
  <c r="X355" i="1"/>
  <c r="Z355" i="1" s="1"/>
  <c r="F355" i="1"/>
  <c r="X428" i="1"/>
  <c r="Z428" i="1" s="1"/>
  <c r="F428" i="1"/>
  <c r="X528" i="1"/>
  <c r="Z528" i="1" s="1"/>
  <c r="F528" i="1"/>
  <c r="X772" i="1"/>
  <c r="Z772" i="1" s="1"/>
  <c r="F772" i="1"/>
  <c r="X525" i="1"/>
  <c r="Z525" i="1" s="1"/>
  <c r="F525" i="1"/>
  <c r="X231" i="1"/>
  <c r="Z231" i="1" s="1"/>
  <c r="F231" i="1"/>
  <c r="X347" i="1"/>
  <c r="Z347" i="1" s="1"/>
  <c r="F347" i="1"/>
  <c r="X303" i="1"/>
  <c r="Z303" i="1" s="1"/>
  <c r="F303" i="1"/>
  <c r="X769" i="1"/>
  <c r="Z769" i="1" s="1"/>
  <c r="F769" i="1"/>
  <c r="X835" i="1"/>
  <c r="Z835" i="1" s="1"/>
  <c r="F835" i="1"/>
  <c r="X477" i="1"/>
  <c r="Z477" i="1" s="1"/>
  <c r="F477" i="1"/>
  <c r="X442" i="1"/>
  <c r="Z442" i="1" s="1"/>
  <c r="F442" i="1"/>
  <c r="X966" i="1"/>
  <c r="Z966" i="1" s="1"/>
  <c r="F966" i="1"/>
  <c r="X1024" i="1"/>
  <c r="Z1024" i="1" s="1"/>
  <c r="F1024" i="1"/>
  <c r="X1023" i="1"/>
  <c r="Z1023" i="1" s="1"/>
  <c r="F1023" i="1"/>
  <c r="X622" i="1"/>
  <c r="Z622" i="1" s="1"/>
  <c r="F622" i="1"/>
  <c r="X717" i="1"/>
  <c r="Z717" i="1" s="1"/>
  <c r="F717" i="1"/>
  <c r="X899" i="1"/>
  <c r="Z899" i="1" s="1"/>
  <c r="F899" i="1"/>
  <c r="X695" i="1"/>
  <c r="Z695" i="1" s="1"/>
  <c r="F695" i="1"/>
  <c r="X252" i="1"/>
  <c r="Z252" i="1" s="1"/>
  <c r="F252" i="1"/>
  <c r="X551" i="1"/>
  <c r="Z551" i="1" s="1"/>
  <c r="F551" i="1"/>
  <c r="X913" i="1"/>
  <c r="Z913" i="1" s="1"/>
  <c r="F913" i="1"/>
  <c r="X460" i="1"/>
  <c r="Z460" i="1" s="1"/>
  <c r="F460" i="1"/>
  <c r="X44" i="1"/>
  <c r="Z44" i="1" s="1"/>
  <c r="F44" i="1"/>
  <c r="X118" i="1"/>
  <c r="Z118" i="1" s="1"/>
  <c r="F118" i="1"/>
  <c r="X48" i="1"/>
  <c r="Z48" i="1" s="1"/>
  <c r="F48" i="1"/>
  <c r="X1037" i="1"/>
  <c r="Z1037" i="1" s="1"/>
  <c r="F1037" i="1"/>
  <c r="X218" i="1"/>
  <c r="Z218" i="1" s="1"/>
  <c r="F218" i="1"/>
  <c r="X178" i="1"/>
  <c r="Z178" i="1" s="1"/>
  <c r="F178" i="1"/>
  <c r="X288" i="1"/>
  <c r="Z288" i="1" s="1"/>
  <c r="F288" i="1"/>
  <c r="X284" i="1"/>
  <c r="Z284" i="1" s="1"/>
  <c r="F284" i="1"/>
  <c r="X331" i="1"/>
  <c r="Z331" i="1" s="1"/>
  <c r="F331" i="1"/>
  <c r="X312" i="1"/>
  <c r="Z312" i="1" s="1"/>
  <c r="F312" i="1"/>
  <c r="X1043" i="1"/>
  <c r="Z1043" i="1" s="1"/>
  <c r="F1043" i="1"/>
  <c r="X75" i="1"/>
  <c r="Z75" i="1" s="1"/>
  <c r="F75" i="1"/>
  <c r="X1041" i="1"/>
  <c r="Z1041" i="1" s="1"/>
  <c r="F1041" i="1"/>
  <c r="X146" i="1"/>
  <c r="Z146" i="1" s="1"/>
  <c r="F146" i="1"/>
  <c r="X95" i="1"/>
  <c r="Z95" i="1" s="1"/>
  <c r="F95" i="1"/>
  <c r="X62" i="1"/>
  <c r="Z62" i="1" s="1"/>
  <c r="F62" i="1"/>
  <c r="X84" i="1"/>
  <c r="Z84" i="1" s="1"/>
  <c r="F84" i="1"/>
  <c r="X80" i="1"/>
  <c r="Z80" i="1" s="1"/>
  <c r="F80" i="1"/>
  <c r="X60" i="1"/>
  <c r="Z60" i="1" s="1"/>
  <c r="F60" i="1"/>
  <c r="X72" i="1"/>
  <c r="Z72" i="1" s="1"/>
  <c r="F72" i="1"/>
  <c r="X122" i="1"/>
  <c r="Z122" i="1" s="1"/>
  <c r="F122" i="1"/>
  <c r="X158" i="1"/>
  <c r="Z158" i="1" s="1"/>
  <c r="F158" i="1"/>
  <c r="X98" i="1"/>
  <c r="Z98" i="1" s="1"/>
  <c r="F98" i="1"/>
  <c r="X105" i="1"/>
  <c r="Z105" i="1" s="1"/>
  <c r="F105" i="1"/>
  <c r="X70" i="1"/>
  <c r="Z70" i="1" s="1"/>
  <c r="F70" i="1"/>
  <c r="X220" i="1"/>
  <c r="Z220" i="1" s="1"/>
  <c r="F220" i="1"/>
  <c r="X173" i="1"/>
  <c r="Z173" i="1" s="1"/>
  <c r="F173" i="1"/>
  <c r="X104" i="1"/>
  <c r="Z104" i="1" s="1"/>
  <c r="F104" i="1"/>
  <c r="X129" i="1"/>
  <c r="Z129" i="1" s="1"/>
  <c r="F129" i="1"/>
  <c r="X201" i="1"/>
  <c r="Z201" i="1" s="1"/>
  <c r="F201" i="1"/>
  <c r="X30" i="1"/>
  <c r="Z30" i="1" s="1"/>
  <c r="F30" i="1"/>
  <c r="X145" i="1"/>
  <c r="Z145" i="1" s="1"/>
  <c r="F145" i="1"/>
  <c r="X325" i="1"/>
  <c r="Z325" i="1" s="1"/>
  <c r="F325" i="1"/>
  <c r="X264" i="1"/>
  <c r="Z264" i="1" s="1"/>
  <c r="F264" i="1"/>
  <c r="X305" i="1"/>
  <c r="Z305" i="1" s="1"/>
  <c r="F305" i="1"/>
  <c r="X241" i="1"/>
  <c r="Z241" i="1" s="1"/>
  <c r="F241" i="1"/>
  <c r="X348" i="1"/>
  <c r="Z348" i="1" s="1"/>
  <c r="F348" i="1"/>
  <c r="X335" i="1"/>
  <c r="Z335" i="1" s="1"/>
  <c r="F335" i="1"/>
  <c r="X297" i="1"/>
  <c r="Z297" i="1" s="1"/>
  <c r="F297" i="1"/>
  <c r="X215" i="1"/>
  <c r="Z215" i="1" s="1"/>
  <c r="F215" i="1"/>
  <c r="X258" i="1"/>
  <c r="Z258" i="1" s="1"/>
  <c r="F258" i="1"/>
  <c r="X338" i="1"/>
  <c r="Z338" i="1" s="1"/>
  <c r="F338" i="1"/>
  <c r="X195" i="1"/>
  <c r="Z195" i="1" s="1"/>
  <c r="F195" i="1"/>
  <c r="X204" i="1"/>
  <c r="Z204" i="1" s="1"/>
  <c r="F204" i="1"/>
  <c r="X144" i="1"/>
  <c r="Z144" i="1" s="1"/>
  <c r="F144" i="1"/>
  <c r="X142" i="1"/>
  <c r="Z142" i="1" s="1"/>
  <c r="F142" i="1"/>
  <c r="X37" i="1"/>
  <c r="Z37" i="1" s="1"/>
  <c r="F37" i="1"/>
  <c r="X157" i="1"/>
  <c r="Z157" i="1" s="1"/>
  <c r="F157" i="1"/>
  <c r="X32" i="1"/>
  <c r="Z32" i="1" s="1"/>
  <c r="F32" i="1"/>
  <c r="X433" i="1"/>
  <c r="Z433" i="1" s="1"/>
  <c r="F433" i="1"/>
  <c r="X445" i="1"/>
  <c r="Z445" i="1" s="1"/>
  <c r="F445" i="1"/>
  <c r="X405" i="1"/>
  <c r="Z405" i="1" s="1"/>
  <c r="F405" i="1"/>
  <c r="X360" i="1"/>
  <c r="Z360" i="1" s="1"/>
  <c r="F360" i="1"/>
  <c r="X482" i="1"/>
  <c r="Z482" i="1" s="1"/>
  <c r="F482" i="1"/>
  <c r="X436" i="1"/>
  <c r="Z436" i="1" s="1"/>
  <c r="F436" i="1"/>
  <c r="X481" i="1"/>
  <c r="Z481" i="1" s="1"/>
  <c r="F481" i="1"/>
  <c r="X740" i="1"/>
  <c r="Z740" i="1" s="1"/>
  <c r="F740" i="1"/>
  <c r="X556" i="1"/>
  <c r="Z556" i="1" s="1"/>
  <c r="F556" i="1"/>
  <c r="X889" i="1"/>
  <c r="Z889" i="1" s="1"/>
  <c r="F889" i="1"/>
  <c r="X393" i="1"/>
  <c r="Z393" i="1" s="1"/>
  <c r="F393" i="1"/>
  <c r="X598" i="1"/>
  <c r="Z598" i="1" s="1"/>
  <c r="F598" i="1"/>
  <c r="X412" i="1"/>
  <c r="Z412" i="1" s="1"/>
  <c r="F412" i="1"/>
  <c r="X560" i="1"/>
  <c r="Z560" i="1" s="1"/>
  <c r="F560" i="1"/>
  <c r="X824" i="1"/>
  <c r="Z824" i="1" s="1"/>
  <c r="F824" i="1"/>
  <c r="X735" i="1"/>
  <c r="Z735" i="1" s="1"/>
  <c r="F735" i="1"/>
  <c r="X893" i="1"/>
  <c r="Z893" i="1" s="1"/>
  <c r="F893" i="1"/>
  <c r="X474" i="1"/>
  <c r="Z474" i="1" s="1"/>
  <c r="F474" i="1"/>
  <c r="X698" i="1"/>
  <c r="Z698" i="1" s="1"/>
  <c r="F698" i="1"/>
  <c r="X446" i="1"/>
  <c r="Z446" i="1" s="1"/>
  <c r="F446" i="1"/>
  <c r="X779" i="1"/>
  <c r="Z779" i="1" s="1"/>
  <c r="F779" i="1"/>
  <c r="X221" i="1"/>
  <c r="Z221" i="1" s="1"/>
  <c r="F221" i="1"/>
  <c r="X914" i="1"/>
  <c r="Z914" i="1" s="1"/>
  <c r="F914" i="1"/>
  <c r="X254" i="1"/>
  <c r="Z254" i="1" s="1"/>
  <c r="F254" i="1"/>
  <c r="X440" i="1"/>
  <c r="Z440" i="1" s="1"/>
  <c r="F440" i="1"/>
  <c r="X767" i="1"/>
  <c r="Z767" i="1" s="1"/>
  <c r="F767" i="1"/>
  <c r="X758" i="1"/>
  <c r="Z758" i="1" s="1"/>
  <c r="F758" i="1"/>
  <c r="X1026" i="1"/>
  <c r="Z1026" i="1" s="1"/>
  <c r="F1026" i="1"/>
  <c r="X150" i="1"/>
  <c r="Z150" i="1" s="1"/>
  <c r="F150" i="1"/>
  <c r="X1008" i="1"/>
  <c r="Z1008" i="1" s="1"/>
  <c r="F1008" i="1"/>
  <c r="X1013" i="1"/>
  <c r="Z1013" i="1" s="1"/>
  <c r="F1013" i="1"/>
  <c r="X988" i="1"/>
  <c r="Z988" i="1" s="1"/>
  <c r="F988" i="1"/>
  <c r="X904" i="1"/>
  <c r="Z904" i="1" s="1"/>
  <c r="F904" i="1"/>
  <c r="X537" i="1"/>
  <c r="Z537" i="1" s="1"/>
  <c r="F537" i="1"/>
  <c r="X602" i="1"/>
  <c r="Z602" i="1" s="1"/>
  <c r="F602" i="1"/>
  <c r="X665" i="1"/>
  <c r="Z665" i="1" s="1"/>
  <c r="F665" i="1"/>
  <c r="X729" i="1"/>
  <c r="Z729" i="1" s="1"/>
  <c r="F729" i="1"/>
  <c r="X969" i="1"/>
  <c r="Z969" i="1" s="1"/>
  <c r="F969" i="1"/>
  <c r="X813" i="1"/>
  <c r="Z813" i="1" s="1"/>
  <c r="F813" i="1"/>
  <c r="X1000" i="1"/>
  <c r="Z1000" i="1" s="1"/>
  <c r="F1000" i="1"/>
  <c r="X890" i="1"/>
  <c r="Z890" i="1" s="1"/>
  <c r="F890" i="1"/>
  <c r="X68" i="1"/>
  <c r="Z68" i="1" s="1"/>
  <c r="F68" i="1"/>
  <c r="X737" i="1"/>
  <c r="Z737" i="1" s="1"/>
  <c r="F737" i="1"/>
  <c r="X972" i="1"/>
  <c r="Z972" i="1" s="1"/>
  <c r="F972" i="1"/>
  <c r="X821" i="1"/>
  <c r="Z821" i="1" s="1"/>
  <c r="F821" i="1"/>
  <c r="X543" i="1"/>
  <c r="Z543" i="1" s="1"/>
  <c r="F543" i="1"/>
  <c r="X517" i="1"/>
  <c r="Z517" i="1" s="1"/>
  <c r="F517" i="1"/>
  <c r="X533" i="1"/>
  <c r="Z533" i="1" s="1"/>
  <c r="F533" i="1"/>
  <c r="X566" i="1"/>
  <c r="Z566" i="1" s="1"/>
  <c r="F566" i="1"/>
  <c r="X629" i="1"/>
  <c r="Z629" i="1" s="1"/>
  <c r="F629" i="1"/>
  <c r="X661" i="1"/>
  <c r="Z661" i="1" s="1"/>
  <c r="F661" i="1"/>
  <c r="X884" i="1"/>
  <c r="Z884" i="1" s="1"/>
  <c r="F884" i="1"/>
  <c r="X989" i="1"/>
  <c r="Z989" i="1" s="1"/>
  <c r="F989" i="1"/>
  <c r="X561" i="1"/>
  <c r="Z561" i="1" s="1"/>
  <c r="F561" i="1"/>
  <c r="X657" i="1"/>
  <c r="Z657" i="1" s="1"/>
  <c r="F657" i="1"/>
  <c r="X127" i="1"/>
  <c r="Z127" i="1" s="1"/>
  <c r="F127" i="1"/>
  <c r="X955" i="1"/>
  <c r="Z955" i="1" s="1"/>
  <c r="F955" i="1"/>
  <c r="X878" i="1"/>
  <c r="Z878" i="1" s="1"/>
  <c r="F878" i="1"/>
  <c r="X693" i="1"/>
  <c r="Z693" i="1" s="1"/>
  <c r="F693" i="1"/>
  <c r="X667" i="1"/>
  <c r="Z667" i="1" s="1"/>
  <c r="F667" i="1"/>
  <c r="X511" i="1"/>
  <c r="Z511" i="1" s="1"/>
  <c r="F511" i="1"/>
  <c r="X343" i="1"/>
  <c r="Z343" i="1" s="1"/>
  <c r="F343" i="1"/>
  <c r="X646" i="1"/>
  <c r="Z646" i="1" s="1"/>
  <c r="F646" i="1"/>
  <c r="X663" i="1"/>
  <c r="Z663" i="1" s="1"/>
  <c r="F663" i="1"/>
  <c r="X130" i="1"/>
  <c r="Z130" i="1" s="1"/>
  <c r="F130" i="1"/>
  <c r="X179" i="1"/>
  <c r="Z179" i="1" s="1"/>
  <c r="F179" i="1"/>
  <c r="X760" i="1"/>
  <c r="Z760" i="1" s="1"/>
  <c r="F760" i="1"/>
  <c r="X299" i="1"/>
  <c r="Z299" i="1" s="1"/>
  <c r="F299" i="1"/>
  <c r="X57" i="1"/>
  <c r="Z57" i="1" s="1"/>
  <c r="F57" i="1"/>
  <c r="X1031" i="1"/>
  <c r="Z1031" i="1" s="1"/>
  <c r="F1031" i="1"/>
  <c r="X1014" i="1"/>
  <c r="Z1014" i="1" s="1"/>
  <c r="F1014" i="1"/>
  <c r="X573" i="1"/>
  <c r="Z573" i="1" s="1"/>
  <c r="F573" i="1"/>
  <c r="X410" i="1"/>
  <c r="Z410" i="1" s="1"/>
  <c r="F410" i="1"/>
  <c r="X265" i="1"/>
  <c r="Z265" i="1" s="1"/>
  <c r="F265" i="1"/>
  <c r="X156" i="1"/>
  <c r="Z156" i="1" s="1"/>
  <c r="F156" i="1"/>
  <c r="X575" i="1"/>
  <c r="Z575" i="1" s="1"/>
  <c r="F575" i="1"/>
  <c r="X991" i="1"/>
  <c r="Z991" i="1" s="1"/>
  <c r="F991" i="1"/>
  <c r="X1038" i="1"/>
  <c r="Z1038" i="1" s="1"/>
  <c r="F1038" i="1"/>
  <c r="X415" i="1"/>
  <c r="Z415" i="1" s="1"/>
  <c r="F415" i="1"/>
  <c r="X985" i="1"/>
  <c r="Z985" i="1" s="1"/>
  <c r="F985" i="1"/>
  <c r="X287" i="1"/>
  <c r="Z287" i="1" s="1"/>
  <c r="F287" i="1"/>
  <c r="X253" i="1"/>
  <c r="Z253" i="1" s="1"/>
  <c r="F253" i="1"/>
  <c r="X874" i="1"/>
  <c r="Z874" i="1" s="1"/>
  <c r="F874" i="1"/>
  <c r="X207" i="1"/>
  <c r="Z207" i="1" s="1"/>
  <c r="F207" i="1"/>
  <c r="X279" i="1"/>
  <c r="Z279" i="1" s="1"/>
  <c r="F279" i="1"/>
  <c r="X701" i="1"/>
  <c r="Z701" i="1" s="1"/>
  <c r="F701" i="1"/>
  <c r="X131" i="1"/>
  <c r="Z131" i="1" s="1"/>
  <c r="F131" i="1"/>
  <c r="X762" i="1"/>
  <c r="Z762" i="1" s="1"/>
  <c r="F762" i="1"/>
  <c r="X429" i="1"/>
  <c r="Z429" i="1" s="1"/>
  <c r="F429" i="1"/>
  <c r="X610" i="1"/>
  <c r="Z610" i="1" s="1"/>
  <c r="F610" i="1"/>
  <c r="X675" i="1"/>
  <c r="Z675" i="1" s="1"/>
  <c r="F675" i="1"/>
  <c r="X459" i="1"/>
  <c r="Z459" i="1" s="1"/>
  <c r="F459" i="1"/>
  <c r="X507" i="1"/>
  <c r="Z507" i="1" s="1"/>
  <c r="F507" i="1"/>
  <c r="X618" i="1"/>
  <c r="Z618" i="1" s="1"/>
  <c r="F618" i="1"/>
  <c r="X364" i="1"/>
  <c r="Z364" i="1" s="1"/>
  <c r="F364" i="1"/>
  <c r="X260" i="1"/>
  <c r="Z260" i="1" s="1"/>
  <c r="F260" i="1"/>
  <c r="X970" i="1"/>
  <c r="Z970" i="1" s="1"/>
  <c r="F970" i="1"/>
  <c r="X307" i="1"/>
  <c r="Z307" i="1" s="1"/>
  <c r="F307" i="1"/>
  <c r="X491" i="1"/>
  <c r="Z491" i="1" s="1"/>
  <c r="F491" i="1"/>
  <c r="X497" i="1"/>
  <c r="Z497" i="1" s="1"/>
  <c r="F497" i="1"/>
  <c r="X743" i="1"/>
  <c r="Z743" i="1" s="1"/>
  <c r="F743" i="1"/>
  <c r="X919" i="1"/>
  <c r="Z919" i="1" s="1"/>
  <c r="F919" i="1"/>
  <c r="X691" i="1"/>
  <c r="Z691" i="1" s="1"/>
  <c r="F691" i="1"/>
  <c r="X504" i="1"/>
  <c r="Z504" i="1" s="1"/>
  <c r="F504" i="1"/>
  <c r="X671" i="1"/>
  <c r="Z671" i="1" s="1"/>
  <c r="F671" i="1"/>
  <c r="X870" i="1"/>
  <c r="Z870" i="1" s="1"/>
  <c r="F870" i="1"/>
  <c r="X805" i="1"/>
  <c r="Z805" i="1" s="1"/>
  <c r="F805" i="1"/>
  <c r="X212" i="1"/>
  <c r="Z212" i="1" s="1"/>
  <c r="F212" i="1"/>
  <c r="X722" i="1"/>
  <c r="Z722" i="1" s="1"/>
  <c r="F722" i="1"/>
  <c r="X457" i="1"/>
  <c r="Z457" i="1" s="1"/>
  <c r="F457" i="1"/>
  <c r="X977" i="1"/>
  <c r="Z977" i="1" s="1"/>
  <c r="F977" i="1"/>
  <c r="X571" i="1"/>
  <c r="Z571" i="1" s="1"/>
  <c r="F571" i="1"/>
  <c r="X465" i="1"/>
  <c r="Z465" i="1" s="1"/>
  <c r="F465" i="1"/>
  <c r="X544" i="1"/>
  <c r="Z544" i="1" s="1"/>
  <c r="F544" i="1"/>
  <c r="X726" i="1"/>
  <c r="Z726" i="1" s="1"/>
  <c r="F726" i="1"/>
  <c r="X759" i="1"/>
  <c r="Z759" i="1" s="1"/>
  <c r="F759" i="1"/>
  <c r="X822" i="1"/>
  <c r="Z822" i="1" s="1"/>
  <c r="F822" i="1"/>
  <c r="X406" i="1"/>
  <c r="Z406" i="1" s="1"/>
  <c r="F406" i="1"/>
  <c r="X492" i="1"/>
  <c r="Z492" i="1" s="1"/>
  <c r="F492" i="1"/>
  <c r="X906" i="1"/>
  <c r="Z906" i="1" s="1"/>
  <c r="F906" i="1"/>
  <c r="X250" i="1"/>
  <c r="Z250" i="1" s="1"/>
  <c r="F250" i="1"/>
  <c r="X854" i="1"/>
  <c r="Z854" i="1" s="1"/>
  <c r="F854" i="1"/>
  <c r="X350" i="1"/>
  <c r="Z350" i="1" s="1"/>
  <c r="F350" i="1"/>
  <c r="X192" i="1"/>
  <c r="Z192" i="1" s="1"/>
  <c r="F192" i="1"/>
  <c r="X209" i="1"/>
  <c r="Z209" i="1" s="1"/>
  <c r="F209" i="1"/>
  <c r="X530" i="1"/>
  <c r="Z530" i="1" s="1"/>
  <c r="F530" i="1"/>
  <c r="X651" i="1"/>
  <c r="Z651" i="1" s="1"/>
  <c r="F651" i="1"/>
  <c r="X596" i="1"/>
  <c r="Z596" i="1" s="1"/>
  <c r="F596" i="1"/>
  <c r="X1027" i="1"/>
  <c r="Z1027" i="1" s="1"/>
  <c r="F1027" i="1"/>
  <c r="X1032" i="1"/>
  <c r="Z1032" i="1" s="1"/>
  <c r="F1032" i="1"/>
  <c r="X470" i="1"/>
  <c r="Z470" i="1" s="1"/>
  <c r="F470" i="1"/>
  <c r="X426" i="1"/>
  <c r="Z426" i="1" s="1"/>
  <c r="F426" i="1"/>
  <c r="X396" i="1"/>
  <c r="Z396" i="1" s="1"/>
  <c r="F396" i="1"/>
  <c r="X621" i="1"/>
  <c r="Z621" i="1" s="1"/>
  <c r="F621" i="1"/>
  <c r="X685" i="1"/>
  <c r="Z685" i="1" s="1"/>
  <c r="F685" i="1"/>
  <c r="X688" i="1"/>
  <c r="Z688" i="1" s="1"/>
  <c r="F688" i="1"/>
  <c r="X736" i="1"/>
  <c r="Z736" i="1" s="1"/>
  <c r="F736" i="1"/>
  <c r="X568" i="1"/>
  <c r="Z568" i="1" s="1"/>
  <c r="F568" i="1"/>
  <c r="X973" i="1"/>
  <c r="Z973" i="1" s="1"/>
  <c r="F973" i="1"/>
  <c r="X980" i="1"/>
  <c r="Z980" i="1" s="1"/>
  <c r="F980" i="1"/>
  <c r="X809" i="1"/>
  <c r="Z809" i="1" s="1"/>
  <c r="F809" i="1"/>
  <c r="X213" i="1"/>
  <c r="Z213" i="1" s="1"/>
  <c r="F213" i="1"/>
  <c r="X818" i="1"/>
  <c r="Z818" i="1" s="1"/>
  <c r="F818" i="1"/>
  <c r="X182" i="1"/>
  <c r="Z182" i="1" s="1"/>
  <c r="F182" i="1"/>
  <c r="X946" i="1"/>
  <c r="Z946" i="1" s="1"/>
  <c r="F946" i="1"/>
  <c r="X896" i="1"/>
  <c r="Z896" i="1" s="1"/>
  <c r="F896" i="1"/>
  <c r="X185" i="1"/>
  <c r="Z185" i="1" s="1"/>
  <c r="F185" i="1"/>
  <c r="X930" i="1"/>
  <c r="Z930" i="1" s="1"/>
  <c r="F930" i="1"/>
  <c r="X627" i="1"/>
  <c r="Z627" i="1" s="1"/>
  <c r="F627" i="1"/>
  <c r="X283" i="1"/>
  <c r="Z283" i="1" s="1"/>
  <c r="F283" i="1"/>
  <c r="X700" i="1"/>
  <c r="Z700" i="1" s="1"/>
  <c r="F700" i="1"/>
  <c r="X236" i="1"/>
  <c r="Z236" i="1" s="1"/>
  <c r="F236" i="1"/>
  <c r="X727" i="1"/>
  <c r="Z727" i="1" s="1"/>
  <c r="F727" i="1"/>
  <c r="X996" i="1"/>
  <c r="Z996" i="1" s="1"/>
  <c r="F996" i="1"/>
  <c r="X929" i="1"/>
  <c r="Z929" i="1" s="1"/>
  <c r="F929" i="1"/>
  <c r="X552" i="1"/>
  <c r="Z552" i="1" s="1"/>
  <c r="F552" i="1"/>
  <c r="X263" i="1"/>
  <c r="Z263" i="1" s="1"/>
  <c r="F263" i="1"/>
  <c r="X242" i="1"/>
  <c r="Z242" i="1" s="1"/>
  <c r="F242" i="1"/>
  <c r="X329" i="1"/>
  <c r="Z329" i="1" s="1"/>
  <c r="F329" i="1"/>
  <c r="X34" i="1"/>
  <c r="Z34" i="1" s="1"/>
  <c r="F34" i="1"/>
  <c r="X802" i="1"/>
  <c r="Z802" i="1" s="1"/>
  <c r="F802" i="1"/>
  <c r="X391" i="1"/>
  <c r="Z391" i="1" s="1"/>
  <c r="F391" i="1"/>
  <c r="X866" i="1"/>
  <c r="Z866" i="1" s="1"/>
  <c r="F866" i="1"/>
  <c r="X524" i="1"/>
  <c r="Z524" i="1" s="1"/>
  <c r="F524" i="1"/>
  <c r="X683" i="1"/>
  <c r="Z683" i="1" s="1"/>
  <c r="F683" i="1"/>
  <c r="X928" i="1"/>
  <c r="Z928" i="1" s="1"/>
  <c r="F928" i="1"/>
  <c r="X36" i="1"/>
  <c r="Z36" i="1" s="1"/>
  <c r="F36" i="1"/>
  <c r="X554" i="1"/>
  <c r="Z554" i="1" s="1"/>
  <c r="F554" i="1"/>
  <c r="X434" i="1"/>
  <c r="Z434" i="1" s="1"/>
  <c r="F434" i="1"/>
  <c r="X640" i="1"/>
  <c r="Z640" i="1" s="1"/>
  <c r="F640" i="1"/>
  <c r="X684" i="1"/>
  <c r="Z684" i="1" s="1"/>
  <c r="F684" i="1"/>
  <c r="X388" i="1"/>
  <c r="Z388" i="1" s="1"/>
  <c r="F388" i="1"/>
  <c r="X26" i="1"/>
  <c r="Z26" i="1" s="1"/>
  <c r="F26" i="1"/>
  <c r="X1033" i="1"/>
  <c r="Z1033" i="1" s="1"/>
  <c r="F1033" i="1"/>
  <c r="X871" i="1"/>
  <c r="Z871" i="1" s="1"/>
  <c r="F871" i="1"/>
  <c r="X542" i="1"/>
  <c r="Z542" i="1" s="1"/>
  <c r="F542" i="1"/>
  <c r="X464" i="1"/>
  <c r="Z464" i="1" s="1"/>
  <c r="F464" i="1"/>
  <c r="X590" i="1"/>
  <c r="Z590" i="1" s="1"/>
  <c r="F590" i="1"/>
  <c r="X637" i="1"/>
  <c r="Z637" i="1" s="1"/>
  <c r="F637" i="1"/>
  <c r="X719" i="1"/>
  <c r="Z719" i="1" s="1"/>
  <c r="F719" i="1"/>
  <c r="X519" i="1"/>
  <c r="Z519" i="1" s="1"/>
  <c r="F519" i="1"/>
  <c r="X784" i="1"/>
  <c r="Z784" i="1" s="1"/>
  <c r="F784" i="1"/>
  <c r="X567" i="1"/>
  <c r="Z567" i="1" s="1"/>
  <c r="F567" i="1"/>
  <c r="X647" i="1"/>
  <c r="Z647" i="1" s="1"/>
  <c r="F647" i="1"/>
  <c r="X815" i="1"/>
  <c r="Z815" i="1" s="1"/>
  <c r="F815" i="1"/>
  <c r="X1015" i="1"/>
  <c r="Z1015" i="1" s="1"/>
  <c r="F1015" i="1"/>
  <c r="X986" i="1"/>
  <c r="Z986" i="1" s="1"/>
  <c r="F986" i="1"/>
  <c r="X862" i="1"/>
  <c r="Z862" i="1" s="1"/>
  <c r="F862" i="1"/>
  <c r="X850" i="1"/>
  <c r="Z850" i="1" s="1"/>
  <c r="F850" i="1"/>
  <c r="X902" i="1"/>
  <c r="Z902" i="1" s="1"/>
  <c r="F902" i="1"/>
  <c r="X631" i="1"/>
  <c r="Z631" i="1" s="1"/>
  <c r="F631" i="1"/>
  <c r="X868" i="1"/>
  <c r="Z868" i="1" s="1"/>
  <c r="F868" i="1"/>
  <c r="X526" i="1"/>
  <c r="Z526" i="1" s="1"/>
  <c r="F526" i="1"/>
  <c r="X997" i="1"/>
  <c r="Z997" i="1" s="1"/>
  <c r="F997" i="1"/>
  <c r="X789" i="1"/>
  <c r="Z789" i="1" s="1"/>
  <c r="F789" i="1"/>
  <c r="X724" i="1"/>
  <c r="Z724" i="1" s="1"/>
  <c r="F724" i="1"/>
  <c r="X509" i="1"/>
  <c r="Z509" i="1" s="1"/>
  <c r="F509" i="1"/>
  <c r="X278" i="1"/>
  <c r="Z278" i="1" s="1"/>
  <c r="F278" i="1"/>
  <c r="X720" i="1"/>
  <c r="Z720" i="1" s="1"/>
  <c r="F720" i="1"/>
  <c r="X656" i="1"/>
  <c r="Z656" i="1" s="1"/>
  <c r="F656" i="1"/>
  <c r="X931" i="1"/>
  <c r="Z931" i="1" s="1"/>
  <c r="F931" i="1"/>
  <c r="X819" i="1"/>
  <c r="Z819" i="1" s="1"/>
  <c r="F819" i="1"/>
  <c r="X898" i="1"/>
  <c r="Z898" i="1" s="1"/>
  <c r="F898" i="1"/>
  <c r="X754" i="1"/>
  <c r="Z754" i="1" s="1"/>
  <c r="F754" i="1"/>
  <c r="X764" i="1"/>
  <c r="Z764" i="1" s="1"/>
  <c r="F764" i="1"/>
  <c r="X687" i="1"/>
  <c r="Z687" i="1" s="1"/>
  <c r="F687" i="1"/>
  <c r="L287" i="1"/>
  <c r="N287" i="1" s="1"/>
  <c r="O287" i="1" s="1"/>
  <c r="L719" i="1"/>
  <c r="L638" i="1"/>
  <c r="L865" i="1"/>
  <c r="N865" i="1" s="1"/>
  <c r="O865" i="1" s="1"/>
  <c r="R385" i="1"/>
  <c r="Q404" i="1"/>
  <c r="R404" i="1" s="1"/>
  <c r="Q919" i="1"/>
  <c r="R919" i="1" s="1"/>
  <c r="N408" i="1"/>
  <c r="O408" i="1" s="1"/>
  <c r="K817" i="1"/>
  <c r="L817" i="1" s="1"/>
  <c r="N817" i="1" s="1"/>
  <c r="O817" i="1" s="1"/>
  <c r="Q77" i="1"/>
  <c r="Q432" i="1"/>
  <c r="R432" i="1" s="1"/>
  <c r="Q719" i="1"/>
  <c r="R719" i="1" s="1"/>
  <c r="L973" i="1"/>
  <c r="N973" i="1" s="1"/>
  <c r="O973" i="1" s="1"/>
  <c r="Q667" i="1"/>
  <c r="Q315" i="1"/>
  <c r="K76" i="1"/>
  <c r="Q866" i="1"/>
  <c r="R866" i="1" s="1"/>
  <c r="S393" i="1"/>
  <c r="R488" i="1"/>
  <c r="K364" i="1"/>
  <c r="K666" i="1"/>
  <c r="K416" i="1"/>
  <c r="Q545" i="1"/>
  <c r="K761" i="1"/>
  <c r="R417" i="1"/>
  <c r="K113" i="1"/>
  <c r="Q458" i="1"/>
  <c r="R647" i="1"/>
  <c r="R583" i="1"/>
  <c r="R519" i="1"/>
  <c r="R455" i="1"/>
  <c r="K478" i="1"/>
  <c r="Q473" i="1"/>
  <c r="R473" i="1" s="1"/>
  <c r="S357" i="1"/>
  <c r="R717" i="1"/>
  <c r="Q556" i="1"/>
  <c r="R398" i="1"/>
  <c r="S931" i="1"/>
  <c r="S486" i="1"/>
  <c r="Q301" i="1"/>
  <c r="R301" i="1" s="1"/>
  <c r="K616" i="1"/>
  <c r="L616" i="1" s="1"/>
  <c r="N616" i="1" s="1"/>
  <c r="O616" i="1" s="1"/>
  <c r="S166" i="1"/>
  <c r="K91" i="1"/>
  <c r="S621" i="1"/>
  <c r="Q932" i="1"/>
  <c r="R932" i="1" s="1"/>
  <c r="U932" i="1" s="1"/>
  <c r="V932" i="1" s="1"/>
  <c r="K867" i="1"/>
  <c r="K187" i="1"/>
  <c r="Q818" i="1"/>
  <c r="R818" i="1" s="1"/>
  <c r="K722" i="1"/>
  <c r="L722" i="1" s="1"/>
  <c r="N722" i="1" s="1"/>
  <c r="O722" i="1" s="1"/>
  <c r="R625" i="1"/>
  <c r="Q401" i="1"/>
  <c r="R401" i="1" s="1"/>
  <c r="S373" i="1"/>
  <c r="S72" i="1"/>
  <c r="K717" i="1"/>
  <c r="L717" i="1" s="1"/>
  <c r="S538" i="1"/>
  <c r="Q1030" i="1"/>
  <c r="S852" i="1"/>
  <c r="R767" i="1"/>
  <c r="S668" i="1"/>
  <c r="Q694" i="1"/>
  <c r="S374" i="1"/>
  <c r="S300" i="1"/>
  <c r="K44" i="1"/>
  <c r="Q1019" i="1"/>
  <c r="Q375" i="1"/>
  <c r="R375" i="1" s="1"/>
  <c r="K375" i="1"/>
  <c r="L375" i="1" s="1"/>
  <c r="K431" i="1"/>
  <c r="L431" i="1" s="1"/>
  <c r="Q431" i="1"/>
  <c r="R431" i="1" s="1"/>
  <c r="Q295" i="1"/>
  <c r="R295" i="1" s="1"/>
  <c r="K295" i="1"/>
  <c r="K762" i="1"/>
  <c r="Q762" i="1"/>
  <c r="R762" i="1" s="1"/>
  <c r="S466" i="1"/>
  <c r="Q771" i="1"/>
  <c r="K771" i="1"/>
  <c r="Q292" i="1"/>
  <c r="R292" i="1" s="1"/>
  <c r="K292" i="1"/>
  <c r="S123" i="1"/>
  <c r="S888" i="1"/>
  <c r="K594" i="1"/>
  <c r="Q594" i="1"/>
  <c r="S589" i="1"/>
  <c r="S322" i="1"/>
  <c r="Q388" i="1"/>
  <c r="R388" i="1" s="1"/>
  <c r="K388" i="1"/>
  <c r="L388" i="1" s="1"/>
  <c r="N388" i="1" s="1"/>
  <c r="O388" i="1" s="1"/>
  <c r="S299" i="1"/>
  <c r="S31" i="1"/>
  <c r="S714" i="1"/>
  <c r="K769" i="1"/>
  <c r="L769" i="1" s="1"/>
  <c r="N769" i="1" s="1"/>
  <c r="O769" i="1" s="1"/>
  <c r="Q769" i="1"/>
  <c r="R769" i="1" s="1"/>
  <c r="S1023" i="1"/>
  <c r="K721" i="1"/>
  <c r="L721" i="1" s="1"/>
  <c r="N721" i="1" s="1"/>
  <c r="O721" i="1" s="1"/>
  <c r="L653" i="1"/>
  <c r="Q797" i="1"/>
  <c r="R797" i="1" s="1"/>
  <c r="K964" i="1"/>
  <c r="R653" i="1"/>
  <c r="Q1016" i="1"/>
  <c r="R1016" i="1" s="1"/>
  <c r="Q868" i="1"/>
  <c r="R868" i="1" s="1"/>
  <c r="S755" i="1"/>
  <c r="S627" i="1"/>
  <c r="S597" i="1"/>
  <c r="K219" i="1"/>
  <c r="L219" i="1" s="1"/>
  <c r="N219" i="1" s="1"/>
  <c r="O219" i="1" s="1"/>
  <c r="K1038" i="1"/>
  <c r="Q802" i="1"/>
  <c r="R802" i="1" s="1"/>
  <c r="S601" i="1"/>
  <c r="K398" i="1"/>
  <c r="L398" i="1" s="1"/>
  <c r="N398" i="1" s="1"/>
  <c r="O398" i="1" s="1"/>
  <c r="S141" i="1"/>
  <c r="Q445" i="1"/>
  <c r="Q381" i="1"/>
  <c r="S118" i="1"/>
  <c r="K856" i="1"/>
  <c r="L488" i="1"/>
  <c r="N488" i="1" s="1"/>
  <c r="O488" i="1" s="1"/>
  <c r="Q408" i="1"/>
  <c r="R408" i="1" s="1"/>
  <c r="Q376" i="1"/>
  <c r="S585" i="1"/>
  <c r="S504" i="1"/>
  <c r="S116" i="1"/>
  <c r="S927" i="1"/>
  <c r="K883" i="1"/>
  <c r="S443" i="1"/>
  <c r="S998" i="1"/>
  <c r="K714" i="1"/>
  <c r="L714" i="1" s="1"/>
  <c r="N714" i="1" s="1"/>
  <c r="O714" i="1" s="1"/>
  <c r="K405" i="1"/>
  <c r="L405" i="1" s="1"/>
  <c r="S764" i="1"/>
  <c r="N540" i="1"/>
  <c r="O540" i="1" s="1"/>
  <c r="K464" i="1"/>
  <c r="L464" i="1" s="1"/>
  <c r="N464" i="1" s="1"/>
  <c r="O464" i="1" s="1"/>
  <c r="S364" i="1"/>
  <c r="Q941" i="1"/>
  <c r="R941" i="1" s="1"/>
  <c r="L525" i="1"/>
  <c r="S1016" i="1"/>
  <c r="S908" i="1"/>
  <c r="K847" i="1"/>
  <c r="L847" i="1" s="1"/>
  <c r="N847" i="1" s="1"/>
  <c r="O847" i="1" s="1"/>
  <c r="N774" i="1"/>
  <c r="O774" i="1" s="1"/>
  <c r="R758" i="1"/>
  <c r="L402" i="1"/>
  <c r="N402" i="1" s="1"/>
  <c r="O402" i="1" s="1"/>
  <c r="L26" i="1"/>
  <c r="S571" i="1"/>
  <c r="L1015" i="1"/>
  <c r="N1015" i="1" s="1"/>
  <c r="O1015" i="1" s="1"/>
  <c r="Q601" i="1"/>
  <c r="R601" i="1" s="1"/>
  <c r="Q474" i="1"/>
  <c r="R474" i="1" s="1"/>
  <c r="L767" i="1"/>
  <c r="N767" i="1" s="1"/>
  <c r="O767" i="1" s="1"/>
  <c r="S476" i="1"/>
  <c r="S785" i="1"/>
  <c r="L647" i="1"/>
  <c r="N647" i="1" s="1"/>
  <c r="O647" i="1" s="1"/>
  <c r="L455" i="1"/>
  <c r="K82" i="1"/>
  <c r="S726" i="1"/>
  <c r="L542" i="1"/>
  <c r="N542" i="1" s="1"/>
  <c r="O542" i="1" s="1"/>
  <c r="Q812" i="1"/>
  <c r="S964" i="1"/>
  <c r="K739" i="1"/>
  <c r="L739" i="1" s="1"/>
  <c r="N739" i="1" s="1"/>
  <c r="O739" i="1" s="1"/>
  <c r="K325" i="1"/>
  <c r="L325" i="1" s="1"/>
  <c r="N325" i="1" s="1"/>
  <c r="O325" i="1" s="1"/>
  <c r="K199" i="1"/>
  <c r="Q199" i="1"/>
  <c r="S107" i="1"/>
  <c r="K577" i="1"/>
  <c r="Q577" i="1"/>
  <c r="K208" i="1"/>
  <c r="L208" i="1" s="1"/>
  <c r="Q208" i="1"/>
  <c r="R208" i="1" s="1"/>
  <c r="S262" i="1"/>
  <c r="S221" i="1"/>
  <c r="S65" i="1"/>
  <c r="S377" i="1"/>
  <c r="Q320" i="1"/>
  <c r="R320" i="1" s="1"/>
  <c r="K320" i="1"/>
  <c r="K265" i="1"/>
  <c r="L265" i="1" s="1"/>
  <c r="Q265" i="1"/>
  <c r="S193" i="1"/>
  <c r="S92" i="1"/>
  <c r="S634" i="1"/>
  <c r="Q268" i="1"/>
  <c r="R268" i="1" s="1"/>
  <c r="K268" i="1"/>
  <c r="L268" i="1" s="1"/>
  <c r="N268" i="1" s="1"/>
  <c r="O268" i="1" s="1"/>
  <c r="S75" i="1"/>
  <c r="Q462" i="1"/>
  <c r="R462" i="1" s="1"/>
  <c r="K462" i="1"/>
  <c r="L462" i="1" s="1"/>
  <c r="N462" i="1" s="1"/>
  <c r="O462" i="1" s="1"/>
  <c r="S428" i="1"/>
  <c r="S774" i="1"/>
  <c r="Q790" i="1"/>
  <c r="K790" i="1"/>
  <c r="L790" i="1" s="1"/>
  <c r="S855" i="1"/>
  <c r="Q374" i="1"/>
  <c r="K374" i="1"/>
  <c r="L374" i="1" s="1"/>
  <c r="N374" i="1" s="1"/>
  <c r="O374" i="1" s="1"/>
  <c r="S935" i="1"/>
  <c r="S1026" i="1"/>
  <c r="Q947" i="1"/>
  <c r="K947" i="1"/>
  <c r="S402" i="1"/>
  <c r="S332" i="1"/>
  <c r="K572" i="1"/>
  <c r="Q572" i="1"/>
  <c r="S540" i="1"/>
  <c r="S417" i="1"/>
  <c r="S331" i="1"/>
  <c r="Q456" i="1"/>
  <c r="K456" i="1"/>
  <c r="Q844" i="1"/>
  <c r="R844" i="1" s="1"/>
  <c r="K844" i="1"/>
  <c r="L844" i="1" s="1"/>
  <c r="Q682" i="1"/>
  <c r="R682" i="1" s="1"/>
  <c r="S643" i="1"/>
  <c r="S535" i="1"/>
  <c r="S467" i="1"/>
  <c r="K994" i="1"/>
  <c r="K514" i="1"/>
  <c r="L514" i="1" s="1"/>
  <c r="N514" i="1" s="1"/>
  <c r="O514" i="1" s="1"/>
  <c r="S302" i="1"/>
  <c r="K146" i="1"/>
  <c r="L146" i="1" s="1"/>
  <c r="N146" i="1" s="1"/>
  <c r="O146" i="1" s="1"/>
  <c r="Q348" i="1"/>
  <c r="K237" i="1"/>
  <c r="L237" i="1" s="1"/>
  <c r="N237" i="1" s="1"/>
  <c r="O237" i="1" s="1"/>
  <c r="K125" i="1"/>
  <c r="S34" i="1"/>
  <c r="K805" i="1"/>
  <c r="K760" i="1"/>
  <c r="K520" i="1"/>
  <c r="L520" i="1" s="1"/>
  <c r="N520" i="1" s="1"/>
  <c r="O520" i="1" s="1"/>
  <c r="S420" i="1"/>
  <c r="K120" i="1"/>
  <c r="L120" i="1" s="1"/>
  <c r="N476" i="1"/>
  <c r="O476" i="1" s="1"/>
  <c r="R35" i="1"/>
  <c r="S543" i="1"/>
  <c r="Q886" i="1"/>
  <c r="R886" i="1" s="1"/>
  <c r="L863" i="1"/>
  <c r="N863" i="1" s="1"/>
  <c r="O863" i="1" s="1"/>
  <c r="S716" i="1"/>
  <c r="Q865" i="1"/>
  <c r="R865" i="1" s="1"/>
  <c r="Q737" i="1"/>
  <c r="S999" i="1"/>
  <c r="K303" i="1"/>
  <c r="S1022" i="1"/>
  <c r="L981" i="1"/>
  <c r="N981" i="1" s="1"/>
  <c r="O981" i="1" s="1"/>
  <c r="N935" i="1"/>
  <c r="O935" i="1" s="1"/>
  <c r="L278" i="1"/>
  <c r="N278" i="1" s="1"/>
  <c r="O278" i="1" s="1"/>
  <c r="K65" i="1"/>
  <c r="L65" i="1" s="1"/>
  <c r="N65" i="1" s="1"/>
  <c r="O65" i="1" s="1"/>
  <c r="R684" i="1"/>
  <c r="S408" i="1"/>
  <c r="S909" i="1"/>
  <c r="S422" i="1"/>
  <c r="K839" i="1"/>
  <c r="L839" i="1" s="1"/>
  <c r="N839" i="1" s="1"/>
  <c r="O839" i="1" s="1"/>
  <c r="S259" i="1"/>
  <c r="S223" i="1"/>
  <c r="L185" i="1"/>
  <c r="N185" i="1" s="1"/>
  <c r="O185" i="1" s="1"/>
  <c r="S138" i="1"/>
  <c r="S341" i="1"/>
  <c r="S684" i="1"/>
  <c r="N564" i="1"/>
  <c r="O564" i="1" s="1"/>
  <c r="K139" i="1"/>
  <c r="S202" i="1"/>
  <c r="K261" i="1"/>
  <c r="L261" i="1" s="1"/>
  <c r="N261" i="1" s="1"/>
  <c r="O261" i="1" s="1"/>
  <c r="K226" i="1"/>
  <c r="Q226" i="1"/>
  <c r="Q791" i="1"/>
  <c r="R791" i="1" s="1"/>
  <c r="K791" i="1"/>
  <c r="S282" i="1"/>
  <c r="Q96" i="1"/>
  <c r="K96" i="1"/>
  <c r="S498" i="1"/>
  <c r="S839" i="1"/>
  <c r="S657" i="1"/>
  <c r="S606" i="1"/>
  <c r="S201" i="1"/>
  <c r="S62" i="1"/>
  <c r="L1019" i="1"/>
  <c r="N1019" i="1" s="1"/>
  <c r="O1019" i="1" s="1"/>
  <c r="S924" i="1"/>
  <c r="S447" i="1"/>
  <c r="K132" i="1"/>
  <c r="Q132" i="1"/>
  <c r="R132" i="1" s="1"/>
  <c r="S748" i="1"/>
  <c r="S564" i="1"/>
  <c r="S741" i="1"/>
  <c r="Q718" i="1"/>
  <c r="K718" i="1"/>
  <c r="S323" i="1"/>
  <c r="K803" i="1"/>
  <c r="L803" i="1" s="1"/>
  <c r="N803" i="1" s="1"/>
  <c r="O803" i="1" s="1"/>
  <c r="Q803" i="1"/>
  <c r="R803" i="1" s="1"/>
  <c r="L987" i="1"/>
  <c r="N987" i="1" s="1"/>
  <c r="O987" i="1" s="1"/>
  <c r="Q635" i="1"/>
  <c r="R635" i="1" s="1"/>
  <c r="Q603" i="1"/>
  <c r="L946" i="1"/>
  <c r="S605" i="1"/>
  <c r="S494" i="1"/>
  <c r="N221" i="1"/>
  <c r="O221" i="1" s="1"/>
  <c r="S185" i="1"/>
  <c r="Q696" i="1"/>
  <c r="R696" i="1" s="1"/>
  <c r="S228" i="1"/>
  <c r="L35" i="1"/>
  <c r="R863" i="1"/>
  <c r="R525" i="1"/>
  <c r="K864" i="1"/>
  <c r="L864" i="1" s="1"/>
  <c r="N864" i="1" s="1"/>
  <c r="O864" i="1" s="1"/>
  <c r="S679" i="1"/>
  <c r="S507" i="1"/>
  <c r="S326" i="1"/>
  <c r="R998" i="1"/>
  <c r="N855" i="1"/>
  <c r="O855" i="1" s="1"/>
  <c r="S802" i="1"/>
  <c r="N748" i="1"/>
  <c r="O748" i="1" s="1"/>
  <c r="S677" i="1"/>
  <c r="R1015" i="1"/>
  <c r="K384" i="1"/>
  <c r="Q925" i="1"/>
  <c r="Q638" i="1"/>
  <c r="R638" i="1" s="1"/>
  <c r="S339" i="1"/>
  <c r="K86" i="1"/>
  <c r="L86" i="1" s="1"/>
  <c r="K637" i="1"/>
  <c r="Q446" i="1"/>
  <c r="R446" i="1" s="1"/>
  <c r="Q302" i="1"/>
  <c r="R302" i="1" s="1"/>
  <c r="R270" i="1"/>
  <c r="Q815" i="1"/>
  <c r="R815" i="1" s="1"/>
  <c r="S767" i="1"/>
  <c r="R628" i="1"/>
  <c r="L371" i="1"/>
  <c r="N371" i="1" s="1"/>
  <c r="O371" i="1" s="1"/>
  <c r="R981" i="1"/>
  <c r="R838" i="1"/>
  <c r="L758" i="1"/>
  <c r="N758" i="1" s="1"/>
  <c r="O758" i="1" s="1"/>
  <c r="R278" i="1"/>
  <c r="L254" i="1"/>
  <c r="N254" i="1" s="1"/>
  <c r="O254" i="1" s="1"/>
  <c r="R402" i="1"/>
  <c r="R26" i="1"/>
  <c r="L684" i="1"/>
  <c r="N684" i="1" s="1"/>
  <c r="O684" i="1" s="1"/>
  <c r="R800" i="1"/>
  <c r="R512" i="1"/>
  <c r="R654" i="1"/>
  <c r="N605" i="1"/>
  <c r="O605" i="1" s="1"/>
  <c r="R542" i="1"/>
  <c r="L644" i="1"/>
  <c r="N644" i="1" s="1"/>
  <c r="O644" i="1" s="1"/>
  <c r="R973" i="1"/>
  <c r="L640" i="1"/>
  <c r="L617" i="1"/>
  <c r="R891" i="1"/>
  <c r="R955" i="1"/>
  <c r="L910" i="1"/>
  <c r="L162" i="1"/>
  <c r="R701" i="1"/>
  <c r="R850" i="1"/>
  <c r="N1026" i="1"/>
  <c r="O1026" i="1" s="1"/>
  <c r="R371" i="1"/>
  <c r="L592" i="1"/>
  <c r="N592" i="1" s="1"/>
  <c r="O592" i="1" s="1"/>
  <c r="L531" i="1"/>
  <c r="R713" i="1"/>
  <c r="R781" i="1"/>
  <c r="L1011" i="1"/>
  <c r="N1011" i="1" s="1"/>
  <c r="O1011" i="1" s="1"/>
  <c r="L319" i="1"/>
  <c r="L390" i="1"/>
  <c r="N390" i="1" s="1"/>
  <c r="O390" i="1" s="1"/>
  <c r="L246" i="1"/>
  <c r="N246" i="1" s="1"/>
  <c r="O246" i="1" s="1"/>
  <c r="R319" i="1"/>
  <c r="L998" i="1"/>
  <c r="N998" i="1" s="1"/>
  <c r="O998" i="1" s="1"/>
  <c r="L838" i="1"/>
  <c r="R254" i="1"/>
  <c r="L417" i="1"/>
  <c r="N417" i="1" s="1"/>
  <c r="O417" i="1" s="1"/>
  <c r="N716" i="1"/>
  <c r="O716" i="1" s="1"/>
  <c r="L800" i="1"/>
  <c r="N800" i="1" s="1"/>
  <c r="O800" i="1" s="1"/>
  <c r="L512" i="1"/>
  <c r="L583" i="1"/>
  <c r="N583" i="1" s="1"/>
  <c r="O583" i="1" s="1"/>
  <c r="L519" i="1"/>
  <c r="L654" i="1"/>
  <c r="L270" i="1"/>
  <c r="N270" i="1" s="1"/>
  <c r="O270" i="1" s="1"/>
  <c r="R185" i="1"/>
  <c r="R644" i="1"/>
  <c r="L628" i="1"/>
  <c r="N628" i="1" s="1"/>
  <c r="O628" i="1" s="1"/>
  <c r="R640" i="1"/>
  <c r="R118" i="1"/>
  <c r="L501" i="1"/>
  <c r="N585" i="1"/>
  <c r="O585" i="1" s="1"/>
  <c r="S1006" i="1"/>
  <c r="Q648" i="1"/>
  <c r="R648" i="1" s="1"/>
  <c r="S970" i="1"/>
  <c r="K335" i="1"/>
  <c r="Q335" i="1"/>
  <c r="S946" i="1"/>
  <c r="K1041" i="1"/>
  <c r="Q1041" i="1"/>
  <c r="S848" i="1"/>
  <c r="S590" i="1"/>
  <c r="Q510" i="1"/>
  <c r="K510" i="1"/>
  <c r="L510" i="1" s="1"/>
  <c r="S995" i="1"/>
  <c r="S442" i="1"/>
  <c r="Q902" i="1"/>
  <c r="K902" i="1"/>
  <c r="K966" i="1"/>
  <c r="L966" i="1" s="1"/>
  <c r="Q966" i="1"/>
  <c r="R966" i="1" s="1"/>
  <c r="S825" i="1"/>
  <c r="S360" i="1"/>
  <c r="S832" i="1"/>
  <c r="S654" i="1"/>
  <c r="Q685" i="1"/>
  <c r="K685" i="1"/>
  <c r="Q452" i="1"/>
  <c r="R452" i="1" s="1"/>
  <c r="K452" i="1"/>
  <c r="L452" i="1" s="1"/>
  <c r="N452" i="1" s="1"/>
  <c r="O452" i="1" s="1"/>
  <c r="S978" i="1"/>
  <c r="R895" i="1"/>
  <c r="L477" i="1"/>
  <c r="L376" i="1"/>
  <c r="N376" i="1" s="1"/>
  <c r="O376" i="1" s="1"/>
  <c r="L666" i="1"/>
  <c r="N666" i="1" s="1"/>
  <c r="O666" i="1" s="1"/>
  <c r="L686" i="1"/>
  <c r="N686" i="1" s="1"/>
  <c r="O686" i="1" s="1"/>
  <c r="L421" i="1"/>
  <c r="R736" i="1"/>
  <c r="R420" i="1"/>
  <c r="L589" i="1"/>
  <c r="N589" i="1" s="1"/>
  <c r="O589" i="1" s="1"/>
  <c r="L964" i="1"/>
  <c r="N964" i="1" s="1"/>
  <c r="O964" i="1" s="1"/>
  <c r="L895" i="1"/>
  <c r="L866" i="1"/>
  <c r="N866" i="1" s="1"/>
  <c r="O866" i="1" s="1"/>
  <c r="R755" i="1"/>
  <c r="N405" i="1"/>
  <c r="O405" i="1" s="1"/>
  <c r="R686" i="1"/>
  <c r="L736" i="1"/>
  <c r="N736" i="1" s="1"/>
  <c r="O736" i="1" s="1"/>
  <c r="R313" i="1"/>
  <c r="L152" i="1"/>
  <c r="N152" i="1" s="1"/>
  <c r="O152" i="1" s="1"/>
  <c r="D52" i="1"/>
  <c r="BA52" i="1"/>
  <c r="AV52" i="1"/>
  <c r="AW52" i="1" s="1"/>
  <c r="D56" i="1"/>
  <c r="BA56" i="1"/>
  <c r="AV56" i="1"/>
  <c r="AW56" i="1" s="1"/>
  <c r="D138" i="1"/>
  <c r="AV138" i="1"/>
  <c r="AW138" i="1" s="1"/>
  <c r="BA138" i="1"/>
  <c r="D77" i="1"/>
  <c r="BA77" i="1"/>
  <c r="AV77" i="1"/>
  <c r="AW77" i="1" s="1"/>
  <c r="D193" i="1"/>
  <c r="BA193" i="1"/>
  <c r="AV193" i="1"/>
  <c r="AW193" i="1" s="1"/>
  <c r="D309" i="1"/>
  <c r="AV309" i="1"/>
  <c r="AW309" i="1" s="1"/>
  <c r="BA309" i="1"/>
  <c r="D317" i="1"/>
  <c r="AV317" i="1"/>
  <c r="AW317" i="1" s="1"/>
  <c r="BA317" i="1"/>
  <c r="D281" i="1"/>
  <c r="BA281" i="1"/>
  <c r="AV281" i="1"/>
  <c r="AW281" i="1" s="1"/>
  <c r="D227" i="1"/>
  <c r="AV227" i="1"/>
  <c r="AW227" i="1" s="1"/>
  <c r="BA227" i="1"/>
  <c r="D64" i="1"/>
  <c r="AV64" i="1"/>
  <c r="AW64" i="1" s="1"/>
  <c r="BA64" i="1"/>
  <c r="D76" i="1"/>
  <c r="AV76" i="1"/>
  <c r="AW76" i="1" s="1"/>
  <c r="BA76" i="1"/>
  <c r="D29" i="1"/>
  <c r="AV29" i="1"/>
  <c r="AW29" i="1" s="1"/>
  <c r="BA29" i="1"/>
  <c r="D417" i="1"/>
  <c r="AV417" i="1"/>
  <c r="AW417" i="1" s="1"/>
  <c r="BA417" i="1"/>
  <c r="D342" i="1"/>
  <c r="AV342" i="1"/>
  <c r="AW342" i="1" s="1"/>
  <c r="BA342" i="1"/>
  <c r="D390" i="1"/>
  <c r="AV390" i="1"/>
  <c r="AW390" i="1" s="1"/>
  <c r="BA390" i="1"/>
  <c r="D270" i="1"/>
  <c r="BA270" i="1"/>
  <c r="AV270" i="1"/>
  <c r="AW270" i="1" s="1"/>
  <c r="D562" i="1"/>
  <c r="BA562" i="1"/>
  <c r="AV562" i="1"/>
  <c r="AW562" i="1" s="1"/>
  <c r="D384" i="1"/>
  <c r="BA384" i="1"/>
  <c r="AV384" i="1"/>
  <c r="AW384" i="1" s="1"/>
  <c r="D696" i="1"/>
  <c r="BA696" i="1"/>
  <c r="AV696" i="1"/>
  <c r="AW696" i="1" s="1"/>
  <c r="D756" i="1"/>
  <c r="AV756" i="1"/>
  <c r="AW756" i="1" s="1"/>
  <c r="BA756" i="1"/>
  <c r="D620" i="1"/>
  <c r="AV620" i="1"/>
  <c r="AW620" i="1" s="1"/>
  <c r="BA620" i="1"/>
  <c r="D1002" i="1"/>
  <c r="AV1002" i="1"/>
  <c r="AW1002" i="1" s="1"/>
  <c r="BA1002" i="1"/>
  <c r="D518" i="1"/>
  <c r="BA518" i="1"/>
  <c r="AV518" i="1"/>
  <c r="AW518" i="1" s="1"/>
  <c r="D630" i="1"/>
  <c r="AV630" i="1"/>
  <c r="AW630" i="1" s="1"/>
  <c r="BA630" i="1"/>
  <c r="D444" i="1"/>
  <c r="AV444" i="1"/>
  <c r="AW444" i="1" s="1"/>
  <c r="BA444" i="1"/>
  <c r="D624" i="1"/>
  <c r="AV624" i="1"/>
  <c r="AW624" i="1" s="1"/>
  <c r="BA624" i="1"/>
  <c r="D840" i="1"/>
  <c r="BA840" i="1"/>
  <c r="AV840" i="1"/>
  <c r="AW840" i="1" s="1"/>
  <c r="D766" i="1"/>
  <c r="AV766" i="1"/>
  <c r="AW766" i="1" s="1"/>
  <c r="BA766" i="1"/>
  <c r="D677" i="1"/>
  <c r="AV677" i="1"/>
  <c r="AW677" i="1" s="1"/>
  <c r="BA677" i="1"/>
  <c r="D490" i="1"/>
  <c r="AV490" i="1"/>
  <c r="AW490" i="1" s="1"/>
  <c r="BA490" i="1"/>
  <c r="D432" i="1"/>
  <c r="AV432" i="1"/>
  <c r="AW432" i="1" s="1"/>
  <c r="BA432" i="1"/>
  <c r="D512" i="1"/>
  <c r="BA512" i="1"/>
  <c r="AV512" i="1"/>
  <c r="AW512" i="1" s="1"/>
  <c r="D812" i="1"/>
  <c r="AV812" i="1"/>
  <c r="AW812" i="1" s="1"/>
  <c r="BA812" i="1"/>
  <c r="D588" i="1"/>
  <c r="BA588" i="1"/>
  <c r="AV588" i="1"/>
  <c r="AW588" i="1" s="1"/>
  <c r="D962" i="1"/>
  <c r="AV962" i="1"/>
  <c r="AW962" i="1" s="1"/>
  <c r="BA962" i="1"/>
  <c r="D478" i="1"/>
  <c r="AV478" i="1"/>
  <c r="AW478" i="1" s="1"/>
  <c r="BA478" i="1"/>
  <c r="D461" i="1"/>
  <c r="BA461" i="1"/>
  <c r="AV461" i="1"/>
  <c r="AW461" i="1" s="1"/>
  <c r="D832" i="1"/>
  <c r="AV832" i="1"/>
  <c r="AW832" i="1" s="1"/>
  <c r="BA832" i="1"/>
  <c r="D806" i="1"/>
  <c r="AV806" i="1"/>
  <c r="AW806" i="1" s="1"/>
  <c r="BA806" i="1"/>
  <c r="D430" i="1"/>
  <c r="BA430" i="1"/>
  <c r="AV430" i="1"/>
  <c r="AW430" i="1" s="1"/>
  <c r="D117" i="1"/>
  <c r="AV117" i="1"/>
  <c r="AW117" i="1" s="1"/>
  <c r="BA117" i="1"/>
  <c r="D166" i="1"/>
  <c r="BA166" i="1"/>
  <c r="AV166" i="1"/>
  <c r="AW166" i="1" s="1"/>
  <c r="D85" i="1"/>
  <c r="AV85" i="1"/>
  <c r="AW85" i="1" s="1"/>
  <c r="BA85" i="1"/>
  <c r="D949" i="1"/>
  <c r="BA949" i="1"/>
  <c r="AV949" i="1"/>
  <c r="AW949" i="1" s="1"/>
  <c r="D785" i="1"/>
  <c r="AV785" i="1"/>
  <c r="AW785" i="1" s="1"/>
  <c r="BA785" i="1"/>
  <c r="D741" i="1"/>
  <c r="AV741" i="1"/>
  <c r="AW741" i="1" s="1"/>
  <c r="BA741" i="1"/>
  <c r="D521" i="1"/>
  <c r="AV521" i="1"/>
  <c r="AW521" i="1" s="1"/>
  <c r="BA521" i="1"/>
  <c r="D584" i="1"/>
  <c r="AV584" i="1"/>
  <c r="AW584" i="1" s="1"/>
  <c r="BA584" i="1"/>
  <c r="D649" i="1"/>
  <c r="AV649" i="1"/>
  <c r="AW649" i="1" s="1"/>
  <c r="BA649" i="1"/>
  <c r="D713" i="1"/>
  <c r="AV713" i="1"/>
  <c r="AW713" i="1" s="1"/>
  <c r="BA713" i="1"/>
  <c r="D876" i="1"/>
  <c r="AV876" i="1"/>
  <c r="AW876" i="1" s="1"/>
  <c r="BA876" i="1"/>
  <c r="D1021" i="1"/>
  <c r="AV1021" i="1"/>
  <c r="AW1021" i="1" s="1"/>
  <c r="BA1021" i="1"/>
  <c r="D921" i="1"/>
  <c r="BA921" i="1"/>
  <c r="AV921" i="1"/>
  <c r="AW921" i="1" s="1"/>
  <c r="D1005" i="1"/>
  <c r="BA1005" i="1"/>
  <c r="AV1005" i="1"/>
  <c r="AW1005" i="1" s="1"/>
  <c r="D581" i="1"/>
  <c r="AV581" i="1"/>
  <c r="AW581" i="1" s="1"/>
  <c r="BA581" i="1"/>
  <c r="D933" i="1"/>
  <c r="BA933" i="1"/>
  <c r="AV933" i="1"/>
  <c r="AW933" i="1" s="1"/>
  <c r="D849" i="1"/>
  <c r="AV849" i="1"/>
  <c r="AW849" i="1" s="1"/>
  <c r="BA849" i="1"/>
  <c r="D880" i="1"/>
  <c r="BA880" i="1"/>
  <c r="AV880" i="1"/>
  <c r="AW880" i="1" s="1"/>
  <c r="D757" i="1"/>
  <c r="AV757" i="1"/>
  <c r="AW757" i="1" s="1"/>
  <c r="BA757" i="1"/>
  <c r="D694" i="1"/>
  <c r="AV694" i="1"/>
  <c r="AW694" i="1" s="1"/>
  <c r="BA694" i="1"/>
  <c r="D872" i="1"/>
  <c r="BA872" i="1"/>
  <c r="AV872" i="1"/>
  <c r="AW872" i="1" s="1"/>
  <c r="D897" i="1"/>
  <c r="AV897" i="1"/>
  <c r="AW897" i="1" s="1"/>
  <c r="BA897" i="1"/>
  <c r="D379" i="1"/>
  <c r="BA379" i="1"/>
  <c r="AV379" i="1"/>
  <c r="AW379" i="1" s="1"/>
  <c r="D885" i="1"/>
  <c r="AV885" i="1"/>
  <c r="AW885" i="1" s="1"/>
  <c r="BA885" i="1"/>
  <c r="D833" i="1"/>
  <c r="BA833" i="1"/>
  <c r="AV833" i="1"/>
  <c r="AW833" i="1" s="1"/>
  <c r="D817" i="1"/>
  <c r="AV817" i="1"/>
  <c r="AW817" i="1" s="1"/>
  <c r="BA817" i="1"/>
  <c r="D1020" i="1"/>
  <c r="AV1020" i="1"/>
  <c r="AW1020" i="1" s="1"/>
  <c r="BA1020" i="1"/>
  <c r="D529" i="1"/>
  <c r="AV529" i="1"/>
  <c r="AW529" i="1" s="1"/>
  <c r="BA529" i="1"/>
  <c r="D721" i="1"/>
  <c r="AV721" i="1"/>
  <c r="AW721" i="1" s="1"/>
  <c r="BA721" i="1"/>
  <c r="D907" i="1"/>
  <c r="BA907" i="1"/>
  <c r="AV907" i="1"/>
  <c r="AW907" i="1" s="1"/>
  <c r="D389" i="1"/>
  <c r="AV389" i="1"/>
  <c r="AW389" i="1" s="1"/>
  <c r="BA389" i="1"/>
  <c r="D274" i="1"/>
  <c r="AV274" i="1"/>
  <c r="AW274" i="1" s="1"/>
  <c r="BA274" i="1"/>
  <c r="D330" i="1"/>
  <c r="BA330" i="1"/>
  <c r="AV330" i="1"/>
  <c r="AW330" i="1" s="1"/>
  <c r="D235" i="1"/>
  <c r="BA235" i="1"/>
  <c r="AV235" i="1"/>
  <c r="AW235" i="1" s="1"/>
  <c r="D487" i="1"/>
  <c r="AV487" i="1"/>
  <c r="AW487" i="1" s="1"/>
  <c r="BA487" i="1"/>
  <c r="D678" i="1"/>
  <c r="AV678" i="1"/>
  <c r="AW678" i="1" s="1"/>
  <c r="BA678" i="1"/>
  <c r="D339" i="1"/>
  <c r="BA339" i="1"/>
  <c r="AV339" i="1"/>
  <c r="AW339" i="1" s="1"/>
  <c r="D780" i="1"/>
  <c r="AV780" i="1"/>
  <c r="AW780" i="1" s="1"/>
  <c r="BA780" i="1"/>
  <c r="D827" i="1"/>
  <c r="BA827" i="1"/>
  <c r="AV827" i="1"/>
  <c r="AW827" i="1" s="1"/>
  <c r="D808" i="1"/>
  <c r="BA808" i="1"/>
  <c r="AV808" i="1"/>
  <c r="AW808" i="1" s="1"/>
  <c r="D798" i="1"/>
  <c r="AV798" i="1"/>
  <c r="AW798" i="1" s="1"/>
  <c r="BA798" i="1"/>
  <c r="D926" i="1"/>
  <c r="AV926" i="1"/>
  <c r="AW926" i="1" s="1"/>
  <c r="BA926" i="1"/>
  <c r="D359" i="1"/>
  <c r="AV359" i="1"/>
  <c r="AW359" i="1" s="1"/>
  <c r="BA359" i="1"/>
  <c r="D267" i="1"/>
  <c r="AV267" i="1"/>
  <c r="AW267" i="1" s="1"/>
  <c r="BA267" i="1"/>
  <c r="D47" i="1"/>
  <c r="AV47" i="1"/>
  <c r="AW47" i="1" s="1"/>
  <c r="BA47" i="1"/>
  <c r="D306" i="1"/>
  <c r="AV306" i="1"/>
  <c r="AW306" i="1" s="1"/>
  <c r="BA306" i="1"/>
  <c r="D679" i="1"/>
  <c r="BA679" i="1"/>
  <c r="AV679" i="1"/>
  <c r="AW679" i="1" s="1"/>
  <c r="D811" i="1"/>
  <c r="AV811" i="1"/>
  <c r="AW811" i="1" s="1"/>
  <c r="BA811" i="1"/>
  <c r="D776" i="1"/>
  <c r="BA776" i="1"/>
  <c r="AV776" i="1"/>
  <c r="AW776" i="1" s="1"/>
  <c r="D990" i="1"/>
  <c r="BA990" i="1"/>
  <c r="AV990" i="1"/>
  <c r="AW990" i="1" s="1"/>
  <c r="D211" i="1"/>
  <c r="BA211" i="1"/>
  <c r="AV211" i="1"/>
  <c r="AW211" i="1" s="1"/>
  <c r="D975" i="1"/>
  <c r="BA975" i="1"/>
  <c r="AV975" i="1"/>
  <c r="AW975" i="1" s="1"/>
  <c r="D271" i="1"/>
  <c r="BA271" i="1"/>
  <c r="AV271" i="1"/>
  <c r="AW271" i="1" s="1"/>
  <c r="D939" i="1"/>
  <c r="AV939" i="1"/>
  <c r="AW939" i="1" s="1"/>
  <c r="BA939" i="1"/>
  <c r="D606" i="1"/>
  <c r="BA606" i="1"/>
  <c r="AV606" i="1"/>
  <c r="AW606" i="1" s="1"/>
  <c r="D91" i="1"/>
  <c r="BA91" i="1"/>
  <c r="AV91" i="1"/>
  <c r="AW91" i="1" s="1"/>
  <c r="D114" i="1"/>
  <c r="BA114" i="1"/>
  <c r="AV114" i="1"/>
  <c r="AW114" i="1" s="1"/>
  <c r="D109" i="1"/>
  <c r="AV109" i="1"/>
  <c r="AW109" i="1" s="1"/>
  <c r="BA109" i="1"/>
  <c r="D202" i="1"/>
  <c r="AV202" i="1"/>
  <c r="AW202" i="1" s="1"/>
  <c r="BA202" i="1"/>
  <c r="D259" i="1"/>
  <c r="AV259" i="1"/>
  <c r="AW259" i="1" s="1"/>
  <c r="BA259" i="1"/>
  <c r="D672" i="1"/>
  <c r="AV672" i="1"/>
  <c r="AW672" i="1" s="1"/>
  <c r="BA672" i="1"/>
  <c r="D703" i="1"/>
  <c r="AV703" i="1"/>
  <c r="AW703" i="1" s="1"/>
  <c r="BA703" i="1"/>
  <c r="D282" i="1"/>
  <c r="AV282" i="1"/>
  <c r="AW282" i="1" s="1"/>
  <c r="BA282" i="1"/>
  <c r="D314" i="1"/>
  <c r="BA314" i="1"/>
  <c r="AV314" i="1"/>
  <c r="AW314" i="1" s="1"/>
  <c r="D287" i="1"/>
  <c r="AV287" i="1"/>
  <c r="AW287" i="1" s="1"/>
  <c r="BA287" i="1"/>
  <c r="D253" i="1"/>
  <c r="AV253" i="1"/>
  <c r="AW253" i="1" s="1"/>
  <c r="BA253" i="1"/>
  <c r="D874" i="1"/>
  <c r="AV874" i="1"/>
  <c r="AW874" i="1" s="1"/>
  <c r="BA874" i="1"/>
  <c r="D207" i="1"/>
  <c r="AV207" i="1"/>
  <c r="AW207" i="1" s="1"/>
  <c r="BA207" i="1"/>
  <c r="D279" i="1"/>
  <c r="BA279" i="1"/>
  <c r="AV279" i="1"/>
  <c r="AW279" i="1" s="1"/>
  <c r="D701" i="1"/>
  <c r="BA701" i="1"/>
  <c r="AV701" i="1"/>
  <c r="AW701" i="1" s="1"/>
  <c r="D131" i="1"/>
  <c r="AV131" i="1"/>
  <c r="AW131" i="1" s="1"/>
  <c r="BA131" i="1"/>
  <c r="D762" i="1"/>
  <c r="AV762" i="1"/>
  <c r="AW762" i="1" s="1"/>
  <c r="BA762" i="1"/>
  <c r="D429" i="1"/>
  <c r="AV429" i="1"/>
  <c r="AW429" i="1" s="1"/>
  <c r="BA429" i="1"/>
  <c r="D610" i="1"/>
  <c r="AV610" i="1"/>
  <c r="AW610" i="1" s="1"/>
  <c r="BA610" i="1"/>
  <c r="D675" i="1"/>
  <c r="BA675" i="1"/>
  <c r="AV675" i="1"/>
  <c r="AW675" i="1" s="1"/>
  <c r="D459" i="1"/>
  <c r="BA459" i="1"/>
  <c r="AV459" i="1"/>
  <c r="AW459" i="1" s="1"/>
  <c r="D507" i="1"/>
  <c r="AV507" i="1"/>
  <c r="AW507" i="1" s="1"/>
  <c r="BA507" i="1"/>
  <c r="D618" i="1"/>
  <c r="AV618" i="1"/>
  <c r="AW618" i="1" s="1"/>
  <c r="BA618" i="1"/>
  <c r="D364" i="1"/>
  <c r="BA364" i="1"/>
  <c r="AV364" i="1"/>
  <c r="AW364" i="1" s="1"/>
  <c r="D260" i="1"/>
  <c r="AV260" i="1"/>
  <c r="AW260" i="1" s="1"/>
  <c r="BA260" i="1"/>
  <c r="D970" i="1"/>
  <c r="AV970" i="1"/>
  <c r="AW970" i="1" s="1"/>
  <c r="BA970" i="1"/>
  <c r="D307" i="1"/>
  <c r="AV307" i="1"/>
  <c r="AW307" i="1" s="1"/>
  <c r="BA307" i="1"/>
  <c r="D491" i="1"/>
  <c r="BA491" i="1"/>
  <c r="AV491" i="1"/>
  <c r="AW491" i="1" s="1"/>
  <c r="D497" i="1"/>
  <c r="AV497" i="1"/>
  <c r="AW497" i="1" s="1"/>
  <c r="BA497" i="1"/>
  <c r="D743" i="1"/>
  <c r="BA743" i="1"/>
  <c r="AV743" i="1"/>
  <c r="AW743" i="1" s="1"/>
  <c r="D919" i="1"/>
  <c r="BA919" i="1"/>
  <c r="AV919" i="1"/>
  <c r="AW919" i="1" s="1"/>
  <c r="D691" i="1"/>
  <c r="AV691" i="1"/>
  <c r="AW691" i="1" s="1"/>
  <c r="BA691" i="1"/>
  <c r="D504" i="1"/>
  <c r="BA504" i="1"/>
  <c r="AV504" i="1"/>
  <c r="AW504" i="1" s="1"/>
  <c r="D671" i="1"/>
  <c r="AV671" i="1"/>
  <c r="AW671" i="1" s="1"/>
  <c r="BA671" i="1"/>
  <c r="D870" i="1"/>
  <c r="BA870" i="1"/>
  <c r="AV870" i="1"/>
  <c r="AW870" i="1" s="1"/>
  <c r="D805" i="1"/>
  <c r="AV805" i="1"/>
  <c r="AW805" i="1" s="1"/>
  <c r="BA805" i="1"/>
  <c r="D212" i="1"/>
  <c r="BA212" i="1"/>
  <c r="AV212" i="1"/>
  <c r="AW212" i="1" s="1"/>
  <c r="D722" i="1"/>
  <c r="BA722" i="1"/>
  <c r="AV722" i="1"/>
  <c r="AW722" i="1" s="1"/>
  <c r="D457" i="1"/>
  <c r="AV457" i="1"/>
  <c r="AW457" i="1" s="1"/>
  <c r="BA457" i="1"/>
  <c r="D977" i="1"/>
  <c r="AV977" i="1"/>
  <c r="AW977" i="1" s="1"/>
  <c r="BA977" i="1"/>
  <c r="D571" i="1"/>
  <c r="AV571" i="1"/>
  <c r="AW571" i="1" s="1"/>
  <c r="BA571" i="1"/>
  <c r="D465" i="1"/>
  <c r="BA465" i="1"/>
  <c r="AV465" i="1"/>
  <c r="AW465" i="1" s="1"/>
  <c r="D544" i="1"/>
  <c r="AV544" i="1"/>
  <c r="AW544" i="1" s="1"/>
  <c r="BA544" i="1"/>
  <c r="D726" i="1"/>
  <c r="BA726" i="1"/>
  <c r="AV726" i="1"/>
  <c r="AW726" i="1" s="1"/>
  <c r="D759" i="1"/>
  <c r="BA759" i="1"/>
  <c r="AV759" i="1"/>
  <c r="AW759" i="1" s="1"/>
  <c r="D822" i="1"/>
  <c r="BA822" i="1"/>
  <c r="AV822" i="1"/>
  <c r="AW822" i="1" s="1"/>
  <c r="D406" i="1"/>
  <c r="BA406" i="1"/>
  <c r="AV406" i="1"/>
  <c r="AW406" i="1" s="1"/>
  <c r="D492" i="1"/>
  <c r="AV492" i="1"/>
  <c r="AW492" i="1" s="1"/>
  <c r="BA492" i="1"/>
  <c r="D906" i="1"/>
  <c r="BA906" i="1"/>
  <c r="AV906" i="1"/>
  <c r="AW906" i="1" s="1"/>
  <c r="D250" i="1"/>
  <c r="AV250" i="1"/>
  <c r="AW250" i="1" s="1"/>
  <c r="BA250" i="1"/>
  <c r="D854" i="1"/>
  <c r="BA854" i="1"/>
  <c r="AV854" i="1"/>
  <c r="AW854" i="1" s="1"/>
  <c r="D350" i="1"/>
  <c r="AV350" i="1"/>
  <c r="AW350" i="1" s="1"/>
  <c r="BA350" i="1"/>
  <c r="D192" i="1"/>
  <c r="AV192" i="1"/>
  <c r="AW192" i="1" s="1"/>
  <c r="BA192" i="1"/>
  <c r="D209" i="1"/>
  <c r="AV209" i="1"/>
  <c r="AW209" i="1" s="1"/>
  <c r="BA209" i="1"/>
  <c r="D530" i="1"/>
  <c r="AV530" i="1"/>
  <c r="AW530" i="1" s="1"/>
  <c r="BA530" i="1"/>
  <c r="D651" i="1"/>
  <c r="BA651" i="1"/>
  <c r="AV651" i="1"/>
  <c r="AW651" i="1" s="1"/>
  <c r="D596" i="1"/>
  <c r="BA596" i="1"/>
  <c r="AV596" i="1"/>
  <c r="AW596" i="1" s="1"/>
  <c r="D1027" i="1"/>
  <c r="AV1027" i="1"/>
  <c r="AW1027" i="1" s="1"/>
  <c r="BA1027" i="1"/>
  <c r="D1032" i="1"/>
  <c r="BA1032" i="1"/>
  <c r="AV1032" i="1"/>
  <c r="AW1032" i="1" s="1"/>
  <c r="D470" i="1"/>
  <c r="BA470" i="1"/>
  <c r="AV470" i="1"/>
  <c r="AW470" i="1" s="1"/>
  <c r="D426" i="1"/>
  <c r="AV426" i="1"/>
  <c r="AW426" i="1" s="1"/>
  <c r="BA426" i="1"/>
  <c r="D396" i="1"/>
  <c r="AV396" i="1"/>
  <c r="AW396" i="1" s="1"/>
  <c r="BA396" i="1"/>
  <c r="D621" i="1"/>
  <c r="AV621" i="1"/>
  <c r="AW621" i="1" s="1"/>
  <c r="BA621" i="1"/>
  <c r="D685" i="1"/>
  <c r="BA685" i="1"/>
  <c r="AV685" i="1"/>
  <c r="AW685" i="1" s="1"/>
  <c r="D688" i="1"/>
  <c r="AV688" i="1"/>
  <c r="AW688" i="1" s="1"/>
  <c r="BA688" i="1"/>
  <c r="D736" i="1"/>
  <c r="AV736" i="1"/>
  <c r="AW736" i="1" s="1"/>
  <c r="BA736" i="1"/>
  <c r="D568" i="1"/>
  <c r="BA568" i="1"/>
  <c r="AV568" i="1"/>
  <c r="AW568" i="1" s="1"/>
  <c r="D973" i="1"/>
  <c r="BA973" i="1"/>
  <c r="AV973" i="1"/>
  <c r="AW973" i="1" s="1"/>
  <c r="D980" i="1"/>
  <c r="AV980" i="1"/>
  <c r="AW980" i="1" s="1"/>
  <c r="BA980" i="1"/>
  <c r="D809" i="1"/>
  <c r="BA809" i="1"/>
  <c r="AV809" i="1"/>
  <c r="AW809" i="1" s="1"/>
  <c r="D213" i="1"/>
  <c r="AV213" i="1"/>
  <c r="AW213" i="1" s="1"/>
  <c r="BA213" i="1"/>
  <c r="D818" i="1"/>
  <c r="AV818" i="1"/>
  <c r="AW818" i="1" s="1"/>
  <c r="BA818" i="1"/>
  <c r="D182" i="1"/>
  <c r="BA182" i="1"/>
  <c r="AV182" i="1"/>
  <c r="AW182" i="1" s="1"/>
  <c r="D946" i="1"/>
  <c r="AV946" i="1"/>
  <c r="AW946" i="1" s="1"/>
  <c r="BA946" i="1"/>
  <c r="D896" i="1"/>
  <c r="AV896" i="1"/>
  <c r="AW896" i="1" s="1"/>
  <c r="BA896" i="1"/>
  <c r="D185" i="1"/>
  <c r="BA185" i="1"/>
  <c r="AV185" i="1"/>
  <c r="AW185" i="1" s="1"/>
  <c r="D930" i="1"/>
  <c r="BA930" i="1"/>
  <c r="AV930" i="1"/>
  <c r="AW930" i="1" s="1"/>
  <c r="D627" i="1"/>
  <c r="BA627" i="1"/>
  <c r="AV627" i="1"/>
  <c r="AW627" i="1" s="1"/>
  <c r="D283" i="1"/>
  <c r="AV283" i="1"/>
  <c r="AW283" i="1" s="1"/>
  <c r="BA283" i="1"/>
  <c r="D700" i="1"/>
  <c r="BA700" i="1"/>
  <c r="AV700" i="1"/>
  <c r="AW700" i="1" s="1"/>
  <c r="D236" i="1"/>
  <c r="BA236" i="1"/>
  <c r="AV236" i="1"/>
  <c r="AW236" i="1" s="1"/>
  <c r="D727" i="1"/>
  <c r="BA727" i="1"/>
  <c r="AV727" i="1"/>
  <c r="AW727" i="1" s="1"/>
  <c r="D996" i="1"/>
  <c r="AV996" i="1"/>
  <c r="AW996" i="1" s="1"/>
  <c r="BA996" i="1"/>
  <c r="D929" i="1"/>
  <c r="AV929" i="1"/>
  <c r="AW929" i="1" s="1"/>
  <c r="BA929" i="1"/>
  <c r="D552" i="1"/>
  <c r="AV552" i="1"/>
  <c r="AW552" i="1" s="1"/>
  <c r="BA552" i="1"/>
  <c r="D263" i="1"/>
  <c r="BA263" i="1"/>
  <c r="AV263" i="1"/>
  <c r="AW263" i="1" s="1"/>
  <c r="D242" i="1"/>
  <c r="BA242" i="1"/>
  <c r="AV242" i="1"/>
  <c r="AW242" i="1" s="1"/>
  <c r="D329" i="1"/>
  <c r="AV329" i="1"/>
  <c r="AW329" i="1" s="1"/>
  <c r="BA329" i="1"/>
  <c r="D34" i="1"/>
  <c r="BA34" i="1"/>
  <c r="AV34" i="1"/>
  <c r="AW34" i="1" s="1"/>
  <c r="D802" i="1"/>
  <c r="BA802" i="1"/>
  <c r="AV802" i="1"/>
  <c r="AW802" i="1" s="1"/>
  <c r="D391" i="1"/>
  <c r="BA391" i="1"/>
  <c r="AV391" i="1"/>
  <c r="AW391" i="1" s="1"/>
  <c r="L681" i="1"/>
  <c r="N681" i="1" s="1"/>
  <c r="O681" i="1" s="1"/>
  <c r="D866" i="1"/>
  <c r="BA866" i="1"/>
  <c r="AV866" i="1"/>
  <c r="AW866" i="1" s="1"/>
  <c r="D524" i="1"/>
  <c r="BA524" i="1"/>
  <c r="AV524" i="1"/>
  <c r="AW524" i="1" s="1"/>
  <c r="D683" i="1"/>
  <c r="AV683" i="1"/>
  <c r="AW683" i="1" s="1"/>
  <c r="BA683" i="1"/>
  <c r="D928" i="1"/>
  <c r="AV928" i="1"/>
  <c r="AW928" i="1" s="1"/>
  <c r="BA928" i="1"/>
  <c r="D36" i="1"/>
  <c r="BA36" i="1"/>
  <c r="AV36" i="1"/>
  <c r="AW36" i="1" s="1"/>
  <c r="D554" i="1"/>
  <c r="BA554" i="1"/>
  <c r="AV554" i="1"/>
  <c r="AW554" i="1" s="1"/>
  <c r="D434" i="1"/>
  <c r="BA434" i="1"/>
  <c r="AV434" i="1"/>
  <c r="AW434" i="1" s="1"/>
  <c r="D640" i="1"/>
  <c r="AV640" i="1"/>
  <c r="AW640" i="1" s="1"/>
  <c r="BA640" i="1"/>
  <c r="D684" i="1"/>
  <c r="BA684" i="1"/>
  <c r="AV684" i="1"/>
  <c r="AW684" i="1" s="1"/>
  <c r="D388" i="1"/>
  <c r="AV388" i="1"/>
  <c r="AW388" i="1" s="1"/>
  <c r="BA388" i="1"/>
  <c r="BA26" i="1"/>
  <c r="AV26" i="1"/>
  <c r="AW26" i="1" s="1"/>
  <c r="D1033" i="1"/>
  <c r="BA1033" i="1"/>
  <c r="AV1033" i="1"/>
  <c r="AW1033" i="1" s="1"/>
  <c r="D871" i="1"/>
  <c r="AV871" i="1"/>
  <c r="AW871" i="1" s="1"/>
  <c r="BA871" i="1"/>
  <c r="D542" i="1"/>
  <c r="AV542" i="1"/>
  <c r="AW542" i="1" s="1"/>
  <c r="BA542" i="1"/>
  <c r="D464" i="1"/>
  <c r="AV464" i="1"/>
  <c r="AW464" i="1" s="1"/>
  <c r="BA464" i="1"/>
  <c r="R976" i="1"/>
  <c r="D590" i="1"/>
  <c r="AV590" i="1"/>
  <c r="AW590" i="1" s="1"/>
  <c r="BA590" i="1"/>
  <c r="D637" i="1"/>
  <c r="BA637" i="1"/>
  <c r="AV637" i="1"/>
  <c r="AW637" i="1" s="1"/>
  <c r="D719" i="1"/>
  <c r="AV719" i="1"/>
  <c r="AW719" i="1" s="1"/>
  <c r="BA719" i="1"/>
  <c r="D519" i="1"/>
  <c r="BA519" i="1"/>
  <c r="AV519" i="1"/>
  <c r="AW519" i="1" s="1"/>
  <c r="D784" i="1"/>
  <c r="BA784" i="1"/>
  <c r="AV784" i="1"/>
  <c r="AW784" i="1" s="1"/>
  <c r="D567" i="1"/>
  <c r="BA567" i="1"/>
  <c r="AV567" i="1"/>
  <c r="AW567" i="1" s="1"/>
  <c r="D647" i="1"/>
  <c r="AV647" i="1"/>
  <c r="AW647" i="1" s="1"/>
  <c r="BA647" i="1"/>
  <c r="D815" i="1"/>
  <c r="BA815" i="1"/>
  <c r="AV815" i="1"/>
  <c r="AW815" i="1" s="1"/>
  <c r="D1015" i="1"/>
  <c r="BA1015" i="1"/>
  <c r="AV1015" i="1"/>
  <c r="AW1015" i="1" s="1"/>
  <c r="D986" i="1"/>
  <c r="AV986" i="1"/>
  <c r="AW986" i="1" s="1"/>
  <c r="BA986" i="1"/>
  <c r="R1042" i="1"/>
  <c r="D862" i="1"/>
  <c r="AV862" i="1"/>
  <c r="AW862" i="1" s="1"/>
  <c r="BA862" i="1"/>
  <c r="D850" i="1"/>
  <c r="AV850" i="1"/>
  <c r="AW850" i="1" s="1"/>
  <c r="BA850" i="1"/>
  <c r="D902" i="1"/>
  <c r="BA902" i="1"/>
  <c r="AV902" i="1"/>
  <c r="AW902" i="1" s="1"/>
  <c r="D631" i="1"/>
  <c r="AV631" i="1"/>
  <c r="AW631" i="1" s="1"/>
  <c r="BA631" i="1"/>
  <c r="D868" i="1"/>
  <c r="BA868" i="1"/>
  <c r="AV868" i="1"/>
  <c r="AW868" i="1" s="1"/>
  <c r="D526" i="1"/>
  <c r="BA526" i="1"/>
  <c r="AV526" i="1"/>
  <c r="AW526" i="1" s="1"/>
  <c r="D997" i="1"/>
  <c r="BA997" i="1"/>
  <c r="AV997" i="1"/>
  <c r="AW997" i="1" s="1"/>
  <c r="D789" i="1"/>
  <c r="BA789" i="1"/>
  <c r="AV789" i="1"/>
  <c r="AW789" i="1" s="1"/>
  <c r="D724" i="1"/>
  <c r="AV724" i="1"/>
  <c r="AW724" i="1" s="1"/>
  <c r="BA724" i="1"/>
  <c r="D509" i="1"/>
  <c r="AV509" i="1"/>
  <c r="AW509" i="1" s="1"/>
  <c r="BA509" i="1"/>
  <c r="D278" i="1"/>
  <c r="BA278" i="1"/>
  <c r="AV278" i="1"/>
  <c r="AW278" i="1" s="1"/>
  <c r="D720" i="1"/>
  <c r="AV720" i="1"/>
  <c r="AW720" i="1" s="1"/>
  <c r="BA720" i="1"/>
  <c r="D656" i="1"/>
  <c r="BA656" i="1"/>
  <c r="AV656" i="1"/>
  <c r="AW656" i="1" s="1"/>
  <c r="D931" i="1"/>
  <c r="BA931" i="1"/>
  <c r="AV931" i="1"/>
  <c r="AW931" i="1" s="1"/>
  <c r="D819" i="1"/>
  <c r="AV819" i="1"/>
  <c r="AW819" i="1" s="1"/>
  <c r="BA819" i="1"/>
  <c r="D898" i="1"/>
  <c r="BA898" i="1"/>
  <c r="AV898" i="1"/>
  <c r="AW898" i="1" s="1"/>
  <c r="D754" i="1"/>
  <c r="BA754" i="1"/>
  <c r="AV754" i="1"/>
  <c r="AW754" i="1" s="1"/>
  <c r="D764" i="1"/>
  <c r="BA764" i="1"/>
  <c r="AV764" i="1"/>
  <c r="AW764" i="1" s="1"/>
  <c r="D687" i="1"/>
  <c r="AV687" i="1"/>
  <c r="AW687" i="1" s="1"/>
  <c r="BA687" i="1"/>
  <c r="AZ643" i="1"/>
  <c r="BI643" i="1" s="1"/>
  <c r="AZ400" i="1"/>
  <c r="BI400" i="1" s="1"/>
  <c r="AZ712" i="1"/>
  <c r="BI712" i="1" s="1"/>
  <c r="AZ734" i="1"/>
  <c r="BI734" i="1" s="1"/>
  <c r="AZ847" i="1"/>
  <c r="BI847" i="1" s="1"/>
  <c r="AZ911" i="1"/>
  <c r="BI911" i="1" s="1"/>
  <c r="AZ674" i="1"/>
  <c r="BI674" i="1" s="1"/>
  <c r="AZ718" i="1"/>
  <c r="BI718" i="1" s="1"/>
  <c r="AZ1030" i="1"/>
  <c r="BI1030" i="1" s="1"/>
  <c r="AZ247" i="1"/>
  <c r="BI247" i="1" s="1"/>
  <c r="AZ255" i="1"/>
  <c r="BI255" i="1" s="1"/>
  <c r="AZ293" i="1"/>
  <c r="BI293" i="1" s="1"/>
  <c r="AZ654" i="1"/>
  <c r="BI654" i="1" s="1"/>
  <c r="AZ90" i="1"/>
  <c r="BI90" i="1" s="1"/>
  <c r="AZ976" i="1"/>
  <c r="BI976" i="1" s="1"/>
  <c r="AZ927" i="1"/>
  <c r="BI927" i="1" s="1"/>
  <c r="AZ516" i="1"/>
  <c r="BI516" i="1" s="1"/>
  <c r="AZ918" i="1"/>
  <c r="BI918" i="1" s="1"/>
  <c r="AZ881" i="1"/>
  <c r="BI881" i="1" s="1"/>
  <c r="D908" i="1"/>
  <c r="BA908" i="1"/>
  <c r="AV908" i="1"/>
  <c r="AW908" i="1" s="1"/>
  <c r="D1044" i="1"/>
  <c r="AV1044" i="1"/>
  <c r="AW1044" i="1" s="1"/>
  <c r="BA1044" i="1"/>
  <c r="D953" i="1"/>
  <c r="AV953" i="1"/>
  <c r="AW953" i="1" s="1"/>
  <c r="BA953" i="1"/>
  <c r="D777" i="1"/>
  <c r="AV777" i="1"/>
  <c r="AW777" i="1" s="1"/>
  <c r="BA777" i="1"/>
  <c r="D1025" i="1"/>
  <c r="BA1025" i="1"/>
  <c r="AV1025" i="1"/>
  <c r="AW1025" i="1" s="1"/>
  <c r="D501" i="1"/>
  <c r="BA501" i="1"/>
  <c r="AV501" i="1"/>
  <c r="AW501" i="1" s="1"/>
  <c r="D549" i="1"/>
  <c r="AV549" i="1"/>
  <c r="AW549" i="1" s="1"/>
  <c r="BA549" i="1"/>
  <c r="D676" i="1"/>
  <c r="AV676" i="1"/>
  <c r="AW676" i="1" s="1"/>
  <c r="BA676" i="1"/>
  <c r="D1017" i="1"/>
  <c r="BA1017" i="1"/>
  <c r="AV1017" i="1"/>
  <c r="AW1017" i="1" s="1"/>
  <c r="D948" i="1"/>
  <c r="AV948" i="1"/>
  <c r="AW948" i="1" s="1"/>
  <c r="BA948" i="1"/>
  <c r="D916" i="1"/>
  <c r="AV916" i="1"/>
  <c r="AW916" i="1" s="1"/>
  <c r="BA916" i="1"/>
  <c r="D443" i="1"/>
  <c r="BA443" i="1"/>
  <c r="AV443" i="1"/>
  <c r="AW443" i="1" s="1"/>
  <c r="D175" i="1"/>
  <c r="AV175" i="1"/>
  <c r="AW175" i="1" s="1"/>
  <c r="BA175" i="1"/>
  <c r="D45" i="1"/>
  <c r="AV45" i="1"/>
  <c r="AW45" i="1" s="1"/>
  <c r="BA45" i="1"/>
  <c r="D1006" i="1"/>
  <c r="BA1006" i="1"/>
  <c r="AV1006" i="1"/>
  <c r="AW1006" i="1" s="1"/>
  <c r="D414" i="1"/>
  <c r="AV414" i="1"/>
  <c r="AW414" i="1" s="1"/>
  <c r="BA414" i="1"/>
  <c r="D438" i="1"/>
  <c r="BA438" i="1"/>
  <c r="AV438" i="1"/>
  <c r="AW438" i="1" s="1"/>
  <c r="D42" i="1"/>
  <c r="AV42" i="1"/>
  <c r="AW42" i="1" s="1"/>
  <c r="BA42" i="1"/>
  <c r="D424" i="1"/>
  <c r="BA424" i="1"/>
  <c r="AV424" i="1"/>
  <c r="AW424" i="1" s="1"/>
  <c r="D502" i="1"/>
  <c r="BA502" i="1"/>
  <c r="AV502" i="1"/>
  <c r="AW502" i="1" s="1"/>
  <c r="D565" i="1"/>
  <c r="BA565" i="1"/>
  <c r="AV565" i="1"/>
  <c r="AW565" i="1" s="1"/>
  <c r="D582" i="1"/>
  <c r="AV582" i="1"/>
  <c r="AW582" i="1" s="1"/>
  <c r="BA582" i="1"/>
  <c r="D782" i="1"/>
  <c r="BA782" i="1"/>
  <c r="AV782" i="1"/>
  <c r="AW782" i="1" s="1"/>
  <c r="D861" i="1"/>
  <c r="AV861" i="1"/>
  <c r="AW861" i="1" s="1"/>
  <c r="BA861" i="1"/>
  <c r="D891" i="1"/>
  <c r="BA891" i="1"/>
  <c r="AV891" i="1"/>
  <c r="AW891" i="1" s="1"/>
  <c r="D639" i="1"/>
  <c r="AV639" i="1"/>
  <c r="AW639" i="1" s="1"/>
  <c r="BA639" i="1"/>
  <c r="D744" i="1"/>
  <c r="BA744" i="1"/>
  <c r="AV744" i="1"/>
  <c r="AW744" i="1" s="1"/>
  <c r="D394" i="1"/>
  <c r="BA394" i="1"/>
  <c r="AV394" i="1"/>
  <c r="AW394" i="1" s="1"/>
  <c r="D194" i="1"/>
  <c r="BA194" i="1"/>
  <c r="AV194" i="1"/>
  <c r="AW194" i="1" s="1"/>
  <c r="D326" i="1"/>
  <c r="AV326" i="1"/>
  <c r="AW326" i="1" s="1"/>
  <c r="BA326" i="1"/>
  <c r="D846" i="1"/>
  <c r="BA846" i="1"/>
  <c r="AV846" i="1"/>
  <c r="AW846" i="1" s="1"/>
  <c r="D673" i="1"/>
  <c r="AV673" i="1"/>
  <c r="AW673" i="1" s="1"/>
  <c r="BA673" i="1"/>
  <c r="D198" i="1"/>
  <c r="AV198" i="1"/>
  <c r="AW198" i="1" s="1"/>
  <c r="BA198" i="1"/>
  <c r="D439" i="1"/>
  <c r="AV439" i="1"/>
  <c r="AW439" i="1" s="1"/>
  <c r="BA439" i="1"/>
  <c r="D71" i="1"/>
  <c r="BA71" i="1"/>
  <c r="AV71" i="1"/>
  <c r="AW71" i="1" s="1"/>
  <c r="D226" i="1"/>
  <c r="AV226" i="1"/>
  <c r="AW226" i="1" s="1"/>
  <c r="BA226" i="1"/>
  <c r="D922" i="1"/>
  <c r="AV922" i="1"/>
  <c r="AW922" i="1" s="1"/>
  <c r="BA922" i="1"/>
  <c r="D381" i="1"/>
  <c r="BA381" i="1"/>
  <c r="AV381" i="1"/>
  <c r="AW381" i="1" s="1"/>
  <c r="D143" i="1"/>
  <c r="BA143" i="1"/>
  <c r="AV143" i="1"/>
  <c r="AW143" i="1" s="1"/>
  <c r="D431" i="1"/>
  <c r="BA431" i="1"/>
  <c r="AV431" i="1"/>
  <c r="AW431" i="1" s="1"/>
  <c r="D199" i="1"/>
  <c r="BA199" i="1"/>
  <c r="AV199" i="1"/>
  <c r="AW199" i="1" s="1"/>
  <c r="D539" i="1"/>
  <c r="BA539" i="1"/>
  <c r="AV539" i="1"/>
  <c r="AW539" i="1" s="1"/>
  <c r="D367" i="1"/>
  <c r="BA367" i="1"/>
  <c r="AV367" i="1"/>
  <c r="AW367" i="1" s="1"/>
  <c r="D924" i="1"/>
  <c r="AV924" i="1"/>
  <c r="AW924" i="1" s="1"/>
  <c r="BA924" i="1"/>
  <c r="D336" i="1"/>
  <c r="BA336" i="1"/>
  <c r="AV336" i="1"/>
  <c r="AW336" i="1" s="1"/>
  <c r="D334" i="1"/>
  <c r="AV334" i="1"/>
  <c r="AW334" i="1" s="1"/>
  <c r="BA334" i="1"/>
  <c r="D670" i="1"/>
  <c r="BA670" i="1"/>
  <c r="AV670" i="1"/>
  <c r="AW670" i="1" s="1"/>
  <c r="D1016" i="1"/>
  <c r="BA1016" i="1"/>
  <c r="AV1016" i="1"/>
  <c r="AW1016" i="1" s="1"/>
  <c r="D69" i="1"/>
  <c r="BA69" i="1"/>
  <c r="AV69" i="1"/>
  <c r="AW69" i="1" s="1"/>
  <c r="D67" i="1"/>
  <c r="AV67" i="1"/>
  <c r="AW67" i="1" s="1"/>
  <c r="BA67" i="1"/>
  <c r="D197" i="1"/>
  <c r="BA197" i="1"/>
  <c r="AV197" i="1"/>
  <c r="AW197" i="1" s="1"/>
  <c r="D128" i="1"/>
  <c r="BA128" i="1"/>
  <c r="AV128" i="1"/>
  <c r="AW128" i="1" s="1"/>
  <c r="D594" i="1"/>
  <c r="BA594" i="1"/>
  <c r="AV594" i="1"/>
  <c r="AW594" i="1" s="1"/>
  <c r="D27" i="1"/>
  <c r="AV27" i="1"/>
  <c r="AW27" i="1" s="1"/>
  <c r="BA27" i="1"/>
  <c r="D310" i="1"/>
  <c r="BA310" i="1"/>
  <c r="AV310" i="1"/>
  <c r="AW310" i="1" s="1"/>
  <c r="D450" i="1"/>
  <c r="AV450" i="1"/>
  <c r="AW450" i="1" s="1"/>
  <c r="BA450" i="1"/>
  <c r="D513" i="1"/>
  <c r="BA513" i="1"/>
  <c r="AV513" i="1"/>
  <c r="AW513" i="1" s="1"/>
  <c r="D365" i="1"/>
  <c r="BA365" i="1"/>
  <c r="AV365" i="1"/>
  <c r="AW365" i="1" s="1"/>
  <c r="D641" i="1"/>
  <c r="AV641" i="1"/>
  <c r="AW641" i="1" s="1"/>
  <c r="BA641" i="1"/>
  <c r="D625" i="1"/>
  <c r="AV625" i="1"/>
  <c r="AW625" i="1" s="1"/>
  <c r="BA625" i="1"/>
  <c r="D243" i="1"/>
  <c r="BA243" i="1"/>
  <c r="AV243" i="1"/>
  <c r="AW243" i="1" s="1"/>
  <c r="D593" i="1"/>
  <c r="AV593" i="1"/>
  <c r="AW593" i="1" s="1"/>
  <c r="BA593" i="1"/>
  <c r="D775" i="1"/>
  <c r="BA775" i="1"/>
  <c r="AV775" i="1"/>
  <c r="AW775" i="1" s="1"/>
  <c r="D839" i="1"/>
  <c r="BA839" i="1"/>
  <c r="AV839" i="1"/>
  <c r="AW839" i="1" s="1"/>
  <c r="D1011" i="1"/>
  <c r="AV1011" i="1"/>
  <c r="AW1011" i="1" s="1"/>
  <c r="BA1011" i="1"/>
  <c r="D934" i="1"/>
  <c r="BA934" i="1"/>
  <c r="AV934" i="1"/>
  <c r="AW934" i="1" s="1"/>
  <c r="D692" i="1"/>
  <c r="AV692" i="1"/>
  <c r="AW692" i="1" s="1"/>
  <c r="BA692" i="1"/>
  <c r="D730" i="1"/>
  <c r="AV730" i="1"/>
  <c r="AW730" i="1" s="1"/>
  <c r="BA730" i="1"/>
  <c r="D801" i="1"/>
  <c r="BA801" i="1"/>
  <c r="AV801" i="1"/>
  <c r="AW801" i="1" s="1"/>
  <c r="D894" i="1"/>
  <c r="BA894" i="1"/>
  <c r="AV894" i="1"/>
  <c r="AW894" i="1" s="1"/>
  <c r="D523" i="1"/>
  <c r="BA523" i="1"/>
  <c r="AV523" i="1"/>
  <c r="AW523" i="1" s="1"/>
  <c r="D480" i="1"/>
  <c r="AV480" i="1"/>
  <c r="AW480" i="1" s="1"/>
  <c r="BA480" i="1"/>
  <c r="D324" i="1"/>
  <c r="AV324" i="1"/>
  <c r="AW324" i="1" s="1"/>
  <c r="BA324" i="1"/>
  <c r="D413" i="1"/>
  <c r="BA413" i="1"/>
  <c r="AV413" i="1"/>
  <c r="AW413" i="1" s="1"/>
  <c r="D971" i="1"/>
  <c r="AV971" i="1"/>
  <c r="AW971" i="1" s="1"/>
  <c r="BA971" i="1"/>
  <c r="D103" i="1"/>
  <c r="AV103" i="1"/>
  <c r="AW103" i="1" s="1"/>
  <c r="BA103" i="1"/>
  <c r="D223" i="1"/>
  <c r="BA223" i="1"/>
  <c r="AV223" i="1"/>
  <c r="AW223" i="1" s="1"/>
  <c r="D151" i="1"/>
  <c r="BA151" i="1"/>
  <c r="AV151" i="1"/>
  <c r="AW151" i="1" s="1"/>
  <c r="D999" i="1"/>
  <c r="BA999" i="1"/>
  <c r="AV999" i="1"/>
  <c r="AW999" i="1" s="1"/>
  <c r="D419" i="1"/>
  <c r="BA419" i="1"/>
  <c r="AV419" i="1"/>
  <c r="AW419" i="1" s="1"/>
  <c r="D295" i="1"/>
  <c r="AV295" i="1"/>
  <c r="AW295" i="1" s="1"/>
  <c r="BA295" i="1"/>
  <c r="D836" i="1"/>
  <c r="BA836" i="1"/>
  <c r="AV836" i="1"/>
  <c r="AW836" i="1" s="1"/>
  <c r="D614" i="1"/>
  <c r="BA614" i="1"/>
  <c r="AV614" i="1"/>
  <c r="AW614" i="1" s="1"/>
  <c r="D527" i="1"/>
  <c r="BA527" i="1"/>
  <c r="AV527" i="1"/>
  <c r="AW527" i="1" s="1"/>
  <c r="D591" i="1"/>
  <c r="AV591" i="1"/>
  <c r="AW591" i="1" s="1"/>
  <c r="BA591" i="1"/>
  <c r="D655" i="1"/>
  <c r="AV655" i="1"/>
  <c r="AW655" i="1" s="1"/>
  <c r="BA655" i="1"/>
  <c r="D453" i="1"/>
  <c r="BA453" i="1"/>
  <c r="AV453" i="1"/>
  <c r="AW453" i="1" s="1"/>
  <c r="D572" i="1"/>
  <c r="AV572" i="1"/>
  <c r="AW572" i="1" s="1"/>
  <c r="BA572" i="1"/>
  <c r="D452" i="1"/>
  <c r="AV452" i="1"/>
  <c r="AW452" i="1" s="1"/>
  <c r="BA452" i="1"/>
  <c r="D133" i="1"/>
  <c r="BA133" i="1"/>
  <c r="AV133" i="1"/>
  <c r="AW133" i="1" s="1"/>
  <c r="D956" i="1"/>
  <c r="AV956" i="1"/>
  <c r="AW956" i="1" s="1"/>
  <c r="BA956" i="1"/>
  <c r="D781" i="1"/>
  <c r="BA781" i="1"/>
  <c r="AV781" i="1"/>
  <c r="AW781" i="1" s="1"/>
  <c r="D399" i="1"/>
  <c r="BA399" i="1"/>
  <c r="AV399" i="1"/>
  <c r="AW399" i="1" s="1"/>
  <c r="D244" i="1"/>
  <c r="BA244" i="1"/>
  <c r="AV244" i="1"/>
  <c r="AW244" i="1" s="1"/>
  <c r="D531" i="1"/>
  <c r="BA531" i="1"/>
  <c r="AV531" i="1"/>
  <c r="AW531" i="1" s="1"/>
  <c r="D786" i="1"/>
  <c r="AV786" i="1"/>
  <c r="AW786" i="1" s="1"/>
  <c r="BA786" i="1"/>
  <c r="D882" i="1"/>
  <c r="BA882" i="1"/>
  <c r="AV882" i="1"/>
  <c r="AW882" i="1" s="1"/>
  <c r="D816" i="1"/>
  <c r="BA816" i="1"/>
  <c r="AV816" i="1"/>
  <c r="AW816" i="1" s="1"/>
  <c r="D61" i="1"/>
  <c r="BA61" i="1"/>
  <c r="AV61" i="1"/>
  <c r="AW61" i="1" s="1"/>
  <c r="D121" i="1"/>
  <c r="BA121" i="1"/>
  <c r="AV121" i="1"/>
  <c r="AW121" i="1" s="1"/>
  <c r="D276" i="1"/>
  <c r="AV276" i="1"/>
  <c r="AW276" i="1" s="1"/>
  <c r="BA276" i="1"/>
  <c r="D116" i="1"/>
  <c r="BA116" i="1"/>
  <c r="AV116" i="1"/>
  <c r="AW116" i="1" s="1"/>
  <c r="D234" i="1"/>
  <c r="AV234" i="1"/>
  <c r="AW234" i="1" s="1"/>
  <c r="BA234" i="1"/>
  <c r="D139" i="1"/>
  <c r="BA139" i="1"/>
  <c r="AV139" i="1"/>
  <c r="AW139" i="1" s="1"/>
  <c r="D974" i="1"/>
  <c r="BA974" i="1"/>
  <c r="AV974" i="1"/>
  <c r="AW974" i="1" s="1"/>
  <c r="D765" i="1"/>
  <c r="BA765" i="1"/>
  <c r="AV765" i="1"/>
  <c r="AW765" i="1" s="1"/>
  <c r="D857" i="1"/>
  <c r="AV857" i="1"/>
  <c r="AW857" i="1" s="1"/>
  <c r="BA857" i="1"/>
  <c r="D395" i="1"/>
  <c r="BA395" i="1"/>
  <c r="AV395" i="1"/>
  <c r="AW395" i="1" s="1"/>
  <c r="D272" i="1"/>
  <c r="BA272" i="1"/>
  <c r="AV272" i="1"/>
  <c r="AW272" i="1" s="1"/>
  <c r="D994" i="1"/>
  <c r="AV994" i="1"/>
  <c r="AW994" i="1" s="1"/>
  <c r="BA994" i="1"/>
  <c r="D851" i="1"/>
  <c r="AV851" i="1"/>
  <c r="AW851" i="1" s="1"/>
  <c r="BA851" i="1"/>
  <c r="D323" i="1"/>
  <c r="BA323" i="1"/>
  <c r="AV323" i="1"/>
  <c r="AW323" i="1" s="1"/>
  <c r="D316" i="1"/>
  <c r="AV316" i="1"/>
  <c r="AW316" i="1" s="1"/>
  <c r="BA316" i="1"/>
  <c r="D268" i="1"/>
  <c r="AV268" i="1"/>
  <c r="AW268" i="1" s="1"/>
  <c r="BA268" i="1"/>
  <c r="D834" i="1"/>
  <c r="BA834" i="1"/>
  <c r="AV834" i="1"/>
  <c r="AW834" i="1" s="1"/>
  <c r="D65" i="1"/>
  <c r="AV65" i="1"/>
  <c r="AW65" i="1" s="1"/>
  <c r="BA65" i="1"/>
  <c r="D81" i="1"/>
  <c r="BA81" i="1"/>
  <c r="AV81" i="1"/>
  <c r="AW81" i="1" s="1"/>
  <c r="D58" i="1"/>
  <c r="AV58" i="1"/>
  <c r="AW58" i="1" s="1"/>
  <c r="BA58" i="1"/>
  <c r="D506" i="1"/>
  <c r="BA506" i="1"/>
  <c r="AV506" i="1"/>
  <c r="AW506" i="1" s="1"/>
  <c r="D585" i="1"/>
  <c r="BA585" i="1"/>
  <c r="AV585" i="1"/>
  <c r="AW585" i="1" s="1"/>
  <c r="D681" i="1"/>
  <c r="AV681" i="1"/>
  <c r="AW681" i="1" s="1"/>
  <c r="BA681" i="1"/>
  <c r="D860" i="1"/>
  <c r="BA860" i="1"/>
  <c r="AV860" i="1"/>
  <c r="AW860" i="1" s="1"/>
  <c r="D177" i="1"/>
  <c r="BA177" i="1"/>
  <c r="AV177" i="1"/>
  <c r="AW177" i="1" s="1"/>
  <c r="D471" i="1"/>
  <c r="AV471" i="1"/>
  <c r="AW471" i="1" s="1"/>
  <c r="BA471" i="1"/>
  <c r="D823" i="1"/>
  <c r="AV823" i="1"/>
  <c r="AW823" i="1" s="1"/>
  <c r="BA823" i="1"/>
  <c r="D752" i="1"/>
  <c r="AV752" i="1"/>
  <c r="AW752" i="1" s="1"/>
  <c r="BA752" i="1"/>
  <c r="D387" i="1"/>
  <c r="BA387" i="1"/>
  <c r="AV387" i="1"/>
  <c r="AW387" i="1" s="1"/>
  <c r="D853" i="1"/>
  <c r="BA853" i="1"/>
  <c r="AV853" i="1"/>
  <c r="AW853" i="1" s="1"/>
  <c r="D494" i="1"/>
  <c r="BA494" i="1"/>
  <c r="AV494" i="1"/>
  <c r="AW494" i="1" s="1"/>
  <c r="D455" i="1"/>
  <c r="AV455" i="1"/>
  <c r="AW455" i="1" s="1"/>
  <c r="BA455" i="1"/>
  <c r="D739" i="1"/>
  <c r="AV739" i="1"/>
  <c r="AW739" i="1" s="1"/>
  <c r="BA739" i="1"/>
  <c r="D963" i="1"/>
  <c r="AV963" i="1"/>
  <c r="AW963" i="1" s="1"/>
  <c r="BA963" i="1"/>
  <c r="D774" i="1"/>
  <c r="BA774" i="1"/>
  <c r="AV774" i="1"/>
  <c r="AW774" i="1" s="1"/>
  <c r="D855" i="1"/>
  <c r="AV855" i="1"/>
  <c r="AW855" i="1" s="1"/>
  <c r="BA855" i="1"/>
  <c r="D662" i="1"/>
  <c r="AV662" i="1"/>
  <c r="AW662" i="1" s="1"/>
  <c r="BA662" i="1"/>
  <c r="D788" i="1"/>
  <c r="AV788" i="1"/>
  <c r="AW788" i="1" s="1"/>
  <c r="BA788" i="1"/>
  <c r="D715" i="1"/>
  <c r="AV715" i="1"/>
  <c r="AW715" i="1" s="1"/>
  <c r="BA715" i="1"/>
  <c r="D800" i="1"/>
  <c r="AV800" i="1"/>
  <c r="AW800" i="1" s="1"/>
  <c r="BA800" i="1"/>
  <c r="D900" i="1"/>
  <c r="BA900" i="1"/>
  <c r="AV900" i="1"/>
  <c r="AW900" i="1" s="1"/>
  <c r="D755" i="1"/>
  <c r="AV755" i="1"/>
  <c r="AW755" i="1" s="1"/>
  <c r="BA755" i="1"/>
  <c r="D886" i="1"/>
  <c r="BA886" i="1"/>
  <c r="AV886" i="1"/>
  <c r="AW886" i="1" s="1"/>
  <c r="D403" i="1"/>
  <c r="BA403" i="1"/>
  <c r="AV403" i="1"/>
  <c r="AW403" i="1" s="1"/>
  <c r="D87" i="1"/>
  <c r="AV87" i="1"/>
  <c r="AW87" i="1" s="1"/>
  <c r="BA87" i="1"/>
  <c r="D476" i="1"/>
  <c r="AV476" i="1"/>
  <c r="AW476" i="1" s="1"/>
  <c r="BA476" i="1"/>
  <c r="D987" i="1"/>
  <c r="AV987" i="1"/>
  <c r="AW987" i="1" s="1"/>
  <c r="BA987" i="1"/>
  <c r="D961" i="1"/>
  <c r="AV961" i="1"/>
  <c r="AW961" i="1" s="1"/>
  <c r="BA961" i="1"/>
  <c r="D883" i="1"/>
  <c r="AV883" i="1"/>
  <c r="AW883" i="1" s="1"/>
  <c r="BA883" i="1"/>
  <c r="D947" i="1"/>
  <c r="AV947" i="1"/>
  <c r="AW947" i="1" s="1"/>
  <c r="BA947" i="1"/>
  <c r="D838" i="1"/>
  <c r="AV838" i="1"/>
  <c r="AW838" i="1" s="1"/>
  <c r="BA838" i="1"/>
  <c r="D536" i="1"/>
  <c r="AV536" i="1"/>
  <c r="AW536" i="1" s="1"/>
  <c r="BA536" i="1"/>
  <c r="D238" i="1"/>
  <c r="AV238" i="1"/>
  <c r="AW238" i="1" s="1"/>
  <c r="BA238" i="1"/>
  <c r="D411" i="1"/>
  <c r="BA411" i="1"/>
  <c r="AV411" i="1"/>
  <c r="AW411" i="1" s="1"/>
  <c r="D285" i="1"/>
  <c r="AV285" i="1"/>
  <c r="AW285" i="1" s="1"/>
  <c r="BA285" i="1"/>
  <c r="D385" i="1"/>
  <c r="BA385" i="1"/>
  <c r="AV385" i="1"/>
  <c r="AW385" i="1" s="1"/>
  <c r="D358" i="1"/>
  <c r="AV358" i="1"/>
  <c r="AW358" i="1" s="1"/>
  <c r="BA358" i="1"/>
  <c r="D422" i="1"/>
  <c r="AV422" i="1"/>
  <c r="AW422" i="1" s="1"/>
  <c r="BA422" i="1"/>
  <c r="D702" i="1"/>
  <c r="BA702" i="1"/>
  <c r="AV702" i="1"/>
  <c r="AW702" i="1" s="1"/>
  <c r="D615" i="1"/>
  <c r="BA615" i="1"/>
  <c r="AV615" i="1"/>
  <c r="AW615" i="1" s="1"/>
  <c r="AZ420" i="1"/>
  <c r="BI420" i="1" s="1"/>
  <c r="AZ597" i="1"/>
  <c r="BI597" i="1" s="1"/>
  <c r="AZ576" i="1"/>
  <c r="BI576" i="1" s="1"/>
  <c r="AZ959" i="1"/>
  <c r="BI959" i="1" s="1"/>
  <c r="AZ171" i="1"/>
  <c r="BI171" i="1" s="1"/>
  <c r="AZ102" i="1"/>
  <c r="BI102" i="1" s="1"/>
  <c r="AZ589" i="1"/>
  <c r="BI589" i="1" s="1"/>
  <c r="AZ790" i="1"/>
  <c r="BI790" i="1" s="1"/>
  <c r="AZ1007" i="1"/>
  <c r="BI1007" i="1" s="1"/>
  <c r="AZ995" i="1"/>
  <c r="BI995" i="1" s="1"/>
  <c r="AZ418" i="1"/>
  <c r="BI418" i="1" s="1"/>
  <c r="AZ107" i="1"/>
  <c r="BI107" i="1" s="1"/>
  <c r="AZ31" i="1"/>
  <c r="BI31" i="1" s="1"/>
  <c r="AZ377" i="1"/>
  <c r="BI377" i="1" s="1"/>
  <c r="D186" i="1"/>
  <c r="BA186" i="1"/>
  <c r="AV186" i="1"/>
  <c r="AW186" i="1" s="1"/>
  <c r="D113" i="1"/>
  <c r="BA113" i="1"/>
  <c r="AV113" i="1"/>
  <c r="AW113" i="1" s="1"/>
  <c r="D225" i="1"/>
  <c r="AV225" i="1"/>
  <c r="AW225" i="1" s="1"/>
  <c r="BA225" i="1"/>
  <c r="D132" i="1"/>
  <c r="AV132" i="1"/>
  <c r="AW132" i="1" s="1"/>
  <c r="BA132" i="1"/>
  <c r="D321" i="1"/>
  <c r="AV321" i="1"/>
  <c r="AW321" i="1" s="1"/>
  <c r="BA321" i="1"/>
  <c r="D936" i="1"/>
  <c r="BA936" i="1"/>
  <c r="AV936" i="1"/>
  <c r="AW936" i="1" s="1"/>
  <c r="D40" i="1"/>
  <c r="AV40" i="1"/>
  <c r="AW40" i="1" s="1"/>
  <c r="BA40" i="1"/>
  <c r="D46" i="1"/>
  <c r="AV46" i="1"/>
  <c r="AW46" i="1" s="1"/>
  <c r="BA46" i="1"/>
  <c r="D163" i="1"/>
  <c r="BA163" i="1"/>
  <c r="AV163" i="1"/>
  <c r="AW163" i="1" s="1"/>
  <c r="D222" i="1"/>
  <c r="BA222" i="1"/>
  <c r="AV222" i="1"/>
  <c r="AW222" i="1" s="1"/>
  <c r="D74" i="1"/>
  <c r="AV74" i="1"/>
  <c r="AW74" i="1" s="1"/>
  <c r="BA74" i="1"/>
  <c r="D1037" i="1"/>
  <c r="AV1037" i="1"/>
  <c r="AW1037" i="1" s="1"/>
  <c r="BA1037" i="1"/>
  <c r="D170" i="1"/>
  <c r="BA170" i="1"/>
  <c r="AV170" i="1"/>
  <c r="AW170" i="1" s="1"/>
  <c r="D261" i="1"/>
  <c r="AV261" i="1"/>
  <c r="AW261" i="1" s="1"/>
  <c r="BA261" i="1"/>
  <c r="D273" i="1"/>
  <c r="AV273" i="1"/>
  <c r="AW273" i="1" s="1"/>
  <c r="BA273" i="1"/>
  <c r="D288" i="1"/>
  <c r="AV288" i="1"/>
  <c r="AW288" i="1" s="1"/>
  <c r="BA288" i="1"/>
  <c r="D315" i="1"/>
  <c r="AV315" i="1"/>
  <c r="AW315" i="1" s="1"/>
  <c r="BA315" i="1"/>
  <c r="D331" i="1"/>
  <c r="BA331" i="1"/>
  <c r="AV331" i="1"/>
  <c r="AW331" i="1" s="1"/>
  <c r="D312" i="1"/>
  <c r="BA312" i="1"/>
  <c r="AV312" i="1"/>
  <c r="AW312" i="1" s="1"/>
  <c r="D280" i="1"/>
  <c r="BA280" i="1"/>
  <c r="AV280" i="1"/>
  <c r="AW280" i="1" s="1"/>
  <c r="D59" i="1"/>
  <c r="AV59" i="1"/>
  <c r="AW59" i="1" s="1"/>
  <c r="BA59" i="1"/>
  <c r="D369" i="1"/>
  <c r="BA369" i="1"/>
  <c r="AV369" i="1"/>
  <c r="AW369" i="1" s="1"/>
  <c r="D425" i="1"/>
  <c r="AV425" i="1"/>
  <c r="AW425" i="1" s="1"/>
  <c r="BA425" i="1"/>
  <c r="D366" i="1"/>
  <c r="AV366" i="1"/>
  <c r="AW366" i="1" s="1"/>
  <c r="BA366" i="1"/>
  <c r="D416" i="1"/>
  <c r="AV416" i="1"/>
  <c r="AW416" i="1" s="1"/>
  <c r="BA416" i="1"/>
  <c r="D787" i="1"/>
  <c r="AV787" i="1"/>
  <c r="AW787" i="1" s="1"/>
  <c r="BA787" i="1"/>
  <c r="D1019" i="1"/>
  <c r="AV1019" i="1"/>
  <c r="AW1019" i="1" s="1"/>
  <c r="BA1019" i="1"/>
  <c r="D710" i="1"/>
  <c r="AV710" i="1"/>
  <c r="AW710" i="1" s="1"/>
  <c r="BA710" i="1"/>
  <c r="D508" i="1"/>
  <c r="AV508" i="1"/>
  <c r="AW508" i="1" s="1"/>
  <c r="BA508" i="1"/>
  <c r="D368" i="1"/>
  <c r="BA368" i="1"/>
  <c r="AV368" i="1"/>
  <c r="AW368" i="1" s="1"/>
  <c r="D473" i="1"/>
  <c r="AV473" i="1"/>
  <c r="AW473" i="1" s="1"/>
  <c r="BA473" i="1"/>
  <c r="D652" i="1"/>
  <c r="AV652" i="1"/>
  <c r="AW652" i="1" s="1"/>
  <c r="BA652" i="1"/>
  <c r="D557" i="1"/>
  <c r="AV557" i="1"/>
  <c r="AW557" i="1" s="1"/>
  <c r="BA557" i="1"/>
  <c r="D848" i="1"/>
  <c r="BA848" i="1"/>
  <c r="AV848" i="1"/>
  <c r="AW848" i="1" s="1"/>
  <c r="D83" i="1"/>
  <c r="BA83" i="1"/>
  <c r="AV83" i="1"/>
  <c r="AW83" i="1" s="1"/>
  <c r="D505" i="1"/>
  <c r="AV505" i="1"/>
  <c r="AW505" i="1" s="1"/>
  <c r="BA505" i="1"/>
  <c r="D633" i="1"/>
  <c r="AV633" i="1"/>
  <c r="AW633" i="1" s="1"/>
  <c r="BA633" i="1"/>
  <c r="D697" i="1"/>
  <c r="BA697" i="1"/>
  <c r="AV697" i="1"/>
  <c r="AW697" i="1" s="1"/>
  <c r="D38" i="1"/>
  <c r="BA38" i="1"/>
  <c r="AV38" i="1"/>
  <c r="AW38" i="1" s="1"/>
  <c r="D75" i="1"/>
  <c r="AV75" i="1"/>
  <c r="AW75" i="1" s="1"/>
  <c r="BA75" i="1"/>
  <c r="D1041" i="1"/>
  <c r="BA1041" i="1"/>
  <c r="AV1041" i="1"/>
  <c r="AW1041" i="1" s="1"/>
  <c r="D51" i="1"/>
  <c r="BA51" i="1"/>
  <c r="AV51" i="1"/>
  <c r="AW51" i="1" s="1"/>
  <c r="D1040" i="1"/>
  <c r="BA1040" i="1"/>
  <c r="AV1040" i="1"/>
  <c r="AW1040" i="1" s="1"/>
  <c r="D146" i="1"/>
  <c r="AV146" i="1"/>
  <c r="AW146" i="1" s="1"/>
  <c r="BA146" i="1"/>
  <c r="D153" i="1"/>
  <c r="BA153" i="1"/>
  <c r="AV153" i="1"/>
  <c r="AW153" i="1" s="1"/>
  <c r="D95" i="1"/>
  <c r="AV95" i="1"/>
  <c r="AW95" i="1" s="1"/>
  <c r="BA95" i="1"/>
  <c r="D106" i="1"/>
  <c r="BA106" i="1"/>
  <c r="AV106" i="1"/>
  <c r="AW106" i="1" s="1"/>
  <c r="D217" i="1"/>
  <c r="BA217" i="1"/>
  <c r="AV217" i="1"/>
  <c r="AW217" i="1" s="1"/>
  <c r="D189" i="1"/>
  <c r="BA189" i="1"/>
  <c r="AV189" i="1"/>
  <c r="AW189" i="1" s="1"/>
  <c r="D137" i="1"/>
  <c r="AV137" i="1"/>
  <c r="AW137" i="1" s="1"/>
  <c r="BA137" i="1"/>
  <c r="D62" i="1"/>
  <c r="BA62" i="1"/>
  <c r="AV62" i="1"/>
  <c r="AW62" i="1" s="1"/>
  <c r="D49" i="1"/>
  <c r="BA49" i="1"/>
  <c r="AV49" i="1"/>
  <c r="AW49" i="1" s="1"/>
  <c r="D196" i="1"/>
  <c r="AV196" i="1"/>
  <c r="AW196" i="1" s="1"/>
  <c r="BA196" i="1"/>
  <c r="D341" i="1"/>
  <c r="AV341" i="1"/>
  <c r="AW341" i="1" s="1"/>
  <c r="BA341" i="1"/>
  <c r="D328" i="1"/>
  <c r="AV328" i="1"/>
  <c r="AW328" i="1" s="1"/>
  <c r="BA328" i="1"/>
  <c r="D337" i="1"/>
  <c r="BA337" i="1"/>
  <c r="AV337" i="1"/>
  <c r="AW337" i="1" s="1"/>
  <c r="D257" i="1"/>
  <c r="AV257" i="1"/>
  <c r="AW257" i="1" s="1"/>
  <c r="BA257" i="1"/>
  <c r="D308" i="1"/>
  <c r="AV308" i="1"/>
  <c r="AW308" i="1" s="1"/>
  <c r="BA308" i="1"/>
  <c r="D237" i="1"/>
  <c r="BA237" i="1"/>
  <c r="AV237" i="1"/>
  <c r="AW237" i="1" s="1"/>
  <c r="D313" i="1"/>
  <c r="BA313" i="1"/>
  <c r="AV313" i="1"/>
  <c r="AW313" i="1" s="1"/>
  <c r="D233" i="1"/>
  <c r="AV233" i="1"/>
  <c r="AW233" i="1" s="1"/>
  <c r="BA233" i="1"/>
  <c r="D361" i="1"/>
  <c r="BA361" i="1"/>
  <c r="AV361" i="1"/>
  <c r="AW361" i="1" s="1"/>
  <c r="D251" i="1"/>
  <c r="AV251" i="1"/>
  <c r="AW251" i="1" s="1"/>
  <c r="BA251" i="1"/>
  <c r="D290" i="1"/>
  <c r="BA290" i="1"/>
  <c r="AV290" i="1"/>
  <c r="AW290" i="1" s="1"/>
  <c r="D214" i="1"/>
  <c r="BA214" i="1"/>
  <c r="AV214" i="1"/>
  <c r="AW214" i="1" s="1"/>
  <c r="D344" i="1"/>
  <c r="BA344" i="1"/>
  <c r="AV344" i="1"/>
  <c r="AW344" i="1" s="1"/>
  <c r="D124" i="1"/>
  <c r="BA124" i="1"/>
  <c r="AV124" i="1"/>
  <c r="AW124" i="1" s="1"/>
  <c r="D188" i="1"/>
  <c r="AV188" i="1"/>
  <c r="AW188" i="1" s="1"/>
  <c r="BA188" i="1"/>
  <c r="D111" i="1"/>
  <c r="AV111" i="1"/>
  <c r="AW111" i="1" s="1"/>
  <c r="BA111" i="1"/>
  <c r="D205" i="1"/>
  <c r="AV205" i="1"/>
  <c r="AW205" i="1" s="1"/>
  <c r="BA205" i="1"/>
  <c r="D125" i="1"/>
  <c r="AV125" i="1"/>
  <c r="AW125" i="1" s="1"/>
  <c r="BA125" i="1"/>
  <c r="D1042" i="1"/>
  <c r="AV1042" i="1"/>
  <c r="AW1042" i="1" s="1"/>
  <c r="BA1042" i="1"/>
  <c r="D437" i="1"/>
  <c r="BA437" i="1"/>
  <c r="AV437" i="1"/>
  <c r="AW437" i="1" s="1"/>
  <c r="D302" i="1"/>
  <c r="BA302" i="1"/>
  <c r="AV302" i="1"/>
  <c r="AW302" i="1" s="1"/>
  <c r="D353" i="1"/>
  <c r="BA353" i="1"/>
  <c r="AV353" i="1"/>
  <c r="AW353" i="1" s="1"/>
  <c r="D689" i="1"/>
  <c r="AV689" i="1"/>
  <c r="AW689" i="1" s="1"/>
  <c r="BA689" i="1"/>
  <c r="D448" i="1"/>
  <c r="AV448" i="1"/>
  <c r="AW448" i="1" s="1"/>
  <c r="BA448" i="1"/>
  <c r="D532" i="1"/>
  <c r="BA532" i="1"/>
  <c r="AV532" i="1"/>
  <c r="AW532" i="1" s="1"/>
  <c r="D852" i="1"/>
  <c r="AV852" i="1"/>
  <c r="AW852" i="1" s="1"/>
  <c r="BA852" i="1"/>
  <c r="D794" i="1"/>
  <c r="BA794" i="1"/>
  <c r="AV794" i="1"/>
  <c r="AW794" i="1" s="1"/>
  <c r="D707" i="1"/>
  <c r="BA707" i="1"/>
  <c r="AV707" i="1"/>
  <c r="AW707" i="1" s="1"/>
  <c r="D550" i="1"/>
  <c r="AV550" i="1"/>
  <c r="AW550" i="1" s="1"/>
  <c r="BA550" i="1"/>
  <c r="D262" i="1"/>
  <c r="BA262" i="1"/>
  <c r="AV262" i="1"/>
  <c r="AW262" i="1" s="1"/>
  <c r="D485" i="1"/>
  <c r="BA485" i="1"/>
  <c r="AV485" i="1"/>
  <c r="AW485" i="1" s="1"/>
  <c r="D792" i="1"/>
  <c r="AV792" i="1"/>
  <c r="AW792" i="1" s="1"/>
  <c r="BA792" i="1"/>
  <c r="D636" i="1"/>
  <c r="BA636" i="1"/>
  <c r="AV636" i="1"/>
  <c r="AW636" i="1" s="1"/>
  <c r="D830" i="1"/>
  <c r="AV830" i="1"/>
  <c r="AW830" i="1" s="1"/>
  <c r="BA830" i="1"/>
  <c r="D401" i="1"/>
  <c r="BA401" i="1"/>
  <c r="AV401" i="1"/>
  <c r="AW401" i="1" s="1"/>
  <c r="D650" i="1"/>
  <c r="BA650" i="1"/>
  <c r="AV650" i="1"/>
  <c r="AW650" i="1" s="1"/>
  <c r="D489" i="1"/>
  <c r="AV489" i="1"/>
  <c r="AW489" i="1" s="1"/>
  <c r="BA489" i="1"/>
  <c r="D732" i="1"/>
  <c r="BA732" i="1"/>
  <c r="AV732" i="1"/>
  <c r="AW732" i="1" s="1"/>
  <c r="D844" i="1"/>
  <c r="AV844" i="1"/>
  <c r="AW844" i="1" s="1"/>
  <c r="BA844" i="1"/>
  <c r="D738" i="1"/>
  <c r="BA738" i="1"/>
  <c r="AV738" i="1"/>
  <c r="AW738" i="1" s="1"/>
  <c r="D632" i="1"/>
  <c r="AV632" i="1"/>
  <c r="AW632" i="1" s="1"/>
  <c r="BA632" i="1"/>
  <c r="D669" i="1"/>
  <c r="BA669" i="1"/>
  <c r="AV669" i="1"/>
  <c r="AW669" i="1" s="1"/>
  <c r="D644" i="1"/>
  <c r="BA644" i="1"/>
  <c r="AV644" i="1"/>
  <c r="AW644" i="1" s="1"/>
  <c r="D540" i="1"/>
  <c r="BA540" i="1"/>
  <c r="AV540" i="1"/>
  <c r="AW540" i="1" s="1"/>
  <c r="D981" i="1"/>
  <c r="BA981" i="1"/>
  <c r="AV981" i="1"/>
  <c r="AW981" i="1" s="1"/>
  <c r="D520" i="1"/>
  <c r="BA520" i="1"/>
  <c r="AV520" i="1"/>
  <c r="AW520" i="1" s="1"/>
  <c r="D53" i="1"/>
  <c r="BA53" i="1"/>
  <c r="AV53" i="1"/>
  <c r="AW53" i="1" s="1"/>
  <c r="D901" i="1"/>
  <c r="BA901" i="1"/>
  <c r="AV901" i="1"/>
  <c r="AW901" i="1" s="1"/>
  <c r="D909" i="1"/>
  <c r="BA909" i="1"/>
  <c r="AV909" i="1"/>
  <c r="AW909" i="1" s="1"/>
  <c r="D869" i="1"/>
  <c r="AV869" i="1"/>
  <c r="AW869" i="1" s="1"/>
  <c r="BA869" i="1"/>
  <c r="D553" i="1"/>
  <c r="BA553" i="1"/>
  <c r="AV553" i="1"/>
  <c r="AW553" i="1" s="1"/>
  <c r="D617" i="1"/>
  <c r="BA617" i="1"/>
  <c r="AV617" i="1"/>
  <c r="AW617" i="1" s="1"/>
  <c r="D680" i="1"/>
  <c r="BA680" i="1"/>
  <c r="AV680" i="1"/>
  <c r="AW680" i="1" s="1"/>
  <c r="D1012" i="1"/>
  <c r="AV1012" i="1"/>
  <c r="AW1012" i="1" s="1"/>
  <c r="BA1012" i="1"/>
  <c r="D940" i="1"/>
  <c r="AV940" i="1"/>
  <c r="AW940" i="1" s="1"/>
  <c r="BA940" i="1"/>
  <c r="D749" i="1"/>
  <c r="BA749" i="1"/>
  <c r="AV749" i="1"/>
  <c r="AW749" i="1" s="1"/>
  <c r="D842" i="1"/>
  <c r="AV842" i="1"/>
  <c r="AW842" i="1" s="1"/>
  <c r="BA842" i="1"/>
  <c r="D134" i="1"/>
  <c r="BA134" i="1"/>
  <c r="AV134" i="1"/>
  <c r="AW134" i="1" s="1"/>
  <c r="D828" i="1"/>
  <c r="BA828" i="1"/>
  <c r="AV828" i="1"/>
  <c r="AW828" i="1" s="1"/>
  <c r="D941" i="1"/>
  <c r="BA941" i="1"/>
  <c r="AV941" i="1"/>
  <c r="AW941" i="1" s="1"/>
  <c r="D944" i="1"/>
  <c r="BA944" i="1"/>
  <c r="AV944" i="1"/>
  <c r="AW944" i="1" s="1"/>
  <c r="D912" i="1"/>
  <c r="AV912" i="1"/>
  <c r="AW912" i="1" s="1"/>
  <c r="BA912" i="1"/>
  <c r="D645" i="1"/>
  <c r="AV645" i="1"/>
  <c r="AW645" i="1" s="1"/>
  <c r="BA645" i="1"/>
  <c r="D709" i="1"/>
  <c r="AV709" i="1"/>
  <c r="AW709" i="1" s="1"/>
  <c r="BA709" i="1"/>
  <c r="D725" i="1"/>
  <c r="AV725" i="1"/>
  <c r="AW725" i="1" s="1"/>
  <c r="BA725" i="1"/>
  <c r="D984" i="1"/>
  <c r="BA984" i="1"/>
  <c r="AV984" i="1"/>
  <c r="AW984" i="1" s="1"/>
  <c r="D960" i="1"/>
  <c r="BA960" i="1"/>
  <c r="AV960" i="1"/>
  <c r="AW960" i="1" s="1"/>
  <c r="D1028" i="1"/>
  <c r="AV1028" i="1"/>
  <c r="AW1028" i="1" s="1"/>
  <c r="BA1028" i="1"/>
  <c r="D183" i="1"/>
  <c r="AV183" i="1"/>
  <c r="AW183" i="1" s="1"/>
  <c r="BA183" i="1"/>
  <c r="D965" i="1"/>
  <c r="BA965" i="1"/>
  <c r="AV965" i="1"/>
  <c r="AW965" i="1" s="1"/>
  <c r="D837" i="1"/>
  <c r="AV837" i="1"/>
  <c r="AW837" i="1" s="1"/>
  <c r="BA837" i="1"/>
  <c r="D577" i="1"/>
  <c r="BA577" i="1"/>
  <c r="AV577" i="1"/>
  <c r="AW577" i="1" s="1"/>
  <c r="D609" i="1"/>
  <c r="AV609" i="1"/>
  <c r="AW609" i="1" s="1"/>
  <c r="BA609" i="1"/>
  <c r="D845" i="1"/>
  <c r="BA845" i="1"/>
  <c r="AV845" i="1"/>
  <c r="AW845" i="1" s="1"/>
  <c r="D937" i="1"/>
  <c r="AV937" i="1"/>
  <c r="AW937" i="1" s="1"/>
  <c r="BA937" i="1"/>
  <c r="D873" i="1"/>
  <c r="BA873" i="1"/>
  <c r="AV873" i="1"/>
  <c r="AW873" i="1" s="1"/>
  <c r="D745" i="1"/>
  <c r="AV745" i="1"/>
  <c r="AW745" i="1" s="1"/>
  <c r="BA745" i="1"/>
  <c r="D750" i="1"/>
  <c r="AV750" i="1"/>
  <c r="AW750" i="1" s="1"/>
  <c r="BA750" i="1"/>
  <c r="D923" i="1"/>
  <c r="AV923" i="1"/>
  <c r="AW923" i="1" s="1"/>
  <c r="BA923" i="1"/>
  <c r="D224" i="1"/>
  <c r="BA224" i="1"/>
  <c r="AV224" i="1"/>
  <c r="AW224" i="1" s="1"/>
  <c r="D174" i="1"/>
  <c r="BA174" i="1"/>
  <c r="AV174" i="1"/>
  <c r="AW174" i="1" s="1"/>
  <c r="D454" i="1"/>
  <c r="AV454" i="1"/>
  <c r="AW454" i="1" s="1"/>
  <c r="BA454" i="1"/>
  <c r="D479" i="1"/>
  <c r="BA479" i="1"/>
  <c r="AV479" i="1"/>
  <c r="AW479" i="1" s="1"/>
  <c r="D747" i="1"/>
  <c r="BA747" i="1"/>
  <c r="AV747" i="1"/>
  <c r="AW747" i="1" s="1"/>
  <c r="D795" i="1"/>
  <c r="BA795" i="1"/>
  <c r="AV795" i="1"/>
  <c r="AW795" i="1" s="1"/>
  <c r="D843" i="1"/>
  <c r="AV843" i="1"/>
  <c r="AW843" i="1" s="1"/>
  <c r="BA843" i="1"/>
  <c r="D942" i="1"/>
  <c r="BA942" i="1"/>
  <c r="AV942" i="1"/>
  <c r="AW942" i="1" s="1"/>
  <c r="D728" i="1"/>
  <c r="BA728" i="1"/>
  <c r="AV728" i="1"/>
  <c r="AW728" i="1" s="1"/>
  <c r="D409" i="1"/>
  <c r="AV409" i="1"/>
  <c r="AW409" i="1" s="1"/>
  <c r="BA409" i="1"/>
  <c r="D763" i="1"/>
  <c r="BA763" i="1"/>
  <c r="AV763" i="1"/>
  <c r="AW763" i="1" s="1"/>
  <c r="D731" i="1"/>
  <c r="BA731" i="1"/>
  <c r="AV731" i="1"/>
  <c r="AW731" i="1" s="1"/>
  <c r="D875" i="1"/>
  <c r="BA875" i="1"/>
  <c r="AV875" i="1"/>
  <c r="AW875" i="1" s="1"/>
  <c r="D958" i="1"/>
  <c r="BA958" i="1"/>
  <c r="AV958" i="1"/>
  <c r="AW958" i="1" s="1"/>
  <c r="D54" i="1"/>
  <c r="BA54" i="1"/>
  <c r="AV54" i="1"/>
  <c r="AW54" i="1" s="1"/>
  <c r="D704" i="1"/>
  <c r="AV704" i="1"/>
  <c r="AW704" i="1" s="1"/>
  <c r="BA704" i="1"/>
  <c r="D856" i="1"/>
  <c r="AV856" i="1"/>
  <c r="AW856" i="1" s="1"/>
  <c r="BA856" i="1"/>
  <c r="D441" i="1"/>
  <c r="AV441" i="1"/>
  <c r="AW441" i="1" s="1"/>
  <c r="BA441" i="1"/>
  <c r="D291" i="1"/>
  <c r="BA291" i="1"/>
  <c r="AV291" i="1"/>
  <c r="AW291" i="1" s="1"/>
  <c r="D66" i="1"/>
  <c r="AV66" i="1"/>
  <c r="AW66" i="1" s="1"/>
  <c r="BA66" i="1"/>
  <c r="D33" i="1"/>
  <c r="BA33" i="1"/>
  <c r="AV33" i="1"/>
  <c r="AW33" i="1" s="1"/>
  <c r="D82" i="1"/>
  <c r="BA82" i="1"/>
  <c r="AV82" i="1"/>
  <c r="AW82" i="1" s="1"/>
  <c r="D626" i="1"/>
  <c r="BA626" i="1"/>
  <c r="AV626" i="1"/>
  <c r="AW626" i="1" s="1"/>
  <c r="D968" i="1"/>
  <c r="BA968" i="1"/>
  <c r="AV968" i="1"/>
  <c r="AW968" i="1" s="1"/>
  <c r="D659" i="1"/>
  <c r="AV659" i="1"/>
  <c r="AW659" i="1" s="1"/>
  <c r="BA659" i="1"/>
  <c r="D447" i="1"/>
  <c r="BA447" i="1"/>
  <c r="AV447" i="1"/>
  <c r="AW447" i="1" s="1"/>
  <c r="D705" i="1"/>
  <c r="AV705" i="1"/>
  <c r="AW705" i="1" s="1"/>
  <c r="BA705" i="1"/>
  <c r="D245" i="1"/>
  <c r="AV245" i="1"/>
  <c r="AW245" i="1" s="1"/>
  <c r="BA245" i="1"/>
  <c r="D115" i="1"/>
  <c r="BA115" i="1"/>
  <c r="AV115" i="1"/>
  <c r="AW115" i="1" s="1"/>
  <c r="D346" i="1"/>
  <c r="BA346" i="1"/>
  <c r="AV346" i="1"/>
  <c r="AW346" i="1" s="1"/>
  <c r="D867" i="1"/>
  <c r="BA867" i="1"/>
  <c r="AV867" i="1"/>
  <c r="AW867" i="1" s="1"/>
  <c r="D797" i="1"/>
  <c r="AV797" i="1"/>
  <c r="AW797" i="1" s="1"/>
  <c r="BA797" i="1"/>
  <c r="D638" i="1"/>
  <c r="AV638" i="1"/>
  <c r="AW638" i="1" s="1"/>
  <c r="BA638" i="1"/>
  <c r="D964" i="1"/>
  <c r="AV964" i="1"/>
  <c r="AW964" i="1" s="1"/>
  <c r="BA964" i="1"/>
  <c r="BA25" i="1"/>
  <c r="D181" i="1"/>
  <c r="AV181" i="1"/>
  <c r="AW181" i="1" s="1"/>
  <c r="BA181" i="1"/>
  <c r="D99" i="1"/>
  <c r="BA99" i="1"/>
  <c r="AV99" i="1"/>
  <c r="AW99" i="1" s="1"/>
  <c r="D352" i="1"/>
  <c r="BA352" i="1"/>
  <c r="AV352" i="1"/>
  <c r="AW352" i="1" s="1"/>
  <c r="D160" i="1"/>
  <c r="AV160" i="1"/>
  <c r="AW160" i="1" s="1"/>
  <c r="BA160" i="1"/>
  <c r="D269" i="1"/>
  <c r="AV269" i="1"/>
  <c r="AW269" i="1" s="1"/>
  <c r="BA269" i="1"/>
  <c r="D773" i="1"/>
  <c r="AV773" i="1"/>
  <c r="AW773" i="1" s="1"/>
  <c r="BA773" i="1"/>
  <c r="D954" i="1"/>
  <c r="AV954" i="1"/>
  <c r="AW954" i="1" s="1"/>
  <c r="BA954" i="1"/>
  <c r="D277" i="1"/>
  <c r="AV277" i="1"/>
  <c r="AW277" i="1" s="1"/>
  <c r="BA277" i="1"/>
  <c r="D228" i="1"/>
  <c r="AV228" i="1"/>
  <c r="AW228" i="1" s="1"/>
  <c r="BA228" i="1"/>
  <c r="D404" i="1"/>
  <c r="AV404" i="1"/>
  <c r="AW404" i="1" s="1"/>
  <c r="BA404" i="1"/>
  <c r="D952" i="1"/>
  <c r="BA952" i="1"/>
  <c r="AV952" i="1"/>
  <c r="AW952" i="1" s="1"/>
  <c r="D546" i="1"/>
  <c r="BA546" i="1"/>
  <c r="AV546" i="1"/>
  <c r="AW546" i="1" s="1"/>
  <c r="D858" i="1"/>
  <c r="BA858" i="1"/>
  <c r="AV858" i="1"/>
  <c r="AW858" i="1" s="1"/>
  <c r="D826" i="1"/>
  <c r="BA826" i="1"/>
  <c r="AV826" i="1"/>
  <c r="AW826" i="1" s="1"/>
  <c r="D275" i="1"/>
  <c r="AV275" i="1"/>
  <c r="AW275" i="1" s="1"/>
  <c r="BA275" i="1"/>
  <c r="D301" i="1"/>
  <c r="BA301" i="1"/>
  <c r="AV301" i="1"/>
  <c r="AW301" i="1" s="1"/>
  <c r="D397" i="1"/>
  <c r="AV397" i="1"/>
  <c r="AW397" i="1" s="1"/>
  <c r="BA397" i="1"/>
  <c r="D920" i="1"/>
  <c r="BA920" i="1"/>
  <c r="AV920" i="1"/>
  <c r="AW920" i="1" s="1"/>
  <c r="D472" i="1"/>
  <c r="BA472" i="1"/>
  <c r="AV472" i="1"/>
  <c r="AW472" i="1" s="1"/>
  <c r="D578" i="1"/>
  <c r="AV578" i="1"/>
  <c r="AW578" i="1" s="1"/>
  <c r="BA578" i="1"/>
  <c r="D791" i="1"/>
  <c r="AV791" i="1"/>
  <c r="AW791" i="1" s="1"/>
  <c r="BA791" i="1"/>
  <c r="D903" i="1"/>
  <c r="AV903" i="1"/>
  <c r="AW903" i="1" s="1"/>
  <c r="BA903" i="1"/>
  <c r="D333" i="1"/>
  <c r="AV333" i="1"/>
  <c r="AW333" i="1" s="1"/>
  <c r="BA333" i="1"/>
  <c r="D938" i="1"/>
  <c r="AV938" i="1"/>
  <c r="AW938" i="1" s="1"/>
  <c r="BA938" i="1"/>
  <c r="D239" i="1"/>
  <c r="AV239" i="1"/>
  <c r="AW239" i="1" s="1"/>
  <c r="BA239" i="1"/>
  <c r="D859" i="1"/>
  <c r="BA859" i="1"/>
  <c r="AV859" i="1"/>
  <c r="AW859" i="1" s="1"/>
  <c r="D92" i="1"/>
  <c r="BA92" i="1"/>
  <c r="AV92" i="1"/>
  <c r="AW92" i="1" s="1"/>
  <c r="D123" i="1"/>
  <c r="BA123" i="1"/>
  <c r="AV123" i="1"/>
  <c r="AW123" i="1" s="1"/>
  <c r="D1018" i="1"/>
  <c r="AV1018" i="1"/>
  <c r="AW1018" i="1" s="1"/>
  <c r="BA1018" i="1"/>
  <c r="D1035" i="1"/>
  <c r="AV1035" i="1"/>
  <c r="AW1035" i="1" s="1"/>
  <c r="BA1035" i="1"/>
  <c r="D992" i="1"/>
  <c r="BA992" i="1"/>
  <c r="AV992" i="1"/>
  <c r="AW992" i="1" s="1"/>
  <c r="D463" i="1"/>
  <c r="BA463" i="1"/>
  <c r="AV463" i="1"/>
  <c r="AW463" i="1" s="1"/>
  <c r="D595" i="1"/>
  <c r="BA595" i="1"/>
  <c r="AV595" i="1"/>
  <c r="AW595" i="1" s="1"/>
  <c r="D496" i="1"/>
  <c r="AV496" i="1"/>
  <c r="AW496" i="1" s="1"/>
  <c r="BA496" i="1"/>
  <c r="D668" i="1"/>
  <c r="BA668" i="1"/>
  <c r="AV668" i="1"/>
  <c r="AW668" i="1" s="1"/>
  <c r="D435" i="1"/>
  <c r="BA435" i="1"/>
  <c r="AV435" i="1"/>
  <c r="AW435" i="1" s="1"/>
  <c r="D200" i="1"/>
  <c r="BA200" i="1"/>
  <c r="AV200" i="1"/>
  <c r="AW200" i="1" s="1"/>
  <c r="D383" i="1"/>
  <c r="BA383" i="1"/>
  <c r="AV383" i="1"/>
  <c r="AW383" i="1" s="1"/>
  <c r="D292" i="1"/>
  <c r="BA292" i="1"/>
  <c r="AV292" i="1"/>
  <c r="AW292" i="1" s="1"/>
  <c r="D96" i="1"/>
  <c r="AV96" i="1"/>
  <c r="AW96" i="1" s="1"/>
  <c r="BA96" i="1"/>
  <c r="D161" i="1"/>
  <c r="BA161" i="1"/>
  <c r="AV161" i="1"/>
  <c r="AW161" i="1" s="1"/>
  <c r="D579" i="1"/>
  <c r="AV579" i="1"/>
  <c r="AW579" i="1" s="1"/>
  <c r="BA579" i="1"/>
  <c r="D266" i="1"/>
  <c r="AV266" i="1"/>
  <c r="AW266" i="1" s="1"/>
  <c r="BA266" i="1"/>
  <c r="D586" i="1"/>
  <c r="BA586" i="1"/>
  <c r="AV586" i="1"/>
  <c r="AW586" i="1" s="1"/>
  <c r="D421" i="1"/>
  <c r="BA421" i="1"/>
  <c r="AV421" i="1"/>
  <c r="AW421" i="1" s="1"/>
  <c r="D1039" i="1"/>
  <c r="BA1039" i="1"/>
  <c r="AV1039" i="1"/>
  <c r="AW1039" i="1" s="1"/>
  <c r="D967" i="1"/>
  <c r="BA967" i="1"/>
  <c r="AV967" i="1"/>
  <c r="AW967" i="1" s="1"/>
  <c r="D499" i="1"/>
  <c r="BA499" i="1"/>
  <c r="AV499" i="1"/>
  <c r="AW499" i="1" s="1"/>
  <c r="D354" i="1"/>
  <c r="BA354" i="1"/>
  <c r="AV354" i="1"/>
  <c r="AW354" i="1" s="1"/>
  <c r="D979" i="1"/>
  <c r="AV979" i="1"/>
  <c r="AW979" i="1" s="1"/>
  <c r="BA979" i="1"/>
  <c r="D423" i="1"/>
  <c r="AV423" i="1"/>
  <c r="AW423" i="1" s="1"/>
  <c r="BA423" i="1"/>
  <c r="D1034" i="1"/>
  <c r="AV1034" i="1"/>
  <c r="AW1034" i="1" s="1"/>
  <c r="BA1034" i="1"/>
  <c r="D793" i="1"/>
  <c r="AV793" i="1"/>
  <c r="AW793" i="1" s="1"/>
  <c r="BA793" i="1"/>
  <c r="D190" i="1"/>
  <c r="AV190" i="1"/>
  <c r="AW190" i="1" s="1"/>
  <c r="BA190" i="1"/>
  <c r="D256" i="1"/>
  <c r="BA256" i="1"/>
  <c r="AV256" i="1"/>
  <c r="AW256" i="1" s="1"/>
  <c r="D208" i="1"/>
  <c r="AV208" i="1"/>
  <c r="AW208" i="1" s="1"/>
  <c r="BA208" i="1"/>
  <c r="D120" i="1"/>
  <c r="AV120" i="1"/>
  <c r="AW120" i="1" s="1"/>
  <c r="BA120" i="1"/>
  <c r="D451" i="1"/>
  <c r="BA451" i="1"/>
  <c r="AV451" i="1"/>
  <c r="AW451" i="1" s="1"/>
  <c r="D708" i="1"/>
  <c r="AV708" i="1"/>
  <c r="AW708" i="1" s="1"/>
  <c r="BA708" i="1"/>
  <c r="D751" i="1"/>
  <c r="AV751" i="1"/>
  <c r="AW751" i="1" s="1"/>
  <c r="BA751" i="1"/>
  <c r="D55" i="1"/>
  <c r="BA55" i="1"/>
  <c r="AV55" i="1"/>
  <c r="AW55" i="1" s="1"/>
  <c r="D879" i="1"/>
  <c r="BA879" i="1"/>
  <c r="AV879" i="1"/>
  <c r="AW879" i="1" s="1"/>
  <c r="D600" i="1"/>
  <c r="AV600" i="1"/>
  <c r="AW600" i="1" s="1"/>
  <c r="BA600" i="1"/>
  <c r="D748" i="1"/>
  <c r="BA748" i="1"/>
  <c r="AV748" i="1"/>
  <c r="AW748" i="1" s="1"/>
  <c r="D488" i="1"/>
  <c r="BA488" i="1"/>
  <c r="AV488" i="1"/>
  <c r="AW488" i="1" s="1"/>
  <c r="D298" i="1"/>
  <c r="AV298" i="1"/>
  <c r="AW298" i="1" s="1"/>
  <c r="BA298" i="1"/>
  <c r="D831" i="1"/>
  <c r="AV831" i="1"/>
  <c r="AW831" i="1" s="1"/>
  <c r="BA831" i="1"/>
  <c r="D370" i="1"/>
  <c r="BA370" i="1"/>
  <c r="AV370" i="1"/>
  <c r="AW370" i="1" s="1"/>
  <c r="D547" i="1"/>
  <c r="BA547" i="1"/>
  <c r="AV547" i="1"/>
  <c r="AW547" i="1" s="1"/>
  <c r="D230" i="1"/>
  <c r="BA230" i="1"/>
  <c r="AV230" i="1"/>
  <c r="AW230" i="1" s="1"/>
  <c r="D357" i="1"/>
  <c r="AV357" i="1"/>
  <c r="AW357" i="1" s="1"/>
  <c r="BA357" i="1"/>
  <c r="D349" i="1"/>
  <c r="BA349" i="1"/>
  <c r="AV349" i="1"/>
  <c r="AW349" i="1" s="1"/>
  <c r="D176" i="1"/>
  <c r="AV176" i="1"/>
  <c r="AW176" i="1" s="1"/>
  <c r="BA176" i="1"/>
  <c r="D925" i="1"/>
  <c r="AV925" i="1"/>
  <c r="AW925" i="1" s="1"/>
  <c r="BA925" i="1"/>
  <c r="D686" i="1"/>
  <c r="AV686" i="1"/>
  <c r="AW686" i="1" s="1"/>
  <c r="BA686" i="1"/>
  <c r="D605" i="1"/>
  <c r="BA605" i="1"/>
  <c r="AV605" i="1"/>
  <c r="AW605" i="1" s="1"/>
  <c r="D742" i="1"/>
  <c r="BA742" i="1"/>
  <c r="AV742" i="1"/>
  <c r="AW742" i="1" s="1"/>
  <c r="D535" i="1"/>
  <c r="AV535" i="1"/>
  <c r="AW535" i="1" s="1"/>
  <c r="BA535" i="1"/>
  <c r="D877" i="1"/>
  <c r="AV877" i="1"/>
  <c r="AW877" i="1" s="1"/>
  <c r="BA877" i="1"/>
  <c r="D558" i="1"/>
  <c r="AV558" i="1"/>
  <c r="AW558" i="1" s="1"/>
  <c r="BA558" i="1"/>
  <c r="D604" i="1"/>
  <c r="BA604" i="1"/>
  <c r="AV604" i="1"/>
  <c r="AW604" i="1" s="1"/>
  <c r="D408" i="1"/>
  <c r="BA408" i="1"/>
  <c r="AV408" i="1"/>
  <c r="AW408" i="1" s="1"/>
  <c r="D486" i="1"/>
  <c r="AV486" i="1"/>
  <c r="AW486" i="1" s="1"/>
  <c r="BA486" i="1"/>
  <c r="D374" i="1"/>
  <c r="AV374" i="1"/>
  <c r="AW374" i="1" s="1"/>
  <c r="BA374" i="1"/>
  <c r="D210" i="1"/>
  <c r="BA210" i="1"/>
  <c r="AV210" i="1"/>
  <c r="AW210" i="1" s="1"/>
  <c r="D945" i="1"/>
  <c r="AV945" i="1"/>
  <c r="AW945" i="1" s="1"/>
  <c r="BA945" i="1"/>
  <c r="D229" i="1"/>
  <c r="AV229" i="1"/>
  <c r="AW229" i="1" s="1"/>
  <c r="BA229" i="1"/>
  <c r="D449" i="1"/>
  <c r="BA449" i="1"/>
  <c r="AV449" i="1"/>
  <c r="AW449" i="1" s="1"/>
  <c r="D462" i="1"/>
  <c r="AV462" i="1"/>
  <c r="AW462" i="1" s="1"/>
  <c r="BA462" i="1"/>
  <c r="D574" i="1"/>
  <c r="BA574" i="1"/>
  <c r="AV574" i="1"/>
  <c r="AW574" i="1" s="1"/>
  <c r="D376" i="1"/>
  <c r="AV376" i="1"/>
  <c r="AW376" i="1" s="1"/>
  <c r="BA376" i="1"/>
  <c r="D1004" i="1"/>
  <c r="AV1004" i="1"/>
  <c r="AW1004" i="1" s="1"/>
  <c r="BA1004" i="1"/>
  <c r="D895" i="1"/>
  <c r="AV895" i="1"/>
  <c r="AW895" i="1" s="1"/>
  <c r="BA895" i="1"/>
  <c r="D583" i="1"/>
  <c r="AV583" i="1"/>
  <c r="AW583" i="1" s="1"/>
  <c r="BA583" i="1"/>
  <c r="D599" i="1"/>
  <c r="AV599" i="1"/>
  <c r="AW599" i="1" s="1"/>
  <c r="BA599" i="1"/>
  <c r="D135" i="1"/>
  <c r="BA135" i="1"/>
  <c r="AV135" i="1"/>
  <c r="AW135" i="1" s="1"/>
  <c r="D371" i="1"/>
  <c r="BA371" i="1"/>
  <c r="AV371" i="1"/>
  <c r="AW371" i="1" s="1"/>
  <c r="D803" i="1"/>
  <c r="BA803" i="1"/>
  <c r="AV803" i="1"/>
  <c r="AW803" i="1" s="1"/>
  <c r="D915" i="1"/>
  <c r="AV915" i="1"/>
  <c r="AW915" i="1" s="1"/>
  <c r="BA915" i="1"/>
  <c r="D666" i="1"/>
  <c r="AV666" i="1"/>
  <c r="AW666" i="1" s="1"/>
  <c r="BA666" i="1"/>
  <c r="D983" i="1"/>
  <c r="BA983" i="1"/>
  <c r="AV983" i="1"/>
  <c r="AW983" i="1" s="1"/>
  <c r="AZ714" i="1"/>
  <c r="BI714" i="1" s="1"/>
  <c r="AZ563" i="1"/>
  <c r="BI563" i="1" s="1"/>
  <c r="AZ456" i="1"/>
  <c r="BI456" i="1" s="1"/>
  <c r="AZ783" i="1"/>
  <c r="BI783" i="1" s="1"/>
  <c r="AZ799" i="1"/>
  <c r="BI799" i="1" s="1"/>
  <c r="AZ943" i="1"/>
  <c r="BI943" i="1" s="1"/>
  <c r="AZ770" i="1"/>
  <c r="BI770" i="1" s="1"/>
  <c r="AZ978" i="1"/>
  <c r="BI978" i="1" s="1"/>
  <c r="AZ319" i="1"/>
  <c r="BI319" i="1" s="1"/>
  <c r="AZ628" i="1"/>
  <c r="BI628" i="1" s="1"/>
  <c r="AZ89" i="1"/>
  <c r="BI89" i="1" s="1"/>
  <c r="AZ154" i="1"/>
  <c r="BI154" i="1" s="1"/>
  <c r="AZ541" i="1"/>
  <c r="BI541" i="1" s="1"/>
  <c r="AZ998" i="1"/>
  <c r="BI998" i="1" s="1"/>
  <c r="D50" i="1"/>
  <c r="BA50" i="1"/>
  <c r="AV50" i="1"/>
  <c r="AW50" i="1" s="1"/>
  <c r="D28" i="1"/>
  <c r="AV28" i="1"/>
  <c r="AW28" i="1" s="1"/>
  <c r="BA28" i="1"/>
  <c r="D149" i="1"/>
  <c r="AV149" i="1"/>
  <c r="AW149" i="1" s="1"/>
  <c r="BA149" i="1"/>
  <c r="D93" i="1"/>
  <c r="AV93" i="1"/>
  <c r="AW93" i="1" s="1"/>
  <c r="BA93" i="1"/>
  <c r="D141" i="1"/>
  <c r="AV141" i="1"/>
  <c r="AW141" i="1" s="1"/>
  <c r="BA141" i="1"/>
  <c r="D63" i="1"/>
  <c r="BA63" i="1"/>
  <c r="AV63" i="1"/>
  <c r="AW63" i="1" s="1"/>
  <c r="D172" i="1"/>
  <c r="AV172" i="1"/>
  <c r="AW172" i="1" s="1"/>
  <c r="BA172" i="1"/>
  <c r="D216" i="1"/>
  <c r="BA216" i="1"/>
  <c r="AV216" i="1"/>
  <c r="AW216" i="1" s="1"/>
  <c r="D140" i="1"/>
  <c r="AV140" i="1"/>
  <c r="AW140" i="1" s="1"/>
  <c r="BA140" i="1"/>
  <c r="D79" i="1"/>
  <c r="BA79" i="1"/>
  <c r="AV79" i="1"/>
  <c r="AW79" i="1" s="1"/>
  <c r="D232" i="1"/>
  <c r="AV232" i="1"/>
  <c r="AW232" i="1" s="1"/>
  <c r="BA232" i="1"/>
  <c r="D289" i="1"/>
  <c r="AV289" i="1"/>
  <c r="AW289" i="1" s="1"/>
  <c r="BA289" i="1"/>
  <c r="D320" i="1"/>
  <c r="AV320" i="1"/>
  <c r="AW320" i="1" s="1"/>
  <c r="BA320" i="1"/>
  <c r="D100" i="1"/>
  <c r="BA100" i="1"/>
  <c r="AV100" i="1"/>
  <c r="AW100" i="1" s="1"/>
  <c r="D1009" i="1"/>
  <c r="AV1009" i="1"/>
  <c r="AW1009" i="1" s="1"/>
  <c r="BA1009" i="1"/>
  <c r="D44" i="1"/>
  <c r="AV44" i="1"/>
  <c r="AW44" i="1" s="1"/>
  <c r="BA44" i="1"/>
  <c r="D35" i="1"/>
  <c r="BA35" i="1"/>
  <c r="AV35" i="1"/>
  <c r="AW35" i="1" s="1"/>
  <c r="D118" i="1"/>
  <c r="AV118" i="1"/>
  <c r="AW118" i="1" s="1"/>
  <c r="BA118" i="1"/>
  <c r="D97" i="1"/>
  <c r="BA97" i="1"/>
  <c r="AV97" i="1"/>
  <c r="AW97" i="1" s="1"/>
  <c r="D48" i="1"/>
  <c r="AV48" i="1"/>
  <c r="AW48" i="1" s="1"/>
  <c r="BA48" i="1"/>
  <c r="D126" i="1"/>
  <c r="AV126" i="1"/>
  <c r="AW126" i="1" s="1"/>
  <c r="BA126" i="1"/>
  <c r="D39" i="1"/>
  <c r="BA39" i="1"/>
  <c r="AV39" i="1"/>
  <c r="AW39" i="1" s="1"/>
  <c r="D168" i="1"/>
  <c r="AV168" i="1"/>
  <c r="AW168" i="1" s="1"/>
  <c r="BA168" i="1"/>
  <c r="D218" i="1"/>
  <c r="AV218" i="1"/>
  <c r="AW218" i="1" s="1"/>
  <c r="BA218" i="1"/>
  <c r="D178" i="1"/>
  <c r="BA178" i="1"/>
  <c r="AV178" i="1"/>
  <c r="AW178" i="1" s="1"/>
  <c r="D340" i="1"/>
  <c r="AV340" i="1"/>
  <c r="AW340" i="1" s="1"/>
  <c r="BA340" i="1"/>
  <c r="D286" i="1"/>
  <c r="AV286" i="1"/>
  <c r="AW286" i="1" s="1"/>
  <c r="BA286" i="1"/>
  <c r="D249" i="1"/>
  <c r="BA249" i="1"/>
  <c r="AV249" i="1"/>
  <c r="AW249" i="1" s="1"/>
  <c r="D284" i="1"/>
  <c r="AV284" i="1"/>
  <c r="AW284" i="1" s="1"/>
  <c r="BA284" i="1"/>
  <c r="D164" i="1"/>
  <c r="AV164" i="1"/>
  <c r="AW164" i="1" s="1"/>
  <c r="BA164" i="1"/>
  <c r="D322" i="1"/>
  <c r="BA322" i="1"/>
  <c r="AV322" i="1"/>
  <c r="AW322" i="1" s="1"/>
  <c r="D351" i="1"/>
  <c r="BA351" i="1"/>
  <c r="AV351" i="1"/>
  <c r="AW351" i="1" s="1"/>
  <c r="D296" i="1"/>
  <c r="AV296" i="1"/>
  <c r="AW296" i="1" s="1"/>
  <c r="BA296" i="1"/>
  <c r="D248" i="1"/>
  <c r="BA248" i="1"/>
  <c r="AV248" i="1"/>
  <c r="AW248" i="1" s="1"/>
  <c r="D1043" i="1"/>
  <c r="AV1043" i="1"/>
  <c r="AW1043" i="1" s="1"/>
  <c r="BA1043" i="1"/>
  <c r="D94" i="1"/>
  <c r="AV94" i="1"/>
  <c r="AW94" i="1" s="1"/>
  <c r="BA94" i="1"/>
  <c r="D73" i="1"/>
  <c r="AV73" i="1"/>
  <c r="AW73" i="1" s="1"/>
  <c r="BA73" i="1"/>
  <c r="D147" i="1"/>
  <c r="AV147" i="1"/>
  <c r="AW147" i="1" s="1"/>
  <c r="BA147" i="1"/>
  <c r="D373" i="1"/>
  <c r="AV373" i="1"/>
  <c r="AW373" i="1" s="1"/>
  <c r="BA373" i="1"/>
  <c r="D642" i="1"/>
  <c r="BA642" i="1"/>
  <c r="AV642" i="1"/>
  <c r="AW642" i="1" s="1"/>
  <c r="D468" i="1"/>
  <c r="AV468" i="1"/>
  <c r="AW468" i="1" s="1"/>
  <c r="BA468" i="1"/>
  <c r="D778" i="1"/>
  <c r="AV778" i="1"/>
  <c r="AW778" i="1" s="1"/>
  <c r="BA778" i="1"/>
  <c r="D534" i="1"/>
  <c r="BA534" i="1"/>
  <c r="AV534" i="1"/>
  <c r="AW534" i="1" s="1"/>
  <c r="D469" i="1"/>
  <c r="BA469" i="1"/>
  <c r="AV469" i="1"/>
  <c r="AW469" i="1" s="1"/>
  <c r="D612" i="1"/>
  <c r="AV612" i="1"/>
  <c r="AW612" i="1" s="1"/>
  <c r="BA612" i="1"/>
  <c r="D814" i="1"/>
  <c r="BA814" i="1"/>
  <c r="AV814" i="1"/>
  <c r="AW814" i="1" s="1"/>
  <c r="D634" i="1"/>
  <c r="AV634" i="1"/>
  <c r="AW634" i="1" s="1"/>
  <c r="BA634" i="1"/>
  <c r="D500" i="1"/>
  <c r="AV500" i="1"/>
  <c r="AW500" i="1" s="1"/>
  <c r="BA500" i="1"/>
  <c r="D829" i="1"/>
  <c r="AV829" i="1"/>
  <c r="AW829" i="1" s="1"/>
  <c r="BA829" i="1"/>
  <c r="D1010" i="1"/>
  <c r="AV1010" i="1"/>
  <c r="AW1010" i="1" s="1"/>
  <c r="BA1010" i="1"/>
  <c r="D580" i="1"/>
  <c r="AV580" i="1"/>
  <c r="AW580" i="1" s="1"/>
  <c r="BA580" i="1"/>
  <c r="D950" i="1"/>
  <c r="BA950" i="1"/>
  <c r="AV950" i="1"/>
  <c r="AW950" i="1" s="1"/>
  <c r="D398" i="1"/>
  <c r="AV398" i="1"/>
  <c r="AW398" i="1" s="1"/>
  <c r="BA398" i="1"/>
  <c r="D957" i="1"/>
  <c r="BA957" i="1"/>
  <c r="AV957" i="1"/>
  <c r="AW957" i="1" s="1"/>
  <c r="D1029" i="1"/>
  <c r="AV1029" i="1"/>
  <c r="AW1029" i="1" s="1"/>
  <c r="BA1029" i="1"/>
  <c r="D804" i="1"/>
  <c r="BA804" i="1"/>
  <c r="AV804" i="1"/>
  <c r="AW804" i="1" s="1"/>
  <c r="D569" i="1"/>
  <c r="AV569" i="1"/>
  <c r="AW569" i="1" s="1"/>
  <c r="BA569" i="1"/>
  <c r="D84" i="1"/>
  <c r="BA84" i="1"/>
  <c r="AV84" i="1"/>
  <c r="AW84" i="1" s="1"/>
  <c r="D80" i="1"/>
  <c r="BA80" i="1"/>
  <c r="AV80" i="1"/>
  <c r="AW80" i="1" s="1"/>
  <c r="D60" i="1"/>
  <c r="AV60" i="1"/>
  <c r="AW60" i="1" s="1"/>
  <c r="BA60" i="1"/>
  <c r="D72" i="1"/>
  <c r="BA72" i="1"/>
  <c r="AV72" i="1"/>
  <c r="AW72" i="1" s="1"/>
  <c r="D122" i="1"/>
  <c r="BA122" i="1"/>
  <c r="AV122" i="1"/>
  <c r="AW122" i="1" s="1"/>
  <c r="D158" i="1"/>
  <c r="BA158" i="1"/>
  <c r="AV158" i="1"/>
  <c r="AW158" i="1" s="1"/>
  <c r="D98" i="1"/>
  <c r="BA98" i="1"/>
  <c r="AV98" i="1"/>
  <c r="AW98" i="1" s="1"/>
  <c r="D105" i="1"/>
  <c r="BA105" i="1"/>
  <c r="AV105" i="1"/>
  <c r="AW105" i="1" s="1"/>
  <c r="D70" i="1"/>
  <c r="BA70" i="1"/>
  <c r="AV70" i="1"/>
  <c r="AW70" i="1" s="1"/>
  <c r="D220" i="1"/>
  <c r="AV220" i="1"/>
  <c r="AW220" i="1" s="1"/>
  <c r="BA220" i="1"/>
  <c r="D173" i="1"/>
  <c r="AV173" i="1"/>
  <c r="AW173" i="1" s="1"/>
  <c r="BA173" i="1"/>
  <c r="D104" i="1"/>
  <c r="AV104" i="1"/>
  <c r="AW104" i="1" s="1"/>
  <c r="BA104" i="1"/>
  <c r="D129" i="1"/>
  <c r="BA129" i="1"/>
  <c r="AV129" i="1"/>
  <c r="AW129" i="1" s="1"/>
  <c r="D201" i="1"/>
  <c r="BA201" i="1"/>
  <c r="AV201" i="1"/>
  <c r="AW201" i="1" s="1"/>
  <c r="D30" i="1"/>
  <c r="AV30" i="1"/>
  <c r="AW30" i="1" s="1"/>
  <c r="BA30" i="1"/>
  <c r="D145" i="1"/>
  <c r="BA145" i="1"/>
  <c r="AV145" i="1"/>
  <c r="AW145" i="1" s="1"/>
  <c r="D325" i="1"/>
  <c r="AV325" i="1"/>
  <c r="AW325" i="1" s="1"/>
  <c r="BA325" i="1"/>
  <c r="D264" i="1"/>
  <c r="BA264" i="1"/>
  <c r="AV264" i="1"/>
  <c r="AW264" i="1" s="1"/>
  <c r="D305" i="1"/>
  <c r="BA305" i="1"/>
  <c r="AV305" i="1"/>
  <c r="AW305" i="1" s="1"/>
  <c r="D241" i="1"/>
  <c r="AV241" i="1"/>
  <c r="AW241" i="1" s="1"/>
  <c r="BA241" i="1"/>
  <c r="D348" i="1"/>
  <c r="BA348" i="1"/>
  <c r="AV348" i="1"/>
  <c r="AW348" i="1" s="1"/>
  <c r="D335" i="1"/>
  <c r="AV335" i="1"/>
  <c r="AW335" i="1" s="1"/>
  <c r="BA335" i="1"/>
  <c r="D297" i="1"/>
  <c r="AV297" i="1"/>
  <c r="AW297" i="1" s="1"/>
  <c r="BA297" i="1"/>
  <c r="D215" i="1"/>
  <c r="AV215" i="1"/>
  <c r="AW215" i="1" s="1"/>
  <c r="BA215" i="1"/>
  <c r="D258" i="1"/>
  <c r="AV258" i="1"/>
  <c r="AW258" i="1" s="1"/>
  <c r="BA258" i="1"/>
  <c r="D338" i="1"/>
  <c r="BA338" i="1"/>
  <c r="AV338" i="1"/>
  <c r="AW338" i="1" s="1"/>
  <c r="D195" i="1"/>
  <c r="BA195" i="1"/>
  <c r="AV195" i="1"/>
  <c r="AW195" i="1" s="1"/>
  <c r="D204" i="1"/>
  <c r="BA204" i="1"/>
  <c r="AV204" i="1"/>
  <c r="AW204" i="1" s="1"/>
  <c r="D144" i="1"/>
  <c r="BA144" i="1"/>
  <c r="AV144" i="1"/>
  <c r="AW144" i="1" s="1"/>
  <c r="D142" i="1"/>
  <c r="AV142" i="1"/>
  <c r="AW142" i="1" s="1"/>
  <c r="BA142" i="1"/>
  <c r="D37" i="1"/>
  <c r="BA37" i="1"/>
  <c r="AV37" i="1"/>
  <c r="AW37" i="1" s="1"/>
  <c r="D157" i="1"/>
  <c r="AV157" i="1"/>
  <c r="AW157" i="1" s="1"/>
  <c r="BA157" i="1"/>
  <c r="D32" i="1"/>
  <c r="AV32" i="1"/>
  <c r="AW32" i="1" s="1"/>
  <c r="BA32" i="1"/>
  <c r="D433" i="1"/>
  <c r="AV433" i="1"/>
  <c r="AW433" i="1" s="1"/>
  <c r="BA433" i="1"/>
  <c r="D445" i="1"/>
  <c r="AV445" i="1"/>
  <c r="AW445" i="1" s="1"/>
  <c r="BA445" i="1"/>
  <c r="D405" i="1"/>
  <c r="BA405" i="1"/>
  <c r="AV405" i="1"/>
  <c r="AW405" i="1" s="1"/>
  <c r="D360" i="1"/>
  <c r="AV360" i="1"/>
  <c r="AW360" i="1" s="1"/>
  <c r="BA360" i="1"/>
  <c r="D482" i="1"/>
  <c r="BA482" i="1"/>
  <c r="AV482" i="1"/>
  <c r="AW482" i="1" s="1"/>
  <c r="D436" i="1"/>
  <c r="AV436" i="1"/>
  <c r="AW436" i="1" s="1"/>
  <c r="BA436" i="1"/>
  <c r="D481" i="1"/>
  <c r="AV481" i="1"/>
  <c r="AW481" i="1" s="1"/>
  <c r="BA481" i="1"/>
  <c r="D740" i="1"/>
  <c r="AV740" i="1"/>
  <c r="AW740" i="1" s="1"/>
  <c r="BA740" i="1"/>
  <c r="D556" i="1"/>
  <c r="BA556" i="1"/>
  <c r="AV556" i="1"/>
  <c r="AW556" i="1" s="1"/>
  <c r="D889" i="1"/>
  <c r="BA889" i="1"/>
  <c r="AV889" i="1"/>
  <c r="AW889" i="1" s="1"/>
  <c r="D393" i="1"/>
  <c r="BA393" i="1"/>
  <c r="AV393" i="1"/>
  <c r="AW393" i="1" s="1"/>
  <c r="D598" i="1"/>
  <c r="AV598" i="1"/>
  <c r="AW598" i="1" s="1"/>
  <c r="BA598" i="1"/>
  <c r="D412" i="1"/>
  <c r="AV412" i="1"/>
  <c r="AW412" i="1" s="1"/>
  <c r="BA412" i="1"/>
  <c r="D560" i="1"/>
  <c r="AV560" i="1"/>
  <c r="AW560" i="1" s="1"/>
  <c r="BA560" i="1"/>
  <c r="D824" i="1"/>
  <c r="AV824" i="1"/>
  <c r="AW824" i="1" s="1"/>
  <c r="BA824" i="1"/>
  <c r="D735" i="1"/>
  <c r="AV735" i="1"/>
  <c r="AW735" i="1" s="1"/>
  <c r="BA735" i="1"/>
  <c r="D893" i="1"/>
  <c r="AV893" i="1"/>
  <c r="AW893" i="1" s="1"/>
  <c r="BA893" i="1"/>
  <c r="D474" i="1"/>
  <c r="AV474" i="1"/>
  <c r="AW474" i="1" s="1"/>
  <c r="BA474" i="1"/>
  <c r="D698" i="1"/>
  <c r="AV698" i="1"/>
  <c r="AW698" i="1" s="1"/>
  <c r="BA698" i="1"/>
  <c r="D446" i="1"/>
  <c r="BA446" i="1"/>
  <c r="AV446" i="1"/>
  <c r="AW446" i="1" s="1"/>
  <c r="D779" i="1"/>
  <c r="AV779" i="1"/>
  <c r="AW779" i="1" s="1"/>
  <c r="BA779" i="1"/>
  <c r="D221" i="1"/>
  <c r="AV221" i="1"/>
  <c r="AW221" i="1" s="1"/>
  <c r="BA221" i="1"/>
  <c r="D914" i="1"/>
  <c r="AV914" i="1"/>
  <c r="AW914" i="1" s="1"/>
  <c r="BA914" i="1"/>
  <c r="D254" i="1"/>
  <c r="BA254" i="1"/>
  <c r="AV254" i="1"/>
  <c r="AW254" i="1" s="1"/>
  <c r="D440" i="1"/>
  <c r="BA440" i="1"/>
  <c r="AV440" i="1"/>
  <c r="AW440" i="1" s="1"/>
  <c r="D767" i="1"/>
  <c r="AV767" i="1"/>
  <c r="AW767" i="1" s="1"/>
  <c r="BA767" i="1"/>
  <c r="D758" i="1"/>
  <c r="BA758" i="1"/>
  <c r="AV758" i="1"/>
  <c r="AW758" i="1" s="1"/>
  <c r="D1026" i="1"/>
  <c r="AV1026" i="1"/>
  <c r="AW1026" i="1" s="1"/>
  <c r="BA1026" i="1"/>
  <c r="D150" i="1"/>
  <c r="AV150" i="1"/>
  <c r="AW150" i="1" s="1"/>
  <c r="BA150" i="1"/>
  <c r="D1008" i="1"/>
  <c r="BA1008" i="1"/>
  <c r="AV1008" i="1"/>
  <c r="AW1008" i="1" s="1"/>
  <c r="D1013" i="1"/>
  <c r="BA1013" i="1"/>
  <c r="AV1013" i="1"/>
  <c r="AW1013" i="1" s="1"/>
  <c r="D988" i="1"/>
  <c r="AV988" i="1"/>
  <c r="AW988" i="1" s="1"/>
  <c r="BA988" i="1"/>
  <c r="D904" i="1"/>
  <c r="AV904" i="1"/>
  <c r="AW904" i="1" s="1"/>
  <c r="BA904" i="1"/>
  <c r="D537" i="1"/>
  <c r="AV537" i="1"/>
  <c r="AW537" i="1" s="1"/>
  <c r="BA537" i="1"/>
  <c r="D602" i="1"/>
  <c r="AV602" i="1"/>
  <c r="AW602" i="1" s="1"/>
  <c r="BA602" i="1"/>
  <c r="D665" i="1"/>
  <c r="BA665" i="1"/>
  <c r="AV665" i="1"/>
  <c r="AW665" i="1" s="1"/>
  <c r="D729" i="1"/>
  <c r="AV729" i="1"/>
  <c r="AW729" i="1" s="1"/>
  <c r="BA729" i="1"/>
  <c r="D969" i="1"/>
  <c r="AV969" i="1"/>
  <c r="AW969" i="1" s="1"/>
  <c r="BA969" i="1"/>
  <c r="D813" i="1"/>
  <c r="BA813" i="1"/>
  <c r="AV813" i="1"/>
  <c r="AW813" i="1" s="1"/>
  <c r="D1000" i="1"/>
  <c r="BA1000" i="1"/>
  <c r="AV1000" i="1"/>
  <c r="AW1000" i="1" s="1"/>
  <c r="D890" i="1"/>
  <c r="AV890" i="1"/>
  <c r="AW890" i="1" s="1"/>
  <c r="BA890" i="1"/>
  <c r="D68" i="1"/>
  <c r="AV68" i="1"/>
  <c r="AW68" i="1" s="1"/>
  <c r="BA68" i="1"/>
  <c r="D737" i="1"/>
  <c r="BA737" i="1"/>
  <c r="AV737" i="1"/>
  <c r="AW737" i="1" s="1"/>
  <c r="D972" i="1"/>
  <c r="AV972" i="1"/>
  <c r="AW972" i="1" s="1"/>
  <c r="BA972" i="1"/>
  <c r="D821" i="1"/>
  <c r="BA821" i="1"/>
  <c r="AV821" i="1"/>
  <c r="AW821" i="1" s="1"/>
  <c r="D543" i="1"/>
  <c r="AV543" i="1"/>
  <c r="AW543" i="1" s="1"/>
  <c r="BA543" i="1"/>
  <c r="D517" i="1"/>
  <c r="BA517" i="1"/>
  <c r="AV517" i="1"/>
  <c r="AW517" i="1" s="1"/>
  <c r="D533" i="1"/>
  <c r="BA533" i="1"/>
  <c r="AV533" i="1"/>
  <c r="AW533" i="1" s="1"/>
  <c r="D566" i="1"/>
  <c r="BA566" i="1"/>
  <c r="AV566" i="1"/>
  <c r="AW566" i="1" s="1"/>
  <c r="D629" i="1"/>
  <c r="AV629" i="1"/>
  <c r="AW629" i="1" s="1"/>
  <c r="BA629" i="1"/>
  <c r="D661" i="1"/>
  <c r="AV661" i="1"/>
  <c r="AW661" i="1" s="1"/>
  <c r="BA661" i="1"/>
  <c r="D884" i="1"/>
  <c r="AV884" i="1"/>
  <c r="AW884" i="1" s="1"/>
  <c r="BA884" i="1"/>
  <c r="D989" i="1"/>
  <c r="BA989" i="1"/>
  <c r="AV989" i="1"/>
  <c r="AW989" i="1" s="1"/>
  <c r="D561" i="1"/>
  <c r="BA561" i="1"/>
  <c r="AV561" i="1"/>
  <c r="AW561" i="1" s="1"/>
  <c r="D657" i="1"/>
  <c r="BA657" i="1"/>
  <c r="AV657" i="1"/>
  <c r="AW657" i="1" s="1"/>
  <c r="D127" i="1"/>
  <c r="AV127" i="1"/>
  <c r="AW127" i="1" s="1"/>
  <c r="BA127" i="1"/>
  <c r="D955" i="1"/>
  <c r="AV955" i="1"/>
  <c r="AW955" i="1" s="1"/>
  <c r="BA955" i="1"/>
  <c r="D878" i="1"/>
  <c r="BA878" i="1"/>
  <c r="AV878" i="1"/>
  <c r="AW878" i="1" s="1"/>
  <c r="D693" i="1"/>
  <c r="AV693" i="1"/>
  <c r="AW693" i="1" s="1"/>
  <c r="BA693" i="1"/>
  <c r="D667" i="1"/>
  <c r="AV667" i="1"/>
  <c r="AW667" i="1" s="1"/>
  <c r="BA667" i="1"/>
  <c r="D511" i="1"/>
  <c r="BA511" i="1"/>
  <c r="AV511" i="1"/>
  <c r="AW511" i="1" s="1"/>
  <c r="D343" i="1"/>
  <c r="AV343" i="1"/>
  <c r="AW343" i="1" s="1"/>
  <c r="BA343" i="1"/>
  <c r="D646" i="1"/>
  <c r="AV646" i="1"/>
  <c r="AW646" i="1" s="1"/>
  <c r="BA646" i="1"/>
  <c r="D663" i="1"/>
  <c r="BA663" i="1"/>
  <c r="AV663" i="1"/>
  <c r="AW663" i="1" s="1"/>
  <c r="D130" i="1"/>
  <c r="AV130" i="1"/>
  <c r="AW130" i="1" s="1"/>
  <c r="BA130" i="1"/>
  <c r="D179" i="1"/>
  <c r="BA179" i="1"/>
  <c r="AV179" i="1"/>
  <c r="AW179" i="1" s="1"/>
  <c r="D760" i="1"/>
  <c r="BA760" i="1"/>
  <c r="AV760" i="1"/>
  <c r="AW760" i="1" s="1"/>
  <c r="D299" i="1"/>
  <c r="BA299" i="1"/>
  <c r="AV299" i="1"/>
  <c r="AW299" i="1" s="1"/>
  <c r="D57" i="1"/>
  <c r="AV57" i="1"/>
  <c r="AW57" i="1" s="1"/>
  <c r="BA57" i="1"/>
  <c r="D1031" i="1"/>
  <c r="BA1031" i="1"/>
  <c r="AV1031" i="1"/>
  <c r="AW1031" i="1" s="1"/>
  <c r="D1014" i="1"/>
  <c r="BA1014" i="1"/>
  <c r="AV1014" i="1"/>
  <c r="AW1014" i="1" s="1"/>
  <c r="D573" i="1"/>
  <c r="BA573" i="1"/>
  <c r="AV573" i="1"/>
  <c r="AW573" i="1" s="1"/>
  <c r="D410" i="1"/>
  <c r="AV410" i="1"/>
  <c r="AW410" i="1" s="1"/>
  <c r="BA410" i="1"/>
  <c r="D265" i="1"/>
  <c r="BA265" i="1"/>
  <c r="AV265" i="1"/>
  <c r="AW265" i="1" s="1"/>
  <c r="D156" i="1"/>
  <c r="AV156" i="1"/>
  <c r="AW156" i="1" s="1"/>
  <c r="BA156" i="1"/>
  <c r="D575" i="1"/>
  <c r="BA575" i="1"/>
  <c r="AV575" i="1"/>
  <c r="AW575" i="1" s="1"/>
  <c r="D991" i="1"/>
  <c r="BA991" i="1"/>
  <c r="AV991" i="1"/>
  <c r="AW991" i="1" s="1"/>
  <c r="D1038" i="1"/>
  <c r="BA1038" i="1"/>
  <c r="AV1038" i="1"/>
  <c r="AW1038" i="1" s="1"/>
  <c r="D415" i="1"/>
  <c r="BA415" i="1"/>
  <c r="AV415" i="1"/>
  <c r="AW415" i="1" s="1"/>
  <c r="D985" i="1"/>
  <c r="AV985" i="1"/>
  <c r="AW985" i="1" s="1"/>
  <c r="BA985" i="1"/>
  <c r="D690" i="1"/>
  <c r="BA690" i="1"/>
  <c r="AV690" i="1"/>
  <c r="AW690" i="1" s="1"/>
  <c r="D219" i="1"/>
  <c r="BA219" i="1"/>
  <c r="AV219" i="1"/>
  <c r="AW219" i="1" s="1"/>
  <c r="D545" i="1"/>
  <c r="BA545" i="1"/>
  <c r="AV545" i="1"/>
  <c r="AW545" i="1" s="1"/>
  <c r="D810" i="1"/>
  <c r="AV810" i="1"/>
  <c r="AW810" i="1" s="1"/>
  <c r="BA810" i="1"/>
  <c r="D187" i="1"/>
  <c r="BA187" i="1"/>
  <c r="AV187" i="1"/>
  <c r="AW187" i="1" s="1"/>
  <c r="D169" i="1"/>
  <c r="BA169" i="1"/>
  <c r="AV169" i="1"/>
  <c r="AW169" i="1" s="1"/>
  <c r="D825" i="1"/>
  <c r="AV825" i="1"/>
  <c r="AW825" i="1" s="1"/>
  <c r="BA825" i="1"/>
  <c r="D510" i="1"/>
  <c r="BA510" i="1"/>
  <c r="AV510" i="1"/>
  <c r="AW510" i="1" s="1"/>
  <c r="D761" i="1"/>
  <c r="AV761" i="1"/>
  <c r="AW761" i="1" s="1"/>
  <c r="BA761" i="1"/>
  <c r="D607" i="1"/>
  <c r="BA607" i="1"/>
  <c r="AV607" i="1"/>
  <c r="AW607" i="1" s="1"/>
  <c r="D101" i="1"/>
  <c r="AV101" i="1"/>
  <c r="AW101" i="1" s="1"/>
  <c r="BA101" i="1"/>
  <c r="D162" i="1"/>
  <c r="BA162" i="1"/>
  <c r="AV162" i="1"/>
  <c r="AW162" i="1" s="1"/>
  <c r="D43" i="1"/>
  <c r="AV43" i="1"/>
  <c r="AW43" i="1" s="1"/>
  <c r="BA43" i="1"/>
  <c r="D180" i="1"/>
  <c r="AV180" i="1"/>
  <c r="AW180" i="1" s="1"/>
  <c r="BA180" i="1"/>
  <c r="D820" i="1"/>
  <c r="AV820" i="1"/>
  <c r="AW820" i="1" s="1"/>
  <c r="BA820" i="1"/>
  <c r="D372" i="1"/>
  <c r="AV372" i="1"/>
  <c r="AW372" i="1" s="1"/>
  <c r="BA372" i="1"/>
  <c r="D887" i="1"/>
  <c r="AV887" i="1"/>
  <c r="AW887" i="1" s="1"/>
  <c r="BA887" i="1"/>
  <c r="D616" i="1"/>
  <c r="BA616" i="1"/>
  <c r="AV616" i="1"/>
  <c r="AW616" i="1" s="1"/>
  <c r="D382" i="1"/>
  <c r="AV382" i="1"/>
  <c r="AW382" i="1" s="1"/>
  <c r="BA382" i="1"/>
  <c r="D658" i="1"/>
  <c r="BA658" i="1"/>
  <c r="AV658" i="1"/>
  <c r="AW658" i="1" s="1"/>
  <c r="D206" i="1"/>
  <c r="AV206" i="1"/>
  <c r="AW206" i="1" s="1"/>
  <c r="BA206" i="1"/>
  <c r="D555" i="1"/>
  <c r="BA555" i="1"/>
  <c r="AV555" i="1"/>
  <c r="AW555" i="1" s="1"/>
  <c r="D608" i="1"/>
  <c r="BA608" i="1"/>
  <c r="AV608" i="1"/>
  <c r="AW608" i="1" s="1"/>
  <c r="D807" i="1"/>
  <c r="BA807" i="1"/>
  <c r="AV807" i="1"/>
  <c r="AW807" i="1" s="1"/>
  <c r="D475" i="1"/>
  <c r="BA475" i="1"/>
  <c r="AV475" i="1"/>
  <c r="AW475" i="1" s="1"/>
  <c r="D203" i="1"/>
  <c r="AV203" i="1"/>
  <c r="AW203" i="1" s="1"/>
  <c r="BA203" i="1"/>
  <c r="D514" i="1"/>
  <c r="AV514" i="1"/>
  <c r="AW514" i="1" s="1"/>
  <c r="BA514" i="1"/>
  <c r="D1003" i="1"/>
  <c r="AV1003" i="1"/>
  <c r="AW1003" i="1" s="1"/>
  <c r="BA1003" i="1"/>
  <c r="D386" i="1"/>
  <c r="BA386" i="1"/>
  <c r="AV386" i="1"/>
  <c r="AW386" i="1" s="1"/>
  <c r="D466" i="1"/>
  <c r="AV466" i="1"/>
  <c r="AW466" i="1" s="1"/>
  <c r="BA466" i="1"/>
  <c r="D706" i="1"/>
  <c r="BA706" i="1"/>
  <c r="AV706" i="1"/>
  <c r="AW706" i="1" s="1"/>
  <c r="D603" i="1"/>
  <c r="BA603" i="1"/>
  <c r="AV603" i="1"/>
  <c r="AW603" i="1" s="1"/>
  <c r="D635" i="1"/>
  <c r="BA635" i="1"/>
  <c r="AV635" i="1"/>
  <c r="AW635" i="1" s="1"/>
  <c r="D664" i="1"/>
  <c r="BA664" i="1"/>
  <c r="AV664" i="1"/>
  <c r="AW664" i="1" s="1"/>
  <c r="D771" i="1"/>
  <c r="AV771" i="1"/>
  <c r="AW771" i="1" s="1"/>
  <c r="BA771" i="1"/>
  <c r="D746" i="1"/>
  <c r="AV746" i="1"/>
  <c r="AW746" i="1" s="1"/>
  <c r="BA746" i="1"/>
  <c r="D841" i="1"/>
  <c r="BA841" i="1"/>
  <c r="AV841" i="1"/>
  <c r="AW841" i="1" s="1"/>
  <c r="D1022" i="1"/>
  <c r="BA1022" i="1"/>
  <c r="AV1022" i="1"/>
  <c r="AW1022" i="1" s="1"/>
  <c r="D108" i="1"/>
  <c r="BA108" i="1"/>
  <c r="AV108" i="1"/>
  <c r="AW108" i="1" s="1"/>
  <c r="D888" i="1"/>
  <c r="BA888" i="1"/>
  <c r="AV888" i="1"/>
  <c r="AW888" i="1" s="1"/>
  <c r="D660" i="1"/>
  <c r="AV660" i="1"/>
  <c r="AW660" i="1" s="1"/>
  <c r="BA660" i="1"/>
  <c r="D155" i="1"/>
  <c r="BA155" i="1"/>
  <c r="AV155" i="1"/>
  <c r="AW155" i="1" s="1"/>
  <c r="D1036" i="1"/>
  <c r="AV1036" i="1"/>
  <c r="AW1036" i="1" s="1"/>
  <c r="BA1036" i="1"/>
  <c r="D498" i="1"/>
  <c r="BA498" i="1"/>
  <c r="AV498" i="1"/>
  <c r="AW498" i="1" s="1"/>
  <c r="D587" i="1"/>
  <c r="BA587" i="1"/>
  <c r="AV587" i="1"/>
  <c r="AW587" i="1" s="1"/>
  <c r="D951" i="1"/>
  <c r="BA951" i="1"/>
  <c r="AV951" i="1"/>
  <c r="AW951" i="1" s="1"/>
  <c r="D917" i="1"/>
  <c r="BA917" i="1"/>
  <c r="AV917" i="1"/>
  <c r="AW917" i="1" s="1"/>
  <c r="D982" i="1"/>
  <c r="BA982" i="1"/>
  <c r="AV982" i="1"/>
  <c r="AW982" i="1" s="1"/>
  <c r="D753" i="1"/>
  <c r="BA753" i="1"/>
  <c r="AV753" i="1"/>
  <c r="AW753" i="1" s="1"/>
  <c r="D380" i="1"/>
  <c r="BA380" i="1"/>
  <c r="AV380" i="1"/>
  <c r="AW380" i="1" s="1"/>
  <c r="D495" i="1"/>
  <c r="BA495" i="1"/>
  <c r="AV495" i="1"/>
  <c r="AW495" i="1" s="1"/>
  <c r="D559" i="1"/>
  <c r="AV559" i="1"/>
  <c r="AW559" i="1" s="1"/>
  <c r="BA559" i="1"/>
  <c r="D623" i="1"/>
  <c r="AV623" i="1"/>
  <c r="AW623" i="1" s="1"/>
  <c r="BA623" i="1"/>
  <c r="D392" i="1"/>
  <c r="BA392" i="1"/>
  <c r="AV392" i="1"/>
  <c r="AW392" i="1" s="1"/>
  <c r="D613" i="1"/>
  <c r="AV613" i="1"/>
  <c r="AW613" i="1" s="1"/>
  <c r="BA613" i="1"/>
  <c r="D592" i="1"/>
  <c r="AV592" i="1"/>
  <c r="AW592" i="1" s="1"/>
  <c r="BA592" i="1"/>
  <c r="D723" i="1"/>
  <c r="AV723" i="1"/>
  <c r="AW723" i="1" s="1"/>
  <c r="BA723" i="1"/>
  <c r="D932" i="1"/>
  <c r="BA932" i="1"/>
  <c r="AV932" i="1"/>
  <c r="AW932" i="1" s="1"/>
  <c r="D733" i="1"/>
  <c r="BA733" i="1"/>
  <c r="AV733" i="1"/>
  <c r="AW733" i="1" s="1"/>
  <c r="D184" i="1"/>
  <c r="AV184" i="1"/>
  <c r="AW184" i="1" s="1"/>
  <c r="BA184" i="1"/>
  <c r="D165" i="1"/>
  <c r="AV165" i="1"/>
  <c r="AW165" i="1" s="1"/>
  <c r="BA165" i="1"/>
  <c r="D1001" i="1"/>
  <c r="AV1001" i="1"/>
  <c r="AW1001" i="1" s="1"/>
  <c r="BA1001" i="1"/>
  <c r="D892" i="1"/>
  <c r="BA892" i="1"/>
  <c r="AV892" i="1"/>
  <c r="AW892" i="1" s="1"/>
  <c r="D905" i="1"/>
  <c r="BA905" i="1"/>
  <c r="AV905" i="1"/>
  <c r="AW905" i="1" s="1"/>
  <c r="D167" i="1"/>
  <c r="AV167" i="1"/>
  <c r="AW167" i="1" s="1"/>
  <c r="BA167" i="1"/>
  <c r="D458" i="1"/>
  <c r="BA458" i="1"/>
  <c r="AV458" i="1"/>
  <c r="AW458" i="1" s="1"/>
  <c r="D136" i="1"/>
  <c r="BA136" i="1"/>
  <c r="AV136" i="1"/>
  <c r="AW136" i="1" s="1"/>
  <c r="D601" i="1"/>
  <c r="AV601" i="1"/>
  <c r="AW601" i="1" s="1"/>
  <c r="BA601" i="1"/>
  <c r="D611" i="1"/>
  <c r="AV611" i="1"/>
  <c r="AW611" i="1" s="1"/>
  <c r="BA611" i="1"/>
  <c r="D152" i="1"/>
  <c r="BA152" i="1"/>
  <c r="AV152" i="1"/>
  <c r="AW152" i="1" s="1"/>
  <c r="D78" i="1"/>
  <c r="BA78" i="1"/>
  <c r="AV78" i="1"/>
  <c r="AW78" i="1" s="1"/>
  <c r="D375" i="1"/>
  <c r="AV375" i="1"/>
  <c r="AW375" i="1" s="1"/>
  <c r="BA375" i="1"/>
  <c r="D332" i="1"/>
  <c r="BA332" i="1"/>
  <c r="AV332" i="1"/>
  <c r="AW332" i="1" s="1"/>
  <c r="D484" i="1"/>
  <c r="AV484" i="1"/>
  <c r="AW484" i="1" s="1"/>
  <c r="BA484" i="1"/>
  <c r="D699" i="1"/>
  <c r="AV699" i="1"/>
  <c r="AW699" i="1" s="1"/>
  <c r="BA699" i="1"/>
  <c r="D711" i="1"/>
  <c r="BA711" i="1"/>
  <c r="AV711" i="1"/>
  <c r="AW711" i="1" s="1"/>
  <c r="D191" i="1"/>
  <c r="AV191" i="1"/>
  <c r="AW191" i="1" s="1"/>
  <c r="BA191" i="1"/>
  <c r="D327" i="1"/>
  <c r="AV327" i="1"/>
  <c r="AW327" i="1" s="1"/>
  <c r="BA327" i="1"/>
  <c r="D427" i="1"/>
  <c r="BA427" i="1"/>
  <c r="AV427" i="1"/>
  <c r="AW427" i="1" s="1"/>
  <c r="D362" i="1"/>
  <c r="BA362" i="1"/>
  <c r="AV362" i="1"/>
  <c r="AW362" i="1" s="1"/>
  <c r="D304" i="1"/>
  <c r="BA304" i="1"/>
  <c r="AV304" i="1"/>
  <c r="AW304" i="1" s="1"/>
  <c r="D240" i="1"/>
  <c r="AV240" i="1"/>
  <c r="AW240" i="1" s="1"/>
  <c r="BA240" i="1"/>
  <c r="D345" i="1"/>
  <c r="BA345" i="1"/>
  <c r="AV345" i="1"/>
  <c r="AW345" i="1" s="1"/>
  <c r="D88" i="1"/>
  <c r="AV88" i="1"/>
  <c r="AW88" i="1" s="1"/>
  <c r="BA88" i="1"/>
  <c r="D110" i="1"/>
  <c r="AV110" i="1"/>
  <c r="AW110" i="1" s="1"/>
  <c r="BA110" i="1"/>
  <c r="D483" i="1"/>
  <c r="BA483" i="1"/>
  <c r="AV483" i="1"/>
  <c r="AW483" i="1" s="1"/>
  <c r="D112" i="1"/>
  <c r="AV112" i="1"/>
  <c r="AW112" i="1" s="1"/>
  <c r="BA112" i="1"/>
  <c r="D864" i="1"/>
  <c r="AV864" i="1"/>
  <c r="AW864" i="1" s="1"/>
  <c r="BA864" i="1"/>
  <c r="D41" i="1"/>
  <c r="AV41" i="1"/>
  <c r="AW41" i="1" s="1"/>
  <c r="BA41" i="1"/>
  <c r="D768" i="1"/>
  <c r="AV768" i="1"/>
  <c r="AW768" i="1" s="1"/>
  <c r="BA768" i="1"/>
  <c r="D407" i="1"/>
  <c r="AV407" i="1"/>
  <c r="AW407" i="1" s="1"/>
  <c r="BA407" i="1"/>
  <c r="D648" i="1"/>
  <c r="AV648" i="1"/>
  <c r="AW648" i="1" s="1"/>
  <c r="BA648" i="1"/>
  <c r="D796" i="1"/>
  <c r="BA796" i="1"/>
  <c r="AV796" i="1"/>
  <c r="AW796" i="1" s="1"/>
  <c r="D570" i="1"/>
  <c r="AV570" i="1"/>
  <c r="AW570" i="1" s="1"/>
  <c r="BA570" i="1"/>
  <c r="D311" i="1"/>
  <c r="BA311" i="1"/>
  <c r="AV311" i="1"/>
  <c r="AW311" i="1" s="1"/>
  <c r="D515" i="1"/>
  <c r="AV515" i="1"/>
  <c r="AW515" i="1" s="1"/>
  <c r="BA515" i="1"/>
  <c r="D86" i="1"/>
  <c r="AV86" i="1"/>
  <c r="AW86" i="1" s="1"/>
  <c r="BA86" i="1"/>
  <c r="D522" i="1"/>
  <c r="AV522" i="1"/>
  <c r="AW522" i="1" s="1"/>
  <c r="BA522" i="1"/>
  <c r="D564" i="1"/>
  <c r="BA564" i="1"/>
  <c r="AV564" i="1"/>
  <c r="AW564" i="1" s="1"/>
  <c r="D363" i="1"/>
  <c r="BA363" i="1"/>
  <c r="AV363" i="1"/>
  <c r="AW363" i="1" s="1"/>
  <c r="D318" i="1"/>
  <c r="AV318" i="1"/>
  <c r="AW318" i="1" s="1"/>
  <c r="BA318" i="1"/>
  <c r="D148" i="1"/>
  <c r="AV148" i="1"/>
  <c r="AW148" i="1" s="1"/>
  <c r="BA148" i="1"/>
  <c r="D356" i="1"/>
  <c r="AV356" i="1"/>
  <c r="AW356" i="1" s="1"/>
  <c r="BA356" i="1"/>
  <c r="D300" i="1"/>
  <c r="BA300" i="1"/>
  <c r="AV300" i="1"/>
  <c r="AW300" i="1" s="1"/>
  <c r="D716" i="1"/>
  <c r="BA716" i="1"/>
  <c r="AV716" i="1"/>
  <c r="AW716" i="1" s="1"/>
  <c r="D653" i="1"/>
  <c r="AV653" i="1"/>
  <c r="AW653" i="1" s="1"/>
  <c r="BA653" i="1"/>
  <c r="D378" i="1"/>
  <c r="BA378" i="1"/>
  <c r="AV378" i="1"/>
  <c r="AW378" i="1" s="1"/>
  <c r="D159" i="1"/>
  <c r="AV159" i="1"/>
  <c r="AW159" i="1" s="1"/>
  <c r="BA159" i="1"/>
  <c r="D863" i="1"/>
  <c r="AV863" i="1"/>
  <c r="AW863" i="1" s="1"/>
  <c r="BA863" i="1"/>
  <c r="D402" i="1"/>
  <c r="AV402" i="1"/>
  <c r="AW402" i="1" s="1"/>
  <c r="BA402" i="1"/>
  <c r="D493" i="1"/>
  <c r="AV493" i="1"/>
  <c r="AW493" i="1" s="1"/>
  <c r="BA493" i="1"/>
  <c r="D865" i="1"/>
  <c r="BA865" i="1"/>
  <c r="AV865" i="1"/>
  <c r="AW865" i="1" s="1"/>
  <c r="D993" i="1"/>
  <c r="AV993" i="1"/>
  <c r="AW993" i="1" s="1"/>
  <c r="BA993" i="1"/>
  <c r="D355" i="1"/>
  <c r="BA355" i="1"/>
  <c r="AV355" i="1"/>
  <c r="AW355" i="1" s="1"/>
  <c r="D428" i="1"/>
  <c r="AV428" i="1"/>
  <c r="AW428" i="1" s="1"/>
  <c r="BA428" i="1"/>
  <c r="D528" i="1"/>
  <c r="AV528" i="1"/>
  <c r="AW528" i="1" s="1"/>
  <c r="BA528" i="1"/>
  <c r="D772" i="1"/>
  <c r="AV772" i="1"/>
  <c r="AW772" i="1" s="1"/>
  <c r="BA772" i="1"/>
  <c r="D525" i="1"/>
  <c r="BA525" i="1"/>
  <c r="AV525" i="1"/>
  <c r="AW525" i="1" s="1"/>
  <c r="D231" i="1"/>
  <c r="AV231" i="1"/>
  <c r="AW231" i="1" s="1"/>
  <c r="BA231" i="1"/>
  <c r="D347" i="1"/>
  <c r="BA347" i="1"/>
  <c r="AV347" i="1"/>
  <c r="AW347" i="1" s="1"/>
  <c r="D303" i="1"/>
  <c r="BA303" i="1"/>
  <c r="AV303" i="1"/>
  <c r="AW303" i="1" s="1"/>
  <c r="D769" i="1"/>
  <c r="BA769" i="1"/>
  <c r="AV769" i="1"/>
  <c r="AW769" i="1" s="1"/>
  <c r="D835" i="1"/>
  <c r="BA835" i="1"/>
  <c r="AV835" i="1"/>
  <c r="AW835" i="1" s="1"/>
  <c r="D477" i="1"/>
  <c r="BA477" i="1"/>
  <c r="AV477" i="1"/>
  <c r="AW477" i="1" s="1"/>
  <c r="D442" i="1"/>
  <c r="BA442" i="1"/>
  <c r="AV442" i="1"/>
  <c r="AW442" i="1" s="1"/>
  <c r="D966" i="1"/>
  <c r="BA966" i="1"/>
  <c r="AV966" i="1"/>
  <c r="AW966" i="1" s="1"/>
  <c r="D1024" i="1"/>
  <c r="BA1024" i="1"/>
  <c r="AV1024" i="1"/>
  <c r="AW1024" i="1" s="1"/>
  <c r="D1023" i="1"/>
  <c r="BA1023" i="1"/>
  <c r="AV1023" i="1"/>
  <c r="AW1023" i="1" s="1"/>
  <c r="D622" i="1"/>
  <c r="AV622" i="1"/>
  <c r="AW622" i="1" s="1"/>
  <c r="BA622" i="1"/>
  <c r="D717" i="1"/>
  <c r="BA717" i="1"/>
  <c r="AV717" i="1"/>
  <c r="AW717" i="1" s="1"/>
  <c r="D899" i="1"/>
  <c r="BA899" i="1"/>
  <c r="AV899" i="1"/>
  <c r="AW899" i="1" s="1"/>
  <c r="D695" i="1"/>
  <c r="BA695" i="1"/>
  <c r="AV695" i="1"/>
  <c r="AW695" i="1" s="1"/>
  <c r="D252" i="1"/>
  <c r="AV252" i="1"/>
  <c r="AW252" i="1" s="1"/>
  <c r="BA252" i="1"/>
  <c r="D551" i="1"/>
  <c r="AV551" i="1"/>
  <c r="AW551" i="1" s="1"/>
  <c r="BA551" i="1"/>
  <c r="D913" i="1"/>
  <c r="AV913" i="1"/>
  <c r="AW913" i="1" s="1"/>
  <c r="BA913" i="1"/>
  <c r="D460" i="1"/>
  <c r="AV460" i="1"/>
  <c r="AW460" i="1" s="1"/>
  <c r="BA460" i="1"/>
  <c r="AZ538" i="1"/>
  <c r="BI538" i="1" s="1"/>
  <c r="AZ619" i="1"/>
  <c r="BI619" i="1" s="1"/>
  <c r="AZ467" i="1"/>
  <c r="BI467" i="1" s="1"/>
  <c r="AZ119" i="1"/>
  <c r="BI119" i="1" s="1"/>
  <c r="AZ246" i="1"/>
  <c r="BI246" i="1" s="1"/>
  <c r="AZ503" i="1"/>
  <c r="BI503" i="1" s="1"/>
  <c r="AZ682" i="1"/>
  <c r="BI682" i="1" s="1"/>
  <c r="AZ935" i="1"/>
  <c r="BI935" i="1" s="1"/>
  <c r="AZ294" i="1"/>
  <c r="BI294" i="1" s="1"/>
  <c r="AZ548" i="1"/>
  <c r="BI548" i="1" s="1"/>
  <c r="AZ910" i="1"/>
  <c r="BI910" i="1" s="1"/>
  <c r="R69" i="1"/>
  <c r="R459" i="1"/>
  <c r="K999" i="1"/>
  <c r="L999" i="1" s="1"/>
  <c r="N999" i="1" s="1"/>
  <c r="O999" i="1" s="1"/>
  <c r="K747" i="1"/>
  <c r="L747" i="1" s="1"/>
  <c r="N747" i="1" s="1"/>
  <c r="O747" i="1" s="1"/>
  <c r="Q395" i="1"/>
  <c r="R854" i="1"/>
  <c r="S103" i="1"/>
  <c r="K530" i="1"/>
  <c r="L530" i="1" s="1"/>
  <c r="N530" i="1" s="1"/>
  <c r="O530" i="1" s="1"/>
  <c r="S843" i="1"/>
  <c r="K841" i="1"/>
  <c r="L841" i="1" s="1"/>
  <c r="N841" i="1" s="1"/>
  <c r="O841" i="1" s="1"/>
  <c r="Q367" i="1"/>
  <c r="R367" i="1" s="1"/>
  <c r="S795" i="1"/>
  <c r="K247" i="1"/>
  <c r="L247" i="1" s="1"/>
  <c r="N247" i="1" s="1"/>
  <c r="O247" i="1" s="1"/>
  <c r="L1038" i="1"/>
  <c r="N1038" i="1" s="1"/>
  <c r="O1038" i="1" s="1"/>
  <c r="K98" i="1"/>
  <c r="L98" i="1" s="1"/>
  <c r="N98" i="1" s="1"/>
  <c r="O98" i="1" s="1"/>
  <c r="K487" i="1"/>
  <c r="L487" i="1" s="1"/>
  <c r="N487" i="1" s="1"/>
  <c r="O487" i="1" s="1"/>
  <c r="S817" i="1"/>
  <c r="S984" i="1"/>
  <c r="Q857" i="1"/>
  <c r="R857" i="1" s="1"/>
  <c r="K857" i="1"/>
  <c r="K773" i="1"/>
  <c r="L773" i="1" s="1"/>
  <c r="N773" i="1" s="1"/>
  <c r="O773" i="1" s="1"/>
  <c r="Q773" i="1"/>
  <c r="R773" i="1" s="1"/>
  <c r="Q905" i="1"/>
  <c r="R905" i="1" s="1"/>
  <c r="K905" i="1"/>
  <c r="L905" i="1" s="1"/>
  <c r="N905" i="1" s="1"/>
  <c r="O905" i="1" s="1"/>
  <c r="S271" i="1"/>
  <c r="K183" i="1"/>
  <c r="L183" i="1" s="1"/>
  <c r="N183" i="1" s="1"/>
  <c r="O183" i="1" s="1"/>
  <c r="Q183" i="1"/>
  <c r="R183" i="1" s="1"/>
  <c r="K942" i="1"/>
  <c r="L942" i="1" s="1"/>
  <c r="N942" i="1" s="1"/>
  <c r="O942" i="1" s="1"/>
  <c r="Q942" i="1"/>
  <c r="R942" i="1" s="1"/>
  <c r="S330" i="1"/>
  <c r="S297" i="1"/>
  <c r="K704" i="1"/>
  <c r="L704" i="1" s="1"/>
  <c r="N704" i="1" s="1"/>
  <c r="O704" i="1" s="1"/>
  <c r="Q704" i="1"/>
  <c r="R704" i="1" s="1"/>
  <c r="S100" i="1"/>
  <c r="S54" i="1"/>
  <c r="K198" i="1"/>
  <c r="L198" i="1" s="1"/>
  <c r="N198" i="1" s="1"/>
  <c r="O198" i="1" s="1"/>
  <c r="Q198" i="1"/>
  <c r="R198" i="1" s="1"/>
  <c r="S168" i="1"/>
  <c r="K329" i="1"/>
  <c r="L329" i="1" s="1"/>
  <c r="N329" i="1" s="1"/>
  <c r="O329" i="1" s="1"/>
  <c r="Q329" i="1"/>
  <c r="R329" i="1" s="1"/>
  <c r="K55" i="1"/>
  <c r="L55" i="1" s="1"/>
  <c r="N55" i="1" s="1"/>
  <c r="O55" i="1" s="1"/>
  <c r="Q55" i="1"/>
  <c r="R55" i="1" s="1"/>
  <c r="Q937" i="1"/>
  <c r="R937" i="1" s="1"/>
  <c r="K937" i="1"/>
  <c r="L937" i="1" s="1"/>
  <c r="N937" i="1" s="1"/>
  <c r="O937" i="1" s="1"/>
  <c r="S555" i="1"/>
  <c r="S854" i="1"/>
  <c r="S334" i="1"/>
  <c r="S187" i="1"/>
  <c r="S625" i="1"/>
  <c r="S954" i="1"/>
  <c r="Q215" i="1"/>
  <c r="R215" i="1" s="1"/>
  <c r="K215" i="1"/>
  <c r="L215" i="1" s="1"/>
  <c r="N215" i="1" s="1"/>
  <c r="O215" i="1" s="1"/>
  <c r="S596" i="1"/>
  <c r="K308" i="1"/>
  <c r="L308" i="1" s="1"/>
  <c r="N308" i="1" s="1"/>
  <c r="O308" i="1" s="1"/>
  <c r="Q308" i="1"/>
  <c r="R308" i="1" s="1"/>
  <c r="K692" i="1"/>
  <c r="L692" i="1" s="1"/>
  <c r="N692" i="1" s="1"/>
  <c r="O692" i="1" s="1"/>
  <c r="Q692" i="1"/>
  <c r="R692" i="1" s="1"/>
  <c r="Q492" i="1"/>
  <c r="R492" i="1" s="1"/>
  <c r="K492" i="1"/>
  <c r="S180" i="1"/>
  <c r="Q833" i="1"/>
  <c r="R833" i="1" s="1"/>
  <c r="K833" i="1"/>
  <c r="K517" i="1"/>
  <c r="L517" i="1" s="1"/>
  <c r="N517" i="1" s="1"/>
  <c r="O517" i="1" s="1"/>
  <c r="Q517" i="1"/>
  <c r="R517" i="1" s="1"/>
  <c r="S709" i="1"/>
  <c r="S731" i="1"/>
  <c r="Q995" i="1"/>
  <c r="R995" i="1" s="1"/>
  <c r="K995" i="1"/>
  <c r="L995" i="1" s="1"/>
  <c r="N995" i="1" s="1"/>
  <c r="O995" i="1" s="1"/>
  <c r="S347" i="1"/>
  <c r="S258" i="1"/>
  <c r="Q970" i="1"/>
  <c r="R970" i="1" s="1"/>
  <c r="K970" i="1"/>
  <c r="L970" i="1" s="1"/>
  <c r="S1028" i="1"/>
  <c r="K366" i="1"/>
  <c r="L366" i="1" s="1"/>
  <c r="N366" i="1" s="1"/>
  <c r="O366" i="1" s="1"/>
  <c r="Q366" i="1"/>
  <c r="R366" i="1" s="1"/>
  <c r="S431" i="1"/>
  <c r="S30" i="1"/>
  <c r="S652" i="1"/>
  <c r="S947" i="1"/>
  <c r="L1029" i="1"/>
  <c r="N1029" i="1" s="1"/>
  <c r="O1029" i="1" s="1"/>
  <c r="K1020" i="1"/>
  <c r="L1020" i="1" s="1"/>
  <c r="N1020" i="1" s="1"/>
  <c r="O1020" i="1" s="1"/>
  <c r="L932" i="1"/>
  <c r="N932" i="1" s="1"/>
  <c r="O932" i="1" s="1"/>
  <c r="K875" i="1"/>
  <c r="L875" i="1" s="1"/>
  <c r="N875" i="1" s="1"/>
  <c r="O875" i="1" s="1"/>
  <c r="R667" i="1"/>
  <c r="Q475" i="1"/>
  <c r="R475" i="1" s="1"/>
  <c r="K459" i="1"/>
  <c r="R914" i="1"/>
  <c r="S1009" i="1"/>
  <c r="Q892" i="1"/>
  <c r="S1031" i="1"/>
  <c r="S907" i="1"/>
  <c r="S659" i="1"/>
  <c r="S435" i="1"/>
  <c r="S858" i="1"/>
  <c r="N786" i="1"/>
  <c r="O786" i="1" s="1"/>
  <c r="Q675" i="1"/>
  <c r="R675" i="1" s="1"/>
  <c r="Q498" i="1"/>
  <c r="R498" i="1" s="1"/>
  <c r="Q386" i="1"/>
  <c r="R386" i="1" s="1"/>
  <c r="L173" i="1"/>
  <c r="N173" i="1" s="1"/>
  <c r="O173" i="1" s="1"/>
  <c r="L364" i="1"/>
  <c r="K810" i="1"/>
  <c r="L810" i="1" s="1"/>
  <c r="N810" i="1" s="1"/>
  <c r="O810" i="1" s="1"/>
  <c r="S730" i="1"/>
  <c r="K453" i="1"/>
  <c r="L453" i="1" s="1"/>
  <c r="N453" i="1" s="1"/>
  <c r="O453" i="1" s="1"/>
  <c r="Q85" i="1"/>
  <c r="R85" i="1" s="1"/>
  <c r="S88" i="1"/>
  <c r="R541" i="1"/>
  <c r="S903" i="1"/>
  <c r="S423" i="1"/>
  <c r="Q152" i="1"/>
  <c r="R152" i="1" s="1"/>
  <c r="K150" i="1"/>
  <c r="L150" i="1" s="1"/>
  <c r="N150" i="1" s="1"/>
  <c r="O150" i="1" s="1"/>
  <c r="K69" i="1"/>
  <c r="L69" i="1" s="1"/>
  <c r="N69" i="1" s="1"/>
  <c r="O69" i="1" s="1"/>
  <c r="S237" i="1"/>
  <c r="K160" i="1"/>
  <c r="L160" i="1" s="1"/>
  <c r="N160" i="1" s="1"/>
  <c r="O160" i="1" s="1"/>
  <c r="S957" i="1"/>
  <c r="S577" i="1"/>
  <c r="Q103" i="1"/>
  <c r="R103" i="1" s="1"/>
  <c r="S874" i="1"/>
  <c r="S342" i="1"/>
  <c r="S203" i="1"/>
  <c r="Q34" i="1"/>
  <c r="R34" i="1" s="1"/>
  <c r="Q563" i="1"/>
  <c r="R563" i="1" s="1"/>
  <c r="K563" i="1"/>
  <c r="L563" i="1" s="1"/>
  <c r="N563" i="1" s="1"/>
  <c r="O563" i="1" s="1"/>
  <c r="Q623" i="1"/>
  <c r="R623" i="1" s="1"/>
  <c r="K623" i="1"/>
  <c r="L623" i="1" s="1"/>
  <c r="N623" i="1" s="1"/>
  <c r="O623" i="1" s="1"/>
  <c r="Q454" i="1"/>
  <c r="R454" i="1" s="1"/>
  <c r="K454" i="1"/>
  <c r="L454" i="1" s="1"/>
  <c r="N454" i="1" s="1"/>
  <c r="O454" i="1" s="1"/>
  <c r="S438" i="1"/>
  <c r="S361" i="1"/>
  <c r="S200" i="1"/>
  <c r="Q167" i="1"/>
  <c r="R167" i="1" s="1"/>
  <c r="K167" i="1"/>
  <c r="L167" i="1" s="1"/>
  <c r="N167" i="1" s="1"/>
  <c r="O167" i="1" s="1"/>
  <c r="K822" i="1"/>
  <c r="L822" i="1" s="1"/>
  <c r="N822" i="1" s="1"/>
  <c r="O822" i="1" s="1"/>
  <c r="Q822" i="1"/>
  <c r="R822" i="1" s="1"/>
  <c r="K986" i="1"/>
  <c r="L986" i="1" s="1"/>
  <c r="N986" i="1" s="1"/>
  <c r="O986" i="1" s="1"/>
  <c r="Q986" i="1"/>
  <c r="R986" i="1" s="1"/>
  <c r="S371" i="1"/>
  <c r="S1040" i="1"/>
  <c r="K532" i="1"/>
  <c r="L532" i="1" s="1"/>
  <c r="N532" i="1" s="1"/>
  <c r="O532" i="1" s="1"/>
  <c r="Q532" i="1"/>
  <c r="R532" i="1" s="1"/>
  <c r="S952" i="1"/>
  <c r="K794" i="1"/>
  <c r="L794" i="1" s="1"/>
  <c r="N794" i="1" s="1"/>
  <c r="O794" i="1" s="1"/>
  <c r="Q794" i="1"/>
  <c r="R794" i="1" s="1"/>
  <c r="S169" i="1"/>
  <c r="S108" i="1"/>
  <c r="K609" i="1"/>
  <c r="L609" i="1" s="1"/>
  <c r="N609" i="1" s="1"/>
  <c r="O609" i="1" s="1"/>
  <c r="Q609" i="1"/>
  <c r="R609" i="1" s="1"/>
  <c r="R465" i="1"/>
  <c r="K101" i="1"/>
  <c r="Q101" i="1"/>
  <c r="R101" i="1" s="1"/>
  <c r="S143" i="1"/>
  <c r="S26" i="1"/>
  <c r="S576" i="1"/>
  <c r="K854" i="1"/>
  <c r="L854" i="1" s="1"/>
  <c r="N854" i="1" s="1"/>
  <c r="O854" i="1" s="1"/>
  <c r="S152" i="1"/>
  <c r="Q92" i="1"/>
  <c r="R92" i="1" s="1"/>
  <c r="S71" i="1"/>
  <c r="Q978" i="1"/>
  <c r="L914" i="1"/>
  <c r="N914" i="1" s="1"/>
  <c r="O914" i="1" s="1"/>
  <c r="S586" i="1"/>
  <c r="K482" i="1"/>
  <c r="L482" i="1" s="1"/>
  <c r="N482" i="1" s="1"/>
  <c r="O482" i="1" s="1"/>
  <c r="S191" i="1"/>
  <c r="K42" i="1"/>
  <c r="L42" i="1" s="1"/>
  <c r="N42" i="1" s="1"/>
  <c r="O42" i="1" s="1"/>
  <c r="Q390" i="1"/>
  <c r="R390" i="1" s="1"/>
  <c r="K707" i="1"/>
  <c r="L707" i="1" s="1"/>
  <c r="N707" i="1" s="1"/>
  <c r="O707" i="1" s="1"/>
  <c r="S624" i="1"/>
  <c r="K392" i="1"/>
  <c r="L392" i="1" s="1"/>
  <c r="N392" i="1" s="1"/>
  <c r="O392" i="1" s="1"/>
  <c r="S335" i="1"/>
  <c r="S715" i="1"/>
  <c r="Q291" i="1"/>
  <c r="R291" i="1" s="1"/>
  <c r="L298" i="1"/>
  <c r="N298" i="1" s="1"/>
  <c r="O298" i="1" s="1"/>
  <c r="S269" i="1"/>
  <c r="S773" i="1"/>
  <c r="S958" i="1"/>
  <c r="K630" i="1"/>
  <c r="L630" i="1" s="1"/>
  <c r="N630" i="1" s="1"/>
  <c r="O630" i="1" s="1"/>
  <c r="S450" i="1"/>
  <c r="S306" i="1"/>
  <c r="S239" i="1"/>
  <c r="S194" i="1"/>
  <c r="K45" i="1"/>
  <c r="S456" i="1"/>
  <c r="S348" i="1"/>
  <c r="K860" i="1"/>
  <c r="L860" i="1" s="1"/>
  <c r="N860" i="1" s="1"/>
  <c r="O860" i="1" s="1"/>
  <c r="Q380" i="1"/>
  <c r="R380" i="1" s="1"/>
  <c r="S244" i="1"/>
  <c r="L522" i="1"/>
  <c r="N522" i="1" s="1"/>
  <c r="O522" i="1" s="1"/>
  <c r="L458" i="1"/>
  <c r="N458" i="1" s="1"/>
  <c r="O458" i="1" s="1"/>
  <c r="L432" i="1"/>
  <c r="N432" i="1" s="1"/>
  <c r="O432" i="1" s="1"/>
  <c r="L791" i="1"/>
  <c r="N791" i="1" s="1"/>
  <c r="O791" i="1" s="1"/>
  <c r="K340" i="1"/>
  <c r="L340" i="1" s="1"/>
  <c r="N340" i="1" s="1"/>
  <c r="O340" i="1" s="1"/>
  <c r="L947" i="1"/>
  <c r="N947" i="1" s="1"/>
  <c r="O947" i="1" s="1"/>
  <c r="K691" i="1"/>
  <c r="R418" i="1"/>
  <c r="S982" i="1"/>
  <c r="S960" i="1"/>
  <c r="Q793" i="1"/>
  <c r="R793" i="1" s="1"/>
  <c r="K793" i="1"/>
  <c r="L793" i="1" s="1"/>
  <c r="N793" i="1" s="1"/>
  <c r="O793" i="1" s="1"/>
  <c r="S678" i="1"/>
  <c r="S776" i="1"/>
  <c r="S394" i="1"/>
  <c r="Q362" i="1"/>
  <c r="R362" i="1" s="1"/>
  <c r="K362" i="1"/>
  <c r="L362" i="1" s="1"/>
  <c r="N362" i="1" s="1"/>
  <c r="O362" i="1" s="1"/>
  <c r="S1003" i="1"/>
  <c r="S791" i="1"/>
  <c r="S919" i="1"/>
  <c r="K399" i="1"/>
  <c r="L399" i="1" s="1"/>
  <c r="N399" i="1" s="1"/>
  <c r="O399" i="1" s="1"/>
  <c r="Q399" i="1"/>
  <c r="R399" i="1" s="1"/>
  <c r="K122" i="1"/>
  <c r="L122" i="1" s="1"/>
  <c r="N122" i="1" s="1"/>
  <c r="O122" i="1" s="1"/>
  <c r="Q122" i="1"/>
  <c r="R122" i="1" s="1"/>
  <c r="K243" i="1"/>
  <c r="L243" i="1" s="1"/>
  <c r="N243" i="1" s="1"/>
  <c r="O243" i="1" s="1"/>
  <c r="Q243" i="1"/>
  <c r="R243" i="1" s="1"/>
  <c r="S892" i="1"/>
  <c r="S307" i="1"/>
  <c r="S397" i="1"/>
  <c r="Q985" i="1"/>
  <c r="R985" i="1" s="1"/>
  <c r="K985" i="1"/>
  <c r="L985" i="1" s="1"/>
  <c r="N985" i="1" s="1"/>
  <c r="O985" i="1" s="1"/>
  <c r="S286" i="1"/>
  <c r="Q558" i="1"/>
  <c r="R558" i="1" s="1"/>
  <c r="K558" i="1"/>
  <c r="L558" i="1" s="1"/>
  <c r="N558" i="1" s="1"/>
  <c r="O558" i="1" s="1"/>
  <c r="Q238" i="1"/>
  <c r="R238" i="1" s="1"/>
  <c r="K238" i="1"/>
  <c r="S165" i="1"/>
  <c r="S197" i="1"/>
  <c r="S399" i="1"/>
  <c r="Q58" i="1"/>
  <c r="R58" i="1" s="1"/>
  <c r="K58" i="1"/>
  <c r="L58" i="1" s="1"/>
  <c r="N58" i="1" s="1"/>
  <c r="O58" i="1" s="1"/>
  <c r="S436" i="1"/>
  <c r="Q504" i="1"/>
  <c r="R504" i="1" s="1"/>
  <c r="K504" i="1"/>
  <c r="L504" i="1" s="1"/>
  <c r="N504" i="1" s="1"/>
  <c r="O504" i="1" s="1"/>
  <c r="S472" i="1"/>
  <c r="Q544" i="1"/>
  <c r="R544" i="1" s="1"/>
  <c r="K544" i="1"/>
  <c r="L544" i="1" s="1"/>
  <c r="N544" i="1" s="1"/>
  <c r="O544" i="1" s="1"/>
  <c r="S810" i="1"/>
  <c r="S380" i="1"/>
  <c r="S740" i="1"/>
  <c r="R810" i="1"/>
  <c r="Q131" i="1"/>
  <c r="R131" i="1" s="1"/>
  <c r="K131" i="1"/>
  <c r="L131" i="1" s="1"/>
  <c r="N131" i="1" s="1"/>
  <c r="O131" i="1" s="1"/>
  <c r="K38" i="1"/>
  <c r="L38" i="1" s="1"/>
  <c r="N38" i="1" s="1"/>
  <c r="O38" i="1" s="1"/>
  <c r="Q38" i="1"/>
  <c r="R38" i="1" s="1"/>
  <c r="S851" i="1"/>
  <c r="K182" i="1"/>
  <c r="L182" i="1" s="1"/>
  <c r="N182" i="1" s="1"/>
  <c r="O182" i="1" s="1"/>
  <c r="Q182" i="1"/>
  <c r="R182" i="1" s="1"/>
  <c r="K732" i="1"/>
  <c r="L732" i="1" s="1"/>
  <c r="N732" i="1" s="1"/>
  <c r="O732" i="1" s="1"/>
  <c r="Q732" i="1"/>
  <c r="R732" i="1" s="1"/>
  <c r="S524" i="1"/>
  <c r="S220" i="1"/>
  <c r="S204" i="1"/>
  <c r="K809" i="1"/>
  <c r="L809" i="1" s="1"/>
  <c r="N809" i="1" s="1"/>
  <c r="O809" i="1" s="1"/>
  <c r="Q952" i="1"/>
  <c r="R952" i="1" s="1"/>
  <c r="S841" i="1"/>
  <c r="S346" i="1"/>
  <c r="R146" i="1"/>
  <c r="S469" i="1"/>
  <c r="N120" i="1"/>
  <c r="O120" i="1" s="1"/>
  <c r="R364" i="1"/>
  <c r="S196" i="1"/>
  <c r="S155" i="1"/>
  <c r="K746" i="1"/>
  <c r="L746" i="1" s="1"/>
  <c r="N746" i="1" s="1"/>
  <c r="O746" i="1" s="1"/>
  <c r="S578" i="1"/>
  <c r="K560" i="1"/>
  <c r="L560" i="1" s="1"/>
  <c r="N560" i="1" s="1"/>
  <c r="O560" i="1" s="1"/>
  <c r="S120" i="1"/>
  <c r="S672" i="1"/>
  <c r="S670" i="1"/>
  <c r="K959" i="1"/>
  <c r="L959" i="1" s="1"/>
  <c r="N959" i="1" s="1"/>
  <c r="O959" i="1" s="1"/>
  <c r="N715" i="1"/>
  <c r="O715" i="1" s="1"/>
  <c r="Q671" i="1"/>
  <c r="R671" i="1" s="1"/>
  <c r="Q527" i="1"/>
  <c r="R527" i="1" s="1"/>
  <c r="S171" i="1"/>
  <c r="Q502" i="1"/>
  <c r="R502" i="1" s="1"/>
  <c r="S39" i="1"/>
  <c r="K273" i="1"/>
  <c r="L273" i="1" s="1"/>
  <c r="N273" i="1" s="1"/>
  <c r="O273" i="1" s="1"/>
  <c r="S121" i="1"/>
  <c r="S820" i="1"/>
  <c r="K156" i="1"/>
  <c r="S920" i="1"/>
  <c r="K138" i="1"/>
  <c r="L138" i="1" s="1"/>
  <c r="N138" i="1" s="1"/>
  <c r="O138" i="1" s="1"/>
  <c r="K260" i="1"/>
  <c r="L260" i="1" s="1"/>
  <c r="N260" i="1" s="1"/>
  <c r="O260" i="1" s="1"/>
  <c r="Q246" i="1"/>
  <c r="R246" i="1" s="1"/>
  <c r="L805" i="1"/>
  <c r="N805" i="1" s="1"/>
  <c r="O805" i="1" s="1"/>
  <c r="L883" i="1"/>
  <c r="N883" i="1" s="1"/>
  <c r="O883" i="1" s="1"/>
  <c r="R91" i="1"/>
  <c r="R819" i="1"/>
  <c r="R435" i="1"/>
  <c r="L368" i="1"/>
  <c r="N368" i="1" s="1"/>
  <c r="O368" i="1" s="1"/>
  <c r="L192" i="1"/>
  <c r="N192" i="1" s="1"/>
  <c r="O192" i="1" s="1"/>
  <c r="R145" i="1"/>
  <c r="L919" i="1"/>
  <c r="N919" i="1" s="1"/>
  <c r="O919" i="1" s="1"/>
  <c r="N431" i="1"/>
  <c r="O431" i="1" s="1"/>
  <c r="N30" i="1"/>
  <c r="O30" i="1" s="1"/>
  <c r="R436" i="1"/>
  <c r="R522" i="1"/>
  <c r="R458" i="1"/>
  <c r="N121" i="1"/>
  <c r="O121" i="1" s="1"/>
  <c r="L75" i="1"/>
  <c r="N75" i="1" s="1"/>
  <c r="O75" i="1" s="1"/>
  <c r="L418" i="1"/>
  <c r="L96" i="1"/>
  <c r="N96" i="1" s="1"/>
  <c r="O96" i="1" s="1"/>
  <c r="R336" i="1"/>
  <c r="L881" i="1"/>
  <c r="N881" i="1" s="1"/>
  <c r="O881" i="1" s="1"/>
  <c r="L277" i="1"/>
  <c r="N277" i="1" s="1"/>
  <c r="O277" i="1" s="1"/>
  <c r="N524" i="1"/>
  <c r="O524" i="1" s="1"/>
  <c r="R883" i="1"/>
  <c r="R714" i="1"/>
  <c r="R298" i="1"/>
  <c r="L541" i="1"/>
  <c r="N541" i="1" s="1"/>
  <c r="O541" i="1" s="1"/>
  <c r="L295" i="1"/>
  <c r="N295" i="1" s="1"/>
  <c r="O295" i="1" s="1"/>
  <c r="N26" i="1"/>
  <c r="O26" i="1" s="1"/>
  <c r="N652" i="1"/>
  <c r="O652" i="1" s="1"/>
  <c r="R75" i="1"/>
  <c r="L819" i="1"/>
  <c r="N819" i="1" s="1"/>
  <c r="O819" i="1" s="1"/>
  <c r="L435" i="1"/>
  <c r="N435" i="1" s="1"/>
  <c r="O435" i="1" s="1"/>
  <c r="N586" i="1"/>
  <c r="O586" i="1" s="1"/>
  <c r="R451" i="1"/>
  <c r="R579" i="1"/>
  <c r="R972" i="1"/>
  <c r="L821" i="1"/>
  <c r="L307" i="1"/>
  <c r="N307" i="1" s="1"/>
  <c r="O307" i="1" s="1"/>
  <c r="L759" i="1"/>
  <c r="N759" i="1" s="1"/>
  <c r="O759" i="1" s="1"/>
  <c r="D26" i="1"/>
  <c r="S548" i="1"/>
  <c r="K570" i="1"/>
  <c r="L570" i="1" s="1"/>
  <c r="N570" i="1" s="1"/>
  <c r="O570" i="1" s="1"/>
  <c r="S725" i="1"/>
  <c r="S1035" i="1"/>
  <c r="Q639" i="1"/>
  <c r="R639" i="1" s="1"/>
  <c r="Q305" i="1"/>
  <c r="R305" i="1" s="1"/>
  <c r="K241" i="1"/>
  <c r="L241" i="1" s="1"/>
  <c r="N241" i="1" s="1"/>
  <c r="O241" i="1" s="1"/>
  <c r="K781" i="1"/>
  <c r="L781" i="1" s="1"/>
  <c r="N781" i="1" s="1"/>
  <c r="O781" i="1" s="1"/>
  <c r="Q626" i="1"/>
  <c r="R626" i="1" s="1"/>
  <c r="S780" i="1"/>
  <c r="Q29" i="1"/>
  <c r="R29" i="1" s="1"/>
  <c r="S290" i="1"/>
  <c r="K713" i="1"/>
  <c r="L713" i="1" s="1"/>
  <c r="N713" i="1" s="1"/>
  <c r="O713" i="1" s="1"/>
  <c r="K727" i="1"/>
  <c r="L727" i="1" s="1"/>
  <c r="N727" i="1" s="1"/>
  <c r="O727" i="1" s="1"/>
  <c r="K1006" i="1"/>
  <c r="L1006" i="1" s="1"/>
  <c r="N1006" i="1" s="1"/>
  <c r="O1006" i="1" s="1"/>
  <c r="K814" i="1"/>
  <c r="L814" i="1" s="1"/>
  <c r="N814" i="1" s="1"/>
  <c r="O814" i="1" s="1"/>
  <c r="K750" i="1"/>
  <c r="L750" i="1" s="1"/>
  <c r="N750" i="1" s="1"/>
  <c r="O750" i="1" s="1"/>
  <c r="S501" i="1"/>
  <c r="K968" i="1"/>
  <c r="L968" i="1" s="1"/>
  <c r="N968" i="1" s="1"/>
  <c r="O968" i="1" s="1"/>
  <c r="S1038" i="1"/>
  <c r="S694" i="1"/>
  <c r="Q956" i="1"/>
  <c r="R956" i="1" s="1"/>
  <c r="Q888" i="1"/>
  <c r="R888" i="1" s="1"/>
  <c r="R875" i="1"/>
  <c r="S674" i="1"/>
  <c r="S427" i="1"/>
  <c r="L179" i="1"/>
  <c r="N179" i="1" s="1"/>
  <c r="O179" i="1" s="1"/>
  <c r="S78" i="1"/>
  <c r="Q232" i="1"/>
  <c r="R232" i="1" s="1"/>
  <c r="K1001" i="1"/>
  <c r="L1001" i="1" s="1"/>
  <c r="N1001" i="1" s="1"/>
  <c r="O1001" i="1" s="1"/>
  <c r="S828" i="1"/>
  <c r="S765" i="1"/>
  <c r="Q801" i="1"/>
  <c r="R801" i="1" s="1"/>
  <c r="S917" i="1"/>
  <c r="K690" i="1"/>
  <c r="L690" i="1" s="1"/>
  <c r="N690" i="1" s="1"/>
  <c r="O690" i="1" s="1"/>
  <c r="K593" i="1"/>
  <c r="L593" i="1" s="1"/>
  <c r="N593" i="1" s="1"/>
  <c r="O593" i="1" s="1"/>
  <c r="K518" i="1"/>
  <c r="L518" i="1" s="1"/>
  <c r="N518" i="1" s="1"/>
  <c r="O518" i="1" s="1"/>
  <c r="Q1011" i="1"/>
  <c r="R1011" i="1" s="1"/>
  <c r="S939" i="1"/>
  <c r="S747" i="1"/>
  <c r="S1017" i="1"/>
  <c r="K521" i="1"/>
  <c r="L521" i="1" s="1"/>
  <c r="N521" i="1" s="1"/>
  <c r="O521" i="1" s="1"/>
  <c r="S495" i="1"/>
  <c r="S79" i="1"/>
  <c r="K878" i="1"/>
  <c r="L878" i="1" s="1"/>
  <c r="N878" i="1" s="1"/>
  <c r="O878" i="1" s="1"/>
  <c r="S485" i="1"/>
  <c r="K409" i="1"/>
  <c r="L409" i="1" s="1"/>
  <c r="N409" i="1" s="1"/>
  <c r="O409" i="1" s="1"/>
  <c r="K313" i="1"/>
  <c r="L313" i="1" s="1"/>
  <c r="N313" i="1" s="1"/>
  <c r="O313" i="1" s="1"/>
  <c r="K249" i="1"/>
  <c r="L249" i="1" s="1"/>
  <c r="N249" i="1" s="1"/>
  <c r="O249" i="1" s="1"/>
  <c r="L91" i="1"/>
  <c r="N91" i="1" s="1"/>
  <c r="O91" i="1" s="1"/>
  <c r="S948" i="1"/>
  <c r="S1005" i="1"/>
  <c r="S711" i="1"/>
  <c r="R721" i="1"/>
  <c r="S595" i="1"/>
  <c r="S833" i="1"/>
  <c r="S529" i="1"/>
  <c r="Q876" i="1"/>
  <c r="R876" i="1" s="1"/>
  <c r="L667" i="1"/>
  <c r="N667" i="1" s="1"/>
  <c r="O667" i="1" s="1"/>
  <c r="R1038" i="1"/>
  <c r="Q597" i="1"/>
  <c r="R597" i="1" s="1"/>
  <c r="S430" i="1"/>
  <c r="S552" i="1"/>
  <c r="S840" i="1"/>
  <c r="S885" i="1"/>
  <c r="S63" i="1"/>
  <c r="S550" i="1"/>
  <c r="S327" i="1"/>
  <c r="R947" i="1"/>
  <c r="Q939" i="1"/>
  <c r="R939" i="1" s="1"/>
  <c r="R728" i="1"/>
  <c r="K659" i="1"/>
  <c r="L659" i="1" s="1"/>
  <c r="N659" i="1" s="1"/>
  <c r="O659" i="1" s="1"/>
  <c r="D25" i="1"/>
  <c r="AV25" i="1"/>
  <c r="AW25" i="1" s="1"/>
  <c r="R546" i="1"/>
  <c r="R497" i="1"/>
  <c r="R457" i="1"/>
  <c r="R571" i="1"/>
  <c r="N764" i="1"/>
  <c r="O764" i="1" s="1"/>
  <c r="N576" i="1"/>
  <c r="O576" i="1" s="1"/>
  <c r="Q617" i="1"/>
  <c r="R617" i="1" s="1"/>
  <c r="Q610" i="1"/>
  <c r="R610" i="1" s="1"/>
  <c r="R445" i="1"/>
  <c r="R56" i="1"/>
  <c r="K54" i="1"/>
  <c r="L54" i="1" s="1"/>
  <c r="N54" i="1" s="1"/>
  <c r="O54" i="1" s="1"/>
  <c r="S489" i="1"/>
  <c r="S425" i="1"/>
  <c r="S862" i="1"/>
  <c r="K553" i="1"/>
  <c r="L553" i="1" s="1"/>
  <c r="N553" i="1" s="1"/>
  <c r="O553" i="1" s="1"/>
  <c r="R77" i="1"/>
  <c r="K825" i="1"/>
  <c r="L825" i="1" s="1"/>
  <c r="N825" i="1" s="1"/>
  <c r="O825" i="1" s="1"/>
  <c r="R1020" i="1"/>
  <c r="Q834" i="1"/>
  <c r="R834" i="1" s="1"/>
  <c r="Q88" i="1"/>
  <c r="R88" i="1" s="1"/>
  <c r="S148" i="1"/>
  <c r="S491" i="1"/>
  <c r="Q415" i="1"/>
  <c r="R415" i="1" s="1"/>
  <c r="K99" i="1"/>
  <c r="L99" i="1" s="1"/>
  <c r="N99" i="1" s="1"/>
  <c r="O99" i="1" s="1"/>
  <c r="R87" i="1"/>
  <c r="R987" i="1"/>
  <c r="S151" i="1"/>
  <c r="L209" i="1"/>
  <c r="N209" i="1" s="1"/>
  <c r="O209" i="1" s="1"/>
  <c r="S83" i="1"/>
  <c r="K420" i="1"/>
  <c r="L420" i="1" s="1"/>
  <c r="N420" i="1" s="1"/>
  <c r="O420" i="1" s="1"/>
  <c r="R510" i="1"/>
  <c r="R363" i="1"/>
  <c r="Q251" i="1"/>
  <c r="R251" i="1" s="1"/>
  <c r="R900" i="1"/>
  <c r="Q770" i="1"/>
  <c r="R770" i="1" s="1"/>
  <c r="K230" i="1"/>
  <c r="L230" i="1" s="1"/>
  <c r="N230" i="1" s="1"/>
  <c r="O230" i="1" s="1"/>
  <c r="K134" i="1"/>
  <c r="L134" i="1" s="1"/>
  <c r="N134" i="1" s="1"/>
  <c r="O134" i="1" s="1"/>
  <c r="K870" i="1"/>
  <c r="L870" i="1" s="1"/>
  <c r="N870" i="1" s="1"/>
  <c r="O870" i="1" s="1"/>
  <c r="Q350" i="1"/>
  <c r="R350" i="1" s="1"/>
  <c r="S973" i="1"/>
  <c r="K917" i="1"/>
  <c r="L917" i="1" s="1"/>
  <c r="N917" i="1" s="1"/>
  <c r="O917" i="1" s="1"/>
  <c r="Q507" i="1"/>
  <c r="R507" i="1" s="1"/>
  <c r="Q642" i="1"/>
  <c r="R642" i="1" s="1"/>
  <c r="K546" i="1"/>
  <c r="L546" i="1" s="1"/>
  <c r="N546" i="1" s="1"/>
  <c r="O546" i="1" s="1"/>
  <c r="K51" i="1"/>
  <c r="L51" i="1" s="1"/>
  <c r="N51" i="1" s="1"/>
  <c r="O51" i="1" s="1"/>
  <c r="Q923" i="1"/>
  <c r="R923" i="1" s="1"/>
  <c r="K859" i="1"/>
  <c r="L859" i="1" s="1"/>
  <c r="N859" i="1" s="1"/>
  <c r="O859" i="1" s="1"/>
  <c r="K795" i="1"/>
  <c r="L795" i="1" s="1"/>
  <c r="N795" i="1" s="1"/>
  <c r="O795" i="1" s="1"/>
  <c r="K587" i="1"/>
  <c r="L587" i="1" s="1"/>
  <c r="N587" i="1" s="1"/>
  <c r="O587" i="1" s="1"/>
  <c r="Q958" i="1"/>
  <c r="R958" i="1" s="1"/>
  <c r="R722" i="1"/>
  <c r="K658" i="1"/>
  <c r="L658" i="1" s="1"/>
  <c r="N658" i="1" s="1"/>
  <c r="O658" i="1" s="1"/>
  <c r="Q306" i="1"/>
  <c r="R306" i="1" s="1"/>
  <c r="R397" i="1"/>
  <c r="L269" i="1"/>
  <c r="N269" i="1" s="1"/>
  <c r="O269" i="1" s="1"/>
  <c r="K168" i="1"/>
  <c r="L168" i="1" s="1"/>
  <c r="N168" i="1" s="1"/>
  <c r="O168" i="1" s="1"/>
  <c r="Q982" i="1"/>
  <c r="R982" i="1" s="1"/>
  <c r="Q901" i="1"/>
  <c r="R901" i="1" s="1"/>
  <c r="S653" i="1"/>
  <c r="L238" i="1"/>
  <c r="N238" i="1" s="1"/>
  <c r="O238" i="1" s="1"/>
  <c r="R727" i="1"/>
  <c r="Q912" i="1"/>
  <c r="R912" i="1" s="1"/>
  <c r="K891" i="1"/>
  <c r="L891" i="1" s="1"/>
  <c r="N891" i="1" s="1"/>
  <c r="O891" i="1" s="1"/>
  <c r="S213" i="1"/>
  <c r="R707" i="1"/>
  <c r="K457" i="1"/>
  <c r="L457" i="1" s="1"/>
  <c r="N457" i="1" s="1"/>
  <c r="O457" i="1" s="1"/>
  <c r="S288" i="1"/>
  <c r="S160" i="1"/>
  <c r="S372" i="1"/>
  <c r="Q933" i="1"/>
  <c r="R933" i="1" s="1"/>
  <c r="K31" i="1"/>
  <c r="L31" i="1" s="1"/>
  <c r="N31" i="1" s="1"/>
  <c r="O31" i="1" s="1"/>
  <c r="S926" i="1"/>
  <c r="S530" i="1"/>
  <c r="L422" i="1"/>
  <c r="N422" i="1" s="1"/>
  <c r="O422" i="1" s="1"/>
  <c r="Q162" i="1"/>
  <c r="R162" i="1" s="1"/>
  <c r="K1037" i="1"/>
  <c r="L1037" i="1" s="1"/>
  <c r="N1037" i="1" s="1"/>
  <c r="O1037" i="1" s="1"/>
  <c r="S897" i="1"/>
  <c r="R867" i="1"/>
  <c r="K571" i="1"/>
  <c r="L571" i="1" s="1"/>
  <c r="N571" i="1" s="1"/>
  <c r="O571" i="1" s="1"/>
  <c r="L239" i="1"/>
  <c r="N239" i="1" s="1"/>
  <c r="O239" i="1" s="1"/>
  <c r="L685" i="1"/>
  <c r="N685" i="1" s="1"/>
  <c r="O685" i="1" s="1"/>
  <c r="N653" i="1"/>
  <c r="O653" i="1" s="1"/>
  <c r="Q549" i="1"/>
  <c r="R549" i="1" s="1"/>
  <c r="K920" i="1"/>
  <c r="L920" i="1" s="1"/>
  <c r="N920" i="1" s="1"/>
  <c r="O920" i="1" s="1"/>
  <c r="K827" i="1"/>
  <c r="L827" i="1" s="1"/>
  <c r="Q410" i="1"/>
  <c r="R410" i="1" s="1"/>
  <c r="R882" i="1"/>
  <c r="S174" i="1"/>
  <c r="K824" i="1"/>
  <c r="L824" i="1" s="1"/>
  <c r="N824" i="1" s="1"/>
  <c r="O824" i="1" s="1"/>
  <c r="S756" i="1"/>
  <c r="Q372" i="1"/>
  <c r="R372" i="1" s="1"/>
  <c r="N510" i="1"/>
  <c r="O510" i="1" s="1"/>
  <c r="Q894" i="1"/>
  <c r="R894" i="1" s="1"/>
  <c r="K710" i="1"/>
  <c r="L710" i="1" s="1"/>
  <c r="N710" i="1" s="1"/>
  <c r="O710" i="1" s="1"/>
  <c r="K245" i="1"/>
  <c r="L245" i="1" s="1"/>
  <c r="N245" i="1" s="1"/>
  <c r="O245" i="1" s="1"/>
  <c r="Q759" i="1"/>
  <c r="R759" i="1" s="1"/>
  <c r="Q333" i="1"/>
  <c r="R333" i="1" s="1"/>
  <c r="R918" i="1"/>
  <c r="L724" i="1"/>
  <c r="N724" i="1" s="1"/>
  <c r="O724" i="1" s="1"/>
  <c r="R259" i="1"/>
  <c r="L323" i="1"/>
  <c r="N323" i="1" s="1"/>
  <c r="O323" i="1" s="1"/>
  <c r="L689" i="1"/>
  <c r="N689" i="1" s="1"/>
  <c r="O689" i="1" s="1"/>
  <c r="N555" i="1"/>
  <c r="O555" i="1" s="1"/>
  <c r="R447" i="1"/>
  <c r="R965" i="1"/>
  <c r="L624" i="1"/>
  <c r="N624" i="1" s="1"/>
  <c r="O624" i="1" s="1"/>
  <c r="L826" i="1"/>
  <c r="N826" i="1" s="1"/>
  <c r="O826" i="1" s="1"/>
  <c r="L253" i="1"/>
  <c r="N253" i="1" s="1"/>
  <c r="O253" i="1" s="1"/>
  <c r="R930" i="1"/>
  <c r="L808" i="1"/>
  <c r="N808" i="1" s="1"/>
  <c r="O808" i="1" s="1"/>
  <c r="R573" i="1"/>
  <c r="R738" i="1"/>
  <c r="N1039" i="1"/>
  <c r="O1039" i="1" s="1"/>
  <c r="L983" i="1"/>
  <c r="N983" i="1" s="1"/>
  <c r="O983" i="1" s="1"/>
  <c r="R471" i="1"/>
  <c r="R855" i="1"/>
  <c r="L900" i="1"/>
  <c r="N900" i="1" s="1"/>
  <c r="O900" i="1" s="1"/>
  <c r="L695" i="1"/>
  <c r="N695" i="1" s="1"/>
  <c r="O695" i="1" s="1"/>
  <c r="L622" i="1"/>
  <c r="N622" i="1" s="1"/>
  <c r="O622" i="1" s="1"/>
  <c r="S1027" i="1"/>
  <c r="R710" i="1"/>
  <c r="L811" i="1"/>
  <c r="N811" i="1" s="1"/>
  <c r="O811" i="1" s="1"/>
  <c r="N162" i="1"/>
  <c r="O162" i="1" s="1"/>
  <c r="L610" i="1"/>
  <c r="N610" i="1" s="1"/>
  <c r="O610" i="1" s="1"/>
  <c r="R651" i="1"/>
  <c r="K548" i="1"/>
  <c r="L548" i="1" s="1"/>
  <c r="N548" i="1" s="1"/>
  <c r="O548" i="1" s="1"/>
  <c r="Q548" i="1"/>
  <c r="R548" i="1" s="1"/>
  <c r="S805" i="1"/>
  <c r="S944" i="1"/>
  <c r="S1007" i="1"/>
  <c r="S294" i="1"/>
  <c r="S303" i="1"/>
  <c r="S989" i="1"/>
  <c r="S69" i="1"/>
  <c r="S113" i="1"/>
  <c r="K49" i="1"/>
  <c r="L49" i="1" s="1"/>
  <c r="N49" i="1" s="1"/>
  <c r="O49" i="1" s="1"/>
  <c r="Q49" i="1"/>
  <c r="R49" i="1" s="1"/>
  <c r="S844" i="1"/>
  <c r="K28" i="1"/>
  <c r="L28" i="1" s="1"/>
  <c r="N28" i="1" s="1"/>
  <c r="O28" i="1" s="1"/>
  <c r="Q28" i="1"/>
  <c r="R28" i="1" s="1"/>
  <c r="Q356" i="1"/>
  <c r="R356" i="1" s="1"/>
  <c r="K356" i="1"/>
  <c r="L356" i="1" s="1"/>
  <c r="N356" i="1" s="1"/>
  <c r="O356" i="1" s="1"/>
  <c r="S923" i="1"/>
  <c r="S224" i="1"/>
  <c r="S537" i="1"/>
  <c r="S697" i="1"/>
  <c r="S928" i="1"/>
  <c r="S1000" i="1"/>
  <c r="Q147" i="1"/>
  <c r="R147" i="1" s="1"/>
  <c r="K147" i="1"/>
  <c r="L147" i="1" s="1"/>
  <c r="N147" i="1" s="1"/>
  <c r="O147" i="1" s="1"/>
  <c r="S863" i="1"/>
  <c r="S736" i="1"/>
  <c r="K396" i="1"/>
  <c r="L396" i="1" s="1"/>
  <c r="N396" i="1" s="1"/>
  <c r="O396" i="1" s="1"/>
  <c r="Q396" i="1"/>
  <c r="R396" i="1" s="1"/>
  <c r="S455" i="1"/>
  <c r="K742" i="1"/>
  <c r="L742" i="1" s="1"/>
  <c r="N742" i="1" s="1"/>
  <c r="O742" i="1" s="1"/>
  <c r="Q742" i="1"/>
  <c r="R742" i="1" s="1"/>
  <c r="S895" i="1"/>
  <c r="S580" i="1"/>
  <c r="L871" i="1"/>
  <c r="N871" i="1" s="1"/>
  <c r="O871" i="1" s="1"/>
  <c r="S797" i="1"/>
  <c r="R1023" i="1"/>
  <c r="S626" i="1"/>
  <c r="L1023" i="1"/>
  <c r="N1023" i="1" s="1"/>
  <c r="O1023" i="1" s="1"/>
  <c r="R993" i="1"/>
  <c r="R927" i="1"/>
  <c r="S963" i="1"/>
  <c r="S499" i="1"/>
  <c r="L363" i="1"/>
  <c r="N363" i="1" s="1"/>
  <c r="O363" i="1" s="1"/>
  <c r="S275" i="1"/>
  <c r="S698" i="1"/>
  <c r="S526" i="1"/>
  <c r="U526" i="1" s="1"/>
  <c r="V526" i="1" s="1"/>
  <c r="L434" i="1"/>
  <c r="N434" i="1" s="1"/>
  <c r="O434" i="1" s="1"/>
  <c r="L370" i="1"/>
  <c r="N370" i="1" s="1"/>
  <c r="O370" i="1" s="1"/>
  <c r="K93" i="1"/>
  <c r="L93" i="1" s="1"/>
  <c r="N93" i="1" s="1"/>
  <c r="O93" i="1" s="1"/>
  <c r="Q808" i="1"/>
  <c r="R808" i="1" s="1"/>
  <c r="K712" i="1"/>
  <c r="L712" i="1" s="1"/>
  <c r="N712" i="1" s="1"/>
  <c r="O712" i="1" s="1"/>
  <c r="Q600" i="1"/>
  <c r="R600" i="1" s="1"/>
  <c r="N568" i="1"/>
  <c r="O568" i="1" s="1"/>
  <c r="Q412" i="1"/>
  <c r="R412" i="1" s="1"/>
  <c r="L403" i="1"/>
  <c r="N403" i="1" s="1"/>
  <c r="O403" i="1" s="1"/>
  <c r="S553" i="1"/>
  <c r="S629" i="1"/>
  <c r="S1008" i="1"/>
  <c r="S936" i="1"/>
  <c r="Q783" i="1"/>
  <c r="R783" i="1" s="1"/>
  <c r="K738" i="1"/>
  <c r="L738" i="1" s="1"/>
  <c r="N738" i="1" s="1"/>
  <c r="O738" i="1" s="1"/>
  <c r="K1042" i="1"/>
  <c r="L1042" i="1" s="1"/>
  <c r="N1042" i="1" s="1"/>
  <c r="O1042" i="1" s="1"/>
  <c r="S789" i="1"/>
  <c r="S410" i="1"/>
  <c r="Q826" i="1"/>
  <c r="R826" i="1" s="1"/>
  <c r="Q585" i="1"/>
  <c r="R585" i="1" s="1"/>
  <c r="K965" i="1"/>
  <c r="L965" i="1" s="1"/>
  <c r="N965" i="1" s="1"/>
  <c r="O965" i="1" s="1"/>
  <c r="K486" i="1"/>
  <c r="L486" i="1" s="1"/>
  <c r="N486" i="1" s="1"/>
  <c r="O486" i="1" s="1"/>
  <c r="N294" i="1"/>
  <c r="O294" i="1" s="1"/>
  <c r="K538" i="1"/>
  <c r="L538" i="1" s="1"/>
  <c r="N538" i="1" s="1"/>
  <c r="O538" i="1" s="1"/>
  <c r="K494" i="1"/>
  <c r="L494" i="1" s="1"/>
  <c r="N494" i="1" s="1"/>
  <c r="O494" i="1" s="1"/>
  <c r="R489" i="1"/>
  <c r="K68" i="1"/>
  <c r="L68" i="1" s="1"/>
  <c r="N68" i="1" s="1"/>
  <c r="O68" i="1" s="1"/>
  <c r="Q725" i="1"/>
  <c r="R725" i="1" s="1"/>
  <c r="S690" i="1"/>
  <c r="Q757" i="1"/>
  <c r="R757" i="1" s="1"/>
  <c r="K757" i="1"/>
  <c r="L757" i="1" s="1"/>
  <c r="N757" i="1" s="1"/>
  <c r="O757" i="1" s="1"/>
  <c r="Q89" i="1"/>
  <c r="R89" i="1" s="1"/>
  <c r="K89" i="1"/>
  <c r="L89" i="1" s="1"/>
  <c r="N89" i="1" s="1"/>
  <c r="O89" i="1" s="1"/>
  <c r="S61" i="1"/>
  <c r="K940" i="1"/>
  <c r="L940" i="1" s="1"/>
  <c r="N940" i="1" s="1"/>
  <c r="O940" i="1" s="1"/>
  <c r="Q940" i="1"/>
  <c r="R940" i="1" s="1"/>
  <c r="S25" i="1"/>
  <c r="S522" i="1"/>
  <c r="K1010" i="1"/>
  <c r="L1010" i="1" s="1"/>
  <c r="N1010" i="1" s="1"/>
  <c r="O1010" i="1" s="1"/>
  <c r="Q1010" i="1"/>
  <c r="R1010" i="1" s="1"/>
  <c r="S477" i="1"/>
  <c r="K378" i="1"/>
  <c r="L378" i="1" s="1"/>
  <c r="N378" i="1" s="1"/>
  <c r="O378" i="1" s="1"/>
  <c r="Q378" i="1"/>
  <c r="R378" i="1" s="1"/>
  <c r="L899" i="1"/>
  <c r="N899" i="1" s="1"/>
  <c r="O899" i="1" s="1"/>
  <c r="S695" i="1"/>
  <c r="L993" i="1"/>
  <c r="N993" i="1" s="1"/>
  <c r="O993" i="1" s="1"/>
  <c r="S961" i="1"/>
  <c r="L927" i="1"/>
  <c r="N927" i="1" s="1"/>
  <c r="O927" i="1" s="1"/>
  <c r="N895" i="1"/>
  <c r="O895" i="1" s="1"/>
  <c r="Q695" i="1"/>
  <c r="R695" i="1" s="1"/>
  <c r="S599" i="1"/>
  <c r="S355" i="1"/>
  <c r="K930" i="1"/>
  <c r="L930" i="1" s="1"/>
  <c r="N930" i="1" s="1"/>
  <c r="O930" i="1" s="1"/>
  <c r="K898" i="1"/>
  <c r="L898" i="1" s="1"/>
  <c r="N898" i="1" s="1"/>
  <c r="O898" i="1" s="1"/>
  <c r="L634" i="1"/>
  <c r="N634" i="1" s="1"/>
  <c r="O634" i="1" s="1"/>
  <c r="L401" i="1"/>
  <c r="N401" i="1" s="1"/>
  <c r="O401" i="1" s="1"/>
  <c r="N477" i="1"/>
  <c r="O477" i="1" s="1"/>
  <c r="R461" i="1"/>
  <c r="Q253" i="1"/>
  <c r="R253" i="1" s="1"/>
  <c r="Q1039" i="1"/>
  <c r="R1039" i="1" s="1"/>
  <c r="S720" i="1"/>
  <c r="S208" i="1"/>
  <c r="K573" i="1"/>
  <c r="L573" i="1" s="1"/>
  <c r="N573" i="1" s="1"/>
  <c r="O573" i="1" s="1"/>
  <c r="L300" i="1"/>
  <c r="N300" i="1" s="1"/>
  <c r="O300" i="1" s="1"/>
  <c r="L853" i="1"/>
  <c r="N853" i="1" s="1"/>
  <c r="O853" i="1" s="1"/>
  <c r="S1018" i="1"/>
  <c r="Q899" i="1"/>
  <c r="R899" i="1" s="1"/>
  <c r="K293" i="1"/>
  <c r="L293" i="1" s="1"/>
  <c r="N293" i="1" s="1"/>
  <c r="O293" i="1" s="1"/>
  <c r="Q53" i="1"/>
  <c r="R53" i="1" s="1"/>
  <c r="Q624" i="1"/>
  <c r="R624" i="1" s="1"/>
  <c r="S769" i="1"/>
  <c r="R961" i="1"/>
  <c r="K918" i="1"/>
  <c r="L918" i="1" s="1"/>
  <c r="N918" i="1" s="1"/>
  <c r="O918" i="1" s="1"/>
  <c r="S846" i="1"/>
  <c r="Q310" i="1"/>
  <c r="R310" i="1" s="1"/>
  <c r="R229" i="1"/>
  <c r="S105" i="1"/>
  <c r="R860" i="1"/>
  <c r="L668" i="1"/>
  <c r="N668" i="1" s="1"/>
  <c r="O668" i="1" s="1"/>
  <c r="S600" i="1"/>
  <c r="S884" i="1"/>
  <c r="N512" i="1"/>
  <c r="O512" i="1" s="1"/>
  <c r="S541" i="1"/>
  <c r="Q983" i="1"/>
  <c r="R983" i="1" s="1"/>
  <c r="S669" i="1"/>
  <c r="L478" i="1"/>
  <c r="N478" i="1" s="1"/>
  <c r="O478" i="1" s="1"/>
  <c r="K87" i="1"/>
  <c r="L87" i="1" s="1"/>
  <c r="N87" i="1" s="1"/>
  <c r="O87" i="1" s="1"/>
  <c r="N105" i="1"/>
  <c r="O105" i="1" s="1"/>
  <c r="K848" i="1"/>
  <c r="L848" i="1" s="1"/>
  <c r="N848" i="1" s="1"/>
  <c r="O848" i="1" s="1"/>
  <c r="Q506" i="1"/>
  <c r="R506" i="1" s="1"/>
  <c r="Q177" i="1"/>
  <c r="R177" i="1" s="1"/>
  <c r="K177" i="1"/>
  <c r="L177" i="1" s="1"/>
  <c r="N177" i="1" s="1"/>
  <c r="O177" i="1" s="1"/>
  <c r="S481" i="1"/>
  <c r="S763" i="1"/>
  <c r="S227" i="1"/>
  <c r="S287" i="1"/>
  <c r="Q373" i="1"/>
  <c r="R373" i="1" s="1"/>
  <c r="K373" i="1"/>
  <c r="L373" i="1" s="1"/>
  <c r="N373" i="1" s="1"/>
  <c r="O373" i="1" s="1"/>
  <c r="S779" i="1"/>
  <c r="S640" i="1"/>
  <c r="S975" i="1"/>
  <c r="S293" i="1"/>
  <c r="S349" i="1"/>
  <c r="K649" i="1"/>
  <c r="L649" i="1" s="1"/>
  <c r="N649" i="1" s="1"/>
  <c r="O649" i="1" s="1"/>
  <c r="Q649" i="1"/>
  <c r="R649" i="1" s="1"/>
  <c r="S460" i="1"/>
  <c r="Q799" i="1"/>
  <c r="R799" i="1" s="1"/>
  <c r="K799" i="1"/>
  <c r="L799" i="1" s="1"/>
  <c r="N799" i="1" s="1"/>
  <c r="O799" i="1" s="1"/>
  <c r="Q439" i="1"/>
  <c r="R439" i="1" s="1"/>
  <c r="K439" i="1"/>
  <c r="L439" i="1" s="1"/>
  <c r="N439" i="1" s="1"/>
  <c r="O439" i="1" s="1"/>
  <c r="S112" i="1"/>
  <c r="K535" i="1"/>
  <c r="L535" i="1" s="1"/>
  <c r="N535" i="1" s="1"/>
  <c r="O535" i="1" s="1"/>
  <c r="Q535" i="1"/>
  <c r="R535" i="1" s="1"/>
  <c r="S568" i="1"/>
  <c r="Q360" i="1"/>
  <c r="R360" i="1" s="1"/>
  <c r="K360" i="1"/>
  <c r="L360" i="1" s="1"/>
  <c r="N360" i="1" s="1"/>
  <c r="O360" i="1" s="1"/>
  <c r="S449" i="1"/>
  <c r="S615" i="1"/>
  <c r="S685" i="1"/>
  <c r="N615" i="1"/>
  <c r="O615" i="1" s="1"/>
  <c r="S551" i="1"/>
  <c r="S279" i="1"/>
  <c r="S183" i="1"/>
  <c r="S167" i="1"/>
  <c r="S115" i="1"/>
  <c r="N669" i="1"/>
  <c r="O669" i="1" s="1"/>
  <c r="R634" i="1"/>
  <c r="R434" i="1"/>
  <c r="S176" i="1"/>
  <c r="R853" i="1"/>
  <c r="R788" i="1"/>
  <c r="S682" i="1"/>
  <c r="R403" i="1"/>
  <c r="L961" i="1"/>
  <c r="N961" i="1" s="1"/>
  <c r="O961" i="1" s="1"/>
  <c r="S876" i="1"/>
  <c r="S967" i="1"/>
  <c r="Q911" i="1"/>
  <c r="R911" i="1" s="1"/>
  <c r="S882" i="1"/>
  <c r="S89" i="1"/>
  <c r="N779" i="1"/>
  <c r="O779" i="1" s="1"/>
  <c r="K428" i="1"/>
  <c r="L428" i="1" s="1"/>
  <c r="N428" i="1" s="1"/>
  <c r="O428" i="1" s="1"/>
  <c r="K332" i="1"/>
  <c r="L332" i="1" s="1"/>
  <c r="N332" i="1" s="1"/>
  <c r="O332" i="1" s="1"/>
  <c r="S1024" i="1"/>
  <c r="Q871" i="1"/>
  <c r="R871" i="1" s="1"/>
  <c r="L925" i="1"/>
  <c r="N925" i="1" s="1"/>
  <c r="O925" i="1" s="1"/>
  <c r="L489" i="1"/>
  <c r="N489" i="1" s="1"/>
  <c r="O489" i="1" s="1"/>
  <c r="K233" i="1"/>
  <c r="L233" i="1" s="1"/>
  <c r="N233" i="1" s="1"/>
  <c r="O233" i="1" s="1"/>
  <c r="L528" i="1"/>
  <c r="N528" i="1" s="1"/>
  <c r="O528" i="1" s="1"/>
  <c r="S512" i="1"/>
  <c r="N349" i="1"/>
  <c r="O349" i="1" s="1"/>
  <c r="K324" i="1"/>
  <c r="L324" i="1" s="1"/>
  <c r="N324" i="1" s="1"/>
  <c r="O324" i="1" s="1"/>
  <c r="K698" i="1"/>
  <c r="L698" i="1" s="1"/>
  <c r="N698" i="1" s="1"/>
  <c r="O698" i="1" s="1"/>
  <c r="L788" i="1"/>
  <c r="N788" i="1" s="1"/>
  <c r="O788" i="1" s="1"/>
  <c r="L886" i="1"/>
  <c r="N886" i="1" s="1"/>
  <c r="O886" i="1" s="1"/>
  <c r="N789" i="1"/>
  <c r="O789" i="1" s="1"/>
  <c r="L902" i="1"/>
  <c r="N902" i="1" s="1"/>
  <c r="O902" i="1" s="1"/>
  <c r="R790" i="1"/>
  <c r="R358" i="1"/>
  <c r="L229" i="1"/>
  <c r="N229" i="1" s="1"/>
  <c r="O229" i="1" s="1"/>
  <c r="N844" i="1"/>
  <c r="O844" i="1" s="1"/>
  <c r="N208" i="1"/>
  <c r="O208" i="1" s="1"/>
  <c r="N455" i="1"/>
  <c r="O455" i="1" s="1"/>
  <c r="R605" i="1"/>
  <c r="R478" i="1"/>
  <c r="L473" i="1"/>
  <c r="N473" i="1" s="1"/>
  <c r="O473" i="1" s="1"/>
  <c r="R528" i="1"/>
  <c r="R260" i="1"/>
  <c r="N720" i="1"/>
  <c r="O720" i="1" s="1"/>
  <c r="L29" i="1"/>
  <c r="N29" i="1" s="1"/>
  <c r="O29" i="1" s="1"/>
  <c r="R949" i="1"/>
  <c r="R288" i="1"/>
  <c r="L148" i="1"/>
  <c r="N148" i="1" s="1"/>
  <c r="O148" i="1" s="1"/>
  <c r="L60" i="1"/>
  <c r="N60" i="1" s="1"/>
  <c r="O60" i="1" s="1"/>
  <c r="L331" i="1"/>
  <c r="N331" i="1" s="1"/>
  <c r="O331" i="1" s="1"/>
  <c r="R832" i="1"/>
  <c r="L320" i="1"/>
  <c r="N320" i="1" s="1"/>
  <c r="O320" i="1" s="1"/>
  <c r="R575" i="1"/>
  <c r="L255" i="1"/>
  <c r="N255" i="1" s="1"/>
  <c r="O255" i="1" s="1"/>
  <c r="L155" i="1"/>
  <c r="N155" i="1" s="1"/>
  <c r="O155" i="1" s="1"/>
  <c r="L491" i="1"/>
  <c r="N491" i="1" s="1"/>
  <c r="O491" i="1" s="1"/>
  <c r="L642" i="1"/>
  <c r="N642" i="1" s="1"/>
  <c r="O642" i="1" s="1"/>
  <c r="L578" i="1"/>
  <c r="N578" i="1" s="1"/>
  <c r="O578" i="1" s="1"/>
  <c r="R903" i="1"/>
  <c r="L933" i="1"/>
  <c r="N933" i="1" s="1"/>
  <c r="O933" i="1" s="1"/>
  <c r="L912" i="1"/>
  <c r="N912" i="1" s="1"/>
  <c r="O912" i="1" s="1"/>
  <c r="L207" i="1"/>
  <c r="N207" i="1" s="1"/>
  <c r="O207" i="1" s="1"/>
  <c r="L353" i="1"/>
  <c r="N353" i="1" s="1"/>
  <c r="O353" i="1" s="1"/>
  <c r="R179" i="1"/>
  <c r="L607" i="1"/>
  <c r="N607" i="1" s="1"/>
  <c r="O607" i="1" s="1"/>
  <c r="R902" i="1"/>
  <c r="N966" i="1"/>
  <c r="O966" i="1" s="1"/>
  <c r="R631" i="1"/>
  <c r="L358" i="1"/>
  <c r="N358" i="1" s="1"/>
  <c r="O358" i="1" s="1"/>
  <c r="R209" i="1"/>
  <c r="R925" i="1"/>
  <c r="L631" i="1"/>
  <c r="N631" i="1" s="1"/>
  <c r="O631" i="1" s="1"/>
  <c r="N526" i="1"/>
  <c r="O526" i="1" s="1"/>
  <c r="N580" i="1"/>
  <c r="O580" i="1" s="1"/>
  <c r="L132" i="1"/>
  <c r="N132" i="1" s="1"/>
  <c r="O132" i="1" s="1"/>
  <c r="R60" i="1"/>
  <c r="R331" i="1"/>
  <c r="L832" i="1"/>
  <c r="N832" i="1" s="1"/>
  <c r="O832" i="1" s="1"/>
  <c r="N640" i="1"/>
  <c r="O640" i="1" s="1"/>
  <c r="L149" i="1"/>
  <c r="N149" i="1" s="1"/>
  <c r="O149" i="1" s="1"/>
  <c r="R849" i="1"/>
  <c r="R533" i="1"/>
  <c r="R413" i="1"/>
  <c r="R107" i="1"/>
  <c r="R108" i="1"/>
  <c r="S623" i="1"/>
  <c r="Q672" i="1"/>
  <c r="R672" i="1" s="1"/>
  <c r="K672" i="1"/>
  <c r="L672" i="1" s="1"/>
  <c r="N672" i="1" s="1"/>
  <c r="O672" i="1" s="1"/>
  <c r="S534" i="1"/>
  <c r="K423" i="1"/>
  <c r="L423" i="1" s="1"/>
  <c r="N423" i="1" s="1"/>
  <c r="O423" i="1" s="1"/>
  <c r="Q423" i="1"/>
  <c r="R423" i="1" s="1"/>
  <c r="S745" i="1"/>
  <c r="Q703" i="1"/>
  <c r="R703" i="1" s="1"/>
  <c r="K703" i="1"/>
  <c r="L703" i="1" s="1"/>
  <c r="N703" i="1" s="1"/>
  <c r="O703" i="1" s="1"/>
  <c r="Q346" i="1"/>
  <c r="R346" i="1" s="1"/>
  <c r="K346" i="1"/>
  <c r="L346" i="1" s="1"/>
  <c r="N346" i="1" s="1"/>
  <c r="O346" i="1" s="1"/>
  <c r="S365" i="1"/>
  <c r="S819" i="1"/>
  <c r="S618" i="1"/>
  <c r="K836" i="1"/>
  <c r="L836" i="1" s="1"/>
  <c r="N836" i="1" s="1"/>
  <c r="O836" i="1" s="1"/>
  <c r="Q836" i="1"/>
  <c r="R836" i="1" s="1"/>
  <c r="Q444" i="1"/>
  <c r="R444" i="1" s="1"/>
  <c r="K444" i="1"/>
  <c r="L444" i="1" s="1"/>
  <c r="N444" i="1" s="1"/>
  <c r="O444" i="1" s="1"/>
  <c r="S1033" i="1"/>
  <c r="S164" i="1"/>
  <c r="S142" i="1"/>
  <c r="S1044" i="1"/>
  <c r="K701" i="1"/>
  <c r="L701" i="1" s="1"/>
  <c r="N701" i="1" s="1"/>
  <c r="O701" i="1" s="1"/>
  <c r="R968" i="1"/>
  <c r="Q811" i="1"/>
  <c r="R811" i="1" s="1"/>
  <c r="K763" i="1"/>
  <c r="L763" i="1" s="1"/>
  <c r="N763" i="1" s="1"/>
  <c r="O763" i="1" s="1"/>
  <c r="S391" i="1"/>
  <c r="S990" i="1"/>
  <c r="Q977" i="1"/>
  <c r="R977" i="1" s="1"/>
  <c r="S969" i="1"/>
  <c r="Q765" i="1"/>
  <c r="R765" i="1" s="1"/>
  <c r="R685" i="1"/>
  <c r="S937" i="1"/>
  <c r="S749" i="1"/>
  <c r="S645" i="1"/>
  <c r="Q1012" i="1"/>
  <c r="R1012" i="1" s="1"/>
  <c r="K972" i="1"/>
  <c r="L972" i="1" s="1"/>
  <c r="N972" i="1" s="1"/>
  <c r="O972" i="1" s="1"/>
  <c r="Q924" i="1"/>
  <c r="R924" i="1" s="1"/>
  <c r="Q884" i="1"/>
  <c r="R884" i="1" s="1"/>
  <c r="L867" i="1"/>
  <c r="N867" i="1" s="1"/>
  <c r="O867" i="1" s="1"/>
  <c r="K1018" i="1"/>
  <c r="L1018" i="1" s="1"/>
  <c r="N1018" i="1" s="1"/>
  <c r="O1018" i="1" s="1"/>
  <c r="S971" i="1"/>
  <c r="K731" i="1"/>
  <c r="L731" i="1" s="1"/>
  <c r="N731" i="1" s="1"/>
  <c r="O731" i="1" s="1"/>
  <c r="Q539" i="1"/>
  <c r="R539" i="1" s="1"/>
  <c r="Q491" i="1"/>
  <c r="R491" i="1" s="1"/>
  <c r="R347" i="1"/>
  <c r="R171" i="1"/>
  <c r="L978" i="1"/>
  <c r="N978" i="1" s="1"/>
  <c r="O978" i="1" s="1"/>
  <c r="L882" i="1"/>
  <c r="N882" i="1" s="1"/>
  <c r="O882" i="1" s="1"/>
  <c r="L834" i="1"/>
  <c r="N834" i="1" s="1"/>
  <c r="O834" i="1" s="1"/>
  <c r="L754" i="1"/>
  <c r="N754" i="1" s="1"/>
  <c r="O754" i="1" s="1"/>
  <c r="S554" i="1"/>
  <c r="S414" i="1"/>
  <c r="K274" i="1"/>
  <c r="L274" i="1" s="1"/>
  <c r="N274" i="1" s="1"/>
  <c r="O274" i="1" s="1"/>
  <c r="K194" i="1"/>
  <c r="L194" i="1" s="1"/>
  <c r="N194" i="1" s="1"/>
  <c r="O194" i="1" s="1"/>
  <c r="S109" i="1"/>
  <c r="S58" i="1"/>
  <c r="L445" i="1"/>
  <c r="N445" i="1" s="1"/>
  <c r="O445" i="1" s="1"/>
  <c r="L397" i="1"/>
  <c r="N397" i="1" s="1"/>
  <c r="O397" i="1" s="1"/>
  <c r="Q365" i="1"/>
  <c r="R365" i="1" s="1"/>
  <c r="K334" i="1"/>
  <c r="L334" i="1" s="1"/>
  <c r="N334" i="1" s="1"/>
  <c r="O334" i="1" s="1"/>
  <c r="S85" i="1"/>
  <c r="L728" i="1"/>
  <c r="N728" i="1" s="1"/>
  <c r="O728" i="1" s="1"/>
  <c r="L632" i="1"/>
  <c r="N632" i="1" s="1"/>
  <c r="O632" i="1" s="1"/>
  <c r="R392" i="1"/>
  <c r="S320" i="1"/>
  <c r="L56" i="1"/>
  <c r="N56" i="1" s="1"/>
  <c r="O56" i="1" s="1"/>
  <c r="S468" i="1"/>
  <c r="S308" i="1"/>
  <c r="L283" i="1"/>
  <c r="N283" i="1" s="1"/>
  <c r="O283" i="1" s="1"/>
  <c r="Q945" i="1"/>
  <c r="R945" i="1" s="1"/>
  <c r="K529" i="1"/>
  <c r="L529" i="1" s="1"/>
  <c r="N529" i="1" s="1"/>
  <c r="O529" i="1" s="1"/>
  <c r="S459" i="1"/>
  <c r="Q307" i="1"/>
  <c r="R307" i="1" s="1"/>
  <c r="R619" i="1"/>
  <c r="S419" i="1"/>
  <c r="K218" i="1"/>
  <c r="L218" i="1" s="1"/>
  <c r="N218" i="1" s="1"/>
  <c r="O218" i="1" s="1"/>
  <c r="S664" i="1"/>
  <c r="Q576" i="1"/>
  <c r="R576" i="1" s="1"/>
  <c r="K513" i="1"/>
  <c r="L513" i="1" s="1"/>
  <c r="N513" i="1" s="1"/>
  <c r="O513" i="1" s="1"/>
  <c r="K745" i="1"/>
  <c r="L745" i="1" s="1"/>
  <c r="N745" i="1" s="1"/>
  <c r="O745" i="1" s="1"/>
  <c r="K1007" i="1"/>
  <c r="L1007" i="1" s="1"/>
  <c r="N1007" i="1" s="1"/>
  <c r="O1007" i="1" s="1"/>
  <c r="K651" i="1"/>
  <c r="L651" i="1" s="1"/>
  <c r="N651" i="1" s="1"/>
  <c r="O651" i="1" s="1"/>
  <c r="K575" i="1"/>
  <c r="L575" i="1" s="1"/>
  <c r="N575" i="1" s="1"/>
  <c r="O575" i="1" s="1"/>
  <c r="N319" i="1"/>
  <c r="O319" i="1" s="1"/>
  <c r="S878" i="1"/>
  <c r="R422" i="1"/>
  <c r="N354" i="1"/>
  <c r="O354" i="1" s="1"/>
  <c r="K497" i="1"/>
  <c r="L497" i="1" s="1"/>
  <c r="N497" i="1" s="1"/>
  <c r="O497" i="1" s="1"/>
  <c r="N465" i="1"/>
  <c r="O465" i="1" s="1"/>
  <c r="S409" i="1"/>
  <c r="Q353" i="1"/>
  <c r="R353" i="1" s="1"/>
  <c r="Q764" i="1"/>
  <c r="R764" i="1" s="1"/>
  <c r="K850" i="1"/>
  <c r="L850" i="1" s="1"/>
  <c r="N850" i="1" s="1"/>
  <c r="O850" i="1" s="1"/>
  <c r="Q975" i="1"/>
  <c r="R975" i="1" s="1"/>
  <c r="K782" i="1"/>
  <c r="L782" i="1" s="1"/>
  <c r="N782" i="1" s="1"/>
  <c r="O782" i="1" s="1"/>
  <c r="K730" i="1"/>
  <c r="L730" i="1" s="1"/>
  <c r="N730" i="1" s="1"/>
  <c r="O730" i="1" s="1"/>
  <c r="Q318" i="1"/>
  <c r="R318" i="1" s="1"/>
  <c r="S987" i="1"/>
  <c r="K234" i="1"/>
  <c r="L234" i="1" s="1"/>
  <c r="N234" i="1" s="1"/>
  <c r="O234" i="1" s="1"/>
  <c r="K357" i="1"/>
  <c r="L357" i="1" s="1"/>
  <c r="N357" i="1" s="1"/>
  <c r="O357" i="1" s="1"/>
  <c r="Q909" i="1"/>
  <c r="R909" i="1" s="1"/>
  <c r="K909" i="1"/>
  <c r="L909" i="1" s="1"/>
  <c r="N909" i="1" s="1"/>
  <c r="O909" i="1" s="1"/>
  <c r="K629" i="1"/>
  <c r="L629" i="1" s="1"/>
  <c r="N629" i="1" s="1"/>
  <c r="O629" i="1" s="1"/>
  <c r="Q629" i="1"/>
  <c r="R629" i="1" s="1"/>
  <c r="S699" i="1"/>
  <c r="Q339" i="1"/>
  <c r="R339" i="1" s="1"/>
  <c r="K339" i="1"/>
  <c r="L339" i="1" s="1"/>
  <c r="N339" i="1" s="1"/>
  <c r="O339" i="1" s="1"/>
  <c r="S824" i="1"/>
  <c r="K211" i="1"/>
  <c r="L211" i="1" s="1"/>
  <c r="N211" i="1" s="1"/>
  <c r="O211" i="1" s="1"/>
  <c r="Q211" i="1"/>
  <c r="R211" i="1" s="1"/>
  <c r="Q345" i="1"/>
  <c r="R345" i="1" s="1"/>
  <c r="K345" i="1"/>
  <c r="L345" i="1" s="1"/>
  <c r="N345" i="1" s="1"/>
  <c r="O345" i="1" s="1"/>
  <c r="S281" i="1"/>
  <c r="S523" i="1"/>
  <c r="Q282" i="1"/>
  <c r="R282" i="1" s="1"/>
  <c r="K282" i="1"/>
  <c r="L282" i="1" s="1"/>
  <c r="N282" i="1" s="1"/>
  <c r="O282" i="1" s="1"/>
  <c r="S403" i="1"/>
  <c r="K181" i="1"/>
  <c r="L181" i="1" s="1"/>
  <c r="N181" i="1" s="1"/>
  <c r="O181" i="1" s="1"/>
  <c r="Q181" i="1"/>
  <c r="R181" i="1" s="1"/>
  <c r="S675" i="1"/>
  <c r="K228" i="1"/>
  <c r="L228" i="1" s="1"/>
  <c r="N228" i="1" s="1"/>
  <c r="O228" i="1" s="1"/>
  <c r="Q228" i="1"/>
  <c r="R228" i="1" s="1"/>
  <c r="K874" i="1"/>
  <c r="L874" i="1" s="1"/>
  <c r="N874" i="1" s="1"/>
  <c r="O874" i="1" s="1"/>
  <c r="Q874" i="1"/>
  <c r="R874" i="1" s="1"/>
  <c r="K304" i="1"/>
  <c r="L304" i="1" s="1"/>
  <c r="N304" i="1" s="1"/>
  <c r="O304" i="1" s="1"/>
  <c r="Q304" i="1"/>
  <c r="R304" i="1" s="1"/>
  <c r="S641" i="1"/>
  <c r="S1002" i="1"/>
  <c r="L250" i="1"/>
  <c r="N250" i="1" s="1"/>
  <c r="O250" i="1" s="1"/>
  <c r="Q197" i="1"/>
  <c r="R197" i="1" s="1"/>
  <c r="K197" i="1"/>
  <c r="L197" i="1" s="1"/>
  <c r="N197" i="1" s="1"/>
  <c r="O197" i="1" s="1"/>
  <c r="K52" i="1"/>
  <c r="L52" i="1" s="1"/>
  <c r="N52" i="1" s="1"/>
  <c r="O52" i="1" s="1"/>
  <c r="Q52" i="1"/>
  <c r="R52" i="1" s="1"/>
  <c r="S818" i="1"/>
  <c r="S754" i="1"/>
  <c r="S354" i="1"/>
  <c r="K341" i="1"/>
  <c r="L341" i="1" s="1"/>
  <c r="N341" i="1" s="1"/>
  <c r="O341" i="1" s="1"/>
  <c r="Q341" i="1"/>
  <c r="R341" i="1" s="1"/>
  <c r="Q153" i="1"/>
  <c r="R153" i="1" s="1"/>
  <c r="K153" i="1"/>
  <c r="L153" i="1" s="1"/>
  <c r="N153" i="1" s="1"/>
  <c r="O153" i="1" s="1"/>
  <c r="Q829" i="1"/>
  <c r="R829" i="1" s="1"/>
  <c r="K829" i="1"/>
  <c r="L829" i="1" s="1"/>
  <c r="N829" i="1" s="1"/>
  <c r="O829" i="1" s="1"/>
  <c r="Q700" i="1"/>
  <c r="R700" i="1" s="1"/>
  <c r="K700" i="1"/>
  <c r="L700" i="1" s="1"/>
  <c r="N700" i="1" s="1"/>
  <c r="O700" i="1" s="1"/>
  <c r="K252" i="1"/>
  <c r="L252" i="1" s="1"/>
  <c r="N252" i="1" s="1"/>
  <c r="O252" i="1" s="1"/>
  <c r="Q252" i="1"/>
  <c r="R252" i="1" s="1"/>
  <c r="S612" i="1"/>
  <c r="R636" i="1"/>
  <c r="K123" i="1"/>
  <c r="L123" i="1" s="1"/>
  <c r="N123" i="1" s="1"/>
  <c r="O123" i="1" s="1"/>
  <c r="Q123" i="1"/>
  <c r="R123" i="1" s="1"/>
  <c r="Q40" i="1"/>
  <c r="R40" i="1" s="1"/>
  <c r="K40" i="1"/>
  <c r="L40" i="1" s="1"/>
  <c r="N40" i="1" s="1"/>
  <c r="O40" i="1" s="1"/>
  <c r="S474" i="1"/>
  <c r="K276" i="1"/>
  <c r="L276" i="1" s="1"/>
  <c r="N276" i="1" s="1"/>
  <c r="O276" i="1" s="1"/>
  <c r="Q276" i="1"/>
  <c r="R276" i="1" s="1"/>
  <c r="S588" i="1"/>
  <c r="K460" i="1"/>
  <c r="L460" i="1" s="1"/>
  <c r="N460" i="1" s="1"/>
  <c r="O460" i="1" s="1"/>
  <c r="Q460" i="1"/>
  <c r="R460" i="1" s="1"/>
  <c r="S28" i="1"/>
  <c r="S901" i="1"/>
  <c r="K36" i="1"/>
  <c r="L36" i="1" s="1"/>
  <c r="N36" i="1" s="1"/>
  <c r="O36" i="1" s="1"/>
  <c r="Q36" i="1"/>
  <c r="R36" i="1" s="1"/>
  <c r="S43" i="1"/>
  <c r="R234" i="1"/>
  <c r="R81" i="1"/>
  <c r="K588" i="1"/>
  <c r="L588" i="1" s="1"/>
  <c r="N588" i="1" s="1"/>
  <c r="O588" i="1" s="1"/>
  <c r="Q588" i="1"/>
  <c r="R588" i="1" s="1"/>
  <c r="K116" i="1"/>
  <c r="L116" i="1" s="1"/>
  <c r="N116" i="1" s="1"/>
  <c r="O116" i="1" s="1"/>
  <c r="Q116" i="1"/>
  <c r="R116" i="1" s="1"/>
  <c r="K831" i="1"/>
  <c r="L831" i="1" s="1"/>
  <c r="N831" i="1" s="1"/>
  <c r="O831" i="1" s="1"/>
  <c r="Q831" i="1"/>
  <c r="R831" i="1" s="1"/>
  <c r="S188" i="1"/>
  <c r="K567" i="1"/>
  <c r="L567" i="1" s="1"/>
  <c r="N567" i="1" s="1"/>
  <c r="O567" i="1" s="1"/>
  <c r="Q567" i="1"/>
  <c r="R567" i="1" s="1"/>
  <c r="S574" i="1"/>
  <c r="Q411" i="1"/>
  <c r="R411" i="1" s="1"/>
  <c r="K411" i="1"/>
  <c r="L411" i="1" s="1"/>
  <c r="N411" i="1" s="1"/>
  <c r="O411" i="1" s="1"/>
  <c r="S723" i="1"/>
  <c r="S604" i="1"/>
  <c r="S925" i="1"/>
  <c r="Q557" i="1"/>
  <c r="R557" i="1" s="1"/>
  <c r="K557" i="1"/>
  <c r="L557" i="1" s="1"/>
  <c r="N557" i="1" s="1"/>
  <c r="O557" i="1" s="1"/>
  <c r="K702" i="1"/>
  <c r="L702" i="1" s="1"/>
  <c r="N702" i="1" s="1"/>
  <c r="O702" i="1" s="1"/>
  <c r="Q702" i="1"/>
  <c r="R702" i="1" s="1"/>
  <c r="S719" i="1"/>
  <c r="Q503" i="1"/>
  <c r="R503" i="1" s="1"/>
  <c r="K503" i="1"/>
  <c r="L503" i="1" s="1"/>
  <c r="N503" i="1" s="1"/>
  <c r="O503" i="1" s="1"/>
  <c r="Q604" i="1"/>
  <c r="R604" i="1" s="1"/>
  <c r="K604" i="1"/>
  <c r="L604" i="1" s="1"/>
  <c r="N604" i="1" s="1"/>
  <c r="O604" i="1" s="1"/>
  <c r="S790" i="1"/>
  <c r="S981" i="1"/>
  <c r="K823" i="1"/>
  <c r="L823" i="1" s="1"/>
  <c r="N823" i="1" s="1"/>
  <c r="O823" i="1" s="1"/>
  <c r="Q823" i="1"/>
  <c r="R823" i="1" s="1"/>
  <c r="S1015" i="1"/>
  <c r="K733" i="1"/>
  <c r="L733" i="1" s="1"/>
  <c r="N733" i="1" s="1"/>
  <c r="O733" i="1" s="1"/>
  <c r="Q733" i="1"/>
  <c r="R733" i="1" s="1"/>
  <c r="K670" i="1"/>
  <c r="L670" i="1" s="1"/>
  <c r="N670" i="1" s="1"/>
  <c r="O670" i="1" s="1"/>
  <c r="Q670" i="1"/>
  <c r="R670" i="1" s="1"/>
  <c r="S838" i="1"/>
  <c r="S433" i="1"/>
  <c r="K688" i="1"/>
  <c r="L688" i="1" s="1"/>
  <c r="N688" i="1" s="1"/>
  <c r="O688" i="1" s="1"/>
  <c r="Q688" i="1"/>
  <c r="R688" i="1" s="1"/>
  <c r="S536" i="1"/>
  <c r="R1024" i="1"/>
  <c r="S1004" i="1"/>
  <c r="S378" i="1"/>
  <c r="K509" i="1"/>
  <c r="L509" i="1" s="1"/>
  <c r="N509" i="1" s="1"/>
  <c r="O509" i="1" s="1"/>
  <c r="Q509" i="1"/>
  <c r="R509" i="1" s="1"/>
  <c r="K574" i="1"/>
  <c r="L574" i="1" s="1"/>
  <c r="N574" i="1" s="1"/>
  <c r="O574" i="1" s="1"/>
  <c r="Q574" i="1"/>
  <c r="R574" i="1" s="1"/>
  <c r="S567" i="1"/>
  <c r="S229" i="1"/>
  <c r="S871" i="1"/>
  <c r="Q650" i="1"/>
  <c r="R650" i="1" s="1"/>
  <c r="K650" i="1"/>
  <c r="L650" i="1" s="1"/>
  <c r="N650" i="1" s="1"/>
  <c r="O650" i="1" s="1"/>
  <c r="Q515" i="1"/>
  <c r="R515" i="1" s="1"/>
  <c r="K515" i="1"/>
  <c r="L515" i="1" s="1"/>
  <c r="N515" i="1" s="1"/>
  <c r="O515" i="1" s="1"/>
  <c r="S602" i="1"/>
  <c r="Q708" i="1"/>
  <c r="R708" i="1" s="1"/>
  <c r="K708" i="1"/>
  <c r="L708" i="1" s="1"/>
  <c r="N708" i="1" s="1"/>
  <c r="O708" i="1" s="1"/>
  <c r="S837" i="1"/>
  <c r="Q641" i="1"/>
  <c r="R641" i="1" s="1"/>
  <c r="K641" i="1"/>
  <c r="L641" i="1" s="1"/>
  <c r="N641" i="1" s="1"/>
  <c r="O641" i="1" s="1"/>
  <c r="Q190" i="1"/>
  <c r="R190" i="1" s="1"/>
  <c r="K190" i="1"/>
  <c r="L190" i="1" s="1"/>
  <c r="N190" i="1" s="1"/>
  <c r="O190" i="1" s="1"/>
  <c r="K391" i="1"/>
  <c r="L391" i="1" s="1"/>
  <c r="N391" i="1" s="1"/>
  <c r="O391" i="1" s="1"/>
  <c r="Q391" i="1"/>
  <c r="R391" i="1" s="1"/>
  <c r="Q71" i="1"/>
  <c r="R71" i="1" s="1"/>
  <c r="K71" i="1"/>
  <c r="L71" i="1" s="1"/>
  <c r="N71" i="1" s="1"/>
  <c r="O71" i="1" s="1"/>
  <c r="K951" i="1"/>
  <c r="L951" i="1" s="1"/>
  <c r="N951" i="1" s="1"/>
  <c r="O951" i="1" s="1"/>
  <c r="Q951" i="1"/>
  <c r="R951" i="1" s="1"/>
  <c r="Q1002" i="1"/>
  <c r="R1002" i="1" s="1"/>
  <c r="K1002" i="1"/>
  <c r="L1002" i="1" s="1"/>
  <c r="N1002" i="1" s="1"/>
  <c r="O1002" i="1" s="1"/>
  <c r="S934" i="1"/>
  <c r="S415" i="1"/>
  <c r="S336" i="1"/>
  <c r="S366" i="1"/>
  <c r="K27" i="1"/>
  <c r="L27" i="1" s="1"/>
  <c r="N27" i="1" s="1"/>
  <c r="O27" i="1" s="1"/>
  <c r="Q27" i="1"/>
  <c r="R27" i="1" s="1"/>
  <c r="Q154" i="1"/>
  <c r="R154" i="1" s="1"/>
  <c r="K154" i="1"/>
  <c r="L154" i="1" s="1"/>
  <c r="N154" i="1" s="1"/>
  <c r="O154" i="1" s="1"/>
  <c r="S610" i="1"/>
  <c r="S616" i="1"/>
  <c r="S696" i="1"/>
  <c r="S762" i="1"/>
  <c r="Q889" i="1"/>
  <c r="R889" i="1" s="1"/>
  <c r="K889" i="1"/>
  <c r="L889" i="1" s="1"/>
  <c r="N889" i="1" s="1"/>
  <c r="O889" i="1" s="1"/>
  <c r="S556" i="1"/>
  <c r="S404" i="1"/>
  <c r="S603" i="1"/>
  <c r="S465" i="1"/>
  <c r="Q852" i="1"/>
  <c r="R852" i="1" s="1"/>
  <c r="K852" i="1"/>
  <c r="L852" i="1" s="1"/>
  <c r="N852" i="1" s="1"/>
  <c r="O852" i="1" s="1"/>
  <c r="K778" i="1"/>
  <c r="L778" i="1" s="1"/>
  <c r="N778" i="1" s="1"/>
  <c r="O778" i="1" s="1"/>
  <c r="Q778" i="1"/>
  <c r="R778" i="1" s="1"/>
  <c r="S906" i="1"/>
  <c r="S128" i="1"/>
  <c r="R529" i="1"/>
  <c r="S638" i="1"/>
  <c r="S772" i="1"/>
  <c r="K955" i="1"/>
  <c r="L955" i="1" s="1"/>
  <c r="N955" i="1" s="1"/>
  <c r="O955" i="1" s="1"/>
  <c r="S915" i="1"/>
  <c r="Q155" i="1"/>
  <c r="R155" i="1" s="1"/>
  <c r="L962" i="1"/>
  <c r="N962" i="1" s="1"/>
  <c r="O962" i="1" s="1"/>
  <c r="S766" i="1"/>
  <c r="Q683" i="1"/>
  <c r="R683" i="1" s="1"/>
  <c r="Q578" i="1"/>
  <c r="R578" i="1" s="1"/>
  <c r="L386" i="1"/>
  <c r="N386" i="1" s="1"/>
  <c r="O386" i="1" s="1"/>
  <c r="S350" i="1"/>
  <c r="R239" i="1"/>
  <c r="S206" i="1"/>
  <c r="S154" i="1"/>
  <c r="Q129" i="1"/>
  <c r="R129" i="1" s="1"/>
  <c r="S421" i="1"/>
  <c r="R269" i="1"/>
  <c r="S133" i="1"/>
  <c r="K48" i="1"/>
  <c r="L48" i="1" s="1"/>
  <c r="N48" i="1" s="1"/>
  <c r="O48" i="1" s="1"/>
  <c r="Q840" i="1"/>
  <c r="R840" i="1" s="1"/>
  <c r="S771" i="1"/>
  <c r="Q740" i="1"/>
  <c r="R740" i="1" s="1"/>
  <c r="Q500" i="1"/>
  <c r="R500" i="1" s="1"/>
  <c r="K472" i="1"/>
  <c r="L472" i="1" s="1"/>
  <c r="N472" i="1" s="1"/>
  <c r="O472" i="1" s="1"/>
  <c r="S277" i="1"/>
  <c r="R151" i="1"/>
  <c r="L412" i="1"/>
  <c r="N412" i="1" s="1"/>
  <c r="O412" i="1" s="1"/>
  <c r="Q873" i="1"/>
  <c r="R873" i="1" s="1"/>
  <c r="N291" i="1"/>
  <c r="O291" i="1" s="1"/>
  <c r="R666" i="1"/>
  <c r="R416" i="1"/>
  <c r="S316" i="1"/>
  <c r="S1025" i="1"/>
  <c r="Q680" i="1"/>
  <c r="R680" i="1" s="1"/>
  <c r="S1036" i="1"/>
  <c r="L1024" i="1"/>
  <c r="N1024" i="1" s="1"/>
  <c r="O1024" i="1" s="1"/>
  <c r="K991" i="1"/>
  <c r="L991" i="1" s="1"/>
  <c r="N991" i="1" s="1"/>
  <c r="O991" i="1" s="1"/>
  <c r="K943" i="1"/>
  <c r="L943" i="1" s="1"/>
  <c r="N943" i="1" s="1"/>
  <c r="O943" i="1" s="1"/>
  <c r="L896" i="1"/>
  <c r="N896" i="1" s="1"/>
  <c r="O896" i="1" s="1"/>
  <c r="Q271" i="1"/>
  <c r="R271" i="1" s="1"/>
  <c r="Q207" i="1"/>
  <c r="R207" i="1" s="1"/>
  <c r="L594" i="1"/>
  <c r="N594" i="1" s="1"/>
  <c r="O594" i="1" s="1"/>
  <c r="Q262" i="1"/>
  <c r="R262" i="1" s="1"/>
  <c r="Q117" i="1"/>
  <c r="R117" i="1" s="1"/>
  <c r="S27" i="1"/>
  <c r="K81" i="1"/>
  <c r="L81" i="1" s="1"/>
  <c r="N81" i="1" s="1"/>
  <c r="O81" i="1" s="1"/>
  <c r="S209" i="1"/>
  <c r="S986" i="1"/>
  <c r="Q837" i="1"/>
  <c r="R837" i="1" s="1"/>
  <c r="S945" i="1"/>
  <c r="K903" i="1"/>
  <c r="L903" i="1" s="1"/>
  <c r="N903" i="1" s="1"/>
  <c r="O903" i="1" s="1"/>
  <c r="Q359" i="1"/>
  <c r="R359" i="1" s="1"/>
  <c r="R231" i="1"/>
  <c r="L516" i="1"/>
  <c r="N516" i="1" s="1"/>
  <c r="O516" i="1" s="1"/>
  <c r="K244" i="1"/>
  <c r="L244" i="1" s="1"/>
  <c r="N244" i="1" s="1"/>
  <c r="O244" i="1" s="1"/>
  <c r="K673" i="1"/>
  <c r="L673" i="1" s="1"/>
  <c r="N673" i="1" s="1"/>
  <c r="O673" i="1" s="1"/>
  <c r="K176" i="1"/>
  <c r="L176" i="1" s="1"/>
  <c r="N176" i="1" s="1"/>
  <c r="O176" i="1" s="1"/>
  <c r="K479" i="1"/>
  <c r="L479" i="1" s="1"/>
  <c r="N479" i="1" s="1"/>
  <c r="O479" i="1" s="1"/>
  <c r="Q479" i="1"/>
  <c r="R479" i="1" s="1"/>
  <c r="K559" i="1"/>
  <c r="L559" i="1" s="1"/>
  <c r="N559" i="1" s="1"/>
  <c r="O559" i="1" s="1"/>
  <c r="Q559" i="1"/>
  <c r="R559" i="1" s="1"/>
  <c r="Q1036" i="1"/>
  <c r="R1036" i="1" s="1"/>
  <c r="K1036" i="1"/>
  <c r="L1036" i="1" s="1"/>
  <c r="N1036" i="1" s="1"/>
  <c r="O1036" i="1" s="1"/>
  <c r="K119" i="1"/>
  <c r="L119" i="1" s="1"/>
  <c r="N119" i="1" s="1"/>
  <c r="O119" i="1" s="1"/>
  <c r="Q119" i="1"/>
  <c r="R119" i="1" s="1"/>
  <c r="K83" i="1"/>
  <c r="L83" i="1" s="1"/>
  <c r="N83" i="1" s="1"/>
  <c r="O83" i="1" s="1"/>
  <c r="Q83" i="1"/>
  <c r="R83" i="1" s="1"/>
  <c r="S905" i="1"/>
  <c r="S1039" i="1"/>
  <c r="S562" i="1"/>
  <c r="Q314" i="1"/>
  <c r="R314" i="1" s="1"/>
  <c r="K314" i="1"/>
  <c r="L314" i="1" s="1"/>
  <c r="N314" i="1" s="1"/>
  <c r="O314" i="1" s="1"/>
  <c r="Q596" i="1"/>
  <c r="R596" i="1" s="1"/>
  <c r="K596" i="1"/>
  <c r="L596" i="1" s="1"/>
  <c r="N596" i="1" s="1"/>
  <c r="O596" i="1" s="1"/>
  <c r="S977" i="1"/>
  <c r="Q382" i="1"/>
  <c r="R382" i="1" s="1"/>
  <c r="K382" i="1"/>
  <c r="L382" i="1" s="1"/>
  <c r="N382" i="1" s="1"/>
  <c r="O382" i="1" s="1"/>
  <c r="R245" i="1"/>
  <c r="K705" i="1"/>
  <c r="L705" i="1" s="1"/>
  <c r="N705" i="1" s="1"/>
  <c r="O705" i="1" s="1"/>
  <c r="Q705" i="1"/>
  <c r="R705" i="1" s="1"/>
  <c r="S1014" i="1"/>
  <c r="S104" i="1"/>
  <c r="S106" i="1"/>
  <c r="K223" i="1"/>
  <c r="L223" i="1" s="1"/>
  <c r="N223" i="1" s="1"/>
  <c r="O223" i="1" s="1"/>
  <c r="Q223" i="1"/>
  <c r="R223" i="1" s="1"/>
  <c r="S533" i="1"/>
  <c r="S887" i="1"/>
  <c r="S609" i="1"/>
  <c r="S873" i="1"/>
  <c r="S729" i="1"/>
  <c r="S510" i="1"/>
  <c r="S979" i="1"/>
  <c r="N618" i="1"/>
  <c r="O618" i="1" s="1"/>
  <c r="S407" i="1"/>
  <c r="S379" i="1"/>
  <c r="L347" i="1"/>
  <c r="N347" i="1" s="1"/>
  <c r="O347" i="1" s="1"/>
  <c r="S243" i="1"/>
  <c r="L171" i="1"/>
  <c r="N171" i="1" s="1"/>
  <c r="O171" i="1" s="1"/>
  <c r="S1010" i="1"/>
  <c r="R978" i="1"/>
  <c r="R962" i="1"/>
  <c r="N946" i="1"/>
  <c r="O946" i="1" s="1"/>
  <c r="S922" i="1"/>
  <c r="N818" i="1"/>
  <c r="O818" i="1" s="1"/>
  <c r="R754" i="1"/>
  <c r="S490" i="1"/>
  <c r="S673" i="1"/>
  <c r="R632" i="1"/>
  <c r="S560" i="1"/>
  <c r="R520" i="1"/>
  <c r="S400" i="1"/>
  <c r="R376" i="1"/>
  <c r="Q200" i="1"/>
  <c r="R200" i="1" s="1"/>
  <c r="Q607" i="1"/>
  <c r="R607" i="1" s="1"/>
  <c r="S904" i="1"/>
  <c r="L915" i="1"/>
  <c r="N915" i="1" s="1"/>
  <c r="O915" i="1" s="1"/>
  <c r="Q611" i="1"/>
  <c r="R611" i="1" s="1"/>
  <c r="S319" i="1"/>
  <c r="L619" i="1"/>
  <c r="N619" i="1" s="1"/>
  <c r="O619" i="1" s="1"/>
  <c r="K608" i="1"/>
  <c r="L608" i="1" s="1"/>
  <c r="N608" i="1" s="1"/>
  <c r="O608" i="1" s="1"/>
  <c r="Q1028" i="1"/>
  <c r="R1028" i="1" s="1"/>
  <c r="S721" i="1"/>
  <c r="S822" i="1"/>
  <c r="S759" i="1"/>
  <c r="Q255" i="1"/>
  <c r="R255" i="1" s="1"/>
  <c r="L806" i="1"/>
  <c r="N806" i="1" s="1"/>
  <c r="O806" i="1" s="1"/>
  <c r="N790" i="1"/>
  <c r="O790" i="1" s="1"/>
  <c r="R594" i="1"/>
  <c r="L193" i="1"/>
  <c r="N193" i="1" s="1"/>
  <c r="O193" i="1" s="1"/>
  <c r="Q161" i="1"/>
  <c r="R161" i="1" s="1"/>
  <c r="K636" i="1"/>
  <c r="L636" i="1" s="1"/>
  <c r="N636" i="1" s="1"/>
  <c r="O636" i="1" s="1"/>
  <c r="Q250" i="1"/>
  <c r="R250" i="1" s="1"/>
  <c r="S35" i="1"/>
  <c r="Q724" i="1"/>
  <c r="R724" i="1" s="1"/>
  <c r="R387" i="1"/>
  <c r="L88" i="1"/>
  <c r="N88" i="1" s="1"/>
  <c r="O88" i="1" s="1"/>
  <c r="L46" i="1"/>
  <c r="N46" i="1" s="1"/>
  <c r="O46" i="1" s="1"/>
  <c r="R556" i="1"/>
  <c r="R283" i="1"/>
  <c r="N35" i="1"/>
  <c r="O35" i="1" s="1"/>
  <c r="L755" i="1"/>
  <c r="N755" i="1" s="1"/>
  <c r="O755" i="1" s="1"/>
  <c r="N970" i="1"/>
  <c r="O970" i="1" s="1"/>
  <c r="R560" i="1"/>
  <c r="L416" i="1"/>
  <c r="N416" i="1" s="1"/>
  <c r="O416" i="1" s="1"/>
  <c r="L240" i="1"/>
  <c r="N240" i="1" s="1"/>
  <c r="O240" i="1" s="1"/>
  <c r="R862" i="1"/>
  <c r="L761" i="1"/>
  <c r="N761" i="1" s="1"/>
  <c r="O761" i="1" s="1"/>
  <c r="N838" i="1"/>
  <c r="O838" i="1" s="1"/>
  <c r="R374" i="1"/>
  <c r="L449" i="1"/>
  <c r="N449" i="1" s="1"/>
  <c r="O449" i="1" s="1"/>
  <c r="R433" i="1"/>
  <c r="R796" i="1"/>
  <c r="L599" i="1"/>
  <c r="N599" i="1" s="1"/>
  <c r="O599" i="1" s="1"/>
  <c r="R247" i="1"/>
  <c r="L231" i="1"/>
  <c r="N231" i="1" s="1"/>
  <c r="O231" i="1" s="1"/>
  <c r="N719" i="1"/>
  <c r="O719" i="1" s="1"/>
  <c r="R656" i="1"/>
  <c r="R870" i="1"/>
  <c r="R516" i="1"/>
  <c r="L400" i="1"/>
  <c r="N400" i="1" s="1"/>
  <c r="O400" i="1" s="1"/>
  <c r="L151" i="1"/>
  <c r="N151" i="1" s="1"/>
  <c r="O151" i="1" s="1"/>
  <c r="R915" i="1"/>
  <c r="R240" i="1"/>
  <c r="L862" i="1"/>
  <c r="N862" i="1" s="1"/>
  <c r="O862" i="1" s="1"/>
  <c r="R761" i="1"/>
  <c r="R806" i="1"/>
  <c r="R449" i="1"/>
  <c r="L433" i="1"/>
  <c r="N433" i="1" s="1"/>
  <c r="O433" i="1" s="1"/>
  <c r="R193" i="1"/>
  <c r="L355" i="1"/>
  <c r="N355" i="1" s="1"/>
  <c r="O355" i="1" s="1"/>
  <c r="R138" i="1"/>
  <c r="L656" i="1"/>
  <c r="N656" i="1" s="1"/>
  <c r="O656" i="1" s="1"/>
  <c r="R599" i="1"/>
  <c r="L103" i="1"/>
  <c r="N103" i="1" s="1"/>
  <c r="O103" i="1" s="1"/>
  <c r="L39" i="1"/>
  <c r="N39" i="1" s="1"/>
  <c r="O39" i="1" s="1"/>
  <c r="R136" i="1"/>
  <c r="R812" i="1"/>
  <c r="N723" i="1"/>
  <c r="O723" i="1" s="1"/>
  <c r="N442" i="1"/>
  <c r="O442" i="1" s="1"/>
  <c r="L796" i="1"/>
  <c r="N796" i="1" s="1"/>
  <c r="O796" i="1" s="1"/>
  <c r="R316" i="1"/>
  <c r="N474" i="1"/>
  <c r="O474" i="1" s="1"/>
  <c r="L437" i="1"/>
  <c r="N437" i="1" s="1"/>
  <c r="O437" i="1" s="1"/>
  <c r="L384" i="1"/>
  <c r="N384" i="1" s="1"/>
  <c r="O384" i="1" s="1"/>
  <c r="N638" i="1"/>
  <c r="O638" i="1" s="1"/>
  <c r="R743" i="1"/>
  <c r="L551" i="1"/>
  <c r="N551" i="1" s="1"/>
  <c r="O551" i="1" s="1"/>
  <c r="N519" i="1"/>
  <c r="O519" i="1" s="1"/>
  <c r="N654" i="1"/>
  <c r="O654" i="1" s="1"/>
  <c r="R637" i="1"/>
  <c r="L456" i="1"/>
  <c r="N456" i="1" s="1"/>
  <c r="O456" i="1" s="1"/>
  <c r="L812" i="1"/>
  <c r="N812" i="1" s="1"/>
  <c r="O812" i="1" s="1"/>
  <c r="R324" i="1"/>
  <c r="L139" i="1"/>
  <c r="N139" i="1" s="1"/>
  <c r="O139" i="1" s="1"/>
  <c r="R691" i="1"/>
  <c r="N490" i="1"/>
  <c r="O490" i="1" s="1"/>
  <c r="R400" i="1"/>
  <c r="L216" i="1"/>
  <c r="N216" i="1" s="1"/>
  <c r="O216" i="1" s="1"/>
  <c r="R957" i="1"/>
  <c r="R804" i="1"/>
  <c r="L777" i="1"/>
  <c r="N777" i="1" s="1"/>
  <c r="O777" i="1" s="1"/>
  <c r="L1031" i="1"/>
  <c r="N1031" i="1" s="1"/>
  <c r="O1031" i="1" s="1"/>
  <c r="R744" i="1"/>
  <c r="L61" i="1"/>
  <c r="N61" i="1" s="1"/>
  <c r="O61" i="1" s="1"/>
  <c r="R904" i="1"/>
  <c r="L660" i="1"/>
  <c r="N660" i="1" s="1"/>
  <c r="O660" i="1" s="1"/>
  <c r="L100" i="1"/>
  <c r="N100" i="1" s="1"/>
  <c r="O100" i="1" s="1"/>
  <c r="R219" i="1"/>
  <c r="R662" i="1"/>
  <c r="L316" i="1"/>
  <c r="N316" i="1" s="1"/>
  <c r="O316" i="1" s="1"/>
  <c r="R355" i="1"/>
  <c r="N554" i="1"/>
  <c r="O554" i="1" s="1"/>
  <c r="R437" i="1"/>
  <c r="N772" i="1"/>
  <c r="O772" i="1" s="1"/>
  <c r="L743" i="1"/>
  <c r="N743" i="1" s="1"/>
  <c r="O743" i="1" s="1"/>
  <c r="R551" i="1"/>
  <c r="L637" i="1"/>
  <c r="N637" i="1" s="1"/>
  <c r="O637" i="1" s="1"/>
  <c r="N590" i="1"/>
  <c r="O590" i="1" s="1"/>
  <c r="L446" i="1"/>
  <c r="N446" i="1" s="1"/>
  <c r="O446" i="1" s="1"/>
  <c r="R39" i="1"/>
  <c r="R456" i="1"/>
  <c r="N421" i="1"/>
  <c r="O421" i="1" s="1"/>
  <c r="L136" i="1"/>
  <c r="N136" i="1" s="1"/>
  <c r="O136" i="1" s="1"/>
  <c r="L34" i="1"/>
  <c r="N34" i="1" s="1"/>
  <c r="O34" i="1" s="1"/>
  <c r="N815" i="1"/>
  <c r="O815" i="1" s="1"/>
  <c r="R139" i="1"/>
  <c r="L387" i="1"/>
  <c r="N387" i="1" s="1"/>
  <c r="O387" i="1" s="1"/>
  <c r="R74" i="1"/>
  <c r="L584" i="1"/>
  <c r="N584" i="1" s="1"/>
  <c r="O584" i="1" s="1"/>
  <c r="L934" i="1"/>
  <c r="N934" i="1" s="1"/>
  <c r="O934" i="1" s="1"/>
  <c r="R938" i="1"/>
  <c r="R450" i="1"/>
  <c r="R481" i="1"/>
  <c r="L756" i="1"/>
  <c r="N756" i="1" s="1"/>
  <c r="O756" i="1" s="1"/>
  <c r="N407" i="1"/>
  <c r="O407" i="1" s="1"/>
  <c r="R203" i="1"/>
  <c r="L429" i="1"/>
  <c r="N429" i="1" s="1"/>
  <c r="O429" i="1" s="1"/>
  <c r="R279" i="1"/>
  <c r="R562" i="1"/>
  <c r="R212" i="1"/>
  <c r="L128" i="1"/>
  <c r="N128" i="1" s="1"/>
  <c r="O128" i="1" s="1"/>
  <c r="L393" i="1"/>
  <c r="N393" i="1" s="1"/>
  <c r="O393" i="1" s="1"/>
  <c r="R299" i="1"/>
  <c r="L980" i="1"/>
  <c r="N980" i="1" s="1"/>
  <c r="O980" i="1" s="1"/>
  <c r="R782" i="1"/>
  <c r="K450" i="1"/>
  <c r="L450" i="1" s="1"/>
  <c r="N450" i="1" s="1"/>
  <c r="O450" i="1" s="1"/>
  <c r="Q407" i="1"/>
  <c r="R407" i="1" s="1"/>
  <c r="S375" i="1"/>
  <c r="Q235" i="1"/>
  <c r="R235" i="1" s="1"/>
  <c r="S1001" i="1"/>
  <c r="R809" i="1"/>
  <c r="K361" i="1"/>
  <c r="L361" i="1" s="1"/>
  <c r="N361" i="1" s="1"/>
  <c r="O361" i="1" s="1"/>
  <c r="K481" i="1"/>
  <c r="L481" i="1" s="1"/>
  <c r="N481" i="1" s="1"/>
  <c r="O481" i="1" s="1"/>
  <c r="Q277" i="1"/>
  <c r="R277" i="1" s="1"/>
  <c r="K212" i="1"/>
  <c r="L212" i="1" s="1"/>
  <c r="N212" i="1" s="1"/>
  <c r="O212" i="1" s="1"/>
  <c r="L187" i="1"/>
  <c r="N187" i="1" s="1"/>
  <c r="O187" i="1" s="1"/>
  <c r="K971" i="1"/>
  <c r="L971" i="1" s="1"/>
  <c r="N971" i="1" s="1"/>
  <c r="O971" i="1" s="1"/>
  <c r="N367" i="1"/>
  <c r="O367" i="1" s="1"/>
  <c r="Q393" i="1"/>
  <c r="R393" i="1" s="1"/>
  <c r="Q756" i="1"/>
  <c r="R756" i="1" s="1"/>
  <c r="S131" i="1"/>
  <c r="S42" i="1"/>
  <c r="S891" i="1"/>
  <c r="Q974" i="1"/>
  <c r="R974" i="1" s="1"/>
  <c r="K974" i="1"/>
  <c r="L974" i="1" s="1"/>
  <c r="N974" i="1" s="1"/>
  <c r="O974" i="1" s="1"/>
  <c r="S484" i="1"/>
  <c r="Q438" i="1"/>
  <c r="R438" i="1" s="1"/>
  <c r="K438" i="1"/>
  <c r="L438" i="1" s="1"/>
  <c r="N438" i="1" s="1"/>
  <c r="O438" i="1" s="1"/>
  <c r="Q191" i="1"/>
  <c r="R191" i="1" s="1"/>
  <c r="K191" i="1"/>
  <c r="L191" i="1" s="1"/>
  <c r="N191" i="1" s="1"/>
  <c r="O191" i="1" s="1"/>
  <c r="S338" i="1"/>
  <c r="Q534" i="1"/>
  <c r="R534" i="1" s="1"/>
  <c r="K534" i="1"/>
  <c r="L534" i="1" s="1"/>
  <c r="N534" i="1" s="1"/>
  <c r="O534" i="1" s="1"/>
  <c r="S91" i="1"/>
  <c r="S99" i="1"/>
  <c r="Q41" i="1"/>
  <c r="R41" i="1" s="1"/>
  <c r="K41" i="1"/>
  <c r="L41" i="1" s="1"/>
  <c r="N41" i="1" s="1"/>
  <c r="O41" i="1" s="1"/>
  <c r="Q112" i="1"/>
  <c r="R112" i="1" s="1"/>
  <c r="K112" i="1"/>
  <c r="L112" i="1" s="1"/>
  <c r="N112" i="1" s="1"/>
  <c r="O112" i="1" s="1"/>
  <c r="S367" i="1"/>
  <c r="S722" i="1"/>
  <c r="S207" i="1"/>
  <c r="S381" i="1"/>
  <c r="S733" i="1"/>
  <c r="S717" i="1"/>
  <c r="Q835" i="1"/>
  <c r="R835" i="1" s="1"/>
  <c r="K835" i="1"/>
  <c r="L835" i="1" s="1"/>
  <c r="N835" i="1" s="1"/>
  <c r="O835" i="1" s="1"/>
  <c r="K352" i="1"/>
  <c r="L352" i="1" s="1"/>
  <c r="N352" i="1" s="1"/>
  <c r="O352" i="1" s="1"/>
  <c r="Q352" i="1"/>
  <c r="R352" i="1" s="1"/>
  <c r="S90" i="1"/>
  <c r="Q383" i="1"/>
  <c r="R383" i="1" s="1"/>
  <c r="K383" i="1"/>
  <c r="L383" i="1" s="1"/>
  <c r="N383" i="1" s="1"/>
  <c r="O383" i="1" s="1"/>
  <c r="S482" i="1"/>
  <c r="K887" i="1"/>
  <c r="L887" i="1" s="1"/>
  <c r="N887" i="1" s="1"/>
  <c r="O887" i="1" s="1"/>
  <c r="Q887" i="1"/>
  <c r="R887" i="1" s="1"/>
  <c r="Q196" i="1"/>
  <c r="R196" i="1" s="1"/>
  <c r="K196" i="1"/>
  <c r="L196" i="1" s="1"/>
  <c r="N196" i="1" s="1"/>
  <c r="O196" i="1" s="1"/>
  <c r="S340" i="1"/>
  <c r="K468" i="1"/>
  <c r="L468" i="1" s="1"/>
  <c r="N468" i="1" s="1"/>
  <c r="O468" i="1" s="1"/>
  <c r="Q468" i="1"/>
  <c r="R468" i="1" s="1"/>
  <c r="Q169" i="1"/>
  <c r="R169" i="1" s="1"/>
  <c r="K169" i="1"/>
  <c r="L169" i="1" s="1"/>
  <c r="N169" i="1" s="1"/>
  <c r="O169" i="1" s="1"/>
  <c r="K466" i="1"/>
  <c r="L466" i="1" s="1"/>
  <c r="N466" i="1" s="1"/>
  <c r="O466" i="1" s="1"/>
  <c r="Q466" i="1"/>
  <c r="R466" i="1" s="1"/>
  <c r="S635" i="1"/>
  <c r="S532" i="1"/>
  <c r="Q820" i="1"/>
  <c r="R820" i="1" s="1"/>
  <c r="K820" i="1"/>
  <c r="L820" i="1" s="1"/>
  <c r="N820" i="1" s="1"/>
  <c r="O820" i="1" s="1"/>
  <c r="Q980" i="1"/>
  <c r="R980" i="1" s="1"/>
  <c r="Q505" i="1"/>
  <c r="R505" i="1" s="1"/>
  <c r="Q934" i="1"/>
  <c r="R934" i="1" s="1"/>
  <c r="S870" i="1"/>
  <c r="N539" i="1"/>
  <c r="O539" i="1" s="1"/>
  <c r="Q523" i="1"/>
  <c r="R523" i="1" s="1"/>
  <c r="K299" i="1"/>
  <c r="L299" i="1" s="1"/>
  <c r="N299" i="1" s="1"/>
  <c r="O299" i="1" s="1"/>
  <c r="R658" i="1"/>
  <c r="L498" i="1"/>
  <c r="N498" i="1" s="1"/>
  <c r="O498" i="1" s="1"/>
  <c r="S333" i="1"/>
  <c r="S386" i="1"/>
  <c r="S253" i="1"/>
  <c r="K744" i="1"/>
  <c r="L744" i="1" s="1"/>
  <c r="N744" i="1" s="1"/>
  <c r="O744" i="1" s="1"/>
  <c r="K938" i="1"/>
  <c r="L938" i="1" s="1"/>
  <c r="N938" i="1" s="1"/>
  <c r="O938" i="1" s="1"/>
  <c r="S693" i="1"/>
  <c r="K279" i="1"/>
  <c r="L279" i="1" s="1"/>
  <c r="N279" i="1" s="1"/>
  <c r="O279" i="1" s="1"/>
  <c r="K646" i="1"/>
  <c r="L646" i="1" s="1"/>
  <c r="N646" i="1" s="1"/>
  <c r="O646" i="1" s="1"/>
  <c r="S150" i="1"/>
  <c r="K677" i="1"/>
  <c r="L677" i="1" s="1"/>
  <c r="N677" i="1" s="1"/>
  <c r="O677" i="1" s="1"/>
  <c r="R508" i="1"/>
  <c r="S480" i="1"/>
  <c r="K336" i="1"/>
  <c r="L336" i="1" s="1"/>
  <c r="N336" i="1" s="1"/>
  <c r="O336" i="1" s="1"/>
  <c r="S565" i="1"/>
  <c r="K929" i="1"/>
  <c r="L929" i="1" s="1"/>
  <c r="N929" i="1" s="1"/>
  <c r="O929" i="1" s="1"/>
  <c r="Q929" i="1"/>
  <c r="R929" i="1" s="1"/>
  <c r="K1034" i="1"/>
  <c r="L1034" i="1" s="1"/>
  <c r="N1034" i="1" s="1"/>
  <c r="O1034" i="1" s="1"/>
  <c r="Q1034" i="1"/>
  <c r="R1034" i="1" s="1"/>
  <c r="S68" i="1"/>
  <c r="Q343" i="1"/>
  <c r="R343" i="1" s="1"/>
  <c r="K343" i="1"/>
  <c r="L343" i="1" s="1"/>
  <c r="N343" i="1" s="1"/>
  <c r="O343" i="1" s="1"/>
  <c r="S582" i="1"/>
  <c r="Q130" i="1"/>
  <c r="R130" i="1" s="1"/>
  <c r="K130" i="1"/>
  <c r="L130" i="1" s="1"/>
  <c r="N130" i="1" s="1"/>
  <c r="S412" i="1"/>
  <c r="K389" i="1"/>
  <c r="L389" i="1" s="1"/>
  <c r="N389" i="1" s="1"/>
  <c r="O389" i="1" s="1"/>
  <c r="Q389" i="1"/>
  <c r="R389" i="1" s="1"/>
  <c r="S329" i="1"/>
  <c r="S129" i="1"/>
  <c r="S84" i="1"/>
  <c r="S265" i="1"/>
  <c r="S44" i="1"/>
  <c r="S301" i="1"/>
  <c r="S215" i="1"/>
  <c r="S900" i="1"/>
  <c r="S96" i="1"/>
  <c r="S132" i="1"/>
  <c r="Q807" i="1"/>
  <c r="R807" i="1" s="1"/>
  <c r="K807" i="1"/>
  <c r="L807" i="1" s="1"/>
  <c r="N807" i="1" s="1"/>
  <c r="O807" i="1" s="1"/>
  <c r="S620" i="1"/>
  <c r="S457" i="1"/>
  <c r="S514" i="1"/>
  <c r="S706" i="1"/>
  <c r="S324" i="1"/>
  <c r="Q286" i="1"/>
  <c r="R286" i="1" s="1"/>
  <c r="K286" i="1"/>
  <c r="L286" i="1" s="1"/>
  <c r="N286" i="1" s="1"/>
  <c r="O286" i="1" s="1"/>
  <c r="L475" i="1"/>
  <c r="N475" i="1" s="1"/>
  <c r="O475" i="1" s="1"/>
  <c r="S439" i="1"/>
  <c r="S231" i="1"/>
  <c r="R187" i="1"/>
  <c r="L92" i="1"/>
  <c r="N92" i="1" s="1"/>
  <c r="O92" i="1" s="1"/>
  <c r="S1034" i="1"/>
  <c r="S746" i="1"/>
  <c r="K562" i="1"/>
  <c r="L562" i="1" s="1"/>
  <c r="N562" i="1" s="1"/>
  <c r="O562" i="1" s="1"/>
  <c r="L381" i="1"/>
  <c r="N381" i="1" s="1"/>
  <c r="O381" i="1" s="1"/>
  <c r="S608" i="1"/>
  <c r="S496" i="1"/>
  <c r="R472" i="1"/>
  <c r="N717" i="1"/>
  <c r="O717" i="1" s="1"/>
  <c r="L833" i="1"/>
  <c r="N833" i="1" s="1"/>
  <c r="O833" i="1" s="1"/>
  <c r="L335" i="1"/>
  <c r="N335" i="1" s="1"/>
  <c r="O335" i="1" s="1"/>
  <c r="Q43" i="1"/>
  <c r="R43" i="1" s="1"/>
  <c r="S750" i="1"/>
  <c r="S546" i="1"/>
  <c r="R54" i="1"/>
  <c r="R45" i="1"/>
  <c r="Q61" i="1"/>
  <c r="R61" i="1" s="1"/>
  <c r="Q297" i="1"/>
  <c r="R297" i="1" s="1"/>
  <c r="N265" i="1"/>
  <c r="O265" i="1" s="1"/>
  <c r="R233" i="1"/>
  <c r="R226" i="1"/>
  <c r="Q128" i="1"/>
  <c r="R128" i="1" s="1"/>
  <c r="Q633" i="1"/>
  <c r="R633" i="1" s="1"/>
  <c r="K633" i="1"/>
  <c r="L633" i="1" s="1"/>
  <c r="N633" i="1" s="1"/>
  <c r="O633" i="1" s="1"/>
  <c r="S304" i="1"/>
  <c r="S663" i="1"/>
  <c r="S728" i="1"/>
  <c r="S814" i="1"/>
  <c r="K425" i="1"/>
  <c r="L425" i="1" s="1"/>
  <c r="N425" i="1" s="1"/>
  <c r="O425" i="1" s="1"/>
  <c r="Q425" i="1"/>
  <c r="R425" i="1" s="1"/>
  <c r="S274" i="1"/>
  <c r="K441" i="1"/>
  <c r="L441" i="1" s="1"/>
  <c r="N441" i="1" s="1"/>
  <c r="O441" i="1" s="1"/>
  <c r="Q441" i="1"/>
  <c r="R441" i="1" s="1"/>
  <c r="Q311" i="1"/>
  <c r="R311" i="1" s="1"/>
  <c r="K311" i="1"/>
  <c r="L311" i="1" s="1"/>
  <c r="N311" i="1" s="1"/>
  <c r="O311" i="1" s="1"/>
  <c r="S255" i="1"/>
  <c r="S587" i="1"/>
  <c r="S658" i="1"/>
  <c r="K143" i="1"/>
  <c r="L143" i="1" s="1"/>
  <c r="N143" i="1" s="1"/>
  <c r="O143" i="1" s="1"/>
  <c r="Q143" i="1"/>
  <c r="R143" i="1" s="1"/>
  <c r="S219" i="1"/>
  <c r="S794" i="1"/>
  <c r="S539" i="1"/>
  <c r="S284" i="1"/>
  <c r="S525" i="1"/>
  <c r="Q931" i="1"/>
  <c r="R931" i="1" s="1"/>
  <c r="K931" i="1"/>
  <c r="L931" i="1" s="1"/>
  <c r="N931" i="1" s="1"/>
  <c r="O931" i="1" s="1"/>
  <c r="S418" i="1"/>
  <c r="R971" i="1"/>
  <c r="S689" i="1"/>
  <c r="S295" i="1"/>
  <c r="K954" i="1"/>
  <c r="L954" i="1" s="1"/>
  <c r="N954" i="1" s="1"/>
  <c r="O954" i="1" s="1"/>
  <c r="Q954" i="1"/>
  <c r="R954" i="1" s="1"/>
  <c r="K419" i="1"/>
  <c r="L419" i="1" s="1"/>
  <c r="N419" i="1" s="1"/>
  <c r="O419" i="1" s="1"/>
  <c r="Q419" i="1"/>
  <c r="R419" i="1" s="1"/>
  <c r="Q448" i="1"/>
  <c r="R448" i="1" s="1"/>
  <c r="K448" i="1"/>
  <c r="L448" i="1" s="1"/>
  <c r="N448" i="1" s="1"/>
  <c r="O448" i="1" s="1"/>
  <c r="S642" i="1"/>
  <c r="Q787" i="1"/>
  <c r="R787" i="1" s="1"/>
  <c r="K787" i="1"/>
  <c r="L787" i="1" s="1"/>
  <c r="N787" i="1" s="1"/>
  <c r="O787" i="1" s="1"/>
  <c r="S245" i="1"/>
  <c r="Q992" i="1"/>
  <c r="R992" i="1" s="1"/>
  <c r="S807" i="1"/>
  <c r="S743" i="1"/>
  <c r="R603" i="1"/>
  <c r="R587" i="1"/>
  <c r="S86" i="1"/>
  <c r="S938" i="1"/>
  <c r="S893" i="1"/>
  <c r="S314" i="1"/>
  <c r="S36" i="1"/>
  <c r="Q429" i="1"/>
  <c r="R429" i="1" s="1"/>
  <c r="S149" i="1"/>
  <c r="S836" i="1"/>
  <c r="K203" i="1"/>
  <c r="L203" i="1" s="1"/>
  <c r="N203" i="1" s="1"/>
  <c r="O203" i="1" s="1"/>
  <c r="K845" i="1"/>
  <c r="L845" i="1" s="1"/>
  <c r="N845" i="1" s="1"/>
  <c r="O845" i="1" s="1"/>
  <c r="S830" i="1"/>
  <c r="K614" i="1"/>
  <c r="L614" i="1" s="1"/>
  <c r="N614" i="1" s="1"/>
  <c r="O614" i="1" s="1"/>
  <c r="L310" i="1"/>
  <c r="N310" i="1" s="1"/>
  <c r="O310" i="1" s="1"/>
  <c r="Q881" i="1"/>
  <c r="R881" i="1" s="1"/>
  <c r="Q775" i="1"/>
  <c r="R775" i="1" s="1"/>
  <c r="R99" i="1"/>
  <c r="S889" i="1"/>
  <c r="S826" i="1"/>
  <c r="S353" i="1"/>
  <c r="L365" i="1"/>
  <c r="N365" i="1" s="1"/>
  <c r="O365" i="1" s="1"/>
  <c r="R48" i="1"/>
  <c r="L840" i="1"/>
  <c r="N840" i="1" s="1"/>
  <c r="O840" i="1" s="1"/>
  <c r="N24" i="1"/>
  <c r="O24" i="1" s="1"/>
  <c r="R841" i="1"/>
  <c r="N525" i="1"/>
  <c r="O525" i="1" s="1"/>
  <c r="L671" i="1"/>
  <c r="N671" i="1" s="1"/>
  <c r="O671" i="1" s="1"/>
  <c r="R630" i="1"/>
  <c r="L262" i="1"/>
  <c r="N262" i="1" s="1"/>
  <c r="O262" i="1" s="1"/>
  <c r="R134" i="1"/>
  <c r="L45" i="1"/>
  <c r="N45" i="1" s="1"/>
  <c r="O45" i="1" s="1"/>
  <c r="R160" i="1"/>
  <c r="L837" i="1"/>
  <c r="N837" i="1" s="1"/>
  <c r="O837" i="1" s="1"/>
  <c r="R572" i="1"/>
  <c r="L1022" i="1"/>
  <c r="N1022" i="1" s="1"/>
  <c r="O1022" i="1" s="1"/>
  <c r="L333" i="1"/>
  <c r="N333" i="1" s="1"/>
  <c r="O333" i="1" s="1"/>
  <c r="L508" i="1"/>
  <c r="N508" i="1" s="1"/>
  <c r="O508" i="1" s="1"/>
  <c r="R381" i="1"/>
  <c r="L760" i="1"/>
  <c r="N760" i="1" s="1"/>
  <c r="O760" i="1" s="1"/>
  <c r="R746" i="1"/>
  <c r="R335" i="1"/>
  <c r="R593" i="1"/>
  <c r="R518" i="1"/>
  <c r="L502" i="1"/>
  <c r="N502" i="1" s="1"/>
  <c r="O502" i="1" s="1"/>
  <c r="R256" i="1"/>
  <c r="N375" i="1"/>
  <c r="O375" i="1" s="1"/>
  <c r="N86" i="1"/>
  <c r="O86" i="1" s="1"/>
  <c r="L771" i="1"/>
  <c r="N771" i="1" s="1"/>
  <c r="O771" i="1" s="1"/>
  <c r="R612" i="1"/>
  <c r="L217" i="1"/>
  <c r="N217" i="1" s="1"/>
  <c r="O217" i="1" s="1"/>
  <c r="R414" i="1"/>
  <c r="L377" i="1"/>
  <c r="N377" i="1" s="1"/>
  <c r="O377" i="1" s="1"/>
  <c r="L281" i="1"/>
  <c r="N281" i="1" s="1"/>
  <c r="O281" i="1" s="1"/>
  <c r="R348" i="1"/>
  <c r="R760" i="1"/>
  <c r="L873" i="1"/>
  <c r="N873" i="1" s="1"/>
  <c r="O873" i="1" s="1"/>
  <c r="R453" i="1"/>
  <c r="L415" i="1"/>
  <c r="N415" i="1" s="1"/>
  <c r="O415" i="1" s="1"/>
  <c r="L101" i="1"/>
  <c r="N101" i="1" s="1"/>
  <c r="O101" i="1" s="1"/>
  <c r="L256" i="1"/>
  <c r="N256" i="1" s="1"/>
  <c r="O256" i="1" s="1"/>
  <c r="L572" i="1"/>
  <c r="N572" i="1" s="1"/>
  <c r="O572" i="1" s="1"/>
  <c r="R1022" i="1"/>
  <c r="L612" i="1"/>
  <c r="N612" i="1" s="1"/>
  <c r="O612" i="1" s="1"/>
  <c r="N418" i="1"/>
  <c r="O418" i="1" s="1"/>
  <c r="L226" i="1"/>
  <c r="N226" i="1" s="1"/>
  <c r="O226" i="1" s="1"/>
  <c r="L1003" i="1"/>
  <c r="N1003" i="1" s="1"/>
  <c r="O1003" i="1" s="1"/>
  <c r="N301" i="1"/>
  <c r="O301" i="1" s="1"/>
  <c r="L922" i="1"/>
  <c r="N922" i="1" s="1"/>
  <c r="O922" i="1" s="1"/>
  <c r="L348" i="1"/>
  <c r="N348" i="1" s="1"/>
  <c r="O348" i="1" s="1"/>
  <c r="L213" i="1"/>
  <c r="N213" i="1" s="1"/>
  <c r="O213" i="1" s="1"/>
  <c r="K463" i="1"/>
  <c r="L463" i="1" s="1"/>
  <c r="N463" i="1" s="1"/>
  <c r="O463" i="1" s="1"/>
  <c r="S974" i="1"/>
  <c r="K451" i="1"/>
  <c r="L451" i="1" s="1"/>
  <c r="N451" i="1" s="1"/>
  <c r="O451" i="1" s="1"/>
  <c r="Q989" i="1"/>
  <c r="R989" i="1" s="1"/>
  <c r="Q595" i="1"/>
  <c r="R595" i="1" s="1"/>
  <c r="K414" i="1"/>
  <c r="L414" i="1" s="1"/>
  <c r="N414" i="1" s="1"/>
  <c r="O414" i="1" s="1"/>
  <c r="S1030" i="1"/>
  <c r="K37" i="1"/>
  <c r="L37" i="1" s="1"/>
  <c r="N37" i="1" s="1"/>
  <c r="O37" i="1" s="1"/>
  <c r="R46" i="1"/>
  <c r="S890" i="1"/>
  <c r="Q496" i="1"/>
  <c r="R496" i="1" s="1"/>
  <c r="L694" i="1"/>
  <c r="N694" i="1" s="1"/>
  <c r="O694" i="1" s="1"/>
  <c r="Q821" i="1"/>
  <c r="R821" i="1" s="1"/>
  <c r="Q127" i="1"/>
  <c r="R127" i="1" s="1"/>
  <c r="R327" i="1"/>
  <c r="L77" i="1"/>
  <c r="N77" i="1" s="1"/>
  <c r="O77" i="1" s="1"/>
  <c r="L858" i="1"/>
  <c r="N858" i="1" s="1"/>
  <c r="O858" i="1" s="1"/>
  <c r="R839" i="1"/>
  <c r="R96" i="1"/>
  <c r="R885" i="1"/>
  <c r="R317" i="1"/>
  <c r="L406" i="1"/>
  <c r="N406" i="1" s="1"/>
  <c r="O406" i="1" s="1"/>
  <c r="N696" i="1"/>
  <c r="O696" i="1" s="1"/>
  <c r="R206" i="1"/>
  <c r="R805" i="1"/>
  <c r="L620" i="1"/>
  <c r="N620" i="1" s="1"/>
  <c r="O620" i="1" s="1"/>
  <c r="R514" i="1"/>
  <c r="R706" i="1"/>
  <c r="L603" i="1"/>
  <c r="N603" i="1" s="1"/>
  <c r="O603" i="1" s="1"/>
  <c r="L635" i="1"/>
  <c r="N635" i="1" s="1"/>
  <c r="O635" i="1" s="1"/>
  <c r="R384" i="1"/>
  <c r="R480" i="1"/>
  <c r="R664" i="1"/>
  <c r="R726" i="1"/>
  <c r="R771" i="1"/>
  <c r="L556" i="1"/>
  <c r="N556" i="1" s="1"/>
  <c r="O556" i="1" s="1"/>
  <c r="R342" i="1"/>
  <c r="L180" i="1"/>
  <c r="N180" i="1" s="1"/>
  <c r="O180" i="1" s="1"/>
  <c r="S33" i="1"/>
  <c r="S847" i="1"/>
  <c r="R817" i="1"/>
  <c r="L956" i="1"/>
  <c r="N956" i="1" s="1"/>
  <c r="O956" i="1" s="1"/>
  <c r="L843" i="1"/>
  <c r="N843" i="1" s="1"/>
  <c r="O843" i="1" s="1"/>
  <c r="S691" i="1"/>
  <c r="L523" i="1"/>
  <c r="N523" i="1" s="1"/>
  <c r="O523" i="1" s="1"/>
  <c r="L507" i="1"/>
  <c r="N507" i="1" s="1"/>
  <c r="O507" i="1" s="1"/>
  <c r="K259" i="1"/>
  <c r="L259" i="1" s="1"/>
  <c r="N259" i="1" s="1"/>
  <c r="O259" i="1" s="1"/>
  <c r="S1019" i="1"/>
  <c r="R946" i="1"/>
  <c r="K706" i="1"/>
  <c r="L706" i="1" s="1"/>
  <c r="N706" i="1" s="1"/>
  <c r="O706" i="1" s="1"/>
  <c r="Q689" i="1"/>
  <c r="R689" i="1" s="1"/>
  <c r="L625" i="1"/>
  <c r="N625" i="1" s="1"/>
  <c r="O625" i="1" s="1"/>
  <c r="R482" i="1"/>
  <c r="K413" i="1"/>
  <c r="L413" i="1" s="1"/>
  <c r="N413" i="1" s="1"/>
  <c r="O413" i="1" s="1"/>
  <c r="R265" i="1"/>
  <c r="S787" i="1"/>
  <c r="L740" i="1"/>
  <c r="N740" i="1" s="1"/>
  <c r="O740" i="1" s="1"/>
  <c r="K664" i="1"/>
  <c r="L664" i="1" s="1"/>
  <c r="N664" i="1" s="1"/>
  <c r="O664" i="1" s="1"/>
  <c r="R616" i="1"/>
  <c r="K436" i="1"/>
  <c r="L436" i="1" s="1"/>
  <c r="N436" i="1" s="1"/>
  <c r="O436" i="1" s="1"/>
  <c r="L372" i="1"/>
  <c r="N372" i="1" s="1"/>
  <c r="O372" i="1" s="1"/>
  <c r="L492" i="1"/>
  <c r="N492" i="1" s="1"/>
  <c r="O492" i="1" s="1"/>
  <c r="S671" i="1"/>
  <c r="Q213" i="1"/>
  <c r="R213" i="1" s="1"/>
  <c r="R608" i="1"/>
  <c r="R1033" i="1"/>
  <c r="Q589" i="1"/>
  <c r="R589" i="1" s="1"/>
  <c r="Q1003" i="1"/>
  <c r="R1003" i="1" s="1"/>
  <c r="R303" i="1"/>
  <c r="Q287" i="1"/>
  <c r="R287" i="1" s="1"/>
  <c r="Q406" i="1"/>
  <c r="R406" i="1" s="1"/>
  <c r="K342" i="1"/>
  <c r="L342" i="1" s="1"/>
  <c r="N342" i="1" s="1"/>
  <c r="O342" i="1" s="1"/>
  <c r="S98" i="1"/>
  <c r="S707" i="1"/>
  <c r="S692" i="1"/>
  <c r="Q620" i="1"/>
  <c r="R620" i="1" s="1"/>
  <c r="K108" i="1"/>
  <c r="L108" i="1" s="1"/>
  <c r="N108" i="1" s="1"/>
  <c r="O108" i="1" s="1"/>
  <c r="Q323" i="1"/>
  <c r="R323" i="1" s="1"/>
  <c r="S513" i="1"/>
  <c r="S894" i="1"/>
  <c r="S899" i="1"/>
  <c r="N775" i="1"/>
  <c r="O775" i="1" s="1"/>
  <c r="K662" i="1"/>
  <c r="L662" i="1" s="1"/>
  <c r="N662" i="1" s="1"/>
  <c r="O662" i="1" s="1"/>
  <c r="S387" i="1"/>
  <c r="S162" i="1"/>
  <c r="R82" i="1"/>
  <c r="S778" i="1"/>
  <c r="S310" i="1"/>
  <c r="K206" i="1"/>
  <c r="L206" i="1" s="1"/>
  <c r="N206" i="1" s="1"/>
  <c r="O206" i="1" s="1"/>
  <c r="S497" i="1"/>
  <c r="S181" i="1"/>
  <c r="Q30" i="1"/>
  <c r="R30" i="1" s="1"/>
  <c r="S448" i="1"/>
  <c r="Q180" i="1"/>
  <c r="R180" i="1" s="1"/>
  <c r="R963" i="1"/>
  <c r="S57" i="1"/>
  <c r="S186" i="1"/>
  <c r="S158" i="1"/>
  <c r="S1037" i="1"/>
  <c r="S56" i="1"/>
  <c r="S1013" i="1"/>
  <c r="S665" i="1"/>
  <c r="S768" i="1"/>
  <c r="S799" i="1"/>
  <c r="S831" i="1"/>
  <c r="S864" i="1"/>
  <c r="S813" i="1"/>
  <c r="S117" i="1"/>
  <c r="S46" i="1"/>
  <c r="S849" i="1"/>
  <c r="S880" i="1"/>
  <c r="S655" i="1"/>
  <c r="S613" i="1"/>
  <c r="S857" i="1"/>
  <c r="S359" i="1"/>
  <c r="S965" i="1"/>
  <c r="S545" i="1"/>
  <c r="S845" i="1"/>
  <c r="S454" i="1"/>
  <c r="S470" i="1"/>
  <c r="S518" i="1"/>
  <c r="S598" i="1"/>
  <c r="S630" i="1"/>
  <c r="S453" i="1"/>
  <c r="S760" i="1"/>
  <c r="S856" i="1"/>
  <c r="S267" i="1"/>
  <c r="S233" i="1"/>
  <c r="S130" i="1"/>
  <c r="S47" i="1"/>
  <c r="S362" i="1"/>
  <c r="S163" i="1"/>
  <c r="S291" i="1"/>
  <c r="S140" i="1"/>
  <c r="R906" i="1"/>
  <c r="S248" i="1"/>
  <c r="S753" i="1"/>
  <c r="S992" i="1"/>
  <c r="S705" i="1"/>
  <c r="S980" i="1"/>
  <c r="S179" i="1"/>
  <c r="S392" i="1"/>
  <c r="S782" i="1"/>
  <c r="S798" i="1"/>
  <c r="S249" i="1"/>
  <c r="K913" i="1"/>
  <c r="L913" i="1" s="1"/>
  <c r="N913" i="1" s="1"/>
  <c r="O913" i="1" s="1"/>
  <c r="S561" i="1"/>
  <c r="Q555" i="1"/>
  <c r="R555" i="1" s="1"/>
  <c r="L459" i="1"/>
  <c r="N459" i="1" s="1"/>
  <c r="O459" i="1" s="1"/>
  <c r="Q202" i="1"/>
  <c r="R202" i="1" s="1"/>
  <c r="L994" i="1"/>
  <c r="N994" i="1" s="1"/>
  <c r="O994" i="1" s="1"/>
  <c r="S861" i="1"/>
  <c r="R530" i="1"/>
  <c r="K242" i="1"/>
  <c r="L242" i="1" s="1"/>
  <c r="N242" i="1" s="1"/>
  <c r="O242" i="1" s="1"/>
  <c r="S122" i="1"/>
  <c r="K317" i="1"/>
  <c r="L317" i="1" s="1"/>
  <c r="N317" i="1" s="1"/>
  <c r="O317" i="1" s="1"/>
  <c r="K552" i="1"/>
  <c r="L552" i="1" s="1"/>
  <c r="N552" i="1" s="1"/>
  <c r="O552" i="1" s="1"/>
  <c r="S416" i="1"/>
  <c r="L404" i="1"/>
  <c r="N404" i="1" s="1"/>
  <c r="O404" i="1" s="1"/>
  <c r="S212" i="1"/>
  <c r="N364" i="1"/>
  <c r="O364" i="1" s="1"/>
  <c r="Q922" i="1"/>
  <c r="R922" i="1" s="1"/>
  <c r="L90" i="1"/>
  <c r="N90" i="1" s="1"/>
  <c r="O90" i="1" s="1"/>
  <c r="S792" i="1"/>
  <c r="K885" i="1"/>
  <c r="L885" i="1" s="1"/>
  <c r="N885" i="1" s="1"/>
  <c r="O885" i="1" s="1"/>
  <c r="S951" i="1"/>
  <c r="S775" i="1"/>
  <c r="K447" i="1"/>
  <c r="L447" i="1" s="1"/>
  <c r="N447" i="1" s="1"/>
  <c r="O447" i="1" s="1"/>
  <c r="S199" i="1"/>
  <c r="R1030" i="1"/>
  <c r="K726" i="1"/>
  <c r="L726" i="1" s="1"/>
  <c r="N726" i="1" s="1"/>
  <c r="O726" i="1" s="1"/>
  <c r="K327" i="1"/>
  <c r="L327" i="1" s="1"/>
  <c r="N327" i="1" s="1"/>
  <c r="O327" i="1" s="1"/>
  <c r="S413" i="1"/>
  <c r="S345" i="1"/>
  <c r="S41" i="1"/>
  <c r="Q858" i="1"/>
  <c r="R858" i="1" s="1"/>
  <c r="S801" i="1"/>
  <c r="L199" i="1"/>
  <c r="N199" i="1" s="1"/>
  <c r="O199" i="1" s="1"/>
  <c r="S127" i="1"/>
  <c r="S406" i="1"/>
  <c r="S250" i="1"/>
  <c r="R340" i="1"/>
  <c r="L292" i="1"/>
  <c r="N292" i="1" s="1"/>
  <c r="O292" i="1" s="1"/>
  <c r="S292" i="1"/>
  <c r="R1019" i="1"/>
  <c r="K107" i="1"/>
  <c r="L107" i="1" s="1"/>
  <c r="N107" i="1" s="1"/>
  <c r="O107" i="1" s="1"/>
  <c r="K480" i="1"/>
  <c r="L480" i="1" s="1"/>
  <c r="N480" i="1" s="1"/>
  <c r="O480" i="1" s="1"/>
  <c r="S146" i="1"/>
  <c r="S328" i="1"/>
  <c r="S264" i="1"/>
  <c r="S337" i="1"/>
  <c r="S205" i="1"/>
  <c r="S80" i="1"/>
  <c r="S50" i="1"/>
  <c r="S40" i="1"/>
  <c r="S804" i="1"/>
  <c r="S569" i="1"/>
  <c r="S649" i="1"/>
  <c r="S816" i="1"/>
  <c r="S879" i="1"/>
  <c r="S943" i="1"/>
  <c r="S708" i="1"/>
  <c r="S718" i="1"/>
  <c r="S953" i="1"/>
  <c r="S661" i="1"/>
  <c r="S395" i="1"/>
  <c r="S933" i="1"/>
  <c r="S941" i="1"/>
  <c r="S559" i="1"/>
  <c r="S426" i="1"/>
  <c r="S147" i="1"/>
  <c r="S921" i="1"/>
  <c r="S875" i="1"/>
  <c r="S660" i="1"/>
  <c r="S240" i="1"/>
  <c r="S502" i="1"/>
  <c r="S614" i="1"/>
  <c r="S735" i="1"/>
  <c r="Q1025" i="1"/>
  <c r="R1025" i="1" s="1"/>
  <c r="S651" i="1"/>
  <c r="S247" i="1"/>
  <c r="R994" i="1"/>
  <c r="L762" i="1"/>
  <c r="N762" i="1" s="1"/>
  <c r="O762" i="1" s="1"/>
  <c r="L675" i="1"/>
  <c r="N675" i="1" s="1"/>
  <c r="O675" i="1" s="1"/>
  <c r="S594" i="1"/>
  <c r="S544" i="1"/>
  <c r="N621" i="1"/>
  <c r="O621" i="1" s="1"/>
  <c r="S985" i="1"/>
  <c r="R90" i="1"/>
  <c r="S317" i="1"/>
  <c r="L1033" i="1"/>
  <c r="N1033" i="1" s="1"/>
  <c r="O1033" i="1" s="1"/>
  <c r="L303" i="1"/>
  <c r="N303" i="1" s="1"/>
  <c r="O303" i="1" s="1"/>
  <c r="L1030" i="1"/>
  <c r="N1030" i="1" s="1"/>
  <c r="O1030" i="1" s="1"/>
  <c r="K57" i="1"/>
  <c r="L57" i="1" s="1"/>
  <c r="N57" i="1" s="1"/>
  <c r="O57" i="1" s="1"/>
  <c r="S198" i="1"/>
  <c r="R199" i="1"/>
  <c r="L82" i="1"/>
  <c r="N82" i="1" s="1"/>
  <c r="O82" i="1" s="1"/>
  <c r="L350" i="1"/>
  <c r="N350" i="1" s="1"/>
  <c r="O350" i="1" s="1"/>
  <c r="S492" i="1"/>
  <c r="S384" i="1"/>
  <c r="R244" i="1"/>
  <c r="S156" i="1"/>
  <c r="Q100" i="1"/>
  <c r="R100" i="1" s="1"/>
  <c r="L963" i="1"/>
  <c r="N963" i="1" s="1"/>
  <c r="O963" i="1" s="1"/>
  <c r="S703" i="1"/>
  <c r="S216" i="1"/>
  <c r="S351" i="1"/>
  <c r="S111" i="1"/>
  <c r="S73" i="1"/>
  <c r="S173" i="1"/>
  <c r="S93" i="1"/>
  <c r="S37" i="1"/>
  <c r="S70" i="1"/>
  <c r="S59" i="1"/>
  <c r="S896" i="1"/>
  <c r="S687" i="1"/>
  <c r="S1012" i="1"/>
  <c r="S940" i="1"/>
  <c r="S842" i="1"/>
  <c r="S872" i="1"/>
  <c r="S972" i="1"/>
  <c r="S517" i="1"/>
  <c r="S549" i="1"/>
  <c r="S676" i="1"/>
  <c r="S859" i="1"/>
  <c r="S955" i="1"/>
  <c r="S727" i="1"/>
  <c r="S793" i="1"/>
  <c r="S1011" i="1"/>
  <c r="S809" i="1"/>
  <c r="S211" i="1"/>
  <c r="S667" i="1"/>
  <c r="Q678" i="1"/>
  <c r="R678" i="1" s="1"/>
  <c r="Q537" i="1"/>
  <c r="R537" i="1" s="1"/>
  <c r="R872" i="1"/>
  <c r="R274" i="1"/>
  <c r="K967" i="1"/>
  <c r="L967" i="1" s="1"/>
  <c r="N967" i="1" s="1"/>
  <c r="O967" i="1" s="1"/>
  <c r="Q910" i="1"/>
  <c r="R910" i="1" s="1"/>
  <c r="Q893" i="1"/>
  <c r="R893" i="1" s="1"/>
  <c r="Q377" i="1"/>
  <c r="R377" i="1" s="1"/>
  <c r="L297" i="1"/>
  <c r="N297" i="1" s="1"/>
  <c r="O297" i="1" s="1"/>
  <c r="Q281" i="1"/>
  <c r="R281" i="1" s="1"/>
  <c r="K275" i="1"/>
  <c r="L275" i="1" s="1"/>
  <c r="N275" i="1" s="1"/>
  <c r="O275" i="1" s="1"/>
  <c r="K25" i="1"/>
  <c r="L25" i="1" s="1"/>
  <c r="N25" i="1" s="1"/>
  <c r="O25" i="1" s="1"/>
  <c r="K906" i="1"/>
  <c r="L906" i="1" s="1"/>
  <c r="N906" i="1" s="1"/>
  <c r="O906" i="1" s="1"/>
  <c r="L977" i="1"/>
  <c r="N977" i="1" s="1"/>
  <c r="O977" i="1" s="1"/>
  <c r="Q602" i="1"/>
  <c r="R602" i="1" s="1"/>
  <c r="S343" i="1"/>
  <c r="S867" i="1"/>
  <c r="Q842" i="1"/>
  <c r="R842" i="1" s="1"/>
  <c r="Q676" i="1"/>
  <c r="R676" i="1" s="1"/>
  <c r="Q869" i="1"/>
  <c r="R869" i="1" s="1"/>
  <c r="Q660" i="1"/>
  <c r="R660" i="1" s="1"/>
  <c r="R673" i="1"/>
  <c r="L691" i="1"/>
  <c r="N691" i="1" s="1"/>
  <c r="O691" i="1" s="1"/>
  <c r="R275" i="1"/>
  <c r="R409" i="1"/>
  <c r="L992" i="1"/>
  <c r="N992" i="1" s="1"/>
  <c r="O992" i="1" s="1"/>
  <c r="R566" i="1"/>
  <c r="R996" i="1"/>
  <c r="Q111" i="1"/>
  <c r="R111" i="1" s="1"/>
  <c r="S1020" i="1"/>
  <c r="K598" i="1"/>
  <c r="L598" i="1" s="1"/>
  <c r="N598" i="1" s="1"/>
  <c r="O598" i="1" s="1"/>
  <c r="L830" i="1"/>
  <c r="N830" i="1" s="1"/>
  <c r="O830" i="1" s="1"/>
  <c r="L97" i="1"/>
  <c r="N97" i="1" s="1"/>
  <c r="O97" i="1" s="1"/>
  <c r="R792" i="1"/>
  <c r="N948" i="1"/>
  <c r="O948" i="1" s="1"/>
  <c r="L582" i="1"/>
  <c r="N582" i="1" s="1"/>
  <c r="O582" i="1" s="1"/>
  <c r="L470" i="1"/>
  <c r="N470" i="1" s="1"/>
  <c r="O470" i="1" s="1"/>
  <c r="R550" i="1"/>
  <c r="R908" i="1"/>
  <c r="R953" i="1"/>
  <c r="L645" i="1"/>
  <c r="N645" i="1" s="1"/>
  <c r="O645" i="1" s="1"/>
  <c r="L709" i="1"/>
  <c r="N709" i="1" s="1"/>
  <c r="O709" i="1" s="1"/>
  <c r="N984" i="1"/>
  <c r="O984" i="1" s="1"/>
  <c r="L235" i="1"/>
  <c r="N235" i="1" s="1"/>
  <c r="O235" i="1" s="1"/>
  <c r="R552" i="1"/>
  <c r="S52" i="1"/>
  <c r="S51" i="1"/>
  <c r="S1029" i="1"/>
  <c r="K569" i="1"/>
  <c r="L569" i="1" s="1"/>
  <c r="N569" i="1" s="1"/>
  <c r="O569" i="1" s="1"/>
  <c r="Q569" i="1"/>
  <c r="R569" i="1" s="1"/>
  <c r="S617" i="1"/>
  <c r="Q697" i="1"/>
  <c r="R697" i="1" s="1"/>
  <c r="K697" i="1"/>
  <c r="L697" i="1" s="1"/>
  <c r="N697" i="1" s="1"/>
  <c r="O697" i="1" s="1"/>
  <c r="S959" i="1"/>
  <c r="S991" i="1"/>
  <c r="K749" i="1"/>
  <c r="L749" i="1" s="1"/>
  <c r="N749" i="1" s="1"/>
  <c r="O749" i="1" s="1"/>
  <c r="Q749" i="1"/>
  <c r="R749" i="1" s="1"/>
  <c r="K753" i="1"/>
  <c r="L753" i="1" s="1"/>
  <c r="N753" i="1" s="1"/>
  <c r="O753" i="1" s="1"/>
  <c r="Q753" i="1"/>
  <c r="R753" i="1" s="1"/>
  <c r="S827" i="1"/>
  <c r="Q711" i="1"/>
  <c r="R711" i="1" s="1"/>
  <c r="K711" i="1"/>
  <c r="L711" i="1" s="1"/>
  <c r="N711" i="1" s="1"/>
  <c r="O711" i="1" s="1"/>
  <c r="S916" i="1"/>
  <c r="S968" i="1"/>
  <c r="S263" i="1"/>
  <c r="K175" i="1"/>
  <c r="L175" i="1" s="1"/>
  <c r="N175" i="1" s="1"/>
  <c r="O175" i="1" s="1"/>
  <c r="Q175" i="1"/>
  <c r="R175" i="1" s="1"/>
  <c r="Q861" i="1"/>
  <c r="R861" i="1" s="1"/>
  <c r="K861" i="1"/>
  <c r="L861" i="1" s="1"/>
  <c r="N861" i="1" s="1"/>
  <c r="O861" i="1" s="1"/>
  <c r="K566" i="1"/>
  <c r="L566" i="1" s="1"/>
  <c r="N566" i="1" s="1"/>
  <c r="K908" i="1"/>
  <c r="L908" i="1" s="1"/>
  <c r="N908" i="1" s="1"/>
  <c r="O908" i="1" s="1"/>
  <c r="K140" i="1"/>
  <c r="L140" i="1" s="1"/>
  <c r="N140" i="1" s="1"/>
  <c r="O140" i="1" s="1"/>
  <c r="K804" i="1"/>
  <c r="L804" i="1" s="1"/>
  <c r="N804" i="1" s="1"/>
  <c r="O804" i="1" s="1"/>
  <c r="S581" i="1"/>
  <c r="R553" i="1"/>
  <c r="S821" i="1"/>
  <c r="K996" i="1"/>
  <c r="L996" i="1" s="1"/>
  <c r="N996" i="1" s="1"/>
  <c r="O996" i="1" s="1"/>
  <c r="Q984" i="1"/>
  <c r="R984" i="1" s="1"/>
  <c r="Q944" i="1"/>
  <c r="R944" i="1" s="1"/>
  <c r="L892" i="1"/>
  <c r="N892" i="1" s="1"/>
  <c r="O892" i="1" s="1"/>
  <c r="L884" i="1"/>
  <c r="N884" i="1" s="1"/>
  <c r="O884" i="1" s="1"/>
  <c r="K1035" i="1"/>
  <c r="L1035" i="1" s="1"/>
  <c r="N1035" i="1" s="1"/>
  <c r="O1035" i="1" s="1"/>
  <c r="N827" i="1"/>
  <c r="O827" i="1" s="1"/>
  <c r="K157" i="1"/>
  <c r="L157" i="1" s="1"/>
  <c r="N157" i="1" s="1"/>
  <c r="O157" i="1" s="1"/>
  <c r="Q216" i="1"/>
  <c r="R216" i="1" s="1"/>
  <c r="S734" i="1"/>
  <c r="K957" i="1"/>
  <c r="L957" i="1" s="1"/>
  <c r="N957" i="1" s="1"/>
  <c r="O957" i="1" s="1"/>
  <c r="L901" i="1"/>
  <c r="N901" i="1" s="1"/>
  <c r="O901" i="1" s="1"/>
  <c r="K543" i="1"/>
  <c r="L543" i="1" s="1"/>
  <c r="N543" i="1" s="1"/>
  <c r="O543" i="1" s="1"/>
  <c r="S222" i="1"/>
  <c r="L857" i="1"/>
  <c r="N857" i="1" s="1"/>
  <c r="O857" i="1" s="1"/>
  <c r="Q645" i="1"/>
  <c r="R645" i="1" s="1"/>
  <c r="S737" i="1"/>
  <c r="S575" i="1"/>
  <c r="S527" i="1"/>
  <c r="K798" i="1"/>
  <c r="L798" i="1" s="1"/>
  <c r="N798" i="1" s="1"/>
  <c r="O798" i="1" s="1"/>
  <c r="S593" i="1"/>
  <c r="K137" i="1"/>
  <c r="L137" i="1" s="1"/>
  <c r="N137" i="1" s="1"/>
  <c r="O137" i="1" s="1"/>
  <c r="Q137" i="1"/>
  <c r="R137" i="1" s="1"/>
  <c r="S344" i="1"/>
  <c r="K312" i="1"/>
  <c r="L312" i="1" s="1"/>
  <c r="N312" i="1" s="1"/>
  <c r="O312" i="1" s="1"/>
  <c r="Q312" i="1"/>
  <c r="R312" i="1" s="1"/>
  <c r="Q280" i="1"/>
  <c r="R280" i="1" s="1"/>
  <c r="K280" i="1"/>
  <c r="L280" i="1" s="1"/>
  <c r="N280" i="1" s="1"/>
  <c r="O280" i="1" s="1"/>
  <c r="Q94" i="1"/>
  <c r="R94" i="1" s="1"/>
  <c r="K94" i="1"/>
  <c r="L94" i="1" s="1"/>
  <c r="N94" i="1" s="1"/>
  <c r="O94" i="1" s="1"/>
  <c r="K172" i="1"/>
  <c r="L172" i="1" s="1"/>
  <c r="N172" i="1" s="1"/>
  <c r="O172" i="1" s="1"/>
  <c r="Q172" i="1"/>
  <c r="R172" i="1" s="1"/>
  <c r="Q72" i="1"/>
  <c r="R72" i="1" s="1"/>
  <c r="K72" i="1"/>
  <c r="L72" i="1" s="1"/>
  <c r="N72" i="1" s="1"/>
  <c r="O72" i="1" s="1"/>
  <c r="S531" i="1"/>
  <c r="S680" i="1"/>
  <c r="Q1044" i="1"/>
  <c r="R1044" i="1" s="1"/>
  <c r="K1044" i="1"/>
  <c r="L1044" i="1" s="1"/>
  <c r="N1044" i="1" s="1"/>
  <c r="O1044" i="1" s="1"/>
  <c r="S134" i="1"/>
  <c r="K1040" i="1"/>
  <c r="L1040" i="1" s="1"/>
  <c r="N1040" i="1" s="1"/>
  <c r="O1040" i="1" s="1"/>
  <c r="Q1040" i="1"/>
  <c r="R1040" i="1" s="1"/>
  <c r="S1032" i="1"/>
  <c r="Q613" i="1"/>
  <c r="R613" i="1" s="1"/>
  <c r="K613" i="1"/>
  <c r="L613" i="1" s="1"/>
  <c r="N613" i="1" s="1"/>
  <c r="O613" i="1" s="1"/>
  <c r="K1005" i="1"/>
  <c r="L1005" i="1" s="1"/>
  <c r="N1005" i="1" s="1"/>
  <c r="O1005" i="1" s="1"/>
  <c r="Q1005" i="1"/>
  <c r="R1005" i="1" s="1"/>
  <c r="K443" i="1"/>
  <c r="L443" i="1" s="1"/>
  <c r="N443" i="1" s="1"/>
  <c r="O443" i="1" s="1"/>
  <c r="Q443" i="1"/>
  <c r="R443" i="1" s="1"/>
  <c r="S781" i="1"/>
  <c r="S175" i="1"/>
  <c r="S82" i="1"/>
  <c r="L888" i="1"/>
  <c r="N888" i="1" s="1"/>
  <c r="O888" i="1" s="1"/>
  <c r="Q709" i="1"/>
  <c r="R709" i="1" s="1"/>
  <c r="S126" i="1"/>
  <c r="Q1031" i="1"/>
  <c r="R1031" i="1" s="1"/>
  <c r="Q926" i="1"/>
  <c r="R926" i="1" s="1"/>
  <c r="Q735" i="1"/>
  <c r="R735" i="1" s="1"/>
  <c r="K118" i="1"/>
  <c r="L118" i="1" s="1"/>
  <c r="N118" i="1" s="1"/>
  <c r="O118" i="1" s="1"/>
  <c r="Q501" i="1"/>
  <c r="R501" i="1" s="1"/>
  <c r="K214" i="1"/>
  <c r="L214" i="1" s="1"/>
  <c r="N214" i="1" s="1"/>
  <c r="O214" i="1" s="1"/>
  <c r="Q214" i="1"/>
  <c r="R214" i="1" s="1"/>
  <c r="Q928" i="1"/>
  <c r="R928" i="1" s="1"/>
  <c r="K928" i="1"/>
  <c r="L928" i="1" s="1"/>
  <c r="N928" i="1" s="1"/>
  <c r="O928" i="1" s="1"/>
  <c r="S479" i="1"/>
  <c r="S591" i="1"/>
  <c r="Q655" i="1"/>
  <c r="R655" i="1" s="1"/>
  <c r="K655" i="1"/>
  <c r="L655" i="1" s="1"/>
  <c r="N655" i="1" s="1"/>
  <c r="O655" i="1" s="1"/>
  <c r="K379" i="1"/>
  <c r="L379" i="1" s="1"/>
  <c r="N379" i="1" s="1"/>
  <c r="O379" i="1" s="1"/>
  <c r="Q379" i="1"/>
  <c r="R379" i="1" s="1"/>
  <c r="K561" i="1"/>
  <c r="L561" i="1" s="1"/>
  <c r="N561" i="1" s="1"/>
  <c r="O561" i="1" s="1"/>
  <c r="Q561" i="1"/>
  <c r="R561" i="1" s="1"/>
  <c r="K657" i="1"/>
  <c r="L657" i="1" s="1"/>
  <c r="N657" i="1" s="1"/>
  <c r="O657" i="1" s="1"/>
  <c r="Q657" i="1"/>
  <c r="R657" i="1" s="1"/>
  <c r="K990" i="1"/>
  <c r="L990" i="1" s="1"/>
  <c r="N990" i="1" s="1"/>
  <c r="O990" i="1" s="1"/>
  <c r="Q990" i="1"/>
  <c r="R990" i="1" s="1"/>
  <c r="Q67" i="1"/>
  <c r="R67" i="1" s="1"/>
  <c r="K67" i="1"/>
  <c r="L67" i="1" s="1"/>
  <c r="N67" i="1" s="1"/>
  <c r="O67" i="1" s="1"/>
  <c r="S910" i="1"/>
  <c r="K953" i="1"/>
  <c r="L953" i="1" s="1"/>
  <c r="N953" i="1" s="1"/>
  <c r="O953" i="1" s="1"/>
  <c r="R763" i="1"/>
  <c r="L125" i="1"/>
  <c r="N125" i="1" s="1"/>
  <c r="O125" i="1" s="1"/>
  <c r="N617" i="1"/>
  <c r="O617" i="1" s="1"/>
  <c r="N1012" i="1"/>
  <c r="O1012" i="1" s="1"/>
  <c r="L952" i="1"/>
  <c r="N952" i="1" s="1"/>
  <c r="O952" i="1" s="1"/>
  <c r="R731" i="1"/>
  <c r="Q699" i="1"/>
  <c r="R699" i="1" s="1"/>
  <c r="R330" i="1"/>
  <c r="Q777" i="1"/>
  <c r="R777" i="1" s="1"/>
  <c r="S956" i="1"/>
  <c r="S563" i="1"/>
  <c r="R892" i="1"/>
  <c r="L923" i="1"/>
  <c r="N923" i="1" s="1"/>
  <c r="O923" i="1" s="1"/>
  <c r="R795" i="1"/>
  <c r="L330" i="1"/>
  <c r="N330" i="1" s="1"/>
  <c r="O330" i="1" s="1"/>
  <c r="R227" i="1"/>
  <c r="R51" i="1"/>
  <c r="L626" i="1"/>
  <c r="N626" i="1" s="1"/>
  <c r="O626" i="1" s="1"/>
  <c r="R1001" i="1"/>
  <c r="L801" i="1"/>
  <c r="N801" i="1" s="1"/>
  <c r="O801" i="1" s="1"/>
  <c r="R690" i="1"/>
  <c r="L768" i="1"/>
  <c r="N768" i="1" s="1"/>
  <c r="O768" i="1" s="1"/>
  <c r="L410" i="1"/>
  <c r="N410" i="1" s="1"/>
  <c r="O410" i="1" s="1"/>
  <c r="N680" i="1"/>
  <c r="O680" i="1" s="1"/>
  <c r="R864" i="1"/>
  <c r="R768" i="1"/>
  <c r="L1008" i="1"/>
  <c r="N1008" i="1" s="1"/>
  <c r="O1008" i="1" s="1"/>
  <c r="L537" i="1"/>
  <c r="N537" i="1" s="1"/>
  <c r="O537" i="1" s="1"/>
  <c r="N602" i="1"/>
  <c r="O602" i="1" s="1"/>
  <c r="R1000" i="1"/>
  <c r="N880" i="1"/>
  <c r="O880" i="1" s="1"/>
  <c r="R661" i="1"/>
  <c r="L679" i="1"/>
  <c r="N679" i="1" s="1"/>
  <c r="O679" i="1" s="1"/>
  <c r="R828" i="1"/>
  <c r="L1025" i="1"/>
  <c r="N1025" i="1" s="1"/>
  <c r="O1025" i="1" s="1"/>
  <c r="R846" i="1"/>
  <c r="R267" i="1"/>
  <c r="R242" i="1"/>
  <c r="R426" i="1"/>
  <c r="S49" i="1"/>
  <c r="S170" i="1"/>
  <c r="S184" i="1"/>
  <c r="S312" i="1"/>
  <c r="S280" i="1"/>
  <c r="Q337" i="1"/>
  <c r="R337" i="1" s="1"/>
  <c r="K337" i="1"/>
  <c r="L337" i="1" s="1"/>
  <c r="N337" i="1" s="1"/>
  <c r="O337" i="1" s="1"/>
  <c r="Q159" i="1"/>
  <c r="R159" i="1" s="1"/>
  <c r="K159" i="1"/>
  <c r="L159" i="1" s="1"/>
  <c r="N159" i="1" s="1"/>
  <c r="O159" i="1" s="1"/>
  <c r="K204" i="1"/>
  <c r="L204" i="1" s="1"/>
  <c r="N204" i="1" s="1"/>
  <c r="O204" i="1" s="1"/>
  <c r="Q204" i="1"/>
  <c r="R204" i="1" s="1"/>
  <c r="S144" i="1"/>
  <c r="S95" i="1"/>
  <c r="S29" i="1"/>
  <c r="K661" i="1"/>
  <c r="L661" i="1" s="1"/>
  <c r="N661" i="1" s="1"/>
  <c r="O661" i="1" s="1"/>
  <c r="Q1008" i="1"/>
  <c r="R1008" i="1" s="1"/>
  <c r="Q880" i="1"/>
  <c r="R880" i="1" s="1"/>
  <c r="K904" i="1"/>
  <c r="L904" i="1" s="1"/>
  <c r="N904" i="1" s="1"/>
  <c r="O904" i="1" s="1"/>
  <c r="R315" i="1"/>
  <c r="L322" i="1"/>
  <c r="N322" i="1" s="1"/>
  <c r="O322" i="1" s="1"/>
  <c r="Q189" i="1"/>
  <c r="R189" i="1" s="1"/>
  <c r="S74" i="1"/>
  <c r="Q184" i="1"/>
  <c r="R184" i="1" s="1"/>
  <c r="K184" i="1"/>
  <c r="L184" i="1" s="1"/>
  <c r="N184" i="1" s="1"/>
  <c r="S38" i="1"/>
  <c r="S110" i="1"/>
  <c r="S66" i="1"/>
  <c r="S157" i="1"/>
  <c r="S32" i="1"/>
  <c r="S64" i="1"/>
  <c r="S949" i="1"/>
  <c r="K1013" i="1"/>
  <c r="L1013" i="1" s="1"/>
  <c r="N1013" i="1" s="1"/>
  <c r="O1013" i="1" s="1"/>
  <c r="Q1013" i="1"/>
  <c r="R1013" i="1" s="1"/>
  <c r="K988" i="1"/>
  <c r="L988" i="1" s="1"/>
  <c r="N988" i="1" s="1"/>
  <c r="O988" i="1" s="1"/>
  <c r="Q988" i="1"/>
  <c r="R988" i="1" s="1"/>
  <c r="S451" i="1"/>
  <c r="S483" i="1"/>
  <c r="S547" i="1"/>
  <c r="U547" i="1" s="1"/>
  <c r="V547" i="1" s="1"/>
  <c r="S579" i="1"/>
  <c r="S611" i="1"/>
  <c r="S521" i="1"/>
  <c r="S584" i="1"/>
  <c r="Q665" i="1"/>
  <c r="R665" i="1" s="1"/>
  <c r="K665" i="1"/>
  <c r="L665" i="1" s="1"/>
  <c r="N665" i="1" s="1"/>
  <c r="O665" i="1" s="1"/>
  <c r="S713" i="1"/>
  <c r="Q816" i="1"/>
  <c r="R816" i="1" s="1"/>
  <c r="K816" i="1"/>
  <c r="L816" i="1" s="1"/>
  <c r="N816" i="1" s="1"/>
  <c r="O816" i="1" s="1"/>
  <c r="S911" i="1"/>
  <c r="Q969" i="1"/>
  <c r="R969" i="1" s="1"/>
  <c r="K969" i="1"/>
  <c r="L969" i="1" s="1"/>
  <c r="N969" i="1" s="1"/>
  <c r="O969" i="1" s="1"/>
  <c r="Q813" i="1"/>
  <c r="R813" i="1" s="1"/>
  <c r="K813" i="1"/>
  <c r="L813" i="1" s="1"/>
  <c r="N813" i="1" s="1"/>
  <c r="O813" i="1" s="1"/>
  <c r="S1021" i="1"/>
  <c r="Q979" i="1"/>
  <c r="R979" i="1" s="1"/>
  <c r="K979" i="1"/>
  <c r="L979" i="1" s="1"/>
  <c r="N979" i="1" s="1"/>
  <c r="O979" i="1" s="1"/>
  <c r="K890" i="1"/>
  <c r="L890" i="1" s="1"/>
  <c r="N890" i="1" s="1"/>
  <c r="O890" i="1" s="1"/>
  <c r="Q890" i="1"/>
  <c r="R890" i="1" s="1"/>
  <c r="K166" i="1"/>
  <c r="L166" i="1" s="1"/>
  <c r="N166" i="1" s="1"/>
  <c r="O166" i="1" s="1"/>
  <c r="Q166" i="1"/>
  <c r="R166" i="1" s="1"/>
  <c r="S102" i="1"/>
  <c r="S566" i="1"/>
  <c r="K495" i="1"/>
  <c r="L495" i="1" s="1"/>
  <c r="N495" i="1" s="1"/>
  <c r="O495" i="1" s="1"/>
  <c r="Q495" i="1"/>
  <c r="R495" i="1" s="1"/>
  <c r="K511" i="1"/>
  <c r="L511" i="1" s="1"/>
  <c r="N511" i="1" s="1"/>
  <c r="O511" i="1" s="1"/>
  <c r="Q511" i="1"/>
  <c r="R511" i="1" s="1"/>
  <c r="K591" i="1"/>
  <c r="L591" i="1" s="1"/>
  <c r="N591" i="1" s="1"/>
  <c r="O591" i="1" s="1"/>
  <c r="Q591" i="1"/>
  <c r="R591" i="1" s="1"/>
  <c r="Q606" i="1"/>
  <c r="R606" i="1" s="1"/>
  <c r="K606" i="1"/>
  <c r="L606" i="1" s="1"/>
  <c r="N606" i="1" s="1"/>
  <c r="O606" i="1" s="1"/>
  <c r="K581" i="1"/>
  <c r="L581" i="1" s="1"/>
  <c r="N581" i="1" s="1"/>
  <c r="O581" i="1" s="1"/>
  <c r="Q581" i="1"/>
  <c r="R581" i="1" s="1"/>
  <c r="K780" i="1"/>
  <c r="L780" i="1" s="1"/>
  <c r="N780" i="1" s="1"/>
  <c r="O780" i="1" s="1"/>
  <c r="Q780" i="1"/>
  <c r="R780" i="1" s="1"/>
  <c r="K849" i="1"/>
  <c r="L849" i="1" s="1"/>
  <c r="N849" i="1" s="1"/>
  <c r="O849" i="1" s="1"/>
  <c r="K1000" i="1"/>
  <c r="L1000" i="1" s="1"/>
  <c r="N1000" i="1" s="1"/>
  <c r="O1000" i="1" s="1"/>
  <c r="R158" i="1"/>
  <c r="S757" i="1"/>
  <c r="K133" i="1"/>
  <c r="L133" i="1" s="1"/>
  <c r="N133" i="1" s="1"/>
  <c r="O133" i="1" s="1"/>
  <c r="S811" i="1"/>
  <c r="L427" i="1"/>
  <c r="N427" i="1" s="1"/>
  <c r="O427" i="1" s="1"/>
  <c r="K263" i="1"/>
  <c r="L263" i="1" s="1"/>
  <c r="N263" i="1" s="1"/>
  <c r="O263" i="1" s="1"/>
  <c r="Q263" i="1"/>
  <c r="R263" i="1" s="1"/>
  <c r="Q326" i="1"/>
  <c r="R326" i="1" s="1"/>
  <c r="K326" i="1"/>
  <c r="L326" i="1" s="1"/>
  <c r="N326" i="1" s="1"/>
  <c r="O326" i="1" s="1"/>
  <c r="K766" i="1"/>
  <c r="L766" i="1" s="1"/>
  <c r="N766" i="1" s="1"/>
  <c r="O766" i="1" s="1"/>
  <c r="Q766" i="1"/>
  <c r="R766" i="1" s="1"/>
  <c r="Q174" i="1"/>
  <c r="R174" i="1" s="1"/>
  <c r="K174" i="1"/>
  <c r="L174" i="1" s="1"/>
  <c r="N174" i="1" s="1"/>
  <c r="O174" i="1" s="1"/>
  <c r="S424" i="1"/>
  <c r="Q565" i="1"/>
  <c r="R565" i="1" s="1"/>
  <c r="K565" i="1"/>
  <c r="L565" i="1" s="1"/>
  <c r="N565" i="1" s="1"/>
  <c r="O565" i="1" s="1"/>
  <c r="S710" i="1"/>
  <c r="S929" i="1"/>
  <c r="L549" i="1"/>
  <c r="N549" i="1" s="1"/>
  <c r="O549" i="1" s="1"/>
  <c r="L916" i="1"/>
  <c r="N916" i="1" s="1"/>
  <c r="O916" i="1" s="1"/>
  <c r="L872" i="1"/>
  <c r="N872" i="1" s="1"/>
  <c r="O872" i="1" s="1"/>
  <c r="R1018" i="1"/>
  <c r="R843" i="1"/>
  <c r="R747" i="1"/>
  <c r="L315" i="1"/>
  <c r="N315" i="1" s="1"/>
  <c r="O315" i="1" s="1"/>
  <c r="K267" i="1"/>
  <c r="L267" i="1" s="1"/>
  <c r="N267" i="1" s="1"/>
  <c r="O267" i="1" s="1"/>
  <c r="R322" i="1"/>
  <c r="R194" i="1"/>
  <c r="S313" i="1"/>
  <c r="L856" i="1"/>
  <c r="N856" i="1" s="1"/>
  <c r="O856" i="1" s="1"/>
  <c r="L776" i="1"/>
  <c r="N776" i="1" s="1"/>
  <c r="O776" i="1" s="1"/>
  <c r="K426" i="1"/>
  <c r="L426" i="1" s="1"/>
  <c r="N426" i="1" s="1"/>
  <c r="O426" i="1" s="1"/>
  <c r="S137" i="1"/>
  <c r="K1017" i="1"/>
  <c r="L1017" i="1" s="1"/>
  <c r="N1017" i="1" s="1"/>
  <c r="O1017" i="1" s="1"/>
  <c r="N611" i="1"/>
  <c r="O611" i="1" s="1"/>
  <c r="Q948" i="1"/>
  <c r="R948" i="1" s="1"/>
  <c r="Q427" i="1"/>
  <c r="R427" i="1" s="1"/>
  <c r="L43" i="1"/>
  <c r="N43" i="1" s="1"/>
  <c r="O43" i="1" s="1"/>
  <c r="Q679" i="1"/>
  <c r="R679" i="1" s="1"/>
  <c r="Q830" i="1"/>
  <c r="R830" i="1" s="1"/>
  <c r="R646" i="1"/>
  <c r="K63" i="1"/>
  <c r="L63" i="1" s="1"/>
  <c r="N63" i="1" s="1"/>
  <c r="O63" i="1" s="1"/>
  <c r="Q63" i="1"/>
  <c r="R63" i="1" s="1"/>
  <c r="Q224" i="1"/>
  <c r="R224" i="1" s="1"/>
  <c r="K224" i="1"/>
  <c r="L224" i="1" s="1"/>
  <c r="N224" i="1" s="1"/>
  <c r="O224" i="1" s="1"/>
  <c r="R917" i="1"/>
  <c r="R920" i="1"/>
  <c r="U920" i="1" s="1"/>
  <c r="V920" i="1" s="1"/>
  <c r="L939" i="1"/>
  <c r="N939" i="1" s="1"/>
  <c r="O939" i="1" s="1"/>
  <c r="L699" i="1"/>
  <c r="N699" i="1" s="1"/>
  <c r="O699" i="1" s="1"/>
  <c r="L395" i="1"/>
  <c r="N395" i="1" s="1"/>
  <c r="O395" i="1" s="1"/>
  <c r="L359" i="1"/>
  <c r="N359" i="1" s="1"/>
  <c r="O359" i="1" s="1"/>
  <c r="R76" i="1"/>
  <c r="K846" i="1"/>
  <c r="L846" i="1" s="1"/>
  <c r="N846" i="1" s="1"/>
  <c r="O846" i="1" s="1"/>
  <c r="L338" i="1"/>
  <c r="N338" i="1" s="1"/>
  <c r="O338" i="1" s="1"/>
  <c r="L306" i="1"/>
  <c r="N306" i="1" s="1"/>
  <c r="O306" i="1" s="1"/>
  <c r="L178" i="1"/>
  <c r="N178" i="1" s="1"/>
  <c r="O178" i="1" s="1"/>
  <c r="R42" i="1"/>
  <c r="L158" i="1"/>
  <c r="N158" i="1" s="1"/>
  <c r="O158" i="1" s="1"/>
  <c r="K792" i="1"/>
  <c r="L792" i="1" s="1"/>
  <c r="N792" i="1" s="1"/>
  <c r="O792" i="1" s="1"/>
  <c r="L1041" i="1"/>
  <c r="N1041" i="1" s="1"/>
  <c r="O1041" i="1" s="1"/>
  <c r="Q470" i="1"/>
  <c r="R470" i="1" s="1"/>
  <c r="L545" i="1"/>
  <c r="N545" i="1" s="1"/>
  <c r="O545" i="1" s="1"/>
  <c r="S389" i="1"/>
  <c r="K394" i="1"/>
  <c r="L394" i="1" s="1"/>
  <c r="N394" i="1" s="1"/>
  <c r="O394" i="1" s="1"/>
  <c r="S996" i="1"/>
  <c r="S190" i="1"/>
  <c r="S487" i="1"/>
  <c r="Q693" i="1"/>
  <c r="R693" i="1" s="1"/>
  <c r="K693" i="1"/>
  <c r="L693" i="1" s="1"/>
  <c r="N693" i="1" s="1"/>
  <c r="O693" i="1" s="1"/>
  <c r="S45" i="1"/>
  <c r="K79" i="1"/>
  <c r="L79" i="1" s="1"/>
  <c r="N79" i="1" s="1"/>
  <c r="O79" i="1" s="1"/>
  <c r="Q79" i="1"/>
  <c r="R79" i="1" s="1"/>
  <c r="S444" i="1"/>
  <c r="L765" i="1"/>
  <c r="N765" i="1" s="1"/>
  <c r="O765" i="1" s="1"/>
  <c r="L924" i="1"/>
  <c r="N924" i="1" s="1"/>
  <c r="O924" i="1" s="1"/>
  <c r="R916" i="1"/>
  <c r="R395" i="1"/>
  <c r="L76" i="1"/>
  <c r="N76" i="1" s="1"/>
  <c r="O76" i="1" s="1"/>
  <c r="L958" i="1"/>
  <c r="N958" i="1" s="1"/>
  <c r="O958" i="1" s="1"/>
  <c r="R338" i="1"/>
  <c r="R178" i="1"/>
  <c r="R856" i="1"/>
  <c r="R824" i="1"/>
  <c r="R776" i="1"/>
  <c r="R1041" i="1"/>
  <c r="S808" i="1"/>
  <c r="Q582" i="1"/>
  <c r="R582" i="1" s="1"/>
  <c r="K550" i="1"/>
  <c r="L550" i="1" s="1"/>
  <c r="N550" i="1" s="1"/>
  <c r="O550" i="1" s="1"/>
  <c r="K145" i="1"/>
  <c r="L145" i="1" s="1"/>
  <c r="N145" i="1" s="1"/>
  <c r="O145" i="1" s="1"/>
  <c r="Q97" i="1"/>
  <c r="R97" i="1" s="1"/>
  <c r="L380" i="1"/>
  <c r="N380" i="1" s="1"/>
  <c r="O380" i="1" s="1"/>
  <c r="K828" i="1"/>
  <c r="L828" i="1" s="1"/>
  <c r="N828" i="1" s="1"/>
  <c r="O828" i="1" s="1"/>
  <c r="K430" i="1"/>
  <c r="L430" i="1" s="1"/>
  <c r="N430" i="1" s="1"/>
  <c r="O430" i="1" s="1"/>
  <c r="L982" i="1"/>
  <c r="N982" i="1" s="1"/>
  <c r="O982" i="1" s="1"/>
  <c r="R545" i="1"/>
  <c r="R943" i="1"/>
  <c r="L879" i="1"/>
  <c r="N879" i="1" s="1"/>
  <c r="O879" i="1" s="1"/>
  <c r="L117" i="1"/>
  <c r="N117" i="1" s="1"/>
  <c r="O117" i="1" s="1"/>
  <c r="L85" i="1"/>
  <c r="N85" i="1" s="1"/>
  <c r="O85" i="1" s="1"/>
  <c r="L1028" i="1"/>
  <c r="N1028" i="1" s="1"/>
  <c r="O1028" i="1" s="1"/>
  <c r="L894" i="1"/>
  <c r="N894" i="1" s="1"/>
  <c r="O894" i="1" s="1"/>
  <c r="R737" i="1"/>
  <c r="R718" i="1"/>
  <c r="L975" i="1"/>
  <c r="N975" i="1" s="1"/>
  <c r="O975" i="1" s="1"/>
  <c r="R513" i="1"/>
  <c r="L737" i="1"/>
  <c r="N737" i="1" s="1"/>
  <c r="O737" i="1" s="1"/>
  <c r="R879" i="1"/>
  <c r="L783" i="1"/>
  <c r="N783" i="1" s="1"/>
  <c r="O783" i="1" s="1"/>
  <c r="L718" i="1"/>
  <c r="N718" i="1" s="1"/>
  <c r="O718" i="1" s="1"/>
  <c r="L639" i="1"/>
  <c r="N639" i="1" s="1"/>
  <c r="O639" i="1" s="1"/>
  <c r="R543" i="1"/>
  <c r="R463" i="1"/>
  <c r="L161" i="1"/>
  <c r="N161" i="1" s="1"/>
  <c r="O161" i="1" s="1"/>
  <c r="L989" i="1"/>
  <c r="N989" i="1" s="1"/>
  <c r="O989" i="1" s="1"/>
  <c r="L595" i="1"/>
  <c r="N595" i="1" s="1"/>
  <c r="O595" i="1" s="1"/>
  <c r="K288" i="1"/>
  <c r="L288" i="1" s="1"/>
  <c r="N288" i="1" s="1"/>
  <c r="O288" i="1" s="1"/>
  <c r="W964" i="1"/>
  <c r="S912" i="1"/>
  <c r="Q907" i="1"/>
  <c r="R907" i="1" s="1"/>
  <c r="S463" i="1"/>
  <c r="L164" i="1"/>
  <c r="N164" i="1" s="1"/>
  <c r="O164" i="1" s="1"/>
  <c r="K220" i="1"/>
  <c r="L220" i="1" s="1"/>
  <c r="N220" i="1" s="1"/>
  <c r="O220" i="1" s="1"/>
  <c r="N910" i="1"/>
  <c r="O910" i="1" s="1"/>
  <c r="K78" i="1"/>
  <c r="L78" i="1" s="1"/>
  <c r="N78" i="1" s="1"/>
  <c r="O78" i="1" s="1"/>
  <c r="S124" i="1"/>
  <c r="Q1027" i="1"/>
  <c r="R1027" i="1" s="1"/>
  <c r="L32" i="1"/>
  <c r="N32" i="1" s="1"/>
  <c r="O32" i="1" s="1"/>
  <c r="R674" i="1"/>
  <c r="L577" i="1"/>
  <c r="N577" i="1" s="1"/>
  <c r="O577" i="1" s="1"/>
  <c r="K643" i="1"/>
  <c r="L643" i="1" s="1"/>
  <c r="N643" i="1" s="1"/>
  <c r="O643" i="1" s="1"/>
  <c r="K485" i="1"/>
  <c r="L485" i="1" s="1"/>
  <c r="N485" i="1" s="1"/>
  <c r="O485" i="1" s="1"/>
  <c r="R577" i="1"/>
  <c r="K663" i="1"/>
  <c r="L663" i="1" s="1"/>
  <c r="N663" i="1" s="1"/>
  <c r="O663" i="1" s="1"/>
  <c r="R960" i="1"/>
  <c r="L1009" i="1"/>
  <c r="N1009" i="1" s="1"/>
  <c r="O1009" i="1" s="1"/>
  <c r="L936" i="1"/>
  <c r="N936" i="1" s="1"/>
  <c r="O936" i="1" s="1"/>
  <c r="L741" i="1"/>
  <c r="N741" i="1" s="1"/>
  <c r="O741" i="1" s="1"/>
  <c r="R467" i="1"/>
  <c r="L499" i="1"/>
  <c r="N499" i="1" s="1"/>
  <c r="O499" i="1" s="1"/>
  <c r="L597" i="1"/>
  <c r="N597" i="1" s="1"/>
  <c r="O597" i="1" s="1"/>
  <c r="L876" i="1"/>
  <c r="N876" i="1" s="1"/>
  <c r="O876" i="1" s="1"/>
  <c r="L921" i="1"/>
  <c r="N921" i="1" s="1"/>
  <c r="O921" i="1" s="1"/>
  <c r="R1032" i="1"/>
  <c r="L1014" i="1"/>
  <c r="N1014" i="1" s="1"/>
  <c r="O1014" i="1" s="1"/>
  <c r="R967" i="1"/>
  <c r="L869" i="1"/>
  <c r="N869" i="1" s="1"/>
  <c r="O869" i="1" s="1"/>
  <c r="N821" i="1"/>
  <c r="O821" i="1" s="1"/>
  <c r="K960" i="1"/>
  <c r="L960" i="1" s="1"/>
  <c r="N960" i="1" s="1"/>
  <c r="O960" i="1" s="1"/>
  <c r="S777" i="1"/>
  <c r="S53" i="1"/>
  <c r="R991" i="1"/>
  <c r="R847" i="1"/>
  <c r="K59" i="1"/>
  <c r="L59" i="1" s="1"/>
  <c r="N59" i="1" s="1"/>
  <c r="O59" i="1" s="1"/>
  <c r="S178" i="1"/>
  <c r="S296" i="1"/>
  <c r="S48" i="1"/>
  <c r="Q1009" i="1"/>
  <c r="R1009" i="1" s="1"/>
  <c r="Q1014" i="1"/>
  <c r="R1014" i="1" s="1"/>
  <c r="S783" i="1"/>
  <c r="R1029" i="1"/>
  <c r="Q936" i="1"/>
  <c r="R936" i="1" s="1"/>
  <c r="R1035" i="1"/>
  <c r="L284" i="1"/>
  <c r="N284" i="1" s="1"/>
  <c r="O284" i="1" s="1"/>
  <c r="R258" i="1"/>
  <c r="R173" i="1"/>
  <c r="R93" i="1"/>
  <c r="Q741" i="1"/>
  <c r="R741" i="1" s="1"/>
  <c r="Q499" i="1"/>
  <c r="R499" i="1" s="1"/>
  <c r="Q921" i="1"/>
  <c r="R921" i="1" s="1"/>
  <c r="K949" i="1"/>
  <c r="L949" i="1" s="1"/>
  <c r="N949" i="1" s="1"/>
  <c r="O949" i="1" s="1"/>
  <c r="R751" i="1"/>
  <c r="R150" i="1"/>
  <c r="L102" i="1"/>
  <c r="N102" i="1" s="1"/>
  <c r="O102" i="1" s="1"/>
  <c r="Q1043" i="1"/>
  <c r="R1043" i="1" s="1"/>
  <c r="Q1021" i="1"/>
  <c r="R1021" i="1" s="1"/>
  <c r="Q584" i="1"/>
  <c r="R584" i="1" s="1"/>
  <c r="K467" i="1"/>
  <c r="L467" i="1" s="1"/>
  <c r="N467" i="1" s="1"/>
  <c r="O467" i="1" s="1"/>
  <c r="R133" i="1"/>
  <c r="K1032" i="1"/>
  <c r="L1032" i="1" s="1"/>
  <c r="N1032" i="1" s="1"/>
  <c r="O1032" i="1" s="1"/>
  <c r="L505" i="1"/>
  <c r="N505" i="1" s="1"/>
  <c r="O505" i="1" s="1"/>
  <c r="L944" i="1"/>
  <c r="N944" i="1" s="1"/>
  <c r="O944" i="1" s="1"/>
  <c r="R284" i="1"/>
  <c r="L258" i="1"/>
  <c r="N258" i="1" s="1"/>
  <c r="O258" i="1" s="1"/>
  <c r="L53" i="1"/>
  <c r="N53" i="1" s="1"/>
  <c r="O53" i="1" s="1"/>
  <c r="L911" i="1"/>
  <c r="N911" i="1" s="1"/>
  <c r="O911" i="1" s="1"/>
  <c r="L751" i="1"/>
  <c r="N751" i="1" s="1"/>
  <c r="O751" i="1" s="1"/>
  <c r="R102" i="1"/>
  <c r="Q785" i="1"/>
  <c r="R785" i="1" s="1"/>
  <c r="L842" i="1"/>
  <c r="N842" i="1" s="1"/>
  <c r="O842" i="1" s="1"/>
  <c r="L676" i="1"/>
  <c r="N676" i="1" s="1"/>
  <c r="O676" i="1" s="1"/>
  <c r="S101" i="1"/>
  <c r="K579" i="1"/>
  <c r="L579" i="1" s="1"/>
  <c r="N579" i="1" s="1"/>
  <c r="O579" i="1" s="1"/>
  <c r="K483" i="1"/>
  <c r="L483" i="1" s="1"/>
  <c r="N483" i="1" s="1"/>
  <c r="O483" i="1" s="1"/>
  <c r="L469" i="1"/>
  <c r="N469" i="1" s="1"/>
  <c r="O469" i="1" s="1"/>
  <c r="S511" i="1"/>
  <c r="K547" i="1"/>
  <c r="L547" i="1" s="1"/>
  <c r="N547" i="1" s="1"/>
  <c r="Q149" i="1"/>
  <c r="R149" i="1" s="1"/>
  <c r="L785" i="1"/>
  <c r="N785" i="1" s="1"/>
  <c r="O785" i="1" s="1"/>
  <c r="N531" i="1"/>
  <c r="O531" i="1" s="1"/>
  <c r="R627" i="1"/>
  <c r="K627" i="1"/>
  <c r="L627" i="1" s="1"/>
  <c r="N627" i="1" s="1"/>
  <c r="O627" i="1" s="1"/>
  <c r="N501" i="1"/>
  <c r="O501" i="1" s="1"/>
  <c r="Q424" i="1"/>
  <c r="R424" i="1" s="1"/>
  <c r="L114" i="1"/>
  <c r="N114" i="1" s="1"/>
  <c r="O114" i="1" s="1"/>
  <c r="L104" i="1"/>
  <c r="N104" i="1" s="1"/>
  <c r="O104" i="1" s="1"/>
  <c r="L66" i="1"/>
  <c r="N66" i="1" s="1"/>
  <c r="O66" i="1" s="1"/>
  <c r="Q531" i="1"/>
  <c r="R531" i="1" s="1"/>
  <c r="R897" i="1"/>
  <c r="Q109" i="1"/>
  <c r="R109" i="1" s="1"/>
  <c r="S573" i="1"/>
  <c r="Q469" i="1"/>
  <c r="R469" i="1" s="1"/>
  <c r="N496" i="1"/>
  <c r="O496" i="1" s="1"/>
  <c r="R598" i="1"/>
  <c r="K897" i="1"/>
  <c r="L897" i="1" s="1"/>
  <c r="N897" i="1" s="1"/>
  <c r="O897" i="1" s="1"/>
  <c r="N424" i="1"/>
  <c r="O424" i="1" s="1"/>
  <c r="K141" i="1"/>
  <c r="L141" i="1" s="1"/>
  <c r="N141" i="1" s="1"/>
  <c r="O141" i="1" s="1"/>
  <c r="K126" i="1"/>
  <c r="L126" i="1" s="1"/>
  <c r="N126" i="1" s="1"/>
  <c r="O126" i="1" s="1"/>
  <c r="N127" i="1"/>
  <c r="O127" i="1" s="1"/>
  <c r="S232" i="1"/>
  <c r="R25" i="1"/>
  <c r="L272" i="1"/>
  <c r="N272" i="1" s="1"/>
  <c r="O272" i="1" s="1"/>
  <c r="R663" i="1"/>
  <c r="R485" i="1"/>
  <c r="S988" i="1"/>
  <c r="S646" i="1"/>
  <c r="Q165" i="1"/>
  <c r="R165" i="1" s="1"/>
  <c r="Q272" i="1"/>
  <c r="R272" i="1" s="1"/>
  <c r="S172" i="1"/>
  <c r="R141" i="1"/>
  <c r="K62" i="1"/>
  <c r="L62" i="1" s="1"/>
  <c r="N62" i="1" s="1"/>
  <c r="O62" i="1" s="1"/>
  <c r="K73" i="1"/>
  <c r="L73" i="1" s="1"/>
  <c r="N73" i="1" s="1"/>
  <c r="O73" i="1" s="1"/>
  <c r="K674" i="1"/>
  <c r="L674" i="1" s="1"/>
  <c r="N674" i="1" s="1"/>
  <c r="O674" i="1" s="1"/>
  <c r="K533" i="1"/>
  <c r="L533" i="1" s="1"/>
  <c r="N533" i="1" s="1"/>
  <c r="O533" i="1" s="1"/>
  <c r="L907" i="1"/>
  <c r="N907" i="1" s="1"/>
  <c r="O907" i="1" s="1"/>
  <c r="Q186" i="1"/>
  <c r="R186" i="1" s="1"/>
  <c r="S1041" i="1"/>
  <c r="S289" i="1"/>
  <c r="R643" i="1"/>
  <c r="N729" i="1"/>
  <c r="O729" i="1" s="1"/>
  <c r="R73" i="1"/>
  <c r="Q729" i="1"/>
  <c r="R729" i="1" s="1"/>
  <c r="S751" i="1"/>
  <c r="S125" i="1"/>
  <c r="L106" i="1"/>
  <c r="N106" i="1" s="1"/>
  <c r="O106" i="1" s="1"/>
  <c r="L725" i="1"/>
  <c r="N725" i="1" s="1"/>
  <c r="O725" i="1" s="1"/>
  <c r="R140" i="1"/>
  <c r="L941" i="1"/>
  <c r="N941" i="1" s="1"/>
  <c r="O941" i="1" s="1"/>
  <c r="R745" i="1"/>
  <c r="R734" i="1"/>
  <c r="L687" i="1"/>
  <c r="N687" i="1" s="1"/>
  <c r="O687" i="1" s="1"/>
  <c r="L893" i="1"/>
  <c r="N893" i="1" s="1"/>
  <c r="O893" i="1" s="1"/>
  <c r="R1006" i="1"/>
  <c r="L484" i="1"/>
  <c r="N484" i="1" s="1"/>
  <c r="O484" i="1" s="1"/>
  <c r="L734" i="1"/>
  <c r="N734" i="1" s="1"/>
  <c r="O734" i="1" s="1"/>
  <c r="R687" i="1"/>
  <c r="L527" i="1"/>
  <c r="N527" i="1" s="1"/>
  <c r="O527" i="1" s="1"/>
  <c r="L678" i="1"/>
  <c r="N678" i="1" s="1"/>
  <c r="O678" i="1" s="1"/>
  <c r="R156" i="1"/>
  <c r="L1021" i="1"/>
  <c r="N1021" i="1" s="1"/>
  <c r="O1021" i="1" s="1"/>
  <c r="R798" i="1"/>
  <c r="L735" i="1"/>
  <c r="N735" i="1" s="1"/>
  <c r="O735" i="1" s="1"/>
  <c r="R484" i="1"/>
  <c r="L1027" i="1"/>
  <c r="N1027" i="1" s="1"/>
  <c r="O1027" i="1" s="1"/>
  <c r="L165" i="1"/>
  <c r="N165" i="1" s="1"/>
  <c r="O165" i="1" s="1"/>
  <c r="U1016" i="1"/>
  <c r="V1016" i="1" s="1"/>
  <c r="R959" i="1"/>
  <c r="R896" i="1"/>
  <c r="L271" i="1"/>
  <c r="N271" i="1" s="1"/>
  <c r="O271" i="1" s="1"/>
  <c r="R614" i="1"/>
  <c r="R487" i="1"/>
  <c r="L156" i="1"/>
  <c r="N156" i="1" s="1"/>
  <c r="O156" i="1" s="1"/>
  <c r="R694" i="1"/>
  <c r="N926" i="1"/>
  <c r="O926" i="1" s="1"/>
  <c r="R878" i="1"/>
  <c r="R164" i="1"/>
  <c r="K74" i="1"/>
  <c r="L74" i="1" s="1"/>
  <c r="N74" i="1" s="1"/>
  <c r="O74" i="1" s="1"/>
  <c r="Q47" i="1"/>
  <c r="R47" i="1" s="1"/>
  <c r="L296" i="1"/>
  <c r="N296" i="1" s="1"/>
  <c r="L264" i="1"/>
  <c r="N264" i="1" s="1"/>
  <c r="R78" i="1"/>
  <c r="Q351" i="1"/>
  <c r="R351" i="1" s="1"/>
  <c r="L248" i="1"/>
  <c r="N248" i="1" s="1"/>
  <c r="O248" i="1" s="1"/>
  <c r="R220" i="1"/>
  <c r="R135" i="1"/>
  <c r="N289" i="1"/>
  <c r="O289" i="1" s="1"/>
  <c r="L80" i="1"/>
  <c r="N80" i="1" s="1"/>
  <c r="O80" i="1" s="1"/>
  <c r="N64" i="1"/>
  <c r="O64" i="1" s="1"/>
  <c r="L47" i="1"/>
  <c r="N47" i="1" s="1"/>
  <c r="O47" i="1" s="1"/>
  <c r="L113" i="1"/>
  <c r="N113" i="1" s="1"/>
  <c r="O113" i="1" s="1"/>
  <c r="L195" i="1"/>
  <c r="N195" i="1" s="1"/>
  <c r="O195" i="1" s="1"/>
  <c r="R157" i="1"/>
  <c r="L251" i="1"/>
  <c r="N251" i="1" s="1"/>
  <c r="O251" i="1" s="1"/>
  <c r="R290" i="1"/>
  <c r="R210" i="1"/>
  <c r="R125" i="1"/>
  <c r="Q264" i="1"/>
  <c r="R264" i="1" s="1"/>
  <c r="R273" i="1"/>
  <c r="Q170" i="1"/>
  <c r="R170" i="1" s="1"/>
  <c r="R32" i="1"/>
  <c r="R195" i="1"/>
  <c r="L290" i="1"/>
  <c r="N290" i="1" s="1"/>
  <c r="O290" i="1" s="1"/>
  <c r="L210" i="1"/>
  <c r="N210" i="1" s="1"/>
  <c r="L129" i="1"/>
  <c r="N129" i="1" s="1"/>
  <c r="O129" i="1" s="1"/>
  <c r="L205" i="1"/>
  <c r="N205" i="1" s="1"/>
  <c r="O205" i="1" s="1"/>
  <c r="Q296" i="1"/>
  <c r="R296" i="1" s="1"/>
  <c r="Q248" i="1"/>
  <c r="R248" i="1" s="1"/>
  <c r="R241" i="1"/>
  <c r="L1043" i="1"/>
  <c r="N1043" i="1" s="1"/>
  <c r="O1043" i="1" s="1"/>
  <c r="L109" i="1"/>
  <c r="N109" i="1" s="1"/>
  <c r="O109" i="1" s="1"/>
  <c r="L227" i="1"/>
  <c r="N227" i="1" s="1"/>
  <c r="O227" i="1" s="1"/>
  <c r="R205" i="1"/>
  <c r="L305" i="1"/>
  <c r="N305" i="1" s="1"/>
  <c r="O305" i="1" s="1"/>
  <c r="R113" i="1"/>
  <c r="N351" i="1"/>
  <c r="O351" i="1" s="1"/>
  <c r="Q114" i="1"/>
  <c r="R114" i="1" s="1"/>
  <c r="Q289" i="1"/>
  <c r="R289" i="1" s="1"/>
  <c r="L33" i="1"/>
  <c r="N33" i="1" s="1"/>
  <c r="O33" i="1" s="1"/>
  <c r="L189" i="1"/>
  <c r="N189" i="1" s="1"/>
  <c r="O189" i="1" s="1"/>
  <c r="Q106" i="1"/>
  <c r="R106" i="1" s="1"/>
  <c r="K135" i="1"/>
  <c r="L135" i="1" s="1"/>
  <c r="N135" i="1" s="1"/>
  <c r="O135" i="1" s="1"/>
  <c r="L344" i="1"/>
  <c r="N344" i="1" s="1"/>
  <c r="O344" i="1" s="1"/>
  <c r="R328" i="1"/>
  <c r="R50" i="1"/>
  <c r="L95" i="1"/>
  <c r="N95" i="1" s="1"/>
  <c r="O95" i="1" s="1"/>
  <c r="Q104" i="1"/>
  <c r="R104" i="1" s="1"/>
  <c r="Q80" i="1"/>
  <c r="R80" i="1" s="1"/>
  <c r="N186" i="1"/>
  <c r="O186" i="1" s="1"/>
  <c r="Q66" i="1"/>
  <c r="R66" i="1" s="1"/>
  <c r="Q344" i="1"/>
  <c r="R344" i="1" s="1"/>
  <c r="L44" i="1"/>
  <c r="N44" i="1" s="1"/>
  <c r="O44" i="1" s="1"/>
  <c r="Q217" i="1"/>
  <c r="R217" i="1" s="1"/>
  <c r="R44" i="1"/>
  <c r="S214" i="1"/>
  <c r="S210" i="1"/>
  <c r="K321" i="1"/>
  <c r="L321" i="1" s="1"/>
  <c r="N321" i="1" s="1"/>
  <c r="O321" i="1" s="1"/>
  <c r="Q321" i="1"/>
  <c r="R321" i="1" s="1"/>
  <c r="K257" i="1"/>
  <c r="L257" i="1" s="1"/>
  <c r="N257" i="1" s="1"/>
  <c r="O257" i="1" s="1"/>
  <c r="Q257" i="1"/>
  <c r="R257" i="1" s="1"/>
  <c r="K225" i="1"/>
  <c r="L225" i="1" s="1"/>
  <c r="N225" i="1" s="1"/>
  <c r="O225" i="1" s="1"/>
  <c r="Q225" i="1"/>
  <c r="R225" i="1" s="1"/>
  <c r="S195" i="1"/>
  <c r="K188" i="1"/>
  <c r="L188" i="1" s="1"/>
  <c r="N188" i="1" s="1"/>
  <c r="O188" i="1" s="1"/>
  <c r="Q188" i="1"/>
  <c r="R188" i="1" s="1"/>
  <c r="Q222" i="1"/>
  <c r="R222" i="1" s="1"/>
  <c r="K222" i="1"/>
  <c r="L222" i="1" s="1"/>
  <c r="N222" i="1" s="1"/>
  <c r="O222" i="1" s="1"/>
  <c r="K115" i="1"/>
  <c r="L115" i="1" s="1"/>
  <c r="N115" i="1" s="1"/>
  <c r="O115" i="1" s="1"/>
  <c r="Q115" i="1"/>
  <c r="R115" i="1" s="1"/>
  <c r="Q142" i="1"/>
  <c r="R142" i="1" s="1"/>
  <c r="K142" i="1"/>
  <c r="L142" i="1" s="1"/>
  <c r="N142" i="1" s="1"/>
  <c r="O142" i="1" s="1"/>
  <c r="Q110" i="1"/>
  <c r="R110" i="1" s="1"/>
  <c r="K110" i="1"/>
  <c r="L110" i="1" s="1"/>
  <c r="N110" i="1" s="1"/>
  <c r="O110" i="1" s="1"/>
  <c r="K328" i="1"/>
  <c r="L328" i="1" s="1"/>
  <c r="N328" i="1" s="1"/>
  <c r="O328" i="1" s="1"/>
  <c r="Q95" i="1"/>
  <c r="R95" i="1" s="1"/>
  <c r="S76" i="1"/>
  <c r="R124" i="1"/>
  <c r="K144" i="1"/>
  <c r="L144" i="1" s="1"/>
  <c r="N144" i="1" s="1"/>
  <c r="O144" i="1" s="1"/>
  <c r="L84" i="1"/>
  <c r="N84" i="1" s="1"/>
  <c r="O84" i="1" s="1"/>
  <c r="Q64" i="1"/>
  <c r="R64" i="1" s="1"/>
  <c r="K50" i="1"/>
  <c r="L50" i="1" s="1"/>
  <c r="N50" i="1" s="1"/>
  <c r="O50" i="1" s="1"/>
  <c r="L124" i="1"/>
  <c r="N124" i="1" s="1"/>
  <c r="O124" i="1" s="1"/>
  <c r="R70" i="1"/>
  <c r="S114" i="1"/>
  <c r="S161" i="1"/>
  <c r="S97" i="1"/>
  <c r="L111" i="1"/>
  <c r="N111" i="1" s="1"/>
  <c r="O111" i="1" s="1"/>
  <c r="R126" i="1"/>
  <c r="R84" i="1"/>
  <c r="L232" i="1"/>
  <c r="N232" i="1" s="1"/>
  <c r="O232" i="1" s="1"/>
  <c r="L200" i="1"/>
  <c r="N200" i="1" s="1"/>
  <c r="O200" i="1" s="1"/>
  <c r="R33" i="1"/>
  <c r="N170" i="1"/>
  <c r="O170" i="1" s="1"/>
  <c r="L70" i="1"/>
  <c r="N70" i="1" s="1"/>
  <c r="O70" i="1" s="1"/>
  <c r="R62" i="1"/>
  <c r="U62" i="1" s="1"/>
  <c r="V62" i="1" s="1"/>
  <c r="S217" i="1"/>
  <c r="R68" i="1"/>
  <c r="U647" i="1"/>
  <c r="V647" i="1" s="1"/>
  <c r="K163" i="1"/>
  <c r="L163" i="1" s="1"/>
  <c r="N163" i="1" s="1"/>
  <c r="O163" i="1" s="1"/>
  <c r="Q201" i="1"/>
  <c r="R201" i="1" s="1"/>
  <c r="K201" i="1"/>
  <c r="L201" i="1" s="1"/>
  <c r="N201" i="1" s="1"/>
  <c r="O201" i="1" s="1"/>
  <c r="R1037" i="1"/>
  <c r="R168" i="1"/>
  <c r="S145" i="1"/>
  <c r="S77" i="1"/>
  <c r="R57" i="1"/>
  <c r="U976" i="1"/>
  <c r="V976" i="1" s="1"/>
  <c r="R98" i="1"/>
  <c r="BB950" i="1"/>
  <c r="BB704" i="1"/>
  <c r="BB817" i="1"/>
  <c r="BB1019" i="1"/>
  <c r="BB797" i="1"/>
  <c r="BB979" i="1"/>
  <c r="BB777" i="1"/>
  <c r="BB971" i="1"/>
  <c r="BB773" i="1"/>
  <c r="BB899" i="1"/>
  <c r="BB737" i="1"/>
  <c r="BB852" i="1"/>
  <c r="BB717" i="1"/>
  <c r="BB799" i="1"/>
  <c r="BB697" i="1"/>
  <c r="BB788" i="1"/>
  <c r="BB693" i="1"/>
  <c r="BB608" i="1"/>
  <c r="BB657" i="1"/>
  <c r="BB276" i="1"/>
  <c r="BB637" i="1"/>
  <c r="BB1018" i="1"/>
  <c r="BB617" i="1"/>
  <c r="BB1010" i="1"/>
  <c r="BB613" i="1"/>
  <c r="BB938" i="1"/>
  <c r="BB577" i="1"/>
  <c r="BB894" i="1"/>
  <c r="BB557" i="1"/>
  <c r="BB846" i="1"/>
  <c r="BB537" i="1"/>
  <c r="BB835" i="1"/>
  <c r="BB533" i="1"/>
  <c r="BB196" i="1"/>
  <c r="BB628" i="1"/>
  <c r="BB1009" i="1"/>
  <c r="BB548" i="1"/>
  <c r="BB969" i="1"/>
  <c r="BB404" i="1"/>
  <c r="BB961" i="1"/>
  <c r="BB356" i="1"/>
  <c r="BB885" i="1"/>
  <c r="BB865" i="1"/>
  <c r="BB828" i="1"/>
  <c r="BB845" i="1"/>
  <c r="BB760" i="1"/>
  <c r="BB825" i="1"/>
  <c r="BB744" i="1"/>
  <c r="BB821" i="1"/>
  <c r="BB995" i="1"/>
  <c r="BB785" i="1"/>
  <c r="BB955" i="1"/>
  <c r="BB765" i="1"/>
  <c r="BB915" i="1"/>
  <c r="BB745" i="1"/>
  <c r="BB907" i="1"/>
  <c r="BB741" i="1"/>
  <c r="BB820" i="1"/>
  <c r="BB705" i="1"/>
  <c r="BB764" i="1"/>
  <c r="BB685" i="1"/>
  <c r="BB672" i="1"/>
  <c r="BB808" i="1"/>
  <c r="BB739" i="1"/>
  <c r="BB588" i="1"/>
  <c r="BB572" i="1"/>
  <c r="BB1021" i="1"/>
  <c r="BB977" i="1"/>
  <c r="BB933" i="1"/>
  <c r="BB925" i="1"/>
  <c r="BB839" i="1"/>
  <c r="BB776" i="1"/>
  <c r="BB1043" i="1"/>
  <c r="BB1035" i="1"/>
  <c r="BB963" i="1"/>
  <c r="BB923" i="1"/>
  <c r="BB883" i="1"/>
  <c r="BB740" i="1"/>
  <c r="BB853" i="1"/>
  <c r="BB204" i="1"/>
  <c r="BB422" i="1"/>
  <c r="BB124" i="1"/>
  <c r="BB402" i="1"/>
  <c r="BB44" i="1"/>
  <c r="BB382" i="1"/>
  <c r="BB517" i="1"/>
  <c r="BB362" i="1"/>
  <c r="BB497" i="1"/>
  <c r="BB342" i="1"/>
  <c r="BB477" i="1"/>
  <c r="BB322" i="1"/>
  <c r="BB457" i="1"/>
  <c r="BB302" i="1"/>
  <c r="BB437" i="1"/>
  <c r="BB917" i="1"/>
  <c r="BB871" i="1"/>
  <c r="BB818" i="1"/>
  <c r="BB802" i="1"/>
  <c r="BB1027" i="1"/>
  <c r="BB987" i="1"/>
  <c r="BB947" i="1"/>
  <c r="BB939" i="1"/>
  <c r="BB863" i="1"/>
  <c r="BB810" i="1"/>
  <c r="BB748" i="1"/>
  <c r="BB732" i="1"/>
  <c r="BB396" i="1"/>
  <c r="BB1026" i="1"/>
  <c r="BB986" i="1"/>
  <c r="BB1022" i="1"/>
  <c r="BB725" i="1"/>
  <c r="BB513" i="1"/>
  <c r="BB940" i="1"/>
  <c r="BB920" i="1"/>
  <c r="BB900" i="1"/>
  <c r="BB896" i="1"/>
  <c r="BB854" i="1"/>
  <c r="BB827" i="1"/>
  <c r="BB800" i="1"/>
  <c r="BB795" i="1"/>
  <c r="BB727" i="1"/>
  <c r="BB676" i="1"/>
  <c r="BB596" i="1"/>
  <c r="BB580" i="1"/>
  <c r="BB292" i="1"/>
  <c r="BB877" i="1"/>
  <c r="BB532" i="1"/>
  <c r="BB978" i="1"/>
  <c r="BB720" i="1"/>
  <c r="BB631" i="1"/>
  <c r="BB648" i="1"/>
  <c r="BB1023" i="1"/>
  <c r="BB568" i="1"/>
  <c r="BB1015" i="1"/>
  <c r="BB552" i="1"/>
  <c r="BB943" i="1"/>
  <c r="BB116" i="1"/>
  <c r="BB903" i="1"/>
  <c r="BB1032" i="1"/>
  <c r="BB858" i="1"/>
  <c r="BB1012" i="1"/>
  <c r="BB847" i="1"/>
  <c r="BB1008" i="1"/>
  <c r="BB724" i="1"/>
  <c r="BB972" i="1"/>
  <c r="BB592" i="1"/>
  <c r="BB952" i="1"/>
  <c r="BB340" i="1"/>
  <c r="BB932" i="1"/>
  <c r="BB212" i="1"/>
  <c r="BB928" i="1"/>
  <c r="BB982" i="1"/>
  <c r="BB892" i="1"/>
  <c r="BB942" i="1"/>
  <c r="BB870" i="1"/>
  <c r="BB902" i="1"/>
  <c r="BB843" i="1"/>
  <c r="BB898" i="1"/>
  <c r="BB838" i="1"/>
  <c r="BB975" i="1"/>
  <c r="BB1013" i="1"/>
  <c r="BB280" i="1"/>
  <c r="BB973" i="1"/>
  <c r="BB200" i="1"/>
  <c r="BB937" i="1"/>
  <c r="BB120" i="1"/>
  <c r="BB929" i="1"/>
  <c r="BB104" i="1"/>
  <c r="BB855" i="1"/>
  <c r="BB679" i="1"/>
  <c r="BB807" i="1"/>
  <c r="BB659" i="1"/>
  <c r="BB736" i="1"/>
  <c r="BB639" i="1"/>
  <c r="BB728" i="1"/>
  <c r="BB1039" i="1"/>
  <c r="BB600" i="1"/>
  <c r="BB999" i="1"/>
  <c r="BB508" i="1"/>
  <c r="BB959" i="1"/>
  <c r="BB244" i="1"/>
  <c r="BB951" i="1"/>
  <c r="BB180" i="1"/>
  <c r="BB879" i="1"/>
  <c r="BB1020" i="1"/>
  <c r="BB826" i="1"/>
  <c r="BB1000" i="1"/>
  <c r="BB756" i="1"/>
  <c r="BB980" i="1"/>
  <c r="BB790" i="1"/>
  <c r="BB751" i="1"/>
  <c r="BB711" i="1"/>
  <c r="BB703" i="1"/>
  <c r="BB564" i="1"/>
  <c r="BB436" i="1"/>
  <c r="BB164" i="1"/>
  <c r="BB100" i="1"/>
  <c r="BB849" i="1"/>
  <c r="BB829" i="1"/>
  <c r="BB809" i="1"/>
  <c r="BB805" i="1"/>
  <c r="BB769" i="1"/>
  <c r="BB749" i="1"/>
  <c r="BB857" i="1"/>
  <c r="BB540" i="1"/>
  <c r="BB483" i="1"/>
  <c r="BB65" i="1"/>
  <c r="BB443" i="1"/>
  <c r="BB45" i="1"/>
  <c r="BB403" i="1"/>
  <c r="BB387" i="1"/>
  <c r="BB336" i="1"/>
  <c r="BB367" i="1"/>
  <c r="BB256" i="1"/>
  <c r="BB347" i="1"/>
  <c r="BB176" i="1"/>
  <c r="BB327" i="1"/>
  <c r="BB96" i="1"/>
  <c r="BB307" i="1"/>
  <c r="BB786" i="1"/>
  <c r="BB287" i="1"/>
  <c r="BB36" i="1"/>
  <c r="BB861" i="1"/>
  <c r="BB841" i="1"/>
  <c r="BB837" i="1"/>
  <c r="BB801" i="1"/>
  <c r="BB781" i="1"/>
  <c r="BB761" i="1"/>
  <c r="BB757" i="1"/>
  <c r="BB721" i="1"/>
  <c r="BB701" i="1"/>
  <c r="BB681" i="1"/>
  <c r="BB677" i="1"/>
  <c r="BB641" i="1"/>
  <c r="BB621" i="1"/>
  <c r="BB729" i="1"/>
  <c r="BB957" i="1"/>
  <c r="BB320" i="1"/>
  <c r="BB363" i="1"/>
  <c r="BB1038" i="1"/>
  <c r="BB998" i="1"/>
  <c r="BB990" i="1"/>
  <c r="BB918" i="1"/>
  <c r="BB882" i="1"/>
  <c r="BB830" i="1"/>
  <c r="BB819" i="1"/>
  <c r="BB668" i="1"/>
  <c r="BB452" i="1"/>
  <c r="BB1037" i="1"/>
  <c r="BB1029" i="1"/>
  <c r="BB953" i="1"/>
  <c r="BB909" i="1"/>
  <c r="BB860" i="1"/>
  <c r="BB919" i="1"/>
  <c r="BB500" i="1"/>
  <c r="BB561" i="1"/>
  <c r="BB541" i="1"/>
  <c r="BB511" i="1"/>
  <c r="BB503" i="1"/>
  <c r="BB431" i="1"/>
  <c r="BB391" i="1"/>
  <c r="BB312" i="1"/>
  <c r="BB296" i="1"/>
  <c r="BB152" i="1"/>
  <c r="BB72" i="1"/>
  <c r="BB687" i="1"/>
  <c r="BB683" i="1"/>
  <c r="BB647" i="1"/>
  <c r="BB627" i="1"/>
  <c r="BB25" i="1"/>
  <c r="BB635" i="1"/>
  <c r="BB689" i="1"/>
  <c r="BB669" i="1"/>
  <c r="BB649" i="1"/>
  <c r="BB645" i="1"/>
  <c r="BB609" i="1"/>
  <c r="BB589" i="1"/>
  <c r="BB569" i="1"/>
  <c r="BB565" i="1"/>
  <c r="BB527" i="1"/>
  <c r="BB487" i="1"/>
  <c r="BB447" i="1"/>
  <c r="BB439" i="1"/>
  <c r="BB344" i="1"/>
  <c r="BB264" i="1"/>
  <c r="BB715" i="1"/>
  <c r="BB260" i="1"/>
  <c r="BB981" i="1"/>
  <c r="BB905" i="1"/>
  <c r="BB812" i="1"/>
  <c r="BB696" i="1"/>
  <c r="BB536" i="1"/>
  <c r="BB1044" i="1"/>
  <c r="BB407" i="1"/>
  <c r="BB166" i="1"/>
  <c r="BB146" i="1"/>
  <c r="BB126" i="1"/>
  <c r="BB106" i="1"/>
  <c r="BB86" i="1"/>
  <c r="BB66" i="1"/>
  <c r="BB46" i="1"/>
  <c r="BB889" i="1"/>
  <c r="BB796" i="1"/>
  <c r="BB664" i="1"/>
  <c r="BB476" i="1"/>
  <c r="BB1036" i="1"/>
  <c r="BB996" i="1"/>
  <c r="BB956" i="1"/>
  <c r="BB916" i="1"/>
  <c r="BB168" i="1"/>
  <c r="BB625" i="1"/>
  <c r="BB585" i="1"/>
  <c r="BB545" i="1"/>
  <c r="BB479" i="1"/>
  <c r="BB399" i="1"/>
  <c r="BB248" i="1"/>
  <c r="BB88" i="1"/>
  <c r="BB601" i="1"/>
  <c r="BB571" i="1"/>
  <c r="BB129" i="1"/>
  <c r="BB551" i="1"/>
  <c r="BB109" i="1"/>
  <c r="BB531" i="1"/>
  <c r="BB89" i="1"/>
  <c r="BB491" i="1"/>
  <c r="BB69" i="1"/>
  <c r="BB451" i="1"/>
  <c r="BB49" i="1"/>
  <c r="BB411" i="1"/>
  <c r="BB29" i="1"/>
  <c r="BB352" i="1"/>
  <c r="BB371" i="1"/>
  <c r="BB272" i="1"/>
  <c r="BB351" i="1"/>
  <c r="BB842" i="1"/>
  <c r="BB84" i="1"/>
  <c r="BB886" i="1"/>
  <c r="BB556" i="1"/>
  <c r="BB43" i="1"/>
  <c r="BB530" i="1"/>
  <c r="BB510" i="1"/>
  <c r="BB490" i="1"/>
  <c r="BB470" i="1"/>
  <c r="BB450" i="1"/>
  <c r="BB430" i="1"/>
  <c r="BB410" i="1"/>
  <c r="BB76" i="1"/>
  <c r="BB390" i="1"/>
  <c r="BB525" i="1"/>
  <c r="BB370" i="1"/>
  <c r="BB505" i="1"/>
  <c r="BB350" i="1"/>
  <c r="BB128" i="1"/>
  <c r="BB315" i="1"/>
  <c r="BB48" i="1"/>
  <c r="BB295" i="1"/>
  <c r="BB774" i="1"/>
  <c r="BB275" i="1"/>
  <c r="BB754" i="1"/>
  <c r="BB42" i="1"/>
  <c r="BB357" i="1"/>
  <c r="BB34" i="1"/>
  <c r="BB291" i="1"/>
  <c r="BB910" i="1"/>
  <c r="BB872" i="1"/>
  <c r="BB862" i="1"/>
  <c r="BB755" i="1"/>
  <c r="BB636" i="1"/>
  <c r="BB420" i="1"/>
  <c r="BB324" i="1"/>
  <c r="BB985" i="1"/>
  <c r="BB945" i="1"/>
  <c r="BB901" i="1"/>
  <c r="BB893" i="1"/>
  <c r="BB791" i="1"/>
  <c r="BB412" i="1"/>
  <c r="BB1011" i="1"/>
  <c r="BB1003" i="1"/>
  <c r="BB836" i="1"/>
  <c r="BB772" i="1"/>
  <c r="BB688" i="1"/>
  <c r="BB656" i="1"/>
  <c r="BB148" i="1"/>
  <c r="BB1006" i="1"/>
  <c r="BB966" i="1"/>
  <c r="BB958" i="1"/>
  <c r="BB890" i="1"/>
  <c r="BB840" i="1"/>
  <c r="BB787" i="1"/>
  <c r="BB771" i="1"/>
  <c r="BB516" i="1"/>
  <c r="BB68" i="1"/>
  <c r="BB1001" i="1"/>
  <c r="BB463" i="1"/>
  <c r="BB376" i="1"/>
  <c r="BB216" i="1"/>
  <c r="BB56" i="1"/>
  <c r="BB663" i="1"/>
  <c r="BB623" i="1"/>
  <c r="BB967" i="1"/>
  <c r="BB415" i="1"/>
  <c r="BB670" i="1"/>
  <c r="BB650" i="1"/>
  <c r="BB630" i="1"/>
  <c r="BB610" i="1"/>
  <c r="BB590" i="1"/>
  <c r="BB570" i="1"/>
  <c r="BB550" i="1"/>
  <c r="BB528" i="1"/>
  <c r="BB695" i="1"/>
  <c r="BB655" i="1"/>
  <c r="BB1031" i="1"/>
  <c r="BB983" i="1"/>
  <c r="BB868" i="1"/>
  <c r="BB804" i="1"/>
  <c r="BB428" i="1"/>
  <c r="BB184" i="1"/>
  <c r="BB606" i="1"/>
  <c r="BB994" i="1"/>
  <c r="BB946" i="1"/>
  <c r="BB814" i="1"/>
  <c r="BB731" i="1"/>
  <c r="BB1033" i="1"/>
  <c r="BB989" i="1"/>
  <c r="BB881" i="1"/>
  <c r="BB993" i="1"/>
  <c r="BB734" i="1"/>
  <c r="BB235" i="1"/>
  <c r="BB714" i="1"/>
  <c r="BB215" i="1"/>
  <c r="BB694" i="1"/>
  <c r="BB195" i="1"/>
  <c r="BB674" i="1"/>
  <c r="BB175" i="1"/>
  <c r="BB654" i="1"/>
  <c r="BB155" i="1"/>
  <c r="BB634" i="1"/>
  <c r="BB135" i="1"/>
  <c r="BB614" i="1"/>
  <c r="BB115" i="1"/>
  <c r="BB594" i="1"/>
  <c r="BB95" i="1"/>
  <c r="BB831" i="1"/>
  <c r="BB1042" i="1"/>
  <c r="BB878" i="1"/>
  <c r="BB707" i="1"/>
  <c r="BB615" i="1"/>
  <c r="BB595" i="1"/>
  <c r="BB575" i="1"/>
  <c r="BB555" i="1"/>
  <c r="BB535" i="1"/>
  <c r="BB499" i="1"/>
  <c r="BB459" i="1"/>
  <c r="BB154" i="1"/>
  <c r="BB289" i="1"/>
  <c r="BB134" i="1"/>
  <c r="BB269" i="1"/>
  <c r="BB114" i="1"/>
  <c r="BB249" i="1"/>
  <c r="BB94" i="1"/>
  <c r="BB558" i="1"/>
  <c r="BB59" i="1"/>
  <c r="BB538" i="1"/>
  <c r="BB39" i="1"/>
  <c r="BB875" i="1"/>
  <c r="BB848" i="1"/>
  <c r="BB822" i="1"/>
  <c r="BB816" i="1"/>
  <c r="BB759" i="1"/>
  <c r="BB719" i="1"/>
  <c r="BB660" i="1"/>
  <c r="BB644" i="1"/>
  <c r="BB468" i="1"/>
  <c r="BB228" i="1"/>
  <c r="BB873" i="1"/>
  <c r="BB869" i="1"/>
  <c r="BB833" i="1"/>
  <c r="BB813" i="1"/>
  <c r="BB793" i="1"/>
  <c r="BB789" i="1"/>
  <c r="BB1004" i="1"/>
  <c r="BB984" i="1"/>
  <c r="BB964" i="1"/>
  <c r="BB960" i="1"/>
  <c r="BB924" i="1"/>
  <c r="BB904" i="1"/>
  <c r="BB884" i="1"/>
  <c r="BB880" i="1"/>
  <c r="BB832" i="1"/>
  <c r="BB806" i="1"/>
  <c r="BB775" i="1"/>
  <c r="BB767" i="1"/>
  <c r="BB692" i="1"/>
  <c r="BB612" i="1"/>
  <c r="BB460" i="1"/>
  <c r="BB423" i="1"/>
  <c r="BB360" i="1"/>
  <c r="BB136" i="1"/>
  <c r="BB40" i="1"/>
  <c r="BB643" i="1"/>
  <c r="BB1007" i="1"/>
  <c r="BB927" i="1"/>
  <c r="BB976" i="1"/>
  <c r="BB171" i="1"/>
  <c r="BB151" i="1"/>
  <c r="BB131" i="1"/>
  <c r="BB111" i="1"/>
  <c r="BB91" i="1"/>
  <c r="BB71" i="1"/>
  <c r="BB51" i="1"/>
  <c r="BB31" i="1"/>
  <c r="BB675" i="1"/>
  <c r="BB651" i="1"/>
  <c r="BB991" i="1"/>
  <c r="BB911" i="1"/>
  <c r="BB815" i="1"/>
  <c r="BB624" i="1"/>
  <c r="BB1030" i="1"/>
  <c r="BB912" i="1"/>
  <c r="BB1034" i="1"/>
  <c r="BB954" i="1"/>
  <c r="BB867" i="1"/>
  <c r="BB747" i="1"/>
  <c r="BB484" i="1"/>
  <c r="BB997" i="1"/>
  <c r="BB921" i="1"/>
  <c r="BB834" i="1"/>
  <c r="BB597" i="1"/>
  <c r="BB385" i="1"/>
  <c r="BB230" i="1"/>
  <c r="BB365" i="1"/>
  <c r="BB210" i="1"/>
  <c r="BB345" i="1"/>
  <c r="BB190" i="1"/>
  <c r="BB325" i="1"/>
  <c r="BB170" i="1"/>
  <c r="BB305" i="1"/>
  <c r="BB150" i="1"/>
  <c r="BB285" i="1"/>
  <c r="BB130" i="1"/>
  <c r="BB265" i="1"/>
  <c r="BB110" i="1"/>
  <c r="BB245" i="1"/>
  <c r="BB891" i="1"/>
  <c r="BB560" i="1"/>
  <c r="BB930" i="1"/>
  <c r="BB699" i="1"/>
  <c r="BB449" i="1"/>
  <c r="BB173" i="1"/>
  <c r="BB153" i="1"/>
  <c r="BB133" i="1"/>
  <c r="BB113" i="1"/>
  <c r="BB93" i="1"/>
  <c r="BB73" i="1"/>
  <c r="BB53" i="1"/>
  <c r="BB638" i="1"/>
  <c r="BB139" i="1"/>
  <c r="BB618" i="1"/>
  <c r="BB119" i="1"/>
  <c r="BB598" i="1"/>
  <c r="BB99" i="1"/>
  <c r="BB578" i="1"/>
  <c r="BB209" i="1"/>
  <c r="BB54" i="1"/>
  <c r="BB189" i="1"/>
  <c r="BB611" i="1"/>
  <c r="BB169" i="1"/>
  <c r="BB591" i="1"/>
  <c r="BB522" i="1"/>
  <c r="BB28" i="1"/>
  <c r="BB442" i="1"/>
  <c r="BB534" i="1"/>
  <c r="BB770" i="1"/>
  <c r="BB251" i="1"/>
  <c r="BB416" i="1"/>
  <c r="BB226" i="1"/>
  <c r="BB105" i="1"/>
  <c r="BB690" i="1"/>
  <c r="BB52" i="1"/>
  <c r="BB968" i="1"/>
  <c r="BB888" i="1"/>
  <c r="BB783" i="1"/>
  <c r="BB193" i="1"/>
  <c r="BB343" i="1"/>
  <c r="BB323" i="1"/>
  <c r="BB303" i="1"/>
  <c r="BB283" i="1"/>
  <c r="BB263" i="1"/>
  <c r="BB243" i="1"/>
  <c r="BB223" i="1"/>
  <c r="BB574" i="1"/>
  <c r="BB906" i="1"/>
  <c r="BB620" i="1"/>
  <c r="BB949" i="1"/>
  <c r="BB768" i="1"/>
  <c r="BB780" i="1"/>
  <c r="BB1002" i="1"/>
  <c r="BB824" i="1"/>
  <c r="BB1041" i="1"/>
  <c r="BB132" i="1"/>
  <c r="BB680" i="1"/>
  <c r="BB301" i="1"/>
  <c r="BB221" i="1"/>
  <c r="BB784" i="1"/>
  <c r="BB992" i="1"/>
  <c r="BB605" i="1"/>
  <c r="BB328" i="1"/>
  <c r="BB424" i="1"/>
  <c r="BB300" i="1"/>
  <c r="BB140" i="1"/>
  <c r="BB521" i="1"/>
  <c r="BB716" i="1"/>
  <c r="BB512" i="1"/>
  <c r="BB316" i="1"/>
  <c r="BB33" i="1"/>
  <c r="BB355" i="1"/>
  <c r="BB445" i="1"/>
  <c r="BB526" i="1"/>
  <c r="BB250" i="1"/>
  <c r="BB122" i="1"/>
  <c r="BB750" i="1"/>
  <c r="BB246" i="1"/>
  <c r="BB231" i="1"/>
  <c r="BB211" i="1"/>
  <c r="BB37" i="1"/>
  <c r="BB988" i="1"/>
  <c r="BB864" i="1"/>
  <c r="BB640" i="1"/>
  <c r="BB493" i="1"/>
  <c r="BB318" i="1"/>
  <c r="BB782" i="1"/>
  <c r="BB413" i="1"/>
  <c r="BB238" i="1"/>
  <c r="BB90" i="1"/>
  <c r="BB331" i="1"/>
  <c r="BB112" i="1"/>
  <c r="BB311" i="1"/>
  <c r="BB32" i="1"/>
  <c r="BB587" i="1"/>
  <c r="BB364" i="1"/>
  <c r="BB713" i="1"/>
  <c r="BB633" i="1"/>
  <c r="BB553" i="1"/>
  <c r="BB665" i="1"/>
  <c r="BB294" i="1"/>
  <c r="BB274" i="1"/>
  <c r="BB254" i="1"/>
  <c r="BB234" i="1"/>
  <c r="BB214" i="1"/>
  <c r="BB194" i="1"/>
  <c r="BB174" i="1"/>
  <c r="BB282" i="1"/>
  <c r="BB417" i="1"/>
  <c r="BB262" i="1"/>
  <c r="BB397" i="1"/>
  <c r="BB242" i="1"/>
  <c r="BB377" i="1"/>
  <c r="BB222" i="1"/>
  <c r="BB686" i="1"/>
  <c r="BB187" i="1"/>
  <c r="BB666" i="1"/>
  <c r="BB167" i="1"/>
  <c r="BB646" i="1"/>
  <c r="BB147" i="1"/>
  <c r="BB626" i="1"/>
  <c r="BB149" i="1"/>
  <c r="BB202" i="1"/>
  <c r="BB255" i="1"/>
  <c r="BB895" i="1"/>
  <c r="BB576" i="1"/>
  <c r="BB934" i="1"/>
  <c r="BB723" i="1"/>
  <c r="BB62" i="1"/>
  <c r="BB559" i="1"/>
  <c r="BB333" i="1"/>
  <c r="BB622" i="1"/>
  <c r="BB582" i="1"/>
  <c r="BB229" i="1"/>
  <c r="BB101" i="1"/>
  <c r="BB520" i="1"/>
  <c r="BB97" i="1"/>
  <c r="BB427" i="1"/>
  <c r="BB334" i="1"/>
  <c r="BB319" i="1"/>
  <c r="BB217" i="1"/>
  <c r="BB183" i="1"/>
  <c r="BB143" i="1"/>
  <c r="BB440" i="1"/>
  <c r="D15" i="1"/>
  <c r="BB127" i="1"/>
  <c r="BB494" i="1"/>
  <c r="BB224" i="1"/>
  <c r="BB273" i="1"/>
  <c r="BB405" i="1"/>
  <c r="BB78" i="1"/>
  <c r="BB876" i="1"/>
  <c r="BB850" i="1"/>
  <c r="BB444" i="1"/>
  <c r="BB691" i="1"/>
  <c r="BB60" i="1"/>
  <c r="BB432" i="1"/>
  <c r="BB465" i="1"/>
  <c r="BB496" i="1"/>
  <c r="BB401" i="1"/>
  <c r="BB1028" i="1"/>
  <c r="BB358" i="1"/>
  <c r="BB278" i="1"/>
  <c r="BB481" i="1"/>
  <c r="BB306" i="1"/>
  <c r="BB673" i="1"/>
  <c r="BB64" i="1"/>
  <c r="BB389" i="1"/>
  <c r="BB329" i="1"/>
  <c r="BB267" i="1"/>
  <c r="BB726" i="1"/>
  <c r="BB337" i="1"/>
  <c r="BB162" i="1"/>
  <c r="BB142" i="1"/>
  <c r="BB856" i="1"/>
  <c r="BB388" i="1"/>
  <c r="BB913" i="1"/>
  <c r="BB712" i="1"/>
  <c r="BB700" i="1"/>
  <c r="BB962" i="1"/>
  <c r="BB763" i="1"/>
  <c r="BB1005" i="1"/>
  <c r="BB941" i="1"/>
  <c r="BB308" i="1"/>
  <c r="BB281" i="1"/>
  <c r="BB201" i="1"/>
  <c r="BB584" i="1"/>
  <c r="BB936" i="1"/>
  <c r="BB581" i="1"/>
  <c r="BB232" i="1"/>
  <c r="BB486" i="1"/>
  <c r="BB446" i="1"/>
  <c r="BB406" i="1"/>
  <c r="BB366" i="1"/>
  <c r="BB970" i="1"/>
  <c r="BB472" i="1"/>
  <c r="BB236" i="1"/>
  <c r="BB368" i="1"/>
  <c r="BB208" i="1"/>
  <c r="BB290" i="1"/>
  <c r="BB270" i="1"/>
  <c r="BB207" i="1"/>
  <c r="BB79" i="1"/>
  <c r="BB456" i="1"/>
  <c r="BB567" i="1"/>
  <c r="BB547" i="1"/>
  <c r="BB462" i="1"/>
  <c r="BB372" i="1"/>
  <c r="BB948" i="1"/>
  <c r="BB859" i="1"/>
  <c r="BB667" i="1"/>
  <c r="BB338" i="1"/>
  <c r="BB80" i="1"/>
  <c r="BB433" i="1"/>
  <c r="BB258" i="1"/>
  <c r="BB722" i="1"/>
  <c r="BB192" i="1"/>
  <c r="BB75" i="1"/>
  <c r="BB554" i="1"/>
  <c r="BB55" i="1"/>
  <c r="BB441" i="1"/>
  <c r="BB145" i="1"/>
  <c r="BB206" i="1"/>
  <c r="BB709" i="1"/>
  <c r="BB629" i="1"/>
  <c r="BB549" i="1"/>
  <c r="BB823" i="1"/>
  <c r="BB778" i="1"/>
  <c r="BB758" i="1"/>
  <c r="BB738" i="1"/>
  <c r="BB718" i="1"/>
  <c r="BB698" i="1"/>
  <c r="BB678" i="1"/>
  <c r="BB658" i="1"/>
  <c r="BB603" i="1"/>
  <c r="BB161" i="1"/>
  <c r="BB583" i="1"/>
  <c r="BB141" i="1"/>
  <c r="BB563" i="1"/>
  <c r="BB121" i="1"/>
  <c r="BB543" i="1"/>
  <c r="BB268" i="1"/>
  <c r="BB438" i="1"/>
  <c r="BB188" i="1"/>
  <c r="BB418" i="1"/>
  <c r="BB108" i="1"/>
  <c r="BB398" i="1"/>
  <c r="BB421" i="1"/>
  <c r="BB348" i="1"/>
  <c r="BB341" i="1"/>
  <c r="BB485" i="1"/>
  <c r="BB887" i="1"/>
  <c r="BB524" i="1"/>
  <c r="BB926" i="1"/>
  <c r="BB671" i="1"/>
  <c r="BB619" i="1"/>
  <c r="BB218" i="1"/>
  <c r="BB178" i="1"/>
  <c r="BB123" i="1"/>
  <c r="BB83" i="1"/>
  <c r="BB378" i="1"/>
  <c r="BB586" i="1"/>
  <c r="BB480" i="1"/>
  <c r="BB507" i="1"/>
  <c r="BB374" i="1"/>
  <c r="BB293" i="1"/>
  <c r="BB277" i="1"/>
  <c r="BB177" i="1"/>
  <c r="BB163" i="1"/>
  <c r="BB464" i="1"/>
  <c r="BB77" i="1"/>
  <c r="BB197" i="1"/>
  <c r="BB642" i="1"/>
  <c r="BB30" i="1"/>
  <c r="BB47" i="1"/>
  <c r="BB474" i="1"/>
  <c r="BB339" i="1"/>
  <c r="BB803" i="1"/>
  <c r="BB632" i="1"/>
  <c r="BB544" i="1"/>
  <c r="BB922" i="1"/>
  <c r="BB684" i="1"/>
  <c r="BB897" i="1"/>
  <c r="BB261" i="1"/>
  <c r="BB874" i="1"/>
  <c r="BB380" i="1"/>
  <c r="BB501" i="1"/>
  <c r="BB156" i="1"/>
  <c r="BB504" i="1"/>
  <c r="BB286" i="1"/>
  <c r="BB381" i="1"/>
  <c r="BB523" i="1"/>
  <c r="BB811" i="1"/>
  <c r="BB453" i="1"/>
  <c r="BB373" i="1"/>
  <c r="BB461" i="1"/>
  <c r="BB753" i="1"/>
  <c r="BB495" i="1"/>
  <c r="BB409" i="1"/>
  <c r="BB349" i="1"/>
  <c r="BB766" i="1"/>
  <c r="BB247" i="1"/>
  <c r="BB706" i="1"/>
  <c r="BB317" i="1"/>
  <c r="BB297" i="1"/>
  <c r="D18" i="1"/>
  <c r="BB792" i="1"/>
  <c r="BB1017" i="1"/>
  <c r="BB866" i="1"/>
  <c r="BB616" i="1"/>
  <c r="BB492" i="1"/>
  <c r="BB914" i="1"/>
  <c r="BB652" i="1"/>
  <c r="BB604" i="1"/>
  <c r="BB752" i="1"/>
  <c r="BB321" i="1"/>
  <c r="BB241" i="1"/>
  <c r="BB844" i="1"/>
  <c r="BB1016" i="1"/>
  <c r="BB257" i="1"/>
  <c r="BB471" i="1"/>
  <c r="BB1040" i="1"/>
  <c r="BB466" i="1"/>
  <c r="BB426" i="1"/>
  <c r="BB386" i="1"/>
  <c r="BB931" i="1"/>
  <c r="BB661" i="1"/>
  <c r="BB392" i="1"/>
  <c r="BB419" i="1"/>
  <c r="BB288" i="1"/>
  <c r="BB310" i="1"/>
  <c r="BB425" i="1"/>
  <c r="BB165" i="1"/>
  <c r="BB85" i="1"/>
  <c r="BB607" i="1"/>
  <c r="BB502" i="1"/>
  <c r="BB125" i="1"/>
  <c r="BB361" i="1"/>
  <c r="BB92" i="1"/>
  <c r="BB1024" i="1"/>
  <c r="BB908" i="1"/>
  <c r="BB743" i="1"/>
  <c r="BB240" i="1"/>
  <c r="BB473" i="1"/>
  <c r="BB298" i="1"/>
  <c r="BB762" i="1"/>
  <c r="BB393" i="1"/>
  <c r="BB346" i="1"/>
  <c r="BB225" i="1"/>
  <c r="BB70" i="1"/>
  <c r="BB205" i="1"/>
  <c r="BB50" i="1"/>
  <c r="BB35" i="1"/>
  <c r="BB482" i="1"/>
  <c r="BB733" i="1"/>
  <c r="BB653" i="1"/>
  <c r="BB573" i="1"/>
  <c r="BB455" i="1"/>
  <c r="BB299" i="1"/>
  <c r="BB279" i="1"/>
  <c r="BB259" i="1"/>
  <c r="BB239" i="1"/>
  <c r="BB219" i="1"/>
  <c r="BB199" i="1"/>
  <c r="BB179" i="1"/>
  <c r="BB159" i="1"/>
  <c r="BB488" i="1"/>
  <c r="BB518" i="1"/>
  <c r="BB448" i="1"/>
  <c r="BB498" i="1"/>
  <c r="BB408" i="1"/>
  <c r="BB478" i="1"/>
  <c r="BB515" i="1"/>
  <c r="BB81" i="1"/>
  <c r="BB475" i="1"/>
  <c r="BB61" i="1"/>
  <c r="BB435" i="1"/>
  <c r="BB41" i="1"/>
  <c r="BB395" i="1"/>
  <c r="BB266" i="1"/>
  <c r="BB383" i="1"/>
  <c r="BB186" i="1"/>
  <c r="BB935" i="1"/>
  <c r="BB708" i="1"/>
  <c r="BB974" i="1"/>
  <c r="BB798" i="1"/>
  <c r="BB82" i="1"/>
  <c r="BB579" i="1"/>
  <c r="BB198" i="1"/>
  <c r="BB158" i="1"/>
  <c r="BB103" i="1"/>
  <c r="BB138" i="1"/>
  <c r="BB58" i="1"/>
  <c r="BB546" i="1"/>
  <c r="BB539" i="1"/>
  <c r="BB57" i="1"/>
  <c r="BB354" i="1"/>
  <c r="BB335" i="1"/>
  <c r="BB237" i="1"/>
  <c r="BB702" i="1"/>
  <c r="BB98" i="1"/>
  <c r="BB735" i="1"/>
  <c r="BB489" i="1"/>
  <c r="BB203" i="1"/>
  <c r="BB233" i="1"/>
  <c r="BB87" i="1"/>
  <c r="BB514" i="1"/>
  <c r="BB454" i="1"/>
  <c r="BB414" i="1"/>
  <c r="BB359" i="1"/>
  <c r="BB394" i="1"/>
  <c r="BB314" i="1"/>
  <c r="BB682" i="1"/>
  <c r="BB662" i="1"/>
  <c r="BB67" i="1"/>
  <c r="BB252" i="1"/>
  <c r="BB384" i="1"/>
  <c r="BB38" i="1"/>
  <c r="BB26" i="1"/>
  <c r="BB434" i="1"/>
  <c r="BB379" i="1"/>
  <c r="BB542" i="1"/>
  <c r="BB1025" i="1"/>
  <c r="BB965" i="1"/>
  <c r="BB181" i="1"/>
  <c r="BB519" i="1"/>
  <c r="BB220" i="1"/>
  <c r="BB779" i="1"/>
  <c r="BB375" i="1"/>
  <c r="BB284" i="1"/>
  <c r="BB710" i="1"/>
  <c r="BB944" i="1"/>
  <c r="BB160" i="1"/>
  <c r="BB742" i="1"/>
  <c r="BB326" i="1"/>
  <c r="BB185" i="1"/>
  <c r="BB730" i="1"/>
  <c r="BB593" i="1"/>
  <c r="BB429" i="1"/>
  <c r="BB369" i="1"/>
  <c r="BB309" i="1"/>
  <c r="BB746" i="1"/>
  <c r="BB227" i="1"/>
  <c r="BB182" i="1"/>
  <c r="BB271" i="1"/>
  <c r="BB191" i="1"/>
  <c r="BB851" i="1"/>
  <c r="BB566" i="1"/>
  <c r="BB107" i="1"/>
  <c r="BB602" i="1"/>
  <c r="BB330" i="1"/>
  <c r="BB27" i="1"/>
  <c r="BB794" i="1"/>
  <c r="BB562" i="1"/>
  <c r="BB137" i="1"/>
  <c r="BB332" i="1"/>
  <c r="BB1014" i="1"/>
  <c r="BB353" i="1"/>
  <c r="BB213" i="1"/>
  <c r="BB509" i="1"/>
  <c r="BB118" i="1"/>
  <c r="BB253" i="1"/>
  <c r="BB172" i="1"/>
  <c r="BB157" i="1"/>
  <c r="BB313" i="1"/>
  <c r="BB458" i="1"/>
  <c r="BB506" i="1"/>
  <c r="BB304" i="1"/>
  <c r="BB63" i="1"/>
  <c r="BB74" i="1"/>
  <c r="BB102" i="1"/>
  <c r="BB400" i="1"/>
  <c r="BB529" i="1"/>
  <c r="BB144" i="1"/>
  <c r="BB599" i="1"/>
  <c r="BB467" i="1"/>
  <c r="BB117" i="1"/>
  <c r="BB469" i="1"/>
  <c r="AX137" i="1" l="1"/>
  <c r="BG137" i="1" s="1"/>
  <c r="AX315" i="1"/>
  <c r="BG315" i="1" s="1"/>
  <c r="AX201" i="1"/>
  <c r="BG201" i="1" s="1"/>
  <c r="AX318" i="1"/>
  <c r="BG318" i="1" s="1"/>
  <c r="AX183" i="1"/>
  <c r="BG183" i="1" s="1"/>
  <c r="AX42" i="1"/>
  <c r="BG42" i="1" s="1"/>
  <c r="AX136" i="1"/>
  <c r="BG136" i="1" s="1"/>
  <c r="AX144" i="1"/>
  <c r="BG144" i="1" s="1"/>
  <c r="AX256" i="1"/>
  <c r="BG256" i="1" s="1"/>
  <c r="AX381" i="1"/>
  <c r="BG381" i="1" s="1"/>
  <c r="AX45" i="1"/>
  <c r="BG45" i="1" s="1"/>
  <c r="AX203" i="1"/>
  <c r="BG203" i="1" s="1"/>
  <c r="AX54" i="1"/>
  <c r="BG54" i="1" s="1"/>
  <c r="AX166" i="1"/>
  <c r="BG166" i="1" s="1"/>
  <c r="AX222" i="1"/>
  <c r="BG222" i="1" s="1"/>
  <c r="AX332" i="1"/>
  <c r="BG332" i="1" s="1"/>
  <c r="AX435" i="1"/>
  <c r="BG435" i="1" s="1"/>
  <c r="AX162" i="1"/>
  <c r="BG162" i="1" s="1"/>
  <c r="AX261" i="1"/>
  <c r="BG261" i="1" s="1"/>
  <c r="AX528" i="1"/>
  <c r="BG528" i="1" s="1"/>
  <c r="AX671" i="1"/>
  <c r="BG671" i="1" s="1"/>
  <c r="AX439" i="1"/>
  <c r="BG439" i="1" s="1"/>
  <c r="AX392" i="1"/>
  <c r="BG392" i="1" s="1"/>
  <c r="AX278" i="1"/>
  <c r="BG278" i="1" s="1"/>
  <c r="AX482" i="1"/>
  <c r="BG482" i="1" s="1"/>
  <c r="AX620" i="1"/>
  <c r="BG620" i="1" s="1"/>
  <c r="AX592" i="1"/>
  <c r="BG592" i="1" s="1"/>
  <c r="AX675" i="1"/>
  <c r="BG675" i="1" s="1"/>
  <c r="AX371" i="1"/>
  <c r="BG371" i="1" s="1"/>
  <c r="AX419" i="1"/>
  <c r="BG419" i="1" s="1"/>
  <c r="AX55" i="1"/>
  <c r="BG55" i="1" s="1"/>
  <c r="AX173" i="1"/>
  <c r="BG173" i="1" s="1"/>
  <c r="AX31" i="1"/>
  <c r="BG31" i="1" s="1"/>
  <c r="AX333" i="1"/>
  <c r="BG333" i="1" s="1"/>
  <c r="AX440" i="1"/>
  <c r="BG440" i="1" s="1"/>
  <c r="AX268" i="1"/>
  <c r="BG268" i="1" s="1"/>
  <c r="AX102" i="1"/>
  <c r="BG102" i="1" s="1"/>
  <c r="AX259" i="1"/>
  <c r="BG259" i="1" s="1"/>
  <c r="AX163" i="1"/>
  <c r="BG163" i="1" s="1"/>
  <c r="AX241" i="1"/>
  <c r="BG241" i="1" s="1"/>
  <c r="AX27" i="1"/>
  <c r="BG27" i="1" s="1"/>
  <c r="AX116" i="1"/>
  <c r="BG116" i="1" s="1"/>
  <c r="AX120" i="1"/>
  <c r="BG120" i="1" s="1"/>
  <c r="AX70" i="1"/>
  <c r="BG70" i="1" s="1"/>
  <c r="AX341" i="1"/>
  <c r="BG341" i="1" s="1"/>
  <c r="AX224" i="1"/>
  <c r="BG224" i="1" s="1"/>
  <c r="AX349" i="1"/>
  <c r="BG349" i="1" s="1"/>
  <c r="AX280" i="1"/>
  <c r="BG280" i="1" s="1"/>
  <c r="AX446" i="1"/>
  <c r="BG446" i="1" s="1"/>
  <c r="AX442" i="1"/>
  <c r="BG442" i="1" s="1"/>
  <c r="AX567" i="1"/>
  <c r="BG567" i="1" s="1"/>
  <c r="AX75" i="1"/>
  <c r="BG75" i="1" s="1"/>
  <c r="AX126" i="1"/>
  <c r="BG126" i="1" s="1"/>
  <c r="AX186" i="1"/>
  <c r="BG186" i="1" s="1"/>
  <c r="AX302" i="1"/>
  <c r="BG302" i="1" s="1"/>
  <c r="AX414" i="1"/>
  <c r="BG414" i="1" s="1"/>
  <c r="AX198" i="1"/>
  <c r="BG198" i="1" s="1"/>
  <c r="AX76" i="1"/>
  <c r="BG76" i="1" s="1"/>
  <c r="AX219" i="1"/>
  <c r="BG219" i="1" s="1"/>
  <c r="AX113" i="1"/>
  <c r="BG113" i="1" s="1"/>
  <c r="AX168" i="1"/>
  <c r="BG168" i="1" s="1"/>
  <c r="AX467" i="1"/>
  <c r="BG467" i="1" s="1"/>
  <c r="AX63" i="1"/>
  <c r="BG63" i="1" s="1"/>
  <c r="AX340" i="1"/>
  <c r="BG340" i="1" s="1"/>
  <c r="AX131" i="1"/>
  <c r="BG131" i="1" s="1"/>
  <c r="AX306" i="1"/>
  <c r="BG306" i="1" s="1"/>
  <c r="AX196" i="1"/>
  <c r="BG196" i="1" s="1"/>
  <c r="AX309" i="1"/>
  <c r="BG309" i="1" s="1"/>
  <c r="AX176" i="1"/>
  <c r="BG176" i="1" s="1"/>
  <c r="AX348" i="1"/>
  <c r="BG348" i="1" s="1"/>
  <c r="AX417" i="1"/>
  <c r="BG417" i="1" s="1"/>
  <c r="AX518" i="1"/>
  <c r="BG518" i="1" s="1"/>
  <c r="AX502" i="1"/>
  <c r="BG502" i="1" s="1"/>
  <c r="AX595" i="1"/>
  <c r="BG595" i="1" s="1"/>
  <c r="AX236" i="1"/>
  <c r="BG236" i="1" s="1"/>
  <c r="AX361" i="1"/>
  <c r="BG361" i="1" s="1"/>
  <c r="AX344" i="1"/>
  <c r="BG344" i="1" s="1"/>
  <c r="AX152" i="1"/>
  <c r="BG152" i="1" s="1"/>
  <c r="AX546" i="1"/>
  <c r="BG546" i="1" s="1"/>
  <c r="AX650" i="1"/>
  <c r="BG650" i="1" s="1"/>
  <c r="AX159" i="1"/>
  <c r="BG159" i="1" s="1"/>
  <c r="AX513" i="1"/>
  <c r="BG513" i="1" s="1"/>
  <c r="AX282" i="1"/>
  <c r="BG282" i="1" s="1"/>
  <c r="AX197" i="1"/>
  <c r="BG197" i="1" s="1"/>
  <c r="AX35" i="1"/>
  <c r="BG35" i="1" s="1"/>
  <c r="AX187" i="1"/>
  <c r="BG187" i="1" s="1"/>
  <c r="AX399" i="1"/>
  <c r="BG399" i="1" s="1"/>
  <c r="AX575" i="1"/>
  <c r="BG575" i="1" s="1"/>
  <c r="AX342" i="1"/>
  <c r="BG342" i="1" s="1"/>
  <c r="AX708" i="1"/>
  <c r="BG708" i="1" s="1"/>
  <c r="AX603" i="1"/>
  <c r="BG603" i="1" s="1"/>
  <c r="AX495" i="1"/>
  <c r="BG495" i="1" s="1"/>
  <c r="AX661" i="1"/>
  <c r="BG661" i="1" s="1"/>
  <c r="AX313" i="1"/>
  <c r="BG313" i="1" s="1"/>
  <c r="AX488" i="1"/>
  <c r="BG488" i="1" s="1"/>
  <c r="AX630" i="1"/>
  <c r="BG630" i="1" s="1"/>
  <c r="AX89" i="1"/>
  <c r="BG89" i="1" s="1"/>
  <c r="AX681" i="1"/>
  <c r="BG681" i="1" s="1"/>
  <c r="AX138" i="1"/>
  <c r="BG138" i="1" s="1"/>
  <c r="AX622" i="1"/>
  <c r="BG622" i="1" s="1"/>
  <c r="AX641" i="1"/>
  <c r="BG641" i="1" s="1"/>
  <c r="AX863" i="1"/>
  <c r="BG863" i="1" s="1"/>
  <c r="AX768" i="1"/>
  <c r="BG768" i="1" s="1"/>
  <c r="AX881" i="1"/>
  <c r="BG881" i="1" s="1"/>
  <c r="AX957" i="1"/>
  <c r="BG957" i="1" s="1"/>
  <c r="AH114" i="1"/>
  <c r="AO114" i="1" s="1"/>
  <c r="AH370" i="1"/>
  <c r="AO370" i="1" s="1"/>
  <c r="AH295" i="1"/>
  <c r="AO295" i="1" s="1"/>
  <c r="AH32" i="1"/>
  <c r="AO32" i="1" s="1"/>
  <c r="AX784" i="1"/>
  <c r="BG784" i="1" s="1"/>
  <c r="AX767" i="1"/>
  <c r="BG767" i="1" s="1"/>
  <c r="AX790" i="1"/>
  <c r="BG790" i="1" s="1"/>
  <c r="AX961" i="1"/>
  <c r="BG961" i="1" s="1"/>
  <c r="AX899" i="1"/>
  <c r="BG899" i="1" s="1"/>
  <c r="AX1040" i="1"/>
  <c r="BG1040" i="1" s="1"/>
  <c r="AH51" i="1"/>
  <c r="AO51" i="1" s="1"/>
  <c r="AH214" i="1"/>
  <c r="AO214" i="1" s="1"/>
  <c r="AH139" i="1"/>
  <c r="AO139" i="1" s="1"/>
  <c r="AX696" i="1"/>
  <c r="BG696" i="1" s="1"/>
  <c r="AX611" i="1"/>
  <c r="BG611" i="1" s="1"/>
  <c r="AX625" i="1"/>
  <c r="BG625" i="1" s="1"/>
  <c r="AX839" i="1"/>
  <c r="BG839" i="1" s="1"/>
  <c r="AX615" i="1"/>
  <c r="BG615" i="1" s="1"/>
  <c r="AX874" i="1"/>
  <c r="BG874" i="1" s="1"/>
  <c r="AX189" i="1"/>
  <c r="BG189" i="1" s="1"/>
  <c r="AX288" i="1"/>
  <c r="BG288" i="1" s="1"/>
  <c r="AX269" i="1"/>
  <c r="BG269" i="1" s="1"/>
  <c r="AX92" i="1"/>
  <c r="BG92" i="1" s="1"/>
  <c r="AX322" i="1"/>
  <c r="BG322" i="1" s="1"/>
  <c r="AX544" i="1"/>
  <c r="BG544" i="1" s="1"/>
  <c r="AX105" i="1"/>
  <c r="BG105" i="1" s="1"/>
  <c r="AX460" i="1"/>
  <c r="BG460" i="1" s="1"/>
  <c r="AX564" i="1"/>
  <c r="BG564" i="1" s="1"/>
  <c r="AX277" i="1"/>
  <c r="BG277" i="1" s="1"/>
  <c r="AX557" i="1"/>
  <c r="BG557" i="1" s="1"/>
  <c r="AX229" i="1"/>
  <c r="BG229" i="1" s="1"/>
  <c r="AX398" i="1"/>
  <c r="BG398" i="1" s="1"/>
  <c r="AX500" i="1"/>
  <c r="BG500" i="1" s="1"/>
  <c r="AX452" i="1"/>
  <c r="BG452" i="1" s="1"/>
  <c r="AX574" i="1"/>
  <c r="BG574" i="1" s="1"/>
  <c r="AX167" i="1"/>
  <c r="BG167" i="1" s="1"/>
  <c r="AX817" i="1"/>
  <c r="BG817" i="1" s="1"/>
  <c r="AX824" i="1"/>
  <c r="BG824" i="1" s="1"/>
  <c r="AX846" i="1"/>
  <c r="BG846" i="1" s="1"/>
  <c r="AX992" i="1"/>
  <c r="BG992" i="1" s="1"/>
  <c r="AX946" i="1"/>
  <c r="BG946" i="1" s="1"/>
  <c r="AX955" i="1"/>
  <c r="BG955" i="1" s="1"/>
  <c r="AH45" i="1"/>
  <c r="AO45" i="1" s="1"/>
  <c r="AH258" i="1"/>
  <c r="AO258" i="1" s="1"/>
  <c r="AH183" i="1"/>
  <c r="AO183" i="1" s="1"/>
  <c r="AH439" i="1"/>
  <c r="AO439" i="1" s="1"/>
  <c r="AX680" i="1"/>
  <c r="BG680" i="1" s="1"/>
  <c r="AX602" i="1"/>
  <c r="BG602" i="1" s="1"/>
  <c r="AX623" i="1"/>
  <c r="BG623" i="1" s="1"/>
  <c r="AX832" i="1"/>
  <c r="BG832" i="1" s="1"/>
  <c r="AX454" i="1"/>
  <c r="BG454" i="1" s="1"/>
  <c r="AX869" i="1"/>
  <c r="BG869" i="1" s="1"/>
  <c r="AX939" i="1"/>
  <c r="BG939" i="1" s="1"/>
  <c r="AH102" i="1"/>
  <c r="AO102" i="1" s="1"/>
  <c r="AH358" i="1"/>
  <c r="AO358" i="1" s="1"/>
  <c r="AH283" i="1"/>
  <c r="AO283" i="1" s="1"/>
  <c r="AX815" i="1"/>
  <c r="BG815" i="1" s="1"/>
  <c r="AX811" i="1"/>
  <c r="BG811" i="1" s="1"/>
  <c r="AX840" i="1"/>
  <c r="BG840" i="1" s="1"/>
  <c r="AX985" i="1"/>
  <c r="BG985" i="1" s="1"/>
  <c r="AX926" i="1"/>
  <c r="BG926" i="1" s="1"/>
  <c r="AX941" i="1"/>
  <c r="BG941" i="1" s="1"/>
  <c r="AX267" i="1"/>
  <c r="BG267" i="1" s="1"/>
  <c r="AX49" i="1"/>
  <c r="BG49" i="1" s="1"/>
  <c r="AX41" i="1"/>
  <c r="BG41" i="1" s="1"/>
  <c r="AX129" i="1"/>
  <c r="BG129" i="1" s="1"/>
  <c r="AX132" i="1"/>
  <c r="BG132" i="1" s="1"/>
  <c r="AX255" i="1"/>
  <c r="BG255" i="1" s="1"/>
  <c r="AX380" i="1"/>
  <c r="BG380" i="1" s="1"/>
  <c r="AX366" i="1"/>
  <c r="BG366" i="1" s="1"/>
  <c r="AX40" i="1"/>
  <c r="BG40" i="1" s="1"/>
  <c r="AX158" i="1"/>
  <c r="BG158" i="1" s="1"/>
  <c r="AX216" i="1"/>
  <c r="BG216" i="1" s="1"/>
  <c r="AX323" i="1"/>
  <c r="BG323" i="1" s="1"/>
  <c r="AX433" i="1"/>
  <c r="BG433" i="1" s="1"/>
  <c r="AX117" i="1"/>
  <c r="BG117" i="1" s="1"/>
  <c r="AX285" i="1"/>
  <c r="BG285" i="1" s="1"/>
  <c r="AX95" i="1"/>
  <c r="BG95" i="1" s="1"/>
  <c r="AX251" i="1"/>
  <c r="BG251" i="1" s="1"/>
  <c r="AX149" i="1"/>
  <c r="BG149" i="1" s="1"/>
  <c r="AX234" i="1"/>
  <c r="BG234" i="1" s="1"/>
  <c r="AX490" i="1"/>
  <c r="BG490" i="1" s="1"/>
  <c r="AX272" i="1"/>
  <c r="BG272" i="1" s="1"/>
  <c r="AX376" i="1"/>
  <c r="BG376" i="1" s="1"/>
  <c r="AX422" i="1"/>
  <c r="BG422" i="1" s="1"/>
  <c r="AX310" i="1"/>
  <c r="BG310" i="1" s="1"/>
  <c r="AX554" i="1"/>
  <c r="BG554" i="1" s="1"/>
  <c r="AX178" i="1"/>
  <c r="BG178" i="1" s="1"/>
  <c r="AX275" i="1"/>
  <c r="BG275" i="1" s="1"/>
  <c r="AX534" i="1"/>
  <c r="BG534" i="1" s="1"/>
  <c r="AX676" i="1"/>
  <c r="BG676" i="1" s="1"/>
  <c r="AX444" i="1"/>
  <c r="BG444" i="1" s="1"/>
  <c r="AX409" i="1"/>
  <c r="BG409" i="1" s="1"/>
  <c r="AX190" i="1"/>
  <c r="BG190" i="1" s="1"/>
  <c r="AX474" i="1"/>
  <c r="BG474" i="1" s="1"/>
  <c r="AX101" i="1"/>
  <c r="BG101" i="1" s="1"/>
  <c r="AX258" i="1"/>
  <c r="BG258" i="1" s="1"/>
  <c r="AX156" i="1"/>
  <c r="BG156" i="1" s="1"/>
  <c r="AX239" i="1"/>
  <c r="BG239" i="1" s="1"/>
  <c r="AX491" i="1"/>
  <c r="BG491" i="1" s="1"/>
  <c r="AX360" i="1"/>
  <c r="BG360" i="1" s="1"/>
  <c r="AX61" i="1"/>
  <c r="BG61" i="1" s="1"/>
  <c r="AX334" i="1"/>
  <c r="BG334" i="1" s="1"/>
  <c r="AX218" i="1"/>
  <c r="BG218" i="1" s="1"/>
  <c r="AX347" i="1"/>
  <c r="BG347" i="1" s="1"/>
  <c r="AX37" i="1"/>
  <c r="BG37" i="1" s="1"/>
  <c r="AX140" i="1"/>
  <c r="BG140" i="1" s="1"/>
  <c r="AX65" i="1"/>
  <c r="BG65" i="1" s="1"/>
  <c r="AX51" i="1"/>
  <c r="BG51" i="1" s="1"/>
  <c r="AX169" i="1"/>
  <c r="BG169" i="1" s="1"/>
  <c r="AX273" i="1"/>
  <c r="BG273" i="1" s="1"/>
  <c r="AX401" i="1"/>
  <c r="BG401" i="1" s="1"/>
  <c r="AX123" i="1"/>
  <c r="BG123" i="1" s="1"/>
  <c r="AX350" i="1"/>
  <c r="BG350" i="1" s="1"/>
  <c r="AX493" i="1"/>
  <c r="BG493" i="1" s="1"/>
  <c r="AX631" i="1"/>
  <c r="BG631" i="1" s="1"/>
  <c r="AX60" i="1"/>
  <c r="BG60" i="1" s="1"/>
  <c r="AX214" i="1"/>
  <c r="BG214" i="1" s="1"/>
  <c r="AX106" i="1"/>
  <c r="BG106" i="1" s="1"/>
  <c r="AX153" i="1"/>
  <c r="BG153" i="1" s="1"/>
  <c r="AX466" i="1"/>
  <c r="BG466" i="1" s="1"/>
  <c r="AX326" i="1"/>
  <c r="BG326" i="1" s="1"/>
  <c r="AX125" i="1"/>
  <c r="BG125" i="1" s="1"/>
  <c r="AX296" i="1"/>
  <c r="BG296" i="1" s="1"/>
  <c r="AX194" i="1"/>
  <c r="BG194" i="1" s="1"/>
  <c r="AX298" i="1"/>
  <c r="BG298" i="1" s="1"/>
  <c r="AX59" i="1"/>
  <c r="BG59" i="1" s="1"/>
  <c r="AX36" i="1"/>
  <c r="BG36" i="1" s="1"/>
  <c r="AX28" i="1"/>
  <c r="BG28" i="1" s="1"/>
  <c r="AX124" i="1"/>
  <c r="BG124" i="1" s="1"/>
  <c r="AX127" i="1"/>
  <c r="BG127" i="1" s="1"/>
  <c r="AX250" i="1"/>
  <c r="BG250" i="1" s="1"/>
  <c r="AX379" i="1"/>
  <c r="BG379" i="1" s="1"/>
  <c r="AX357" i="1"/>
  <c r="BG357" i="1" s="1"/>
  <c r="AX128" i="1"/>
  <c r="BG128" i="1" s="1"/>
  <c r="AX463" i="1"/>
  <c r="BG463" i="1" s="1"/>
  <c r="AX599" i="1"/>
  <c r="BG599" i="1" s="1"/>
  <c r="AX579" i="1"/>
  <c r="BG579" i="1" s="1"/>
  <c r="AX651" i="1"/>
  <c r="BG651" i="1" s="1"/>
  <c r="AX363" i="1"/>
  <c r="BG363" i="1" s="1"/>
  <c r="AX418" i="1"/>
  <c r="BG418" i="1" s="1"/>
  <c r="AX525" i="1"/>
  <c r="BG525" i="1" s="1"/>
  <c r="AX508" i="1"/>
  <c r="BG508" i="1" s="1"/>
  <c r="AX596" i="1"/>
  <c r="BG596" i="1" s="1"/>
  <c r="AX195" i="1"/>
  <c r="BG195" i="1" s="1"/>
  <c r="AX351" i="1"/>
  <c r="BG351" i="1" s="1"/>
  <c r="AX66" i="1"/>
  <c r="BG66" i="1" s="1"/>
  <c r="AX402" i="1"/>
  <c r="BG402" i="1" s="1"/>
  <c r="AX90" i="1"/>
  <c r="BG90" i="1" s="1"/>
  <c r="AX317" i="1"/>
  <c r="BG317" i="1" s="1"/>
  <c r="AX287" i="1"/>
  <c r="BG287" i="1" s="1"/>
  <c r="AX505" i="1"/>
  <c r="BG505" i="1" s="1"/>
  <c r="AX702" i="1"/>
  <c r="BG702" i="1" s="1"/>
  <c r="AX456" i="1"/>
  <c r="BG456" i="1" s="1"/>
  <c r="AX559" i="1"/>
  <c r="BG559" i="1" s="1"/>
  <c r="AX175" i="1"/>
  <c r="BG175" i="1" s="1"/>
  <c r="AX362" i="1"/>
  <c r="BG362" i="1" s="1"/>
  <c r="AX217" i="1"/>
  <c r="BG217" i="1" s="1"/>
  <c r="AX286" i="1"/>
  <c r="BG286" i="1" s="1"/>
  <c r="AX536" i="1"/>
  <c r="BG536" i="1" s="1"/>
  <c r="AX682" i="1"/>
  <c r="BG682" i="1" s="1"/>
  <c r="AX484" i="1"/>
  <c r="BG484" i="1" s="1"/>
  <c r="AX423" i="1"/>
  <c r="BG423" i="1" s="1"/>
  <c r="AX750" i="1"/>
  <c r="BG750" i="1" s="1"/>
  <c r="AX730" i="1"/>
  <c r="BG730" i="1" s="1"/>
  <c r="AX748" i="1"/>
  <c r="BG748" i="1" s="1"/>
  <c r="AX937" i="1"/>
  <c r="BG937" i="1" s="1"/>
  <c r="AX788" i="1"/>
  <c r="BG788" i="1" s="1"/>
  <c r="AX1006" i="1"/>
  <c r="BG1006" i="1" s="1"/>
  <c r="AX1022" i="1"/>
  <c r="BG1022" i="1" s="1"/>
  <c r="AH178" i="1"/>
  <c r="AO178" i="1" s="1"/>
  <c r="AH103" i="1"/>
  <c r="AO103" i="1" s="1"/>
  <c r="AH359" i="1"/>
  <c r="AO359" i="1" s="1"/>
  <c r="AX530" i="1"/>
  <c r="BG530" i="1" s="1"/>
  <c r="AX836" i="1"/>
  <c r="BG836" i="1" s="1"/>
  <c r="AX850" i="1"/>
  <c r="BG850" i="1" s="1"/>
  <c r="AX873" i="1"/>
  <c r="BG873" i="1" s="1"/>
  <c r="AX1007" i="1"/>
  <c r="BG1007" i="1" s="1"/>
  <c r="AX1002" i="1"/>
  <c r="BG1002" i="1" s="1"/>
  <c r="AX1012" i="1"/>
  <c r="BG1012" i="1" s="1"/>
  <c r="AH65" i="1"/>
  <c r="AO65" i="1" s="1"/>
  <c r="AH278" i="1"/>
  <c r="AO278" i="1" s="1"/>
  <c r="AH203" i="1"/>
  <c r="AO203" i="1" s="1"/>
  <c r="AX744" i="1"/>
  <c r="BG744" i="1" s="1"/>
  <c r="AX724" i="1"/>
  <c r="BG724" i="1" s="1"/>
  <c r="AX738" i="1"/>
  <c r="BG738" i="1" s="1"/>
  <c r="AX935" i="1"/>
  <c r="BG935" i="1" s="1"/>
  <c r="AX774" i="1"/>
  <c r="BG774" i="1" s="1"/>
  <c r="AX990" i="1"/>
  <c r="BG990" i="1" s="1"/>
  <c r="AX83" i="1"/>
  <c r="BG83" i="1" s="1"/>
  <c r="AX111" i="1"/>
  <c r="BG111" i="1" s="1"/>
  <c r="AX43" i="1"/>
  <c r="BG43" i="1" s="1"/>
  <c r="AX78" i="1"/>
  <c r="BG78" i="1" s="1"/>
  <c r="AX497" i="1"/>
  <c r="BG497" i="1" s="1"/>
  <c r="AX489" i="1"/>
  <c r="BG489" i="1" s="1"/>
  <c r="AX356" i="1"/>
  <c r="BG356" i="1" s="1"/>
  <c r="AX632" i="1"/>
  <c r="BG632" i="1" s="1"/>
  <c r="AX691" i="1"/>
  <c r="BG691" i="1" s="1"/>
  <c r="AX431" i="1"/>
  <c r="BG431" i="1" s="1"/>
  <c r="AX621" i="1"/>
  <c r="BG621" i="1" s="1"/>
  <c r="AX485" i="1"/>
  <c r="BG485" i="1" s="1"/>
  <c r="AX450" i="1"/>
  <c r="BG450" i="1" s="1"/>
  <c r="AX578" i="1"/>
  <c r="BG578" i="1" s="1"/>
  <c r="AX552" i="1"/>
  <c r="BG552" i="1" s="1"/>
  <c r="AX636" i="1"/>
  <c r="BG636" i="1" s="1"/>
  <c r="AX547" i="1"/>
  <c r="BG547" i="1" s="1"/>
  <c r="AX353" i="1"/>
  <c r="BG353" i="1" s="1"/>
  <c r="AX908" i="1"/>
  <c r="BG908" i="1" s="1"/>
  <c r="AX722" i="1"/>
  <c r="BG722" i="1" s="1"/>
  <c r="AX994" i="1"/>
  <c r="BG994" i="1" s="1"/>
  <c r="AX752" i="1"/>
  <c r="BG752" i="1" s="1"/>
  <c r="AX956" i="1"/>
  <c r="BG956" i="1" s="1"/>
  <c r="AH44" i="1"/>
  <c r="AO44" i="1" s="1"/>
  <c r="AH322" i="1"/>
  <c r="AO322" i="1" s="1"/>
  <c r="AH247" i="1"/>
  <c r="AO247" i="1" s="1"/>
  <c r="AH503" i="1"/>
  <c r="AO503" i="1" s="1"/>
  <c r="AX739" i="1"/>
  <c r="BG739" i="1" s="1"/>
  <c r="AX720" i="1"/>
  <c r="BG720" i="1" s="1"/>
  <c r="AX733" i="1"/>
  <c r="BG733" i="1" s="1"/>
  <c r="AX922" i="1"/>
  <c r="BG922" i="1" s="1"/>
  <c r="AX747" i="1"/>
  <c r="BG747" i="1" s="1"/>
  <c r="AX982" i="1"/>
  <c r="BG982" i="1" s="1"/>
  <c r="AX997" i="1"/>
  <c r="BG997" i="1" s="1"/>
  <c r="AH166" i="1"/>
  <c r="AO166" i="1" s="1"/>
  <c r="AH88" i="1"/>
  <c r="AO88" i="1" s="1"/>
  <c r="AX503" i="1"/>
  <c r="BG503" i="1" s="1"/>
  <c r="AX867" i="1"/>
  <c r="BG867" i="1" s="1"/>
  <c r="AX894" i="1"/>
  <c r="BG894" i="1" s="1"/>
  <c r="AX668" i="1"/>
  <c r="BG668" i="1" s="1"/>
  <c r="AX1042" i="1"/>
  <c r="BG1042" i="1" s="1"/>
  <c r="AX700" i="1"/>
  <c r="BG700" i="1" s="1"/>
  <c r="AX110" i="1"/>
  <c r="BG110" i="1" s="1"/>
  <c r="AX504" i="1"/>
  <c r="BG504" i="1" s="1"/>
  <c r="AX231" i="1"/>
  <c r="BG231" i="1" s="1"/>
  <c r="AX87" i="1"/>
  <c r="BG87" i="1" s="1"/>
  <c r="AX233" i="1"/>
  <c r="BG233" i="1" s="1"/>
  <c r="AX134" i="1"/>
  <c r="BG134" i="1" s="1"/>
  <c r="AX221" i="1"/>
  <c r="BG221" i="1" s="1"/>
  <c r="AX478" i="1"/>
  <c r="BG478" i="1" s="1"/>
  <c r="AX345" i="1"/>
  <c r="BG345" i="1" s="1"/>
  <c r="AX33" i="1"/>
  <c r="BG33" i="1" s="1"/>
  <c r="AX316" i="1"/>
  <c r="BG316" i="1" s="1"/>
  <c r="AX202" i="1"/>
  <c r="BG202" i="1" s="1"/>
  <c r="AX320" i="1"/>
  <c r="BG320" i="1" s="1"/>
  <c r="AX73" i="1"/>
  <c r="BG73" i="1" s="1"/>
  <c r="AX96" i="1"/>
  <c r="BG96" i="1" s="1"/>
  <c r="AX44" i="1"/>
  <c r="BG44" i="1" s="1"/>
  <c r="AX147" i="1"/>
  <c r="BG147" i="1" s="1"/>
  <c r="AX150" i="1"/>
  <c r="BG150" i="1" s="1"/>
  <c r="AX264" i="1"/>
  <c r="BG264" i="1" s="1"/>
  <c r="AX387" i="1"/>
  <c r="BG387" i="1" s="1"/>
  <c r="AX382" i="1"/>
  <c r="BG382" i="1" s="1"/>
  <c r="AX262" i="1"/>
  <c r="BG262" i="1" s="1"/>
  <c r="AX481" i="1"/>
  <c r="BG481" i="1" s="1"/>
  <c r="AX619" i="1"/>
  <c r="BG619" i="1" s="1"/>
  <c r="AX591" i="1"/>
  <c r="BG591" i="1" s="1"/>
  <c r="AX670" i="1"/>
  <c r="BG670" i="1" s="1"/>
  <c r="AX408" i="1"/>
  <c r="BG408" i="1" s="1"/>
  <c r="AX430" i="1"/>
  <c r="BG430" i="1" s="1"/>
  <c r="AX549" i="1"/>
  <c r="BG549" i="1" s="1"/>
  <c r="AX529" i="1"/>
  <c r="BG529" i="1" s="1"/>
  <c r="AX608" i="1"/>
  <c r="BG608" i="1" s="1"/>
  <c r="AX245" i="1"/>
  <c r="BG245" i="1" s="1"/>
  <c r="AX367" i="1"/>
  <c r="BG367" i="1" s="1"/>
  <c r="AX57" i="1"/>
  <c r="BG57" i="1" s="1"/>
  <c r="AX148" i="1"/>
  <c r="BG148" i="1" s="1"/>
  <c r="AX151" i="1"/>
  <c r="BG151" i="1" s="1"/>
  <c r="AX265" i="1"/>
  <c r="BG265" i="1" s="1"/>
  <c r="AX393" i="1"/>
  <c r="BG393" i="1" s="1"/>
  <c r="AX388" i="1"/>
  <c r="BG388" i="1" s="1"/>
  <c r="AX56" i="1"/>
  <c r="BG56" i="1" s="1"/>
  <c r="AX174" i="1"/>
  <c r="BG174" i="1" s="1"/>
  <c r="AX46" i="1"/>
  <c r="BG46" i="1" s="1"/>
  <c r="AX338" i="1"/>
  <c r="BG338" i="1" s="1"/>
  <c r="AX445" i="1"/>
  <c r="BG445" i="1" s="1"/>
  <c r="AX130" i="1"/>
  <c r="BG130" i="1" s="1"/>
  <c r="AX297" i="1"/>
  <c r="BG297" i="1" s="1"/>
  <c r="AX109" i="1"/>
  <c r="BG109" i="1" s="1"/>
  <c r="AX274" i="1"/>
  <c r="BG274" i="1" s="1"/>
  <c r="AX171" i="1"/>
  <c r="BG171" i="1" s="1"/>
  <c r="AX260" i="1"/>
  <c r="BG260" i="1" s="1"/>
  <c r="AX499" i="1"/>
  <c r="BG499" i="1" s="1"/>
  <c r="AX339" i="1"/>
  <c r="BG339" i="1" s="1"/>
  <c r="AX390" i="1"/>
  <c r="BG390" i="1" s="1"/>
  <c r="AX455" i="1"/>
  <c r="BG455" i="1" s="1"/>
  <c r="AX407" i="1"/>
  <c r="BG407" i="1" s="1"/>
  <c r="AX100" i="1"/>
  <c r="BG100" i="1" s="1"/>
  <c r="AX88" i="1"/>
  <c r="BG88" i="1" s="1"/>
  <c r="AX243" i="1"/>
  <c r="BG243" i="1" s="1"/>
  <c r="AX365" i="1"/>
  <c r="BG365" i="1" s="1"/>
  <c r="AX336" i="1"/>
  <c r="BG336" i="1" s="1"/>
  <c r="AX26" i="1"/>
  <c r="BG26" i="1" s="1"/>
  <c r="AX139" i="1"/>
  <c r="BG139" i="1" s="1"/>
  <c r="AX193" i="1"/>
  <c r="BG193" i="1" s="1"/>
  <c r="AX303" i="1"/>
  <c r="BG303" i="1" s="1"/>
  <c r="AX415" i="1"/>
  <c r="BG415" i="1" s="1"/>
  <c r="AX103" i="1"/>
  <c r="BG103" i="1" s="1"/>
  <c r="AX266" i="1"/>
  <c r="BG266" i="1" s="1"/>
  <c r="AX86" i="1"/>
  <c r="BG86" i="1" s="1"/>
  <c r="AX232" i="1"/>
  <c r="BG232" i="1" s="1"/>
  <c r="AX122" i="1"/>
  <c r="BG122" i="1" s="1"/>
  <c r="AX207" i="1"/>
  <c r="BG207" i="1" s="1"/>
  <c r="AX477" i="1"/>
  <c r="BG477" i="1" s="1"/>
  <c r="AX223" i="1"/>
  <c r="BG223" i="1" s="1"/>
  <c r="AX359" i="1"/>
  <c r="BG359" i="1" s="1"/>
  <c r="AX337" i="1"/>
  <c r="BG337" i="1" s="1"/>
  <c r="AX719" i="1"/>
  <c r="BG719" i="1" s="1"/>
  <c r="AX539" i="1"/>
  <c r="BG539" i="1" s="1"/>
  <c r="AX616" i="1"/>
  <c r="BG616" i="1" s="1"/>
  <c r="AX209" i="1"/>
  <c r="BG209" i="1" s="1"/>
  <c r="AX520" i="1"/>
  <c r="BG520" i="1" s="1"/>
  <c r="AX660" i="1"/>
  <c r="BG660" i="1" s="1"/>
  <c r="AX420" i="1"/>
  <c r="BG420" i="1" s="1"/>
  <c r="AX723" i="1"/>
  <c r="BG723" i="1" s="1"/>
  <c r="AX48" i="1"/>
  <c r="BG48" i="1" s="1"/>
  <c r="AX461" i="1"/>
  <c r="BG461" i="1" s="1"/>
  <c r="AX170" i="1"/>
  <c r="BG170" i="1" s="1"/>
  <c r="AX32" i="1"/>
  <c r="BG32" i="1" s="1"/>
  <c r="AX458" i="1"/>
  <c r="BG458" i="1" s="1"/>
  <c r="AX294" i="1"/>
  <c r="BG294" i="1" s="1"/>
  <c r="AX253" i="1"/>
  <c r="BG253" i="1" s="1"/>
  <c r="AX263" i="1"/>
  <c r="BG263" i="1" s="1"/>
  <c r="AX498" i="1"/>
  <c r="BG498" i="1" s="1"/>
  <c r="AX588" i="1"/>
  <c r="BG588" i="1" s="1"/>
  <c r="AX643" i="1"/>
  <c r="BG643" i="1" s="1"/>
  <c r="AX397" i="1"/>
  <c r="BG397" i="1" s="1"/>
  <c r="AX601" i="1"/>
  <c r="BG601" i="1" s="1"/>
  <c r="AX434" i="1"/>
  <c r="BG434" i="1" s="1"/>
  <c r="AX437" i="1"/>
  <c r="BG437" i="1" s="1"/>
  <c r="AX566" i="1"/>
  <c r="BG566" i="1" s="1"/>
  <c r="AX543" i="1"/>
  <c r="BG543" i="1" s="1"/>
  <c r="AX618" i="1"/>
  <c r="BG618" i="1" s="1"/>
  <c r="AX425" i="1"/>
  <c r="BG425" i="1" s="1"/>
  <c r="AX860" i="1"/>
  <c r="BG860" i="1" s="1"/>
  <c r="AX888" i="1"/>
  <c r="BG888" i="1" s="1"/>
  <c r="AX604" i="1"/>
  <c r="BG604" i="1" s="1"/>
  <c r="AX1026" i="1"/>
  <c r="BG1026" i="1" s="1"/>
  <c r="AX254" i="1"/>
  <c r="BG254" i="1" s="1"/>
  <c r="AX903" i="1"/>
  <c r="BG903" i="1" s="1"/>
  <c r="AH93" i="1"/>
  <c r="AO93" i="1" s="1"/>
  <c r="AH306" i="1"/>
  <c r="AO306" i="1" s="1"/>
  <c r="AH231" i="1"/>
  <c r="AO231" i="1" s="1"/>
  <c r="AH487" i="1"/>
  <c r="AO487" i="1" s="1"/>
  <c r="AX716" i="1"/>
  <c r="BG716" i="1" s="1"/>
  <c r="AX688" i="1"/>
  <c r="BG688" i="1" s="1"/>
  <c r="AX704" i="1"/>
  <c r="BG704" i="1" s="1"/>
  <c r="AX907" i="1"/>
  <c r="BG907" i="1" s="1"/>
  <c r="AX663" i="1"/>
  <c r="BG663" i="1" s="1"/>
  <c r="AX950" i="1"/>
  <c r="BG950" i="1" s="1"/>
  <c r="AX947" i="1"/>
  <c r="BG947" i="1" s="1"/>
  <c r="AH150" i="1"/>
  <c r="AO150" i="1" s="1"/>
  <c r="AH62" i="1"/>
  <c r="AO62" i="1" s="1"/>
  <c r="AX242" i="1"/>
  <c r="BG242" i="1" s="1"/>
  <c r="AX849" i="1"/>
  <c r="BG849" i="1" s="1"/>
  <c r="AX875" i="1"/>
  <c r="BG875" i="1" s="1"/>
  <c r="AX82" i="1"/>
  <c r="BG82" i="1" s="1"/>
  <c r="AX1017" i="1"/>
  <c r="BG1017" i="1" s="1"/>
  <c r="AX799" i="1"/>
  <c r="BG799" i="1" s="1"/>
  <c r="AX30" i="1"/>
  <c r="BG30" i="1" s="1"/>
  <c r="AX453" i="1"/>
  <c r="BG453" i="1" s="1"/>
  <c r="AX179" i="1"/>
  <c r="BG179" i="1" s="1"/>
  <c r="AX145" i="1"/>
  <c r="BG145" i="1" s="1"/>
  <c r="AX364" i="1"/>
  <c r="BG364" i="1" s="1"/>
  <c r="AX587" i="1"/>
  <c r="BG587" i="1" s="1"/>
  <c r="AX492" i="1"/>
  <c r="BG492" i="1" s="1"/>
  <c r="AX494" i="1"/>
  <c r="BG494" i="1" s="1"/>
  <c r="AX235" i="1"/>
  <c r="BG235" i="1" s="1"/>
  <c r="AX421" i="1"/>
  <c r="BG421" i="1" s="1"/>
  <c r="AX441" i="1"/>
  <c r="BG441" i="1" s="1"/>
  <c r="AX143" i="1"/>
  <c r="BG143" i="1" s="1"/>
  <c r="AX328" i="1"/>
  <c r="BG328" i="1" s="1"/>
  <c r="AX220" i="1"/>
  <c r="BG220" i="1" s="1"/>
  <c r="AX698" i="1"/>
  <c r="BG698" i="1" s="1"/>
  <c r="AX511" i="1"/>
  <c r="BG511" i="1" s="1"/>
  <c r="AX583" i="1"/>
  <c r="BG583" i="1" s="1"/>
  <c r="AX766" i="1"/>
  <c r="BG766" i="1" s="1"/>
  <c r="AX746" i="1"/>
  <c r="BG746" i="1" s="1"/>
  <c r="AX764" i="1"/>
  <c r="BG764" i="1" s="1"/>
  <c r="AX951" i="1"/>
  <c r="BG951" i="1" s="1"/>
  <c r="AX833" i="1"/>
  <c r="BG833" i="1" s="1"/>
  <c r="AX1025" i="1"/>
  <c r="BG1025" i="1" s="1"/>
  <c r="AH31" i="1"/>
  <c r="AO31" i="1" s="1"/>
  <c r="AH194" i="1"/>
  <c r="AO194" i="1" s="1"/>
  <c r="AH119" i="1"/>
  <c r="AO119" i="1" s="1"/>
  <c r="AH375" i="1"/>
  <c r="AO375" i="1" s="1"/>
  <c r="AX593" i="1"/>
  <c r="BG593" i="1" s="1"/>
  <c r="AX848" i="1"/>
  <c r="BG848" i="1" s="1"/>
  <c r="AX870" i="1"/>
  <c r="BG870" i="1" s="1"/>
  <c r="AX898" i="1"/>
  <c r="BG898" i="1" s="1"/>
  <c r="AX1016" i="1"/>
  <c r="BG1016" i="1" s="1"/>
  <c r="AX685" i="1"/>
  <c r="BG685" i="1" s="1"/>
  <c r="AX858" i="1"/>
  <c r="BG858" i="1" s="1"/>
  <c r="AH81" i="1"/>
  <c r="AO81" i="1" s="1"/>
  <c r="AH294" i="1"/>
  <c r="AO294" i="1" s="1"/>
  <c r="AH219" i="1"/>
  <c r="AO219" i="1" s="1"/>
  <c r="AX760" i="1"/>
  <c r="BG760" i="1" s="1"/>
  <c r="AX740" i="1"/>
  <c r="BG740" i="1" s="1"/>
  <c r="AX754" i="1"/>
  <c r="BG754" i="1" s="1"/>
  <c r="AX944" i="1"/>
  <c r="BG944" i="1" s="1"/>
  <c r="AX819" i="1"/>
  <c r="BG819" i="1" s="1"/>
  <c r="AX1023" i="1"/>
  <c r="BG1023" i="1" s="1"/>
  <c r="AX172" i="1"/>
  <c r="BG172" i="1" s="1"/>
  <c r="AX79" i="1"/>
  <c r="BG79" i="1" s="1"/>
  <c r="AX53" i="1"/>
  <c r="BG53" i="1" s="1"/>
  <c r="AX39" i="1"/>
  <c r="BG39" i="1" s="1"/>
  <c r="AX427" i="1"/>
  <c r="BG427" i="1" s="1"/>
  <c r="AX142" i="1"/>
  <c r="BG142" i="1" s="1"/>
  <c r="AX71" i="1"/>
  <c r="BG71" i="1" s="1"/>
  <c r="AX329" i="1"/>
  <c r="BG329" i="1" s="1"/>
  <c r="AX538" i="1"/>
  <c r="BG538" i="1" s="1"/>
  <c r="AX377" i="1"/>
  <c r="BG377" i="1" s="1"/>
  <c r="AX679" i="1"/>
  <c r="BG679" i="1" s="1"/>
  <c r="AX325" i="1"/>
  <c r="BG325" i="1" s="1"/>
  <c r="AX58" i="1"/>
  <c r="BG58" i="1" s="1"/>
  <c r="AX394" i="1"/>
  <c r="BG394" i="1" s="1"/>
  <c r="AX182" i="1"/>
  <c r="BG182" i="1" s="1"/>
  <c r="AX68" i="1"/>
  <c r="BG68" i="1" s="1"/>
  <c r="AX119" i="1"/>
  <c r="BG119" i="1" s="1"/>
  <c r="AX121" i="1"/>
  <c r="BG121" i="1" s="1"/>
  <c r="AX244" i="1"/>
  <c r="BG244" i="1" s="1"/>
  <c r="AX38" i="1"/>
  <c r="BG38" i="1" s="1"/>
  <c r="AX426" i="1"/>
  <c r="BG426" i="1" s="1"/>
  <c r="AX659" i="1"/>
  <c r="BG659" i="1" s="1"/>
  <c r="AX469" i="1"/>
  <c r="BG469" i="1" s="1"/>
  <c r="AX307" i="1"/>
  <c r="BG307" i="1" s="1"/>
  <c r="AX98" i="1"/>
  <c r="BG98" i="1" s="1"/>
  <c r="AX180" i="1"/>
  <c r="BG180" i="1" s="1"/>
  <c r="AX531" i="1"/>
  <c r="BG531" i="1" s="1"/>
  <c r="AX400" i="1"/>
  <c r="BG400" i="1" s="1"/>
  <c r="AX798" i="1"/>
  <c r="BG798" i="1" s="1"/>
  <c r="AX915" i="1"/>
  <c r="BG915" i="1" s="1"/>
  <c r="AH423" i="1"/>
  <c r="AO423" i="1" s="1"/>
  <c r="AX780" i="1"/>
  <c r="BG780" i="1" s="1"/>
  <c r="AH82" i="1"/>
  <c r="AO82" i="1" s="1"/>
  <c r="AX792" i="1"/>
  <c r="BG792" i="1" s="1"/>
  <c r="AX820" i="1"/>
  <c r="BG820" i="1" s="1"/>
  <c r="AX237" i="1"/>
  <c r="BG237" i="1" s="1"/>
  <c r="AX412" i="1"/>
  <c r="BG412" i="1" s="1"/>
  <c r="AX373" i="1"/>
  <c r="BG373" i="1" s="1"/>
  <c r="AX697" i="1"/>
  <c r="BG697" i="1" s="1"/>
  <c r="AX885" i="1"/>
  <c r="BG885" i="1" s="1"/>
  <c r="AH130" i="1"/>
  <c r="AO130" i="1" s="1"/>
  <c r="AX797" i="1"/>
  <c r="BG797" i="1" s="1"/>
  <c r="AX912" i="1"/>
  <c r="BG912" i="1" s="1"/>
  <c r="AH155" i="1"/>
  <c r="AO155" i="1" s="1"/>
  <c r="AX876" i="1"/>
  <c r="BG876" i="1" s="1"/>
  <c r="AX375" i="1"/>
  <c r="BG375" i="1" s="1"/>
  <c r="AX112" i="1"/>
  <c r="BG112" i="1" s="1"/>
  <c r="AX191" i="1"/>
  <c r="BG191" i="1" s="1"/>
  <c r="AX558" i="1"/>
  <c r="BG558" i="1" s="1"/>
  <c r="AX276" i="1"/>
  <c r="BG276" i="1" s="1"/>
  <c r="AX510" i="1"/>
  <c r="BG510" i="1" s="1"/>
  <c r="AX576" i="1"/>
  <c r="BG576" i="1" s="1"/>
  <c r="AX321" i="1"/>
  <c r="BG321" i="1" s="1"/>
  <c r="AX569" i="1"/>
  <c r="BG569" i="1" s="1"/>
  <c r="AX327" i="1"/>
  <c r="BG327" i="1" s="1"/>
  <c r="AX411" i="1"/>
  <c r="BG411" i="1" s="1"/>
  <c r="AX517" i="1"/>
  <c r="BG517" i="1" s="1"/>
  <c r="AX476" i="1"/>
  <c r="BG476" i="1" s="1"/>
  <c r="AX586" i="1"/>
  <c r="BG586" i="1" s="1"/>
  <c r="AX509" i="1"/>
  <c r="BG509" i="1" s="1"/>
  <c r="AX835" i="1"/>
  <c r="BG835" i="1" s="1"/>
  <c r="AX843" i="1"/>
  <c r="BG843" i="1" s="1"/>
  <c r="AX872" i="1"/>
  <c r="BG872" i="1" s="1"/>
  <c r="AX1001" i="1"/>
  <c r="BG1001" i="1" s="1"/>
  <c r="AX978" i="1"/>
  <c r="BG978" i="1" s="1"/>
  <c r="AX1005" i="1"/>
  <c r="BG1005" i="1" s="1"/>
  <c r="AH61" i="1"/>
  <c r="AO61" i="1" s="1"/>
  <c r="AH274" i="1"/>
  <c r="AO274" i="1" s="1"/>
  <c r="AH199" i="1"/>
  <c r="AO199" i="1" s="1"/>
  <c r="AH455" i="1"/>
  <c r="AO455" i="1" s="1"/>
  <c r="AX416" i="1"/>
  <c r="BG416" i="1" s="1"/>
  <c r="AX624" i="1"/>
  <c r="BG624" i="1" s="1"/>
  <c r="AX648" i="1"/>
  <c r="BG648" i="1" s="1"/>
  <c r="AX871" i="1"/>
  <c r="BG871" i="1" s="1"/>
  <c r="AX312" i="1"/>
  <c r="BG312" i="1" s="1"/>
  <c r="AX893" i="1"/>
  <c r="BG893" i="1" s="1"/>
  <c r="AX971" i="1"/>
  <c r="BG971" i="1" s="1"/>
  <c r="AH118" i="1"/>
  <c r="AO118" i="1" s="1"/>
  <c r="AH374" i="1"/>
  <c r="AO374" i="1" s="1"/>
  <c r="AX438" i="1"/>
  <c r="BG438" i="1" s="1"/>
  <c r="AX828" i="1"/>
  <c r="BG828" i="1" s="1"/>
  <c r="AX830" i="1"/>
  <c r="BG830" i="1" s="1"/>
  <c r="AX859" i="1"/>
  <c r="BG859" i="1" s="1"/>
  <c r="AX999" i="1"/>
  <c r="BG999" i="1" s="1"/>
  <c r="AX47" i="1"/>
  <c r="BG47" i="1" s="1"/>
  <c r="AX192" i="1"/>
  <c r="BG192" i="1" s="1"/>
  <c r="AX257" i="1"/>
  <c r="BG257" i="1" s="1"/>
  <c r="AX548" i="1"/>
  <c r="BG548" i="1" s="1"/>
  <c r="AX808" i="1"/>
  <c r="BG808" i="1" s="1"/>
  <c r="AH63" i="1"/>
  <c r="AO63" i="1" s="1"/>
  <c r="AX556" i="1"/>
  <c r="BG556" i="1" s="1"/>
  <c r="AX1010" i="1"/>
  <c r="BG1010" i="1" s="1"/>
  <c r="AH326" i="1"/>
  <c r="AO326" i="1" s="1"/>
  <c r="AX795" i="1"/>
  <c r="BG795" i="1" s="1"/>
  <c r="AX933" i="1"/>
  <c r="BG933" i="1" s="1"/>
  <c r="AX532" i="1"/>
  <c r="BG532" i="1" s="1"/>
  <c r="AX868" i="1"/>
  <c r="BG868" i="1" s="1"/>
  <c r="AX902" i="1"/>
  <c r="BG902" i="1" s="1"/>
  <c r="AX695" i="1"/>
  <c r="BG695" i="1" s="1"/>
  <c r="AX986" i="1"/>
  <c r="BG986" i="1" s="1"/>
  <c r="AX742" i="1"/>
  <c r="BG742" i="1" s="1"/>
  <c r="AX949" i="1"/>
  <c r="BG949" i="1" s="1"/>
  <c r="AH36" i="1"/>
  <c r="AO36" i="1" s="1"/>
  <c r="AH318" i="1"/>
  <c r="AO318" i="1" s="1"/>
  <c r="AH243" i="1"/>
  <c r="AO243" i="1" s="1"/>
  <c r="AH499" i="1"/>
  <c r="AO499" i="1" s="1"/>
  <c r="AH143" i="1"/>
  <c r="AO143" i="1" s="1"/>
  <c r="AH172" i="1"/>
  <c r="AO172" i="1" s="1"/>
  <c r="AH428" i="1"/>
  <c r="AO428" i="1" s="1"/>
  <c r="AH485" i="1"/>
  <c r="AO485" i="1" s="1"/>
  <c r="AH774" i="1"/>
  <c r="AO774" i="1" s="1"/>
  <c r="AH86" i="1"/>
  <c r="AO86" i="1" s="1"/>
  <c r="AH651" i="1"/>
  <c r="AO651" i="1" s="1"/>
  <c r="AH907" i="1"/>
  <c r="AO907" i="1" s="1"/>
  <c r="AH337" i="1"/>
  <c r="AO337" i="1" s="1"/>
  <c r="AH713" i="1"/>
  <c r="AO713" i="1" s="1"/>
  <c r="AH969" i="1"/>
  <c r="AO969" i="1" s="1"/>
  <c r="AH383" i="1"/>
  <c r="AO383" i="1" s="1"/>
  <c r="AH256" i="1"/>
  <c r="AO256" i="1" s="1"/>
  <c r="AH512" i="1"/>
  <c r="AO512" i="1" s="1"/>
  <c r="AH602" i="1"/>
  <c r="AO602" i="1" s="1"/>
  <c r="AH858" i="1"/>
  <c r="AO858" i="1" s="1"/>
  <c r="AH406" i="1"/>
  <c r="AO406" i="1" s="1"/>
  <c r="AH735" i="1"/>
  <c r="AO735" i="1" s="1"/>
  <c r="AH991" i="1"/>
  <c r="AO991" i="1" s="1"/>
  <c r="AH28" i="1"/>
  <c r="AO28" i="1" s="1"/>
  <c r="AX34" i="1"/>
  <c r="BG34" i="1" s="1"/>
  <c r="AX164" i="1"/>
  <c r="BG164" i="1" s="1"/>
  <c r="AX628" i="1"/>
  <c r="BG628" i="1" s="1"/>
  <c r="AX424" i="1"/>
  <c r="BG424" i="1" s="1"/>
  <c r="AX581" i="1"/>
  <c r="BG581" i="1" s="1"/>
  <c r="AX1015" i="1"/>
  <c r="BG1015" i="1" s="1"/>
  <c r="AH290" i="1"/>
  <c r="AO290" i="1" s="1"/>
  <c r="AX654" i="1"/>
  <c r="BG654" i="1" s="1"/>
  <c r="AX932" i="1"/>
  <c r="BG932" i="1" s="1"/>
  <c r="AX551" i="1"/>
  <c r="BG551" i="1" s="1"/>
  <c r="AX1008" i="1"/>
  <c r="BG1008" i="1" s="1"/>
  <c r="AX1030" i="1"/>
  <c r="BG1030" i="1" s="1"/>
  <c r="AX706" i="1"/>
  <c r="BG706" i="1" s="1"/>
  <c r="AX678" i="1"/>
  <c r="BG678" i="1" s="1"/>
  <c r="AX694" i="1"/>
  <c r="BG694" i="1" s="1"/>
  <c r="AX897" i="1"/>
  <c r="BG897" i="1" s="1"/>
  <c r="AX642" i="1"/>
  <c r="BG642" i="1" s="1"/>
  <c r="AX934" i="1"/>
  <c r="BG934" i="1" s="1"/>
  <c r="AX929" i="1"/>
  <c r="BG929" i="1" s="1"/>
  <c r="AH142" i="1"/>
  <c r="AO142" i="1" s="1"/>
  <c r="AH46" i="1"/>
  <c r="AO46" i="1" s="1"/>
  <c r="AH323" i="1"/>
  <c r="AO323" i="1" s="1"/>
  <c r="AH84" i="1"/>
  <c r="AO84" i="1" s="1"/>
  <c r="AH379" i="1"/>
  <c r="AO379" i="1" s="1"/>
  <c r="AH252" i="1"/>
  <c r="AO252" i="1" s="1"/>
  <c r="AH508" i="1"/>
  <c r="AO508" i="1" s="1"/>
  <c r="AH598" i="1"/>
  <c r="AO598" i="1" s="1"/>
  <c r="AH854" i="1"/>
  <c r="AO854" i="1" s="1"/>
  <c r="AH398" i="1"/>
  <c r="AO398" i="1" s="1"/>
  <c r="AX177" i="1"/>
  <c r="BG177" i="1" s="1"/>
  <c r="AX686" i="1"/>
  <c r="BG686" i="1" s="1"/>
  <c r="AX301" i="1"/>
  <c r="BG301" i="1" s="1"/>
  <c r="AX666" i="1"/>
  <c r="BG666" i="1" s="1"/>
  <c r="AX715" i="1"/>
  <c r="BG715" i="1" s="1"/>
  <c r="AX974" i="1"/>
  <c r="BG974" i="1" s="1"/>
  <c r="AH343" i="1"/>
  <c r="AO343" i="1" s="1"/>
  <c r="AX854" i="1"/>
  <c r="BG854" i="1" s="1"/>
  <c r="AH49" i="1"/>
  <c r="AO49" i="1" s="1"/>
  <c r="AX705" i="1"/>
  <c r="BG705" i="1" s="1"/>
  <c r="AX905" i="1"/>
  <c r="BG905" i="1" s="1"/>
  <c r="AX996" i="1"/>
  <c r="BG996" i="1" s="1"/>
  <c r="AX804" i="1"/>
  <c r="BG804" i="1" s="1"/>
  <c r="AX793" i="1"/>
  <c r="BG793" i="1" s="1"/>
  <c r="AX822" i="1"/>
  <c r="BG822" i="1" s="1"/>
  <c r="AX977" i="1"/>
  <c r="BG977" i="1" s="1"/>
  <c r="AX923" i="1"/>
  <c r="BG923" i="1" s="1"/>
  <c r="AX896" i="1"/>
  <c r="BG896" i="1" s="1"/>
  <c r="AH75" i="1"/>
  <c r="AO75" i="1" s="1"/>
  <c r="AX157" i="1"/>
  <c r="BG157" i="1" s="1"/>
  <c r="AX240" i="1"/>
  <c r="BG240" i="1" s="1"/>
  <c r="AX227" i="1"/>
  <c r="BG227" i="1" s="1"/>
  <c r="AX50" i="1"/>
  <c r="BG50" i="1" s="1"/>
  <c r="AX215" i="1"/>
  <c r="BG215" i="1" s="1"/>
  <c r="AX524" i="1"/>
  <c r="BG524" i="1" s="1"/>
  <c r="AX436" i="1"/>
  <c r="BG436" i="1" s="1"/>
  <c r="AX247" i="1"/>
  <c r="BG247" i="1" s="1"/>
  <c r="AX213" i="1"/>
  <c r="BG213" i="1" s="1"/>
  <c r="AX155" i="1"/>
  <c r="BG155" i="1" s="1"/>
  <c r="AX85" i="1"/>
  <c r="BG85" i="1" s="1"/>
  <c r="AX81" i="1"/>
  <c r="BG81" i="1" s="1"/>
  <c r="AX308" i="1"/>
  <c r="BG308" i="1" s="1"/>
  <c r="AX295" i="1"/>
  <c r="BG295" i="1" s="1"/>
  <c r="AX25" i="1"/>
  <c r="BG25" i="1" s="1"/>
  <c r="AX370" i="1"/>
  <c r="BG370" i="1" s="1"/>
  <c r="AX154" i="1"/>
  <c r="BG154" i="1" s="1"/>
  <c r="AX228" i="1"/>
  <c r="BG228" i="1" s="1"/>
  <c r="AX406" i="1"/>
  <c r="BG406" i="1" s="1"/>
  <c r="AX600" i="1"/>
  <c r="BG600" i="1" s="1"/>
  <c r="AX410" i="1"/>
  <c r="BG410" i="1" s="1"/>
  <c r="AX118" i="1"/>
  <c r="BG118" i="1" s="1"/>
  <c r="AX279" i="1"/>
  <c r="BG279" i="1" s="1"/>
  <c r="AX331" i="1"/>
  <c r="BG331" i="1" s="1"/>
  <c r="AX562" i="1"/>
  <c r="BG562" i="1" s="1"/>
  <c r="AX827" i="1"/>
  <c r="BG827" i="1" s="1"/>
  <c r="AH29" i="1"/>
  <c r="AO29" i="1" s="1"/>
  <c r="AX609" i="1"/>
  <c r="BG609" i="1" s="1"/>
  <c r="AX1028" i="1"/>
  <c r="BG1028" i="1" s="1"/>
  <c r="AH342" i="1"/>
  <c r="AO342" i="1" s="1"/>
  <c r="AX814" i="1"/>
  <c r="BG814" i="1" s="1"/>
  <c r="AX91" i="1"/>
  <c r="BG91" i="1" s="1"/>
  <c r="AX451" i="1"/>
  <c r="BG451" i="1" s="1"/>
  <c r="AX199" i="1"/>
  <c r="BG199" i="1" s="1"/>
  <c r="AX501" i="1"/>
  <c r="BG501" i="1" s="1"/>
  <c r="AX657" i="1"/>
  <c r="BG657" i="1" s="1"/>
  <c r="AX541" i="1"/>
  <c r="BG541" i="1" s="1"/>
  <c r="AH386" i="1"/>
  <c r="AO386" i="1" s="1"/>
  <c r="AX786" i="1"/>
  <c r="BG786" i="1" s="1"/>
  <c r="AX789" i="1"/>
  <c r="BG789" i="1" s="1"/>
  <c r="AX572" i="1"/>
  <c r="BG572" i="1" s="1"/>
  <c r="AX385" i="1"/>
  <c r="BG385" i="1" s="1"/>
  <c r="AX355" i="1"/>
  <c r="BG355" i="1" s="1"/>
  <c r="AX185" i="1"/>
  <c r="BG185" i="1" s="1"/>
  <c r="AX396" i="1"/>
  <c r="BG396" i="1" s="1"/>
  <c r="AX512" i="1"/>
  <c r="BG512" i="1" s="1"/>
  <c r="AX80" i="1"/>
  <c r="BG80" i="1" s="1"/>
  <c r="AX646" i="1"/>
  <c r="BG646" i="1" s="1"/>
  <c r="AX707" i="1"/>
  <c r="BG707" i="1" s="1"/>
  <c r="AX449" i="1"/>
  <c r="BG449" i="1" s="1"/>
  <c r="AX633" i="1"/>
  <c r="BG633" i="1" s="1"/>
  <c r="AX107" i="1"/>
  <c r="BG107" i="1" s="1"/>
  <c r="AX462" i="1"/>
  <c r="BG462" i="1" s="1"/>
  <c r="AX598" i="1"/>
  <c r="BG598" i="1" s="1"/>
  <c r="AX570" i="1"/>
  <c r="BG570" i="1" s="1"/>
  <c r="AX645" i="1"/>
  <c r="BG645" i="1" s="1"/>
  <c r="AX597" i="1"/>
  <c r="BG597" i="1" s="1"/>
  <c r="AX487" i="1"/>
  <c r="BG487" i="1" s="1"/>
  <c r="AX428" i="1"/>
  <c r="BG428" i="1" s="1"/>
  <c r="AX763" i="1"/>
  <c r="BG763" i="1" s="1"/>
  <c r="AX1027" i="1"/>
  <c r="BG1027" i="1" s="1"/>
  <c r="AX807" i="1"/>
  <c r="BG807" i="1" s="1"/>
  <c r="AX995" i="1"/>
  <c r="BG995" i="1" s="1"/>
  <c r="AH76" i="1"/>
  <c r="AO76" i="1" s="1"/>
  <c r="AH338" i="1"/>
  <c r="AO338" i="1" s="1"/>
  <c r="AH263" i="1"/>
  <c r="AO263" i="1" s="1"/>
  <c r="AH519" i="1"/>
  <c r="AO519" i="1" s="1"/>
  <c r="AX755" i="1"/>
  <c r="BG755" i="1" s="1"/>
  <c r="AX735" i="1"/>
  <c r="BG735" i="1" s="1"/>
  <c r="AX749" i="1"/>
  <c r="BG749" i="1" s="1"/>
  <c r="AX943" i="1"/>
  <c r="BG943" i="1" s="1"/>
  <c r="AX812" i="1"/>
  <c r="BG812" i="1" s="1"/>
  <c r="AX1014" i="1"/>
  <c r="BG1014" i="1" s="1"/>
  <c r="AX964" i="1"/>
  <c r="BG964" i="1" s="1"/>
  <c r="AH182" i="1"/>
  <c r="AO182" i="1" s="1"/>
  <c r="AH107" i="1"/>
  <c r="AO107" i="1" s="1"/>
  <c r="AX565" i="1"/>
  <c r="BG565" i="1" s="1"/>
  <c r="AX473" i="1"/>
  <c r="BG473" i="1" s="1"/>
  <c r="AX290" i="1"/>
  <c r="BG290" i="1" s="1"/>
  <c r="AX736" i="1"/>
  <c r="BG736" i="1" s="1"/>
  <c r="AX77" i="1"/>
  <c r="BG77" i="1" s="1"/>
  <c r="AX465" i="1"/>
  <c r="BG465" i="1" s="1"/>
  <c r="AX496" i="1"/>
  <c r="BG496" i="1" s="1"/>
  <c r="AX374" i="1"/>
  <c r="BG374" i="1" s="1"/>
  <c r="AX669" i="1"/>
  <c r="BG669" i="1" s="1"/>
  <c r="AX969" i="1"/>
  <c r="BG969" i="1" s="1"/>
  <c r="AH226" i="1"/>
  <c r="AO226" i="1" s="1"/>
  <c r="AX404" i="1"/>
  <c r="BG404" i="1" s="1"/>
  <c r="AX769" i="1"/>
  <c r="BG769" i="1" s="1"/>
  <c r="AH251" i="1"/>
  <c r="AO251" i="1" s="1"/>
  <c r="AX967" i="1"/>
  <c r="BG967" i="1" s="1"/>
  <c r="AX980" i="1"/>
  <c r="BG980" i="1" s="1"/>
  <c r="AX605" i="1"/>
  <c r="BG605" i="1" s="1"/>
  <c r="AX647" i="1"/>
  <c r="BG647" i="1" s="1"/>
  <c r="AX662" i="1"/>
  <c r="BG662" i="1" s="1"/>
  <c r="AX883" i="1"/>
  <c r="BG883" i="1" s="1"/>
  <c r="AX522" i="1"/>
  <c r="BG522" i="1" s="1"/>
  <c r="AX918" i="1"/>
  <c r="BG918" i="1" s="1"/>
  <c r="AX851" i="1"/>
  <c r="BG851" i="1" s="1"/>
  <c r="AH126" i="1"/>
  <c r="AO126" i="1" s="1"/>
  <c r="AH382" i="1"/>
  <c r="AO382" i="1" s="1"/>
  <c r="AH307" i="1"/>
  <c r="AO307" i="1" s="1"/>
  <c r="AH56" i="1"/>
  <c r="AO56" i="1" s="1"/>
  <c r="AH347" i="1"/>
  <c r="AO347" i="1" s="1"/>
  <c r="AH236" i="1"/>
  <c r="AO236" i="1" s="1"/>
  <c r="AH492" i="1"/>
  <c r="AO492" i="1" s="1"/>
  <c r="AH582" i="1"/>
  <c r="AO582" i="1" s="1"/>
  <c r="AH838" i="1"/>
  <c r="AO838" i="1" s="1"/>
  <c r="AH345" i="1"/>
  <c r="AO345" i="1" s="1"/>
  <c r="AH715" i="1"/>
  <c r="AO715" i="1" s="1"/>
  <c r="AH971" i="1"/>
  <c r="AO971" i="1" s="1"/>
  <c r="AH490" i="1"/>
  <c r="AO490" i="1" s="1"/>
  <c r="AH777" i="1"/>
  <c r="AO777" i="1" s="1"/>
  <c r="AH85" i="1"/>
  <c r="AO85" i="1" s="1"/>
  <c r="AH511" i="1"/>
  <c r="AO511" i="1" s="1"/>
  <c r="AH320" i="1"/>
  <c r="AO320" i="1" s="1"/>
  <c r="AH149" i="1"/>
  <c r="AO149" i="1" s="1"/>
  <c r="AH666" i="1"/>
  <c r="AO666" i="1" s="1"/>
  <c r="AH922" i="1"/>
  <c r="AO922" i="1" s="1"/>
  <c r="AH534" i="1"/>
  <c r="AO534" i="1" s="1"/>
  <c r="AH799" i="1"/>
  <c r="AO799" i="1" s="1"/>
  <c r="AH91" i="1"/>
  <c r="AO91" i="1" s="1"/>
  <c r="AH314" i="1"/>
  <c r="AO314" i="1" s="1"/>
  <c r="AX67" i="1"/>
  <c r="BG67" i="1" s="1"/>
  <c r="AX160" i="1"/>
  <c r="BG160" i="1" s="1"/>
  <c r="AX383" i="1"/>
  <c r="BG383" i="1" s="1"/>
  <c r="AX537" i="1"/>
  <c r="BG537" i="1" s="1"/>
  <c r="AX847" i="1"/>
  <c r="BG847" i="1" s="1"/>
  <c r="AX1035" i="1"/>
  <c r="BG1035" i="1" s="1"/>
  <c r="AH215" i="1"/>
  <c r="AO215" i="1" s="1"/>
  <c r="AX672" i="1"/>
  <c r="BG672" i="1" s="1"/>
  <c r="AX910" i="1"/>
  <c r="BG910" i="1" s="1"/>
  <c r="AX837" i="1"/>
  <c r="BG837" i="1" s="1"/>
  <c r="AX690" i="1"/>
  <c r="BG690" i="1" s="1"/>
  <c r="AX1038" i="1"/>
  <c r="BG1038" i="1" s="1"/>
  <c r="AX777" i="1"/>
  <c r="BG777" i="1" s="1"/>
  <c r="AX757" i="1"/>
  <c r="BG757" i="1" s="1"/>
  <c r="AX775" i="1"/>
  <c r="BG775" i="1" s="1"/>
  <c r="AX959" i="1"/>
  <c r="BG959" i="1" s="1"/>
  <c r="AX887" i="1"/>
  <c r="BG887" i="1" s="1"/>
  <c r="AX1033" i="1"/>
  <c r="BG1033" i="1" s="1"/>
  <c r="AH43" i="1"/>
  <c r="AO43" i="1" s="1"/>
  <c r="AH206" i="1"/>
  <c r="AO206" i="1" s="1"/>
  <c r="AH131" i="1"/>
  <c r="AO131" i="1" s="1"/>
  <c r="AH387" i="1"/>
  <c r="AO387" i="1" s="1"/>
  <c r="AH69" i="1"/>
  <c r="AO69" i="1" s="1"/>
  <c r="AH507" i="1"/>
  <c r="AO507" i="1" s="1"/>
  <c r="AH316" i="1"/>
  <c r="AO316" i="1" s="1"/>
  <c r="AH133" i="1"/>
  <c r="AO133" i="1" s="1"/>
  <c r="AH662" i="1"/>
  <c r="AO662" i="1" s="1"/>
  <c r="AH918" i="1"/>
  <c r="AO918" i="1" s="1"/>
  <c r="AH526" i="1"/>
  <c r="AO526" i="1" s="1"/>
  <c r="AX246" i="1"/>
  <c r="BG246" i="1" s="1"/>
  <c r="AX443" i="1"/>
  <c r="BG443" i="1" s="1"/>
  <c r="AX709" i="1"/>
  <c r="BG709" i="1" s="1"/>
  <c r="AX432" i="1"/>
  <c r="BG432" i="1" s="1"/>
  <c r="AX732" i="1"/>
  <c r="BG732" i="1" s="1"/>
  <c r="AX979" i="1"/>
  <c r="BG979" i="1" s="1"/>
  <c r="AX384" i="1"/>
  <c r="BG384" i="1" s="1"/>
  <c r="AX993" i="1"/>
  <c r="BG993" i="1" s="1"/>
  <c r="AH262" i="1"/>
  <c r="AO262" i="1" s="1"/>
  <c r="AX721" i="1"/>
  <c r="BG721" i="1" s="1"/>
  <c r="AX831" i="1"/>
  <c r="BG831" i="1" s="1"/>
  <c r="AX299" i="1"/>
  <c r="BG299" i="1" s="1"/>
  <c r="AX855" i="1"/>
  <c r="BG855" i="1" s="1"/>
  <c r="AX882" i="1"/>
  <c r="BG882" i="1" s="1"/>
  <c r="AX468" i="1"/>
  <c r="BG468" i="1" s="1"/>
  <c r="AX1018" i="1"/>
  <c r="BG1018" i="1" s="1"/>
  <c r="AX813" i="1"/>
  <c r="BG813" i="1" s="1"/>
  <c r="AX884" i="1"/>
  <c r="BG884" i="1" s="1"/>
  <c r="AX314" i="1"/>
  <c r="BG314" i="1" s="1"/>
  <c r="AX238" i="1"/>
  <c r="BG238" i="1" s="1"/>
  <c r="AX84" i="1"/>
  <c r="BG84" i="1" s="1"/>
  <c r="AX212" i="1"/>
  <c r="BG212" i="1" s="1"/>
  <c r="AX429" i="1"/>
  <c r="BG429" i="1" s="1"/>
  <c r="AX292" i="1"/>
  <c r="BG292" i="1" s="1"/>
  <c r="AX555" i="1"/>
  <c r="BG555" i="1" s="1"/>
  <c r="AX52" i="1"/>
  <c r="BG52" i="1" s="1"/>
  <c r="AX248" i="1"/>
  <c r="BG248" i="1" s="1"/>
  <c r="AX271" i="1"/>
  <c r="BG271" i="1" s="1"/>
  <c r="AX72" i="1"/>
  <c r="BG72" i="1" s="1"/>
  <c r="AX447" i="1"/>
  <c r="BG447" i="1" s="1"/>
  <c r="AX687" i="1"/>
  <c r="BG687" i="1" s="1"/>
  <c r="AX289" i="1"/>
  <c r="BG289" i="1" s="1"/>
  <c r="AX104" i="1"/>
  <c r="BG104" i="1" s="1"/>
  <c r="AX181" i="1"/>
  <c r="BG181" i="1" s="1"/>
  <c r="AX305" i="1"/>
  <c r="BG305" i="1" s="1"/>
  <c r="AX515" i="1"/>
  <c r="BG515" i="1" s="1"/>
  <c r="AX135" i="1"/>
  <c r="BG135" i="1" s="1"/>
  <c r="AX658" i="1"/>
  <c r="BG658" i="1" s="1"/>
  <c r="AX146" i="1"/>
  <c r="BG146" i="1" s="1"/>
  <c r="AX457" i="1"/>
  <c r="BG457" i="1" s="1"/>
  <c r="AX372" i="1"/>
  <c r="BG372" i="1" s="1"/>
  <c r="AX448" i="1"/>
  <c r="BG448" i="1" s="1"/>
  <c r="AX805" i="1"/>
  <c r="BG805" i="1" s="1"/>
  <c r="AX924" i="1"/>
  <c r="BG924" i="1" s="1"/>
  <c r="AH167" i="1"/>
  <c r="AO167" i="1" s="1"/>
  <c r="AX553" i="1"/>
  <c r="BG553" i="1" s="1"/>
  <c r="AX1013" i="1"/>
  <c r="BG1013" i="1" s="1"/>
  <c r="AX803" i="1"/>
  <c r="BG803" i="1" s="1"/>
  <c r="AX913" i="1"/>
  <c r="BG913" i="1" s="1"/>
  <c r="AX141" i="1"/>
  <c r="BG141" i="1" s="1"/>
  <c r="AX391" i="1"/>
  <c r="BG391" i="1" s="1"/>
  <c r="AX677" i="1"/>
  <c r="BG677" i="1" s="1"/>
  <c r="AX249" i="1"/>
  <c r="BG249" i="1" s="1"/>
  <c r="AX667" i="1"/>
  <c r="BG667" i="1" s="1"/>
  <c r="AX865" i="1"/>
  <c r="BG865" i="1" s="1"/>
  <c r="AH64" i="1"/>
  <c r="AO64" i="1" s="1"/>
  <c r="AX975" i="1"/>
  <c r="BG975" i="1" s="1"/>
  <c r="AH230" i="1"/>
  <c r="AO230" i="1" s="1"/>
  <c r="AX655" i="1"/>
  <c r="BG655" i="1" s="1"/>
  <c r="AX283" i="1"/>
  <c r="BG283" i="1" s="1"/>
  <c r="AX74" i="1"/>
  <c r="BG74" i="1" s="1"/>
  <c r="AX413" i="1"/>
  <c r="BG413" i="1" s="1"/>
  <c r="AX639" i="1"/>
  <c r="BG639" i="1" s="1"/>
  <c r="AX594" i="1"/>
  <c r="BG594" i="1" s="1"/>
  <c r="AX507" i="1"/>
  <c r="BG507" i="1" s="1"/>
  <c r="AX270" i="1"/>
  <c r="BG270" i="1" s="1"/>
  <c r="AX472" i="1"/>
  <c r="BG472" i="1" s="1"/>
  <c r="AX486" i="1"/>
  <c r="BG486" i="1" s="1"/>
  <c r="AX211" i="1"/>
  <c r="BG211" i="1" s="1"/>
  <c r="AX358" i="1"/>
  <c r="BG358" i="1" s="1"/>
  <c r="AX330" i="1"/>
  <c r="BG330" i="1" s="1"/>
  <c r="AX714" i="1"/>
  <c r="BG714" i="1" s="1"/>
  <c r="AX533" i="1"/>
  <c r="BG533" i="1" s="1"/>
  <c r="AX614" i="1"/>
  <c r="BG614" i="1" s="1"/>
  <c r="AX783" i="1"/>
  <c r="BG783" i="1" s="1"/>
  <c r="AX762" i="1"/>
  <c r="BG762" i="1" s="1"/>
  <c r="AX782" i="1"/>
  <c r="BG782" i="1" s="1"/>
  <c r="AX960" i="1"/>
  <c r="BG960" i="1" s="1"/>
  <c r="AX892" i="1"/>
  <c r="BG892" i="1" s="1"/>
  <c r="AX1039" i="1"/>
  <c r="BG1039" i="1" s="1"/>
  <c r="AH47" i="1"/>
  <c r="AO47" i="1" s="1"/>
  <c r="AH210" i="1"/>
  <c r="AO210" i="1" s="1"/>
  <c r="AH135" i="1"/>
  <c r="AO135" i="1" s="1"/>
  <c r="AH391" i="1"/>
  <c r="AO391" i="1" s="1"/>
  <c r="AX470" i="1"/>
  <c r="BG470" i="1" s="1"/>
  <c r="AX861" i="1"/>
  <c r="BG861" i="1" s="1"/>
  <c r="AX889" i="1"/>
  <c r="BG889" i="1" s="1"/>
  <c r="AX626" i="1"/>
  <c r="BG626" i="1" s="1"/>
  <c r="AX1034" i="1"/>
  <c r="BG1034" i="1" s="1"/>
  <c r="AX617" i="1"/>
  <c r="BG617" i="1" s="1"/>
  <c r="AX916" i="1"/>
  <c r="BG916" i="1" s="1"/>
  <c r="AH97" i="1"/>
  <c r="AO97" i="1" s="1"/>
  <c r="AH310" i="1"/>
  <c r="AO310" i="1" s="1"/>
  <c r="AH235" i="1"/>
  <c r="AO235" i="1" s="1"/>
  <c r="AX776" i="1"/>
  <c r="BG776" i="1" s="1"/>
  <c r="AX756" i="1"/>
  <c r="BG756" i="1" s="1"/>
  <c r="AX770" i="1"/>
  <c r="BG770" i="1" s="1"/>
  <c r="AX953" i="1"/>
  <c r="BG953" i="1" s="1"/>
  <c r="AX291" i="1"/>
  <c r="BG291" i="1" s="1"/>
  <c r="AX97" i="1"/>
  <c r="BG97" i="1" s="1"/>
  <c r="AX516" i="1"/>
  <c r="BG516" i="1" s="1"/>
  <c r="AX281" i="1"/>
  <c r="BG281" i="1" s="1"/>
  <c r="AX778" i="1"/>
  <c r="BG778" i="1" s="1"/>
  <c r="AX731" i="1"/>
  <c r="BG731" i="1" s="1"/>
  <c r="AH407" i="1"/>
  <c r="AO407" i="1" s="1"/>
  <c r="AX726" i="1"/>
  <c r="BG726" i="1" s="1"/>
  <c r="AH52" i="1"/>
  <c r="AO52" i="1" s="1"/>
  <c r="AX772" i="1"/>
  <c r="BG772" i="1" s="1"/>
  <c r="AX962" i="1"/>
  <c r="BG962" i="1" s="1"/>
  <c r="AX914" i="1"/>
  <c r="BG914" i="1" s="1"/>
  <c r="AX816" i="1"/>
  <c r="BG816" i="1" s="1"/>
  <c r="AX818" i="1"/>
  <c r="BG818" i="1" s="1"/>
  <c r="AX841" i="1"/>
  <c r="BG841" i="1" s="1"/>
  <c r="AX991" i="1"/>
  <c r="BG991" i="1" s="1"/>
  <c r="AX938" i="1"/>
  <c r="BG938" i="1" s="1"/>
  <c r="AX948" i="1"/>
  <c r="BG948" i="1" s="1"/>
  <c r="AH41" i="1"/>
  <c r="AO41" i="1" s="1"/>
  <c r="AH254" i="1"/>
  <c r="AO254" i="1" s="1"/>
  <c r="AH179" i="1"/>
  <c r="AO179" i="1" s="1"/>
  <c r="AH435" i="1"/>
  <c r="AO435" i="1" s="1"/>
  <c r="AH218" i="1"/>
  <c r="AO218" i="1" s="1"/>
  <c r="AH108" i="1"/>
  <c r="AO108" i="1" s="1"/>
  <c r="AH364" i="1"/>
  <c r="AO364" i="1" s="1"/>
  <c r="AH325" i="1"/>
  <c r="AO325" i="1" s="1"/>
  <c r="AH710" i="1"/>
  <c r="AO710" i="1" s="1"/>
  <c r="AH966" i="1"/>
  <c r="AO966" i="1" s="1"/>
  <c r="AH587" i="1"/>
  <c r="AO587" i="1" s="1"/>
  <c r="AH843" i="1"/>
  <c r="AO843" i="1" s="1"/>
  <c r="AH74" i="1"/>
  <c r="AO74" i="1" s="1"/>
  <c r="AH649" i="1"/>
  <c r="AO649" i="1" s="1"/>
  <c r="AH905" i="1"/>
  <c r="AO905" i="1" s="1"/>
  <c r="AH223" i="1"/>
  <c r="AO223" i="1" s="1"/>
  <c r="AH192" i="1"/>
  <c r="AO192" i="1" s="1"/>
  <c r="AH448" i="1"/>
  <c r="AO448" i="1" s="1"/>
  <c r="AH525" i="1"/>
  <c r="AO525" i="1" s="1"/>
  <c r="AH794" i="1"/>
  <c r="AO794" i="1" s="1"/>
  <c r="AH169" i="1"/>
  <c r="AO169" i="1" s="1"/>
  <c r="AH671" i="1"/>
  <c r="AO671" i="1" s="1"/>
  <c r="AH927" i="1"/>
  <c r="AO927" i="1" s="1"/>
  <c r="AH402" i="1"/>
  <c r="AO402" i="1" s="1"/>
  <c r="AH395" i="1"/>
  <c r="AO395" i="1" s="1"/>
  <c r="AX204" i="1"/>
  <c r="BG204" i="1" s="1"/>
  <c r="AX568" i="1"/>
  <c r="BG568" i="1" s="1"/>
  <c r="AX386" i="1"/>
  <c r="BG386" i="1" s="1"/>
  <c r="AX606" i="1"/>
  <c r="BG606" i="1" s="1"/>
  <c r="AX891" i="1"/>
  <c r="BG891" i="1" s="1"/>
  <c r="AH77" i="1"/>
  <c r="AO77" i="1" s="1"/>
  <c r="AX674" i="1"/>
  <c r="BG674" i="1" s="1"/>
  <c r="AX585" i="1"/>
  <c r="BG585" i="1" s="1"/>
  <c r="AH30" i="1"/>
  <c r="AO30" i="1" s="1"/>
  <c r="AX878" i="1"/>
  <c r="BG878" i="1" s="1"/>
  <c r="AX958" i="1"/>
  <c r="BG958" i="1" s="1"/>
  <c r="AX577" i="1"/>
  <c r="BG577" i="1" s="1"/>
  <c r="AX480" i="1"/>
  <c r="BG480" i="1" s="1"/>
  <c r="AX346" i="1"/>
  <c r="BG346" i="1" s="1"/>
  <c r="AX753" i="1"/>
  <c r="BG753" i="1" s="1"/>
  <c r="AX1021" i="1"/>
  <c r="BG1021" i="1" s="1"/>
  <c r="AX800" i="1"/>
  <c r="BG800" i="1" s="1"/>
  <c r="AX988" i="1"/>
  <c r="BG988" i="1" s="1"/>
  <c r="AH68" i="1"/>
  <c r="AO68" i="1" s="1"/>
  <c r="AH334" i="1"/>
  <c r="AO334" i="1" s="1"/>
  <c r="AH259" i="1"/>
  <c r="AO259" i="1" s="1"/>
  <c r="AH515" i="1"/>
  <c r="AO515" i="1" s="1"/>
  <c r="AH207" i="1"/>
  <c r="AO207" i="1" s="1"/>
  <c r="AH188" i="1"/>
  <c r="AO188" i="1" s="1"/>
  <c r="AH444" i="1"/>
  <c r="AO444" i="1" s="1"/>
  <c r="AH517" i="1"/>
  <c r="AO517" i="1" s="1"/>
  <c r="AH790" i="1"/>
  <c r="AO790" i="1" s="1"/>
  <c r="AH153" i="1"/>
  <c r="AO153" i="1" s="1"/>
  <c r="AX354" i="1"/>
  <c r="BG354" i="1" s="1"/>
  <c r="AX230" i="1"/>
  <c r="BG230" i="1" s="1"/>
  <c r="AX304" i="1"/>
  <c r="BG304" i="1" s="1"/>
  <c r="AX527" i="1"/>
  <c r="BG527" i="1" s="1"/>
  <c r="AX734" i="1"/>
  <c r="BG734" i="1" s="1"/>
  <c r="AX737" i="1"/>
  <c r="BG737" i="1" s="1"/>
  <c r="AH83" i="1"/>
  <c r="AO83" i="1" s="1"/>
  <c r="AX825" i="1"/>
  <c r="BG825" i="1" s="1"/>
  <c r="AX973" i="1"/>
  <c r="BG973" i="1" s="1"/>
  <c r="AX728" i="1"/>
  <c r="BG728" i="1" s="1"/>
  <c r="AX1036" i="1"/>
  <c r="BG1036" i="1" s="1"/>
  <c r="AX927" i="1"/>
  <c r="BG927" i="1" s="1"/>
  <c r="AX745" i="1"/>
  <c r="BG745" i="1" s="1"/>
  <c r="AX725" i="1"/>
  <c r="BG725" i="1" s="1"/>
  <c r="AX743" i="1"/>
  <c r="BG743" i="1" s="1"/>
  <c r="AX936" i="1"/>
  <c r="BG936" i="1" s="1"/>
  <c r="AX781" i="1"/>
  <c r="BG781" i="1" s="1"/>
  <c r="AX998" i="1"/>
  <c r="BG998" i="1" s="1"/>
  <c r="AX1011" i="1"/>
  <c r="BG1011" i="1" s="1"/>
  <c r="AX210" i="1"/>
  <c r="BG210" i="1" s="1"/>
  <c r="AX395" i="1"/>
  <c r="BG395" i="1" s="1"/>
  <c r="AX343" i="1"/>
  <c r="BG343" i="1" s="1"/>
  <c r="AX542" i="1"/>
  <c r="BG542" i="1" s="1"/>
  <c r="AX200" i="1"/>
  <c r="BG200" i="1" s="1"/>
  <c r="AX62" i="1"/>
  <c r="BG62" i="1" s="1"/>
  <c r="AX701" i="1"/>
  <c r="BG701" i="1" s="1"/>
  <c r="AX821" i="1"/>
  <c r="BG821" i="1" s="1"/>
  <c r="AX627" i="1"/>
  <c r="BG627" i="1" s="1"/>
  <c r="AX931" i="1"/>
  <c r="BG931" i="1" s="1"/>
  <c r="AX640" i="1"/>
  <c r="BG640" i="1" s="1"/>
  <c r="AX506" i="1"/>
  <c r="BG506" i="1" s="1"/>
  <c r="AX115" i="1"/>
  <c r="BG115" i="1" s="1"/>
  <c r="AX514" i="1"/>
  <c r="BG514" i="1" s="1"/>
  <c r="AX711" i="1"/>
  <c r="BG711" i="1" s="1"/>
  <c r="AX656" i="1"/>
  <c r="BG656" i="1" s="1"/>
  <c r="AH54" i="1"/>
  <c r="AO54" i="1" s="1"/>
  <c r="AX806" i="1"/>
  <c r="BG806" i="1" s="1"/>
  <c r="AX930" i="1"/>
  <c r="BG930" i="1" s="1"/>
  <c r="AX684" i="1"/>
  <c r="BG684" i="1" s="1"/>
  <c r="AX300" i="1"/>
  <c r="BG300" i="1" s="1"/>
  <c r="AX796" i="1"/>
  <c r="BG796" i="1" s="1"/>
  <c r="AX963" i="1"/>
  <c r="BG963" i="1" s="1"/>
  <c r="AX761" i="1"/>
  <c r="BG761" i="1" s="1"/>
  <c r="AX826" i="1"/>
  <c r="BG826" i="1" s="1"/>
  <c r="AH115" i="1"/>
  <c r="AO115" i="1" s="1"/>
  <c r="AH300" i="1"/>
  <c r="AO300" i="1" s="1"/>
  <c r="AH494" i="1"/>
  <c r="AO494" i="1" s="1"/>
  <c r="AH841" i="1"/>
  <c r="AO841" i="1" s="1"/>
  <c r="AH397" i="1"/>
  <c r="AO397" i="1" s="1"/>
  <c r="AH863" i="1"/>
  <c r="AO863" i="1" s="1"/>
  <c r="AX459" i="1"/>
  <c r="BG459" i="1" s="1"/>
  <c r="AX844" i="1"/>
  <c r="BG844" i="1" s="1"/>
  <c r="AX856" i="1"/>
  <c r="BG856" i="1" s="1"/>
  <c r="AX838" i="1"/>
  <c r="BG838" i="1" s="1"/>
  <c r="AX987" i="1"/>
  <c r="BG987" i="1" s="1"/>
  <c r="AH451" i="1"/>
  <c r="AO451" i="1" s="1"/>
  <c r="AH389" i="1"/>
  <c r="AO389" i="1" s="1"/>
  <c r="AX133" i="1"/>
  <c r="BG133" i="1" s="1"/>
  <c r="AX921" i="1"/>
  <c r="BG921" i="1" s="1"/>
  <c r="AH187" i="1"/>
  <c r="AO187" i="1" s="1"/>
  <c r="AX613" i="1"/>
  <c r="BG613" i="1" s="1"/>
  <c r="AX879" i="1"/>
  <c r="BG879" i="1" s="1"/>
  <c r="AH174" i="1"/>
  <c r="AO174" i="1" s="1"/>
  <c r="AH99" i="1"/>
  <c r="AO99" i="1" s="1"/>
  <c r="AH355" i="1"/>
  <c r="AO355" i="1" s="1"/>
  <c r="AX965" i="1"/>
  <c r="BG965" i="1" s="1"/>
  <c r="AH443" i="1"/>
  <c r="AO443" i="1" s="1"/>
  <c r="AH284" i="1"/>
  <c r="AO284" i="1" s="1"/>
  <c r="AH540" i="1"/>
  <c r="AO540" i="1" s="1"/>
  <c r="AH630" i="1"/>
  <c r="AO630" i="1" s="1"/>
  <c r="AH886" i="1"/>
  <c r="AO886" i="1" s="1"/>
  <c r="AH462" i="1"/>
  <c r="AO462" i="1" s="1"/>
  <c r="AH763" i="1"/>
  <c r="AO763" i="1" s="1"/>
  <c r="AH1019" i="1"/>
  <c r="AO1019" i="1" s="1"/>
  <c r="AH569" i="1"/>
  <c r="AO569" i="1" s="1"/>
  <c r="AH825" i="1"/>
  <c r="AO825" i="1" s="1"/>
  <c r="AH234" i="1"/>
  <c r="AO234" i="1" s="1"/>
  <c r="AH112" i="1"/>
  <c r="AO112" i="1" s="1"/>
  <c r="AH368" i="1"/>
  <c r="AO368" i="1" s="1"/>
  <c r="AH341" i="1"/>
  <c r="AO341" i="1" s="1"/>
  <c r="AH714" i="1"/>
  <c r="AO714" i="1" s="1"/>
  <c r="AH970" i="1"/>
  <c r="AO970" i="1" s="1"/>
  <c r="AH591" i="1"/>
  <c r="AO591" i="1" s="1"/>
  <c r="AH847" i="1"/>
  <c r="AO847" i="1" s="1"/>
  <c r="AH96" i="1"/>
  <c r="AO96" i="1" s="1"/>
  <c r="AH175" i="1"/>
  <c r="AO175" i="1" s="1"/>
  <c r="AX561" i="1"/>
  <c r="BG561" i="1" s="1"/>
  <c r="AH354" i="1"/>
  <c r="AO354" i="1" s="1"/>
  <c r="AX1019" i="1"/>
  <c r="BG1019" i="1" s="1"/>
  <c r="AX727" i="1"/>
  <c r="BG727" i="1" s="1"/>
  <c r="AX972" i="1"/>
  <c r="BG972" i="1" s="1"/>
  <c r="AH104" i="1"/>
  <c r="AO104" i="1" s="1"/>
  <c r="AH614" i="1"/>
  <c r="AO614" i="1" s="1"/>
  <c r="AH811" i="1"/>
  <c r="AO811" i="1" s="1"/>
  <c r="AH617" i="1"/>
  <c r="AO617" i="1" s="1"/>
  <c r="AH94" i="1"/>
  <c r="AO94" i="1" s="1"/>
  <c r="AH416" i="1"/>
  <c r="AO416" i="1" s="1"/>
  <c r="AH762" i="1"/>
  <c r="AO762" i="1" s="1"/>
  <c r="AH639" i="1"/>
  <c r="AO639" i="1" s="1"/>
  <c r="AH289" i="1"/>
  <c r="AO289" i="1" s="1"/>
  <c r="AH132" i="1"/>
  <c r="AO132" i="1" s="1"/>
  <c r="AH388" i="1"/>
  <c r="AO388" i="1" s="1"/>
  <c r="AH405" i="1"/>
  <c r="AO405" i="1" s="1"/>
  <c r="AH734" i="1"/>
  <c r="AO734" i="1" s="1"/>
  <c r="AH990" i="1"/>
  <c r="AO990" i="1" s="1"/>
  <c r="AX93" i="1"/>
  <c r="BG93" i="1" s="1"/>
  <c r="AX607" i="1"/>
  <c r="BG607" i="1" s="1"/>
  <c r="AX161" i="1"/>
  <c r="BG161" i="1" s="1"/>
  <c r="AX188" i="1"/>
  <c r="BG188" i="1" s="1"/>
  <c r="AX205" i="1"/>
  <c r="BG205" i="1" s="1"/>
  <c r="AX114" i="1"/>
  <c r="BG114" i="1" s="1"/>
  <c r="AX983" i="1"/>
  <c r="BG983" i="1" s="1"/>
  <c r="AH267" i="1"/>
  <c r="AO267" i="1" s="1"/>
  <c r="AX535" i="1"/>
  <c r="BG535" i="1" s="1"/>
  <c r="AH311" i="1"/>
  <c r="AO311" i="1" s="1"/>
  <c r="AX901" i="1"/>
  <c r="BG901" i="1" s="1"/>
  <c r="AX637" i="1"/>
  <c r="BG637" i="1" s="1"/>
  <c r="AX206" i="1"/>
  <c r="BG206" i="1" s="1"/>
  <c r="AX653" i="1"/>
  <c r="BG653" i="1" s="1"/>
  <c r="AX683" i="1"/>
  <c r="BG683" i="1" s="1"/>
  <c r="AX942" i="1"/>
  <c r="BG942" i="1" s="1"/>
  <c r="AH327" i="1"/>
  <c r="AO327" i="1" s="1"/>
  <c r="AX834" i="1"/>
  <c r="BG834" i="1" s="1"/>
  <c r="AH33" i="1"/>
  <c r="AO33" i="1" s="1"/>
  <c r="AX673" i="1"/>
  <c r="BG673" i="1" s="1"/>
  <c r="AX703" i="1"/>
  <c r="BG703" i="1" s="1"/>
  <c r="AX911" i="1"/>
  <c r="BG911" i="1" s="1"/>
  <c r="AX785" i="1"/>
  <c r="BG785" i="1" s="1"/>
  <c r="AX741" i="1"/>
  <c r="BG741" i="1" s="1"/>
  <c r="AX1024" i="1"/>
  <c r="BG1024" i="1" s="1"/>
  <c r="AH371" i="1"/>
  <c r="AO371" i="1" s="1"/>
  <c r="AH50" i="1"/>
  <c r="AO50" i="1" s="1"/>
  <c r="AH779" i="1"/>
  <c r="AO779" i="1" s="1"/>
  <c r="AH298" i="1"/>
  <c r="AO298" i="1" s="1"/>
  <c r="AH730" i="1"/>
  <c r="AO730" i="1" s="1"/>
  <c r="AH161" i="1"/>
  <c r="AO161" i="1" s="1"/>
  <c r="AX589" i="1"/>
  <c r="BG589" i="1" s="1"/>
  <c r="AH471" i="1"/>
  <c r="AO471" i="1" s="1"/>
  <c r="AX1020" i="1"/>
  <c r="BG1020" i="1" s="1"/>
  <c r="AX866" i="1"/>
  <c r="BG866" i="1" s="1"/>
  <c r="AH57" i="1"/>
  <c r="AO57" i="1" s="1"/>
  <c r="AH282" i="1"/>
  <c r="AO282" i="1" s="1"/>
  <c r="AH726" i="1"/>
  <c r="AO726" i="1" s="1"/>
  <c r="AX550" i="1"/>
  <c r="BG550" i="1" s="1"/>
  <c r="AH162" i="1"/>
  <c r="AO162" i="1" s="1"/>
  <c r="AX919" i="1"/>
  <c r="BG919" i="1" s="1"/>
  <c r="AX634" i="1"/>
  <c r="BG634" i="1" s="1"/>
  <c r="AX928" i="1"/>
  <c r="BG928" i="1" s="1"/>
  <c r="AH238" i="1"/>
  <c r="AO238" i="1" s="1"/>
  <c r="AH163" i="1"/>
  <c r="AO163" i="1" s="1"/>
  <c r="AH419" i="1"/>
  <c r="AO419" i="1" s="1"/>
  <c r="AH154" i="1"/>
  <c r="AO154" i="1" s="1"/>
  <c r="AH72" i="1"/>
  <c r="AO72" i="1" s="1"/>
  <c r="AH348" i="1"/>
  <c r="AO348" i="1" s="1"/>
  <c r="AH261" i="1"/>
  <c r="AO261" i="1" s="1"/>
  <c r="AH694" i="1"/>
  <c r="AO694" i="1" s="1"/>
  <c r="AH950" i="1"/>
  <c r="AO950" i="1" s="1"/>
  <c r="AH571" i="1"/>
  <c r="AO571" i="1" s="1"/>
  <c r="AH827" i="1"/>
  <c r="AO827" i="1" s="1"/>
  <c r="AH205" i="1"/>
  <c r="AO205" i="1" s="1"/>
  <c r="AH633" i="1"/>
  <c r="AO633" i="1" s="1"/>
  <c r="AH889" i="1"/>
  <c r="AO889" i="1" s="1"/>
  <c r="AH159" i="1"/>
  <c r="AO159" i="1" s="1"/>
  <c r="AH176" i="1"/>
  <c r="AO176" i="1" s="1"/>
  <c r="AH432" i="1"/>
  <c r="AO432" i="1" s="1"/>
  <c r="AH493" i="1"/>
  <c r="AO493" i="1" s="1"/>
  <c r="AH778" i="1"/>
  <c r="AO778" i="1" s="1"/>
  <c r="AH105" i="1"/>
  <c r="AO105" i="1" s="1"/>
  <c r="AH655" i="1"/>
  <c r="AO655" i="1" s="1"/>
  <c r="AH911" i="1"/>
  <c r="AO911" i="1" s="1"/>
  <c r="AH353" i="1"/>
  <c r="AO353" i="1" s="1"/>
  <c r="AX479" i="1"/>
  <c r="BG479" i="1" s="1"/>
  <c r="AX352" i="1"/>
  <c r="BG352" i="1" s="1"/>
  <c r="AX226" i="1"/>
  <c r="BG226" i="1" s="1"/>
  <c r="AX108" i="1"/>
  <c r="BG108" i="1" s="1"/>
  <c r="AX718" i="1"/>
  <c r="BG718" i="1" s="1"/>
  <c r="AX519" i="1"/>
  <c r="BG519" i="1" s="1"/>
  <c r="AH242" i="1"/>
  <c r="AO242" i="1" s="1"/>
  <c r="AX976" i="1"/>
  <c r="BG976" i="1" s="1"/>
  <c r="AX638" i="1"/>
  <c r="BG638" i="1" s="1"/>
  <c r="AX809" i="1"/>
  <c r="BG809" i="1" s="1"/>
  <c r="AX165" i="1"/>
  <c r="BG165" i="1" s="1"/>
  <c r="AX405" i="1"/>
  <c r="BG405" i="1" s="1"/>
  <c r="AX693" i="1"/>
  <c r="BG693" i="1" s="1"/>
  <c r="AX368" i="1"/>
  <c r="BG368" i="1" s="1"/>
  <c r="AX699" i="1"/>
  <c r="BG699" i="1" s="1"/>
  <c r="AX940" i="1"/>
  <c r="BG940" i="1" s="1"/>
  <c r="AH90" i="1"/>
  <c r="AO90" i="1" s="1"/>
  <c r="AX984" i="1"/>
  <c r="BG984" i="1" s="1"/>
  <c r="AH246" i="1"/>
  <c r="AO246" i="1" s="1"/>
  <c r="AX689" i="1"/>
  <c r="BG689" i="1" s="1"/>
  <c r="AX311" i="1"/>
  <c r="BG311" i="1" s="1"/>
  <c r="AH151" i="1"/>
  <c r="AO151" i="1" s="1"/>
  <c r="AX635" i="1"/>
  <c r="BG635" i="1" s="1"/>
  <c r="AX759" i="1"/>
  <c r="BG759" i="1" s="1"/>
  <c r="AH27" i="1"/>
  <c r="AO27" i="1" s="1"/>
  <c r="AH55" i="1"/>
  <c r="AO55" i="1" s="1"/>
  <c r="AH646" i="1"/>
  <c r="AO646" i="1" s="1"/>
  <c r="AH1035" i="1"/>
  <c r="AO1035" i="1" s="1"/>
  <c r="AH128" i="1"/>
  <c r="AO128" i="1" s="1"/>
  <c r="AH986" i="1"/>
  <c r="AO986" i="1" s="1"/>
  <c r="AH239" i="1"/>
  <c r="AO239" i="1" s="1"/>
  <c r="AX523" i="1"/>
  <c r="BG523" i="1" s="1"/>
  <c r="AX890" i="1"/>
  <c r="BG890" i="1" s="1"/>
  <c r="AX471" i="1"/>
  <c r="BG471" i="1" s="1"/>
  <c r="AX1000" i="1"/>
  <c r="BG1000" i="1" s="1"/>
  <c r="AH270" i="1"/>
  <c r="AO270" i="1" s="1"/>
  <c r="AH124" i="1"/>
  <c r="AO124" i="1" s="1"/>
  <c r="AH982" i="1"/>
  <c r="AO982" i="1" s="1"/>
  <c r="AX252" i="1"/>
  <c r="BG252" i="1" s="1"/>
  <c r="AX823" i="1"/>
  <c r="BG823" i="1" s="1"/>
  <c r="AX1041" i="1"/>
  <c r="BG1041" i="1" s="1"/>
  <c r="AX853" i="1"/>
  <c r="BG853" i="1" s="1"/>
  <c r="AH89" i="1"/>
  <c r="AO89" i="1" s="1"/>
  <c r="AH302" i="1"/>
  <c r="AO302" i="1" s="1"/>
  <c r="AH227" i="1"/>
  <c r="AO227" i="1" s="1"/>
  <c r="AH483" i="1"/>
  <c r="AO483" i="1" s="1"/>
  <c r="AH70" i="1"/>
  <c r="AO70" i="1" s="1"/>
  <c r="AH156" i="1"/>
  <c r="AO156" i="1" s="1"/>
  <c r="AH412" i="1"/>
  <c r="AO412" i="1" s="1"/>
  <c r="AH453" i="1"/>
  <c r="AO453" i="1" s="1"/>
  <c r="AH758" i="1"/>
  <c r="AO758" i="1" s="1"/>
  <c r="AH1014" i="1"/>
  <c r="AO1014" i="1" s="1"/>
  <c r="AH635" i="1"/>
  <c r="AO635" i="1" s="1"/>
  <c r="AH891" i="1"/>
  <c r="AO891" i="1" s="1"/>
  <c r="AH273" i="1"/>
  <c r="AO273" i="1" s="1"/>
  <c r="AH697" i="1"/>
  <c r="AO697" i="1" s="1"/>
  <c r="AH953" i="1"/>
  <c r="AO953" i="1" s="1"/>
  <c r="AH351" i="1"/>
  <c r="AO351" i="1" s="1"/>
  <c r="AH240" i="1"/>
  <c r="AO240" i="1" s="1"/>
  <c r="AH496" i="1"/>
  <c r="AO496" i="1" s="1"/>
  <c r="AH586" i="1"/>
  <c r="AO586" i="1" s="1"/>
  <c r="AH842" i="1"/>
  <c r="AO842" i="1" s="1"/>
  <c r="AH361" i="1"/>
  <c r="AO361" i="1" s="1"/>
  <c r="AH719" i="1"/>
  <c r="AO719" i="1" s="1"/>
  <c r="AH975" i="1"/>
  <c r="AO975" i="1" s="1"/>
  <c r="AH37" i="1"/>
  <c r="AO37" i="1" s="1"/>
  <c r="AX225" i="1"/>
  <c r="BG225" i="1" s="1"/>
  <c r="AX664" i="1"/>
  <c r="BG664" i="1" s="1"/>
  <c r="AX1031" i="1"/>
  <c r="BG1031" i="1" s="1"/>
  <c r="AX729" i="1"/>
  <c r="BG729" i="1" s="1"/>
  <c r="AX717" i="1"/>
  <c r="BG717" i="1" s="1"/>
  <c r="AH78" i="1"/>
  <c r="AO78" i="1" s="1"/>
  <c r="AH268" i="1"/>
  <c r="AO268" i="1" s="1"/>
  <c r="AH430" i="1"/>
  <c r="AO430" i="1" s="1"/>
  <c r="AH141" i="1"/>
  <c r="AO141" i="1" s="1"/>
  <c r="AH873" i="1"/>
  <c r="AO873" i="1" s="1"/>
  <c r="AH160" i="1"/>
  <c r="AO160" i="1" s="1"/>
  <c r="AH461" i="1"/>
  <c r="AO461" i="1" s="1"/>
  <c r="AH1018" i="1"/>
  <c r="AO1018" i="1" s="1"/>
  <c r="AH895" i="1"/>
  <c r="AO895" i="1" s="1"/>
  <c r="AH331" i="1"/>
  <c r="AO331" i="1" s="1"/>
  <c r="AH260" i="1"/>
  <c r="AO260" i="1" s="1"/>
  <c r="AH516" i="1"/>
  <c r="AO516" i="1" s="1"/>
  <c r="AH606" i="1"/>
  <c r="AO606" i="1" s="1"/>
  <c r="AH862" i="1"/>
  <c r="AO862" i="1" s="1"/>
  <c r="AX324" i="1"/>
  <c r="BG324" i="1" s="1"/>
  <c r="AX580" i="1"/>
  <c r="BG580" i="1" s="1"/>
  <c r="AX649" i="1"/>
  <c r="BG649" i="1" s="1"/>
  <c r="AX184" i="1"/>
  <c r="BG184" i="1" s="1"/>
  <c r="AX810" i="1"/>
  <c r="BG810" i="1" s="1"/>
  <c r="AX369" i="1"/>
  <c r="BG369" i="1" s="1"/>
  <c r="AH190" i="1"/>
  <c r="AO190" i="1" s="1"/>
  <c r="AH384" i="1"/>
  <c r="AO384" i="1" s="1"/>
  <c r="AH134" i="1"/>
  <c r="AO134" i="1" s="1"/>
  <c r="AH380" i="1"/>
  <c r="AO380" i="1" s="1"/>
  <c r="AX712" i="1"/>
  <c r="BG712" i="1" s="1"/>
  <c r="AH291" i="1"/>
  <c r="AO291" i="1" s="1"/>
  <c r="AH476" i="1"/>
  <c r="AO476" i="1" s="1"/>
  <c r="AH699" i="1"/>
  <c r="AO699" i="1" s="1"/>
  <c r="AH71" i="1"/>
  <c r="AO71" i="1" s="1"/>
  <c r="AH650" i="1"/>
  <c r="AO650" i="1" s="1"/>
  <c r="AH1039" i="1"/>
  <c r="AO1039" i="1" s="1"/>
  <c r="AX475" i="1"/>
  <c r="BG475" i="1" s="1"/>
  <c r="AX877" i="1"/>
  <c r="BG877" i="1" s="1"/>
  <c r="AH158" i="1"/>
  <c r="AO158" i="1" s="1"/>
  <c r="AH870" i="1"/>
  <c r="AO870" i="1" s="1"/>
  <c r="AH745" i="1"/>
  <c r="AO745" i="1" s="1"/>
  <c r="AH544" i="1"/>
  <c r="AO544" i="1" s="1"/>
  <c r="AH767" i="1"/>
  <c r="AO767" i="1" s="1"/>
  <c r="AH196" i="1"/>
  <c r="AO196" i="1" s="1"/>
  <c r="AH533" i="1"/>
  <c r="AO533" i="1" s="1"/>
  <c r="AH185" i="1"/>
  <c r="AO185" i="1" s="1"/>
  <c r="AH675" i="1"/>
  <c r="AO675" i="1" s="1"/>
  <c r="AH202" i="1"/>
  <c r="AO202" i="1" s="1"/>
  <c r="AH100" i="1"/>
  <c r="AO100" i="1" s="1"/>
  <c r="AH360" i="1"/>
  <c r="AO360" i="1" s="1"/>
  <c r="AH309" i="1"/>
  <c r="AO309" i="1" s="1"/>
  <c r="AH706" i="1"/>
  <c r="AO706" i="1" s="1"/>
  <c r="AH962" i="1"/>
  <c r="AO962" i="1" s="1"/>
  <c r="AH583" i="1"/>
  <c r="AO583" i="1" s="1"/>
  <c r="AH839" i="1"/>
  <c r="AO839" i="1" s="1"/>
  <c r="AH42" i="1"/>
  <c r="AO42" i="1" s="1"/>
  <c r="AH645" i="1"/>
  <c r="AO645" i="1" s="1"/>
  <c r="AH901" i="1"/>
  <c r="AO901" i="1" s="1"/>
  <c r="AH653" i="1"/>
  <c r="AO653" i="1" s="1"/>
  <c r="AH545" i="1"/>
  <c r="AO545" i="1" s="1"/>
  <c r="AH940" i="1"/>
  <c r="AO940" i="1" s="1"/>
  <c r="AH984" i="1"/>
  <c r="AO984" i="1" s="1"/>
  <c r="AH657" i="1"/>
  <c r="AO657" i="1" s="1"/>
  <c r="AH564" i="1"/>
  <c r="AO564" i="1" s="1"/>
  <c r="AH301" i="1"/>
  <c r="AO301" i="1" s="1"/>
  <c r="AH1000" i="1"/>
  <c r="AO1000" i="1" s="1"/>
  <c r="AH669" i="1"/>
  <c r="AO669" i="1" s="1"/>
  <c r="AH580" i="1"/>
  <c r="AO580" i="1" s="1"/>
  <c r="AH365" i="1"/>
  <c r="AO365" i="1" s="1"/>
  <c r="AX69" i="1"/>
  <c r="BG69" i="1" s="1"/>
  <c r="AX584" i="1"/>
  <c r="BG584" i="1" s="1"/>
  <c r="AH35" i="1"/>
  <c r="AO35" i="1" s="1"/>
  <c r="AX791" i="1"/>
  <c r="BG791" i="1" s="1"/>
  <c r="AX906" i="1"/>
  <c r="BG906" i="1" s="1"/>
  <c r="AH147" i="1"/>
  <c r="AO147" i="1" s="1"/>
  <c r="AH332" i="1"/>
  <c r="AO332" i="1" s="1"/>
  <c r="AH555" i="1"/>
  <c r="AO555" i="1" s="1"/>
  <c r="AH145" i="1"/>
  <c r="AO145" i="1" s="1"/>
  <c r="AH921" i="1"/>
  <c r="AO921" i="1" s="1"/>
  <c r="AH208" i="1"/>
  <c r="AO208" i="1" s="1"/>
  <c r="AH554" i="1"/>
  <c r="AO554" i="1" s="1"/>
  <c r="AH233" i="1"/>
  <c r="AO233" i="1" s="1"/>
  <c r="AH943" i="1"/>
  <c r="AO943" i="1" s="1"/>
  <c r="AH427" i="1"/>
  <c r="AO427" i="1" s="1"/>
  <c r="AH276" i="1"/>
  <c r="AO276" i="1" s="1"/>
  <c r="AH532" i="1"/>
  <c r="AO532" i="1" s="1"/>
  <c r="AH622" i="1"/>
  <c r="AO622" i="1" s="1"/>
  <c r="AH878" i="1"/>
  <c r="AO878" i="1" s="1"/>
  <c r="AH446" i="1"/>
  <c r="AO446" i="1" s="1"/>
  <c r="AH755" i="1"/>
  <c r="AO755" i="1" s="1"/>
  <c r="AH191" i="1"/>
  <c r="AO191" i="1" s="1"/>
  <c r="AH184" i="1"/>
  <c r="AO184" i="1" s="1"/>
  <c r="AH440" i="1"/>
  <c r="AO440" i="1" s="1"/>
  <c r="AH509" i="1"/>
  <c r="AO509" i="1" s="1"/>
  <c r="AH786" i="1"/>
  <c r="AO786" i="1" s="1"/>
  <c r="AH137" i="1"/>
  <c r="AO137" i="1" s="1"/>
  <c r="AH663" i="1"/>
  <c r="AO663" i="1" s="1"/>
  <c r="AH919" i="1"/>
  <c r="AO919" i="1" s="1"/>
  <c r="AH385" i="1"/>
  <c r="AO385" i="1" s="1"/>
  <c r="AH725" i="1"/>
  <c r="AO725" i="1" s="1"/>
  <c r="AH981" i="1"/>
  <c r="AO981" i="1" s="1"/>
  <c r="AH813" i="1"/>
  <c r="AO813" i="1" s="1"/>
  <c r="AH868" i="1"/>
  <c r="AO868" i="1" s="1"/>
  <c r="AH752" i="1"/>
  <c r="AO752" i="1" s="1"/>
  <c r="AH956" i="1"/>
  <c r="AO956" i="1" s="1"/>
  <c r="AH817" i="1"/>
  <c r="AO817" i="1" s="1"/>
  <c r="AH884" i="1"/>
  <c r="AO884" i="1" s="1"/>
  <c r="AH768" i="1"/>
  <c r="AO768" i="1" s="1"/>
  <c r="AH988" i="1"/>
  <c r="AO988" i="1" s="1"/>
  <c r="AH829" i="1"/>
  <c r="AO829" i="1" s="1"/>
  <c r="AH900" i="1"/>
  <c r="AO900" i="1" s="1"/>
  <c r="AH784" i="1"/>
  <c r="AO784" i="1" s="1"/>
  <c r="AX652" i="1"/>
  <c r="BG652" i="1" s="1"/>
  <c r="AH535" i="1"/>
  <c r="AO535" i="1" s="1"/>
  <c r="AX779" i="1"/>
  <c r="BG779" i="1" s="1"/>
  <c r="AX886" i="1"/>
  <c r="BG886" i="1" s="1"/>
  <c r="AH73" i="1"/>
  <c r="AO73" i="1" s="1"/>
  <c r="AH346" i="1"/>
  <c r="AO346" i="1" s="1"/>
  <c r="AH742" i="1"/>
  <c r="AO742" i="1" s="1"/>
  <c r="AH875" i="1"/>
  <c r="AO875" i="1" s="1"/>
  <c r="AH681" i="1"/>
  <c r="AO681" i="1" s="1"/>
  <c r="AH319" i="1"/>
  <c r="AO319" i="1" s="1"/>
  <c r="AH480" i="1"/>
  <c r="AO480" i="1" s="1"/>
  <c r="AH826" i="1"/>
  <c r="AO826" i="1" s="1"/>
  <c r="AH703" i="1"/>
  <c r="AO703" i="1" s="1"/>
  <c r="AX989" i="1"/>
  <c r="BG989" i="1" s="1"/>
  <c r="AH164" i="1"/>
  <c r="AO164" i="1" s="1"/>
  <c r="AH420" i="1"/>
  <c r="AO420" i="1" s="1"/>
  <c r="AH469" i="1"/>
  <c r="AO469" i="1" s="1"/>
  <c r="AH766" i="1"/>
  <c r="AO766" i="1" s="1"/>
  <c r="AH26" i="1"/>
  <c r="AO26" i="1" s="1"/>
  <c r="AH643" i="1"/>
  <c r="AO643" i="1" s="1"/>
  <c r="AH60" i="1"/>
  <c r="AO60" i="1" s="1"/>
  <c r="AH527" i="1"/>
  <c r="AO527" i="1" s="1"/>
  <c r="AH328" i="1"/>
  <c r="AO328" i="1" s="1"/>
  <c r="AH181" i="1"/>
  <c r="AO181" i="1" s="1"/>
  <c r="AH674" i="1"/>
  <c r="AO674" i="1" s="1"/>
  <c r="AH930" i="1"/>
  <c r="AO930" i="1" s="1"/>
  <c r="AH550" i="1"/>
  <c r="AO550" i="1" s="1"/>
  <c r="AH807" i="1"/>
  <c r="AO807" i="1" s="1"/>
  <c r="AH125" i="1"/>
  <c r="AO125" i="1" s="1"/>
  <c r="AH613" i="1"/>
  <c r="AO613" i="1" s="1"/>
  <c r="AH869" i="1"/>
  <c r="AO869" i="1" s="1"/>
  <c r="AH589" i="1"/>
  <c r="AO589" i="1" s="1"/>
  <c r="AH25" i="1"/>
  <c r="AO25" i="1" s="1"/>
  <c r="AH812" i="1"/>
  <c r="AO812" i="1" s="1"/>
  <c r="AH712" i="1"/>
  <c r="AO712" i="1" s="1"/>
  <c r="AH593" i="1"/>
  <c r="AO593" i="1" s="1"/>
  <c r="AH253" i="1"/>
  <c r="AO253" i="1" s="1"/>
  <c r="AH844" i="1"/>
  <c r="AO844" i="1" s="1"/>
  <c r="AH123" i="1"/>
  <c r="AO123" i="1" s="1"/>
  <c r="AH460" i="1"/>
  <c r="AO460" i="1" s="1"/>
  <c r="AH272" i="1"/>
  <c r="AO272" i="1" s="1"/>
  <c r="AH491" i="1"/>
  <c r="AO491" i="1" s="1"/>
  <c r="AH910" i="1"/>
  <c r="AO910" i="1" s="1"/>
  <c r="AH216" i="1"/>
  <c r="AO216" i="1" s="1"/>
  <c r="AH265" i="1"/>
  <c r="AO265" i="1" s="1"/>
  <c r="AH757" i="1"/>
  <c r="AO757" i="1" s="1"/>
  <c r="AH880" i="1"/>
  <c r="AO880" i="1" s="1"/>
  <c r="AH832" i="1"/>
  <c r="AO832" i="1" s="1"/>
  <c r="AH861" i="1"/>
  <c r="AO861" i="1" s="1"/>
  <c r="AH848" i="1"/>
  <c r="AO848" i="1" s="1"/>
  <c r="AH113" i="1"/>
  <c r="AO113" i="1" s="1"/>
  <c r="AH961" i="1"/>
  <c r="AO961" i="1" s="1"/>
  <c r="AH888" i="1"/>
  <c r="AO888" i="1" s="1"/>
  <c r="AH1038" i="1"/>
  <c r="AO1038" i="1" s="1"/>
  <c r="AX692" i="1"/>
  <c r="BG692" i="1" s="1"/>
  <c r="AX904" i="1"/>
  <c r="BG904" i="1" s="1"/>
  <c r="AH601" i="1"/>
  <c r="AO601" i="1" s="1"/>
  <c r="AH623" i="1"/>
  <c r="AO623" i="1" s="1"/>
  <c r="AH357" i="1"/>
  <c r="AO357" i="1" s="1"/>
  <c r="AH851" i="1"/>
  <c r="AO851" i="1" s="1"/>
  <c r="AH626" i="1"/>
  <c r="AO626" i="1" s="1"/>
  <c r="AH1015" i="1"/>
  <c r="AO1015" i="1" s="1"/>
  <c r="AH997" i="1"/>
  <c r="AO997" i="1" s="1"/>
  <c r="AH1001" i="1"/>
  <c r="AO1001" i="1" s="1"/>
  <c r="AH963" i="1"/>
  <c r="AO963" i="1" s="1"/>
  <c r="AH584" i="1"/>
  <c r="AO584" i="1" s="1"/>
  <c r="AH636" i="1"/>
  <c r="AO636" i="1" s="1"/>
  <c r="AH737" i="1"/>
  <c r="AO737" i="1" s="1"/>
  <c r="AH724" i="1"/>
  <c r="AO724" i="1" s="1"/>
  <c r="AH608" i="1"/>
  <c r="AO608" i="1" s="1"/>
  <c r="AH668" i="1"/>
  <c r="AO668" i="1" s="1"/>
  <c r="AX794" i="1"/>
  <c r="BG794" i="1" s="1"/>
  <c r="AH923" i="1"/>
  <c r="AO923" i="1" s="1"/>
  <c r="AH874" i="1"/>
  <c r="AO874" i="1" s="1"/>
  <c r="AH436" i="1"/>
  <c r="AO436" i="1" s="1"/>
  <c r="AH659" i="1"/>
  <c r="AO659" i="1" s="1"/>
  <c r="AH245" i="1"/>
  <c r="AO245" i="1" s="1"/>
  <c r="AH823" i="1"/>
  <c r="AO823" i="1" s="1"/>
  <c r="AX526" i="1"/>
  <c r="BG526" i="1" s="1"/>
  <c r="AX389" i="1"/>
  <c r="BG389" i="1" s="1"/>
  <c r="AH67" i="1"/>
  <c r="AO67" i="1" s="1"/>
  <c r="AX713" i="1"/>
  <c r="BG713" i="1" s="1"/>
  <c r="AX925" i="1"/>
  <c r="BG925" i="1" s="1"/>
  <c r="AX909" i="1"/>
  <c r="BG909" i="1" s="1"/>
  <c r="AH475" i="1"/>
  <c r="AO475" i="1" s="1"/>
  <c r="AH607" i="1"/>
  <c r="AO607" i="1" s="1"/>
  <c r="AX829" i="1"/>
  <c r="BG829" i="1" s="1"/>
  <c r="AH603" i="1"/>
  <c r="AO603" i="1" s="1"/>
  <c r="AX758" i="1"/>
  <c r="BG758" i="1" s="1"/>
  <c r="AH547" i="1"/>
  <c r="AO547" i="1" s="1"/>
  <c r="AH566" i="1"/>
  <c r="AO566" i="1" s="1"/>
  <c r="AH955" i="1"/>
  <c r="AO955" i="1" s="1"/>
  <c r="AH479" i="1"/>
  <c r="AO479" i="1" s="1"/>
  <c r="AH906" i="1"/>
  <c r="AO906" i="1" s="1"/>
  <c r="AH250" i="1"/>
  <c r="AO250" i="1" s="1"/>
  <c r="AX1043" i="1"/>
  <c r="BG1043" i="1" s="1"/>
  <c r="AX710" i="1"/>
  <c r="BG710" i="1" s="1"/>
  <c r="AH339" i="1"/>
  <c r="AO339" i="1" s="1"/>
  <c r="AH683" i="1"/>
  <c r="AO683" i="1" s="1"/>
  <c r="AX1004" i="1"/>
  <c r="BG1004" i="1" s="1"/>
  <c r="AH634" i="1"/>
  <c r="AO634" i="1" s="1"/>
  <c r="AH1023" i="1"/>
  <c r="AO1023" i="1" s="1"/>
  <c r="AH324" i="1"/>
  <c r="AO324" i="1" s="1"/>
  <c r="AH670" i="1"/>
  <c r="AO670" i="1" s="1"/>
  <c r="AH414" i="1"/>
  <c r="AO414" i="1" s="1"/>
  <c r="AH739" i="1"/>
  <c r="AO739" i="1" s="1"/>
  <c r="AH127" i="1"/>
  <c r="AO127" i="1" s="1"/>
  <c r="AH168" i="1"/>
  <c r="AO168" i="1" s="1"/>
  <c r="AH424" i="1"/>
  <c r="AO424" i="1" s="1"/>
  <c r="AH477" i="1"/>
  <c r="AO477" i="1" s="1"/>
  <c r="AH770" i="1"/>
  <c r="AO770" i="1" s="1"/>
  <c r="AH58" i="1"/>
  <c r="AO58" i="1" s="1"/>
  <c r="AH647" i="1"/>
  <c r="AO647" i="1" s="1"/>
  <c r="AH903" i="1"/>
  <c r="AO903" i="1" s="1"/>
  <c r="AH321" i="1"/>
  <c r="AO321" i="1" s="1"/>
  <c r="AH709" i="1"/>
  <c r="AO709" i="1" s="1"/>
  <c r="AH965" i="1"/>
  <c r="AO965" i="1" s="1"/>
  <c r="AH781" i="1"/>
  <c r="AO781" i="1" s="1"/>
  <c r="AH804" i="1"/>
  <c r="AO804" i="1" s="1"/>
  <c r="AH688" i="1"/>
  <c r="AO688" i="1" s="1"/>
  <c r="AH828" i="1"/>
  <c r="AO828" i="1" s="1"/>
  <c r="AH785" i="1"/>
  <c r="AO785" i="1" s="1"/>
  <c r="AH820" i="1"/>
  <c r="AO820" i="1" s="1"/>
  <c r="AH704" i="1"/>
  <c r="AO704" i="1" s="1"/>
  <c r="AH860" i="1"/>
  <c r="AO860" i="1" s="1"/>
  <c r="AH797" i="1"/>
  <c r="AO797" i="1" s="1"/>
  <c r="AH836" i="1"/>
  <c r="AO836" i="1" s="1"/>
  <c r="AH720" i="1"/>
  <c r="AO720" i="1" s="1"/>
  <c r="AX563" i="1"/>
  <c r="BG563" i="1" s="1"/>
  <c r="AX852" i="1"/>
  <c r="BG852" i="1" s="1"/>
  <c r="AX540" i="1"/>
  <c r="BG540" i="1" s="1"/>
  <c r="AX773" i="1"/>
  <c r="BG773" i="1" s="1"/>
  <c r="AX545" i="1"/>
  <c r="BG545" i="1" s="1"/>
  <c r="AH403" i="1"/>
  <c r="AO403" i="1" s="1"/>
  <c r="AH197" i="1"/>
  <c r="AO197" i="1" s="1"/>
  <c r="AH731" i="1"/>
  <c r="AO731" i="1" s="1"/>
  <c r="AH522" i="1"/>
  <c r="AO522" i="1" s="1"/>
  <c r="AH106" i="1"/>
  <c r="AO106" i="1" s="1"/>
  <c r="AH336" i="1"/>
  <c r="AO336" i="1" s="1"/>
  <c r="AH682" i="1"/>
  <c r="AO682" i="1" s="1"/>
  <c r="AH559" i="1"/>
  <c r="AO559" i="1" s="1"/>
  <c r="AH157" i="1"/>
  <c r="AO157" i="1" s="1"/>
  <c r="AH40" i="1"/>
  <c r="AO40" i="1" s="1"/>
  <c r="AH340" i="1"/>
  <c r="AO340" i="1" s="1"/>
  <c r="AH229" i="1"/>
  <c r="AO229" i="1" s="1"/>
  <c r="AH686" i="1"/>
  <c r="AO686" i="1" s="1"/>
  <c r="AH942" i="1"/>
  <c r="AO942" i="1" s="1"/>
  <c r="AH563" i="1"/>
  <c r="AO563" i="1" s="1"/>
  <c r="AH819" i="1"/>
  <c r="AO819" i="1" s="1"/>
  <c r="AH367" i="1"/>
  <c r="AO367" i="1" s="1"/>
  <c r="AH248" i="1"/>
  <c r="AO248" i="1" s="1"/>
  <c r="AH504" i="1"/>
  <c r="AO504" i="1" s="1"/>
  <c r="AH594" i="1"/>
  <c r="AO594" i="1" s="1"/>
  <c r="AH850" i="1"/>
  <c r="AO850" i="1" s="1"/>
  <c r="AH390" i="1"/>
  <c r="AO390" i="1" s="1"/>
  <c r="AH727" i="1"/>
  <c r="AO727" i="1" s="1"/>
  <c r="AH983" i="1"/>
  <c r="AO983" i="1" s="1"/>
  <c r="AH514" i="1"/>
  <c r="AO514" i="1" s="1"/>
  <c r="AH789" i="1"/>
  <c r="AO789" i="1" s="1"/>
  <c r="AH109" i="1"/>
  <c r="AO109" i="1" s="1"/>
  <c r="AH941" i="1"/>
  <c r="AO941" i="1" s="1"/>
  <c r="AH776" i="1"/>
  <c r="AO776" i="1" s="1"/>
  <c r="AH1008" i="1"/>
  <c r="AO1008" i="1" s="1"/>
  <c r="AH173" i="1"/>
  <c r="AO173" i="1" s="1"/>
  <c r="AH945" i="1"/>
  <c r="AO945" i="1" s="1"/>
  <c r="AH808" i="1"/>
  <c r="AO808" i="1" s="1"/>
  <c r="AH1022" i="1"/>
  <c r="AO1022" i="1" s="1"/>
  <c r="AH237" i="1"/>
  <c r="AO237" i="1" s="1"/>
  <c r="AH957" i="1"/>
  <c r="AO957" i="1" s="1"/>
  <c r="AH856" i="1"/>
  <c r="AO856" i="1" s="1"/>
  <c r="AH1030" i="1"/>
  <c r="AO1030" i="1" s="1"/>
  <c r="AX590" i="1"/>
  <c r="BG590" i="1" s="1"/>
  <c r="AX952" i="1"/>
  <c r="BG952" i="1" s="1"/>
  <c r="AX560" i="1"/>
  <c r="BG560" i="1" s="1"/>
  <c r="AX1009" i="1"/>
  <c r="BG1009" i="1" s="1"/>
  <c r="AH286" i="1"/>
  <c r="AO286" i="1" s="1"/>
  <c r="AH140" i="1"/>
  <c r="AO140" i="1" s="1"/>
  <c r="AH998" i="1"/>
  <c r="AO998" i="1" s="1"/>
  <c r="AH1003" i="1"/>
  <c r="AO1003" i="1" s="1"/>
  <c r="AH809" i="1"/>
  <c r="AO809" i="1" s="1"/>
  <c r="AH79" i="1"/>
  <c r="AO79" i="1" s="1"/>
  <c r="AH277" i="1"/>
  <c r="AO277" i="1" s="1"/>
  <c r="AH954" i="1"/>
  <c r="AO954" i="1" s="1"/>
  <c r="AH831" i="1"/>
  <c r="AO831" i="1" s="1"/>
  <c r="AH111" i="1"/>
  <c r="AO111" i="1" s="1"/>
  <c r="AH228" i="1"/>
  <c r="AO228" i="1" s="1"/>
  <c r="AH484" i="1"/>
  <c r="AO484" i="1" s="1"/>
  <c r="AH574" i="1"/>
  <c r="AO574" i="1" s="1"/>
  <c r="AH830" i="1"/>
  <c r="AO830" i="1" s="1"/>
  <c r="AH313" i="1"/>
  <c r="AO313" i="1" s="1"/>
  <c r="AH707" i="1"/>
  <c r="AO707" i="1" s="1"/>
  <c r="AH330" i="1"/>
  <c r="AO330" i="1" s="1"/>
  <c r="AH136" i="1"/>
  <c r="AO136" i="1" s="1"/>
  <c r="AH392" i="1"/>
  <c r="AO392" i="1" s="1"/>
  <c r="AH413" i="1"/>
  <c r="AO413" i="1" s="1"/>
  <c r="AH738" i="1"/>
  <c r="AO738" i="1" s="1"/>
  <c r="AH994" i="1"/>
  <c r="AO994" i="1" s="1"/>
  <c r="AH615" i="1"/>
  <c r="AO615" i="1" s="1"/>
  <c r="AH871" i="1"/>
  <c r="AO871" i="1" s="1"/>
  <c r="AH193" i="1"/>
  <c r="AO193" i="1" s="1"/>
  <c r="AH677" i="1"/>
  <c r="AO677" i="1" s="1"/>
  <c r="AH933" i="1"/>
  <c r="AO933" i="1" s="1"/>
  <c r="AH717" i="1"/>
  <c r="AO717" i="1" s="1"/>
  <c r="AH676" i="1"/>
  <c r="AO676" i="1" s="1"/>
  <c r="AH560" i="1"/>
  <c r="AO560" i="1" s="1"/>
  <c r="AH572" i="1"/>
  <c r="AO572" i="1" s="1"/>
  <c r="AH721" i="1"/>
  <c r="AO721" i="1" s="1"/>
  <c r="AH692" i="1"/>
  <c r="AO692" i="1" s="1"/>
  <c r="AH576" i="1"/>
  <c r="AO576" i="1" s="1"/>
  <c r="AX573" i="1"/>
  <c r="BG573" i="1" s="1"/>
  <c r="AH667" i="1"/>
  <c r="AO667" i="1" s="1"/>
  <c r="AH618" i="1"/>
  <c r="AO618" i="1" s="1"/>
  <c r="AH308" i="1"/>
  <c r="AO308" i="1" s="1"/>
  <c r="AH510" i="1"/>
  <c r="AO510" i="1" s="1"/>
  <c r="AH472" i="1"/>
  <c r="AO472" i="1" s="1"/>
  <c r="AH695" i="1"/>
  <c r="AO695" i="1" s="1"/>
  <c r="AH931" i="1"/>
  <c r="AO931" i="1" s="1"/>
  <c r="AH947" i="1"/>
  <c r="AO947" i="1" s="1"/>
  <c r="AH760" i="1"/>
  <c r="AO760" i="1" s="1"/>
  <c r="AH317" i="1"/>
  <c r="AO317" i="1" s="1"/>
  <c r="AH680" i="1"/>
  <c r="AO680" i="1" s="1"/>
  <c r="AH577" i="1"/>
  <c r="AO577" i="1" s="1"/>
  <c r="AH1041" i="1"/>
  <c r="AO1041" i="1" s="1"/>
  <c r="AH780" i="1"/>
  <c r="AO780" i="1" s="1"/>
  <c r="AH696" i="1"/>
  <c r="AO696" i="1" s="1"/>
  <c r="AH98" i="1"/>
  <c r="AO98" i="1" s="1"/>
  <c r="AH531" i="1"/>
  <c r="AO531" i="1" s="1"/>
  <c r="AH362" i="1"/>
  <c r="AO362" i="1" s="1"/>
  <c r="AH225" i="1"/>
  <c r="AO225" i="1" s="1"/>
  <c r="AH718" i="1"/>
  <c r="AO718" i="1" s="1"/>
  <c r="AH431" i="1"/>
  <c r="AO431" i="1" s="1"/>
  <c r="AH882" i="1"/>
  <c r="AO882" i="1" s="1"/>
  <c r="AH565" i="1"/>
  <c r="AO565" i="1" s="1"/>
  <c r="AH1034" i="1"/>
  <c r="AO1034" i="1" s="1"/>
  <c r="AH285" i="1"/>
  <c r="AO285" i="1" s="1"/>
  <c r="AH637" i="1"/>
  <c r="AO637" i="1" s="1"/>
  <c r="AH1028" i="1"/>
  <c r="AO1028" i="1" s="1"/>
  <c r="AH915" i="1"/>
  <c r="AO915" i="1" s="1"/>
  <c r="AH865" i="1"/>
  <c r="AO865" i="1" s="1"/>
  <c r="AH1012" i="1"/>
  <c r="AO1012" i="1" s="1"/>
  <c r="AH864" i="1"/>
  <c r="AO864" i="1" s="1"/>
  <c r="AX208" i="1"/>
  <c r="BG208" i="1" s="1"/>
  <c r="AH92" i="1"/>
  <c r="AO92" i="1" s="1"/>
  <c r="AH729" i="1"/>
  <c r="AO729" i="1" s="1"/>
  <c r="AH751" i="1"/>
  <c r="AO751" i="1" s="1"/>
  <c r="AH501" i="1"/>
  <c r="AO501" i="1" s="1"/>
  <c r="AH138" i="1"/>
  <c r="AO138" i="1" s="1"/>
  <c r="AH690" i="1"/>
  <c r="AO690" i="1" s="1"/>
  <c r="AH189" i="1"/>
  <c r="AO189" i="1" s="1"/>
  <c r="AX64" i="1"/>
  <c r="BG64" i="1" s="1"/>
  <c r="AX284" i="1"/>
  <c r="BG284" i="1" s="1"/>
  <c r="AX464" i="1"/>
  <c r="BG464" i="1" s="1"/>
  <c r="AH146" i="1"/>
  <c r="AO146" i="1" s="1"/>
  <c r="AX895" i="1"/>
  <c r="BG895" i="1" s="1"/>
  <c r="AX945" i="1"/>
  <c r="BG945" i="1" s="1"/>
  <c r="AH585" i="1"/>
  <c r="AO585" i="1" s="1"/>
  <c r="AX862" i="1"/>
  <c r="BG862" i="1" s="1"/>
  <c r="AH195" i="1"/>
  <c r="AO195" i="1" s="1"/>
  <c r="AX954" i="1"/>
  <c r="BG954" i="1" s="1"/>
  <c r="AH366" i="1"/>
  <c r="AO366" i="1" s="1"/>
  <c r="AH220" i="1"/>
  <c r="AO220" i="1" s="1"/>
  <c r="AH281" i="1"/>
  <c r="AO281" i="1" s="1"/>
  <c r="AH761" i="1"/>
  <c r="AO761" i="1" s="1"/>
  <c r="AH80" i="1"/>
  <c r="AO80" i="1" s="1"/>
  <c r="AH783" i="1"/>
  <c r="AO783" i="1" s="1"/>
  <c r="AX335" i="1"/>
  <c r="BG335" i="1" s="1"/>
  <c r="AX629" i="1"/>
  <c r="BG629" i="1" s="1"/>
  <c r="AX966" i="1"/>
  <c r="BG966" i="1" s="1"/>
  <c r="AH524" i="1"/>
  <c r="AO524" i="1" s="1"/>
  <c r="AH426" i="1"/>
  <c r="AO426" i="1" s="1"/>
  <c r="AH288" i="1"/>
  <c r="AO288" i="1" s="1"/>
  <c r="AH470" i="1"/>
  <c r="AO470" i="1" s="1"/>
  <c r="AH523" i="1"/>
  <c r="AO523" i="1" s="1"/>
  <c r="AH165" i="1"/>
  <c r="AO165" i="1" s="1"/>
  <c r="AH926" i="1"/>
  <c r="AO926" i="1" s="1"/>
  <c r="AH611" i="1"/>
  <c r="AO611" i="1" s="1"/>
  <c r="AH39" i="1"/>
  <c r="AO39" i="1" s="1"/>
  <c r="AH463" i="1"/>
  <c r="AO463" i="1" s="1"/>
  <c r="AH296" i="1"/>
  <c r="AO296" i="1" s="1"/>
  <c r="AH552" i="1"/>
  <c r="AO552" i="1" s="1"/>
  <c r="AH642" i="1"/>
  <c r="AO642" i="1" s="1"/>
  <c r="AH898" i="1"/>
  <c r="AO898" i="1" s="1"/>
  <c r="AH486" i="1"/>
  <c r="AO486" i="1" s="1"/>
  <c r="AH775" i="1"/>
  <c r="AO775" i="1" s="1"/>
  <c r="AH1031" i="1"/>
  <c r="AO1031" i="1" s="1"/>
  <c r="AH581" i="1"/>
  <c r="AO581" i="1" s="1"/>
  <c r="AH837" i="1"/>
  <c r="AO837" i="1" s="1"/>
  <c r="AH498" i="1"/>
  <c r="AO498" i="1" s="1"/>
  <c r="AH1013" i="1"/>
  <c r="AO1013" i="1" s="1"/>
  <c r="AH556" i="1"/>
  <c r="AO556" i="1" s="1"/>
  <c r="AH457" i="1"/>
  <c r="AO457" i="1" s="1"/>
  <c r="AH506" i="1"/>
  <c r="AO506" i="1" s="1"/>
  <c r="AH1017" i="1"/>
  <c r="AO1017" i="1" s="1"/>
  <c r="AH588" i="1"/>
  <c r="AO588" i="1" s="1"/>
  <c r="AH521" i="1"/>
  <c r="AO521" i="1" s="1"/>
  <c r="AH530" i="1"/>
  <c r="AO530" i="1" s="1"/>
  <c r="AH1021" i="1"/>
  <c r="AO1021" i="1" s="1"/>
  <c r="AH620" i="1"/>
  <c r="AO620" i="1" s="1"/>
  <c r="AH551" i="1"/>
  <c r="AO551" i="1" s="1"/>
  <c r="AX610" i="1"/>
  <c r="BG610" i="1" s="1"/>
  <c r="AX765" i="1"/>
  <c r="BG765" i="1" s="1"/>
  <c r="AX1003" i="1"/>
  <c r="BG1003" i="1" s="1"/>
  <c r="AX968" i="1"/>
  <c r="BG968" i="1" s="1"/>
  <c r="AH222" i="1"/>
  <c r="AO222" i="1" s="1"/>
  <c r="AH539" i="1"/>
  <c r="AO539" i="1" s="1"/>
  <c r="AH934" i="1"/>
  <c r="AO934" i="1" s="1"/>
  <c r="AH987" i="1"/>
  <c r="AO987" i="1" s="1"/>
  <c r="AH793" i="1"/>
  <c r="AO793" i="1" s="1"/>
  <c r="AH543" i="1"/>
  <c r="AO543" i="1" s="1"/>
  <c r="AH213" i="1"/>
  <c r="AO213" i="1" s="1"/>
  <c r="AH938" i="1"/>
  <c r="AO938" i="1" s="1"/>
  <c r="AH815" i="1"/>
  <c r="AO815" i="1" s="1"/>
  <c r="AH378" i="1"/>
  <c r="AO378" i="1" s="1"/>
  <c r="AH212" i="1"/>
  <c r="AO212" i="1" s="1"/>
  <c r="AH468" i="1"/>
  <c r="AO468" i="1" s="1"/>
  <c r="AH558" i="1"/>
  <c r="AO558" i="1" s="1"/>
  <c r="AH814" i="1"/>
  <c r="AO814" i="1" s="1"/>
  <c r="AH249" i="1"/>
  <c r="AO249" i="1" s="1"/>
  <c r="AH691" i="1"/>
  <c r="AO691" i="1" s="1"/>
  <c r="AH266" i="1"/>
  <c r="AO266" i="1" s="1"/>
  <c r="AH120" i="1"/>
  <c r="AO120" i="1" s="1"/>
  <c r="AH376" i="1"/>
  <c r="AO376" i="1" s="1"/>
  <c r="AH373" i="1"/>
  <c r="AO373" i="1" s="1"/>
  <c r="AH722" i="1"/>
  <c r="AO722" i="1" s="1"/>
  <c r="AH978" i="1"/>
  <c r="AO978" i="1" s="1"/>
  <c r="AH599" i="1"/>
  <c r="AO599" i="1" s="1"/>
  <c r="AH855" i="1"/>
  <c r="AO855" i="1" s="1"/>
  <c r="AH129" i="1"/>
  <c r="AO129" i="1" s="1"/>
  <c r="AH661" i="1"/>
  <c r="AO661" i="1" s="1"/>
  <c r="AH917" i="1"/>
  <c r="AO917" i="1" s="1"/>
  <c r="AH685" i="1"/>
  <c r="AO685" i="1" s="1"/>
  <c r="AH612" i="1"/>
  <c r="AO612" i="1" s="1"/>
  <c r="AH441" i="1"/>
  <c r="AO441" i="1" s="1"/>
  <c r="AH349" i="1"/>
  <c r="AO349" i="1" s="1"/>
  <c r="AH689" i="1"/>
  <c r="AO689" i="1" s="1"/>
  <c r="AH628" i="1"/>
  <c r="AO628" i="1" s="1"/>
  <c r="AH473" i="1"/>
  <c r="AO473" i="1" s="1"/>
  <c r="AH401" i="1"/>
  <c r="AO401" i="1" s="1"/>
  <c r="AH701" i="1"/>
  <c r="AO701" i="1" s="1"/>
  <c r="AH644" i="1"/>
  <c r="AO644" i="1" s="1"/>
  <c r="AH505" i="1"/>
  <c r="AO505" i="1" s="1"/>
  <c r="AX319" i="1"/>
  <c r="BG319" i="1" s="1"/>
  <c r="AX917" i="1"/>
  <c r="BG917" i="1" s="1"/>
  <c r="AX571" i="1"/>
  <c r="BG571" i="1" s="1"/>
  <c r="AX857" i="1"/>
  <c r="BG857" i="1" s="1"/>
  <c r="AX1044" i="1"/>
  <c r="BG1044" i="1" s="1"/>
  <c r="AH467" i="1"/>
  <c r="AO467" i="1" s="1"/>
  <c r="AH421" i="1"/>
  <c r="AO421" i="1" s="1"/>
  <c r="AH747" i="1"/>
  <c r="AO747" i="1" s="1"/>
  <c r="AH553" i="1"/>
  <c r="AO553" i="1" s="1"/>
  <c r="AH170" i="1"/>
  <c r="AO170" i="1" s="1"/>
  <c r="AH352" i="1"/>
  <c r="AO352" i="1" s="1"/>
  <c r="AH698" i="1"/>
  <c r="AO698" i="1" s="1"/>
  <c r="AH575" i="1"/>
  <c r="AO575" i="1" s="1"/>
  <c r="AH221" i="1"/>
  <c r="AO221" i="1" s="1"/>
  <c r="AH95" i="1"/>
  <c r="AO95" i="1" s="1"/>
  <c r="AH356" i="1"/>
  <c r="AO356" i="1" s="1"/>
  <c r="AH293" i="1"/>
  <c r="AO293" i="1" s="1"/>
  <c r="AH702" i="1"/>
  <c r="AO702" i="1" s="1"/>
  <c r="AH958" i="1"/>
  <c r="AO958" i="1" s="1"/>
  <c r="AH579" i="1"/>
  <c r="AO579" i="1" s="1"/>
  <c r="AH835" i="1"/>
  <c r="AO835" i="1" s="1"/>
  <c r="AH399" i="1"/>
  <c r="AO399" i="1" s="1"/>
  <c r="AH264" i="1"/>
  <c r="AO264" i="1" s="1"/>
  <c r="AH520" i="1"/>
  <c r="AO520" i="1" s="1"/>
  <c r="AH610" i="1"/>
  <c r="AO610" i="1" s="1"/>
  <c r="AH866" i="1"/>
  <c r="AO866" i="1" s="1"/>
  <c r="AH422" i="1"/>
  <c r="AO422" i="1" s="1"/>
  <c r="AH743" i="1"/>
  <c r="AO743" i="1" s="1"/>
  <c r="AH999" i="1"/>
  <c r="AO999" i="1" s="1"/>
  <c r="AH546" i="1"/>
  <c r="AO546" i="1" s="1"/>
  <c r="AH805" i="1"/>
  <c r="AO805" i="1" s="1"/>
  <c r="AH177" i="1"/>
  <c r="AO177" i="1" s="1"/>
  <c r="AH973" i="1"/>
  <c r="AO973" i="1" s="1"/>
  <c r="AH920" i="1"/>
  <c r="AO920" i="1" s="1"/>
  <c r="AH964" i="1"/>
  <c r="AO964" i="1" s="1"/>
  <c r="AH241" i="1"/>
  <c r="AO241" i="1" s="1"/>
  <c r="AH977" i="1"/>
  <c r="AO977" i="1" s="1"/>
  <c r="AH936" i="1"/>
  <c r="AO936" i="1" s="1"/>
  <c r="AX801" i="1"/>
  <c r="BG801" i="1" s="1"/>
  <c r="AH275" i="1"/>
  <c r="AO275" i="1" s="1"/>
  <c r="AH985" i="1"/>
  <c r="AO985" i="1" s="1"/>
  <c r="AH1007" i="1"/>
  <c r="AO1007" i="1" s="1"/>
  <c r="AH654" i="1"/>
  <c r="AO654" i="1" s="1"/>
  <c r="AH303" i="1"/>
  <c r="AO303" i="1" s="1"/>
  <c r="AH818" i="1"/>
  <c r="AO818" i="1" s="1"/>
  <c r="AH450" i="1"/>
  <c r="AO450" i="1" s="1"/>
  <c r="AH1032" i="1"/>
  <c r="AO1032" i="1" s="1"/>
  <c r="AH489" i="1"/>
  <c r="AO489" i="1" s="1"/>
  <c r="AH605" i="1"/>
  <c r="AO605" i="1" s="1"/>
  <c r="AH892" i="1"/>
  <c r="AO892" i="1" s="1"/>
  <c r="AH1020" i="1"/>
  <c r="AO1020" i="1" s="1"/>
  <c r="AH833" i="1"/>
  <c r="AO833" i="1" s="1"/>
  <c r="AH916" i="1"/>
  <c r="AO916" i="1" s="1"/>
  <c r="AH800" i="1"/>
  <c r="AO800" i="1" s="1"/>
  <c r="AH1036" i="1"/>
  <c r="AO1036" i="1" s="1"/>
  <c r="AX582" i="1"/>
  <c r="BG582" i="1" s="1"/>
  <c r="AH795" i="1"/>
  <c r="AO795" i="1" s="1"/>
  <c r="AH746" i="1"/>
  <c r="AO746" i="1" s="1"/>
  <c r="AH372" i="1"/>
  <c r="AO372" i="1" s="1"/>
  <c r="AH595" i="1"/>
  <c r="AO595" i="1" s="1"/>
  <c r="AH536" i="1"/>
  <c r="AO536" i="1" s="1"/>
  <c r="AH759" i="1"/>
  <c r="AO759" i="1" s="1"/>
  <c r="AH410" i="1"/>
  <c r="AO410" i="1" s="1"/>
  <c r="AH442" i="1"/>
  <c r="AO442" i="1" s="1"/>
  <c r="AH872" i="1"/>
  <c r="AO872" i="1" s="1"/>
  <c r="AH481" i="1"/>
  <c r="AO481" i="1" s="1"/>
  <c r="AH792" i="1"/>
  <c r="AO792" i="1" s="1"/>
  <c r="AH609" i="1"/>
  <c r="AO609" i="1" s="1"/>
  <c r="AH381" i="1"/>
  <c r="AO381" i="1" s="1"/>
  <c r="AH924" i="1"/>
  <c r="AO924" i="1" s="1"/>
  <c r="AH824" i="1"/>
  <c r="AO824" i="1" s="1"/>
  <c r="AX1032" i="1"/>
  <c r="BG1032" i="1" s="1"/>
  <c r="AH806" i="1"/>
  <c r="AO806" i="1" s="1"/>
  <c r="AH528" i="1"/>
  <c r="AO528" i="1" s="1"/>
  <c r="AH180" i="1"/>
  <c r="AO180" i="1" s="1"/>
  <c r="AH121" i="1"/>
  <c r="AO121" i="1" s="1"/>
  <c r="AH344" i="1"/>
  <c r="AO344" i="1" s="1"/>
  <c r="AH567" i="1"/>
  <c r="AO567" i="1" s="1"/>
  <c r="AX29" i="1"/>
  <c r="BG29" i="1" s="1"/>
  <c r="AH171" i="1"/>
  <c r="AO171" i="1" s="1"/>
  <c r="AX970" i="1"/>
  <c r="BG970" i="1" s="1"/>
  <c r="AH822" i="1"/>
  <c r="AO822" i="1" s="1"/>
  <c r="AH363" i="1"/>
  <c r="AO363" i="1" s="1"/>
  <c r="AH939" i="1"/>
  <c r="AO939" i="1" s="1"/>
  <c r="AH452" i="1"/>
  <c r="AO452" i="1" s="1"/>
  <c r="AH335" i="1"/>
  <c r="AO335" i="1" s="1"/>
  <c r="AH834" i="1"/>
  <c r="AO834" i="1" s="1"/>
  <c r="AH482" i="1"/>
  <c r="AO482" i="1" s="1"/>
  <c r="AH632" i="1"/>
  <c r="AO632" i="1" s="1"/>
  <c r="AH664" i="1"/>
  <c r="AO664" i="1" s="1"/>
  <c r="AH728" i="1"/>
  <c r="AO728" i="1" s="1"/>
  <c r="AX880" i="1"/>
  <c r="BG880" i="1" s="1"/>
  <c r="AH678" i="1"/>
  <c r="AO678" i="1" s="1"/>
  <c r="AH464" i="1"/>
  <c r="AO464" i="1" s="1"/>
  <c r="AH148" i="1"/>
  <c r="AO148" i="1" s="1"/>
  <c r="AH1006" i="1"/>
  <c r="AO1006" i="1" s="1"/>
  <c r="AH312" i="1"/>
  <c r="AO312" i="1" s="1"/>
  <c r="AH518" i="1"/>
  <c r="AO518" i="1" s="1"/>
  <c r="AH853" i="1"/>
  <c r="AO853" i="1" s="1"/>
  <c r="AH600" i="1"/>
  <c r="AO600" i="1" s="1"/>
  <c r="AH648" i="1"/>
  <c r="AO648" i="1" s="1"/>
  <c r="AX94" i="1"/>
  <c r="BG94" i="1" s="1"/>
  <c r="AX1029" i="1"/>
  <c r="BG1029" i="1" s="1"/>
  <c r="AH209" i="1"/>
  <c r="AO209" i="1" s="1"/>
  <c r="AH297" i="1"/>
  <c r="AO297" i="1" s="1"/>
  <c r="AH548" i="1"/>
  <c r="AO548" i="1" s="1"/>
  <c r="AH771" i="1"/>
  <c r="AO771" i="1" s="1"/>
  <c r="AH541" i="1"/>
  <c r="AO541" i="1" s="1"/>
  <c r="AH935" i="1"/>
  <c r="AO935" i="1" s="1"/>
  <c r="AH845" i="1"/>
  <c r="AO845" i="1" s="1"/>
  <c r="AH849" i="1"/>
  <c r="AO849" i="1" s="1"/>
  <c r="AH394" i="1"/>
  <c r="AO394" i="1" s="1"/>
  <c r="AH562" i="1"/>
  <c r="AO562" i="1" s="1"/>
  <c r="AH899" i="1"/>
  <c r="AO899" i="1" s="1"/>
  <c r="AH660" i="1"/>
  <c r="AO660" i="1" s="1"/>
  <c r="AH549" i="1"/>
  <c r="AO549" i="1" s="1"/>
  <c r="AH280" i="1"/>
  <c r="AO280" i="1" s="1"/>
  <c r="AH896" i="1"/>
  <c r="AO896" i="1" s="1"/>
  <c r="AH993" i="1"/>
  <c r="AO993" i="1" s="1"/>
  <c r="AH271" i="1"/>
  <c r="AO271" i="1" s="1"/>
  <c r="AH48" i="1"/>
  <c r="AO48" i="1" s="1"/>
  <c r="AH621" i="1"/>
  <c r="AO621" i="1" s="1"/>
  <c r="AH625" i="1"/>
  <c r="AO625" i="1" s="1"/>
  <c r="AH604" i="1"/>
  <c r="AO604" i="1" s="1"/>
  <c r="AH708" i="1"/>
  <c r="AO708" i="1" s="1"/>
  <c r="AH904" i="1"/>
  <c r="AO904" i="1" s="1"/>
  <c r="AH641" i="1"/>
  <c r="AO641" i="1" s="1"/>
  <c r="AH513" i="1"/>
  <c r="AO513" i="1" s="1"/>
  <c r="AH1044" i="1"/>
  <c r="AO1044" i="1" s="1"/>
  <c r="AH952" i="1"/>
  <c r="AO952" i="1" s="1"/>
  <c r="AH857" i="1"/>
  <c r="AO857" i="1" s="1"/>
  <c r="AH754" i="1"/>
  <c r="AO754" i="1" s="1"/>
  <c r="AH466" i="1"/>
  <c r="AO466" i="1" s="1"/>
  <c r="AH852" i="1"/>
  <c r="AO852" i="1" s="1"/>
  <c r="AH333" i="1"/>
  <c r="AO333" i="1" s="1"/>
  <c r="AH204" i="1"/>
  <c r="AO204" i="1" s="1"/>
  <c r="AH152" i="1"/>
  <c r="AO152" i="1" s="1"/>
  <c r="AH640" i="1"/>
  <c r="AO640" i="1" s="1"/>
  <c r="AH929" i="1"/>
  <c r="AO929" i="1" s="1"/>
  <c r="AH244" i="1"/>
  <c r="AO244" i="1" s="1"/>
  <c r="AH949" i="1"/>
  <c r="AO949" i="1" s="1"/>
  <c r="AH1025" i="1"/>
  <c r="AO1025" i="1" s="1"/>
  <c r="AH1002" i="1"/>
  <c r="AO1002" i="1" s="1"/>
  <c r="AH887" i="1"/>
  <c r="AO887" i="1" s="1"/>
  <c r="AH772" i="1"/>
  <c r="AO772" i="1" s="1"/>
  <c r="AH409" i="1"/>
  <c r="AO409" i="1" s="1"/>
  <c r="AX521" i="1"/>
  <c r="BG521" i="1" s="1"/>
  <c r="AX981" i="1"/>
  <c r="BG981" i="1" s="1"/>
  <c r="AX378" i="1"/>
  <c r="BG378" i="1" s="1"/>
  <c r="AH458" i="1"/>
  <c r="AO458" i="1" s="1"/>
  <c r="AX751" i="1"/>
  <c r="BG751" i="1" s="1"/>
  <c r="AH447" i="1"/>
  <c r="AO447" i="1" s="1"/>
  <c r="AH798" i="1"/>
  <c r="AO798" i="1" s="1"/>
  <c r="AH232" i="1"/>
  <c r="AO232" i="1" s="1"/>
  <c r="AH329" i="1"/>
  <c r="AO329" i="1" s="1"/>
  <c r="AH773" i="1"/>
  <c r="AO773" i="1" s="1"/>
  <c r="AH944" i="1"/>
  <c r="AO944" i="1" s="1"/>
  <c r="AH960" i="1"/>
  <c r="AO960" i="1" s="1"/>
  <c r="AH976" i="1"/>
  <c r="AO976" i="1" s="1"/>
  <c r="AX802" i="1"/>
  <c r="BG802" i="1" s="1"/>
  <c r="AH859" i="1"/>
  <c r="AO859" i="1" s="1"/>
  <c r="AH810" i="1"/>
  <c r="AO810" i="1" s="1"/>
  <c r="AH404" i="1"/>
  <c r="AO404" i="1" s="1"/>
  <c r="AH627" i="1"/>
  <c r="AO627" i="1" s="1"/>
  <c r="AH117" i="1"/>
  <c r="AO117" i="1" s="1"/>
  <c r="AH791" i="1"/>
  <c r="AO791" i="1" s="1"/>
  <c r="AH557" i="1"/>
  <c r="AO557" i="1" s="1"/>
  <c r="AH561" i="1"/>
  <c r="AO561" i="1" s="1"/>
  <c r="AH573" i="1"/>
  <c r="AO573" i="1" s="1"/>
  <c r="AX612" i="1"/>
  <c r="BG612" i="1" s="1"/>
  <c r="AH211" i="1"/>
  <c r="AO211" i="1" s="1"/>
  <c r="AH937" i="1"/>
  <c r="AO937" i="1" s="1"/>
  <c r="AH959" i="1"/>
  <c r="AO959" i="1" s="1"/>
  <c r="AH638" i="1"/>
  <c r="AO638" i="1" s="1"/>
  <c r="AH255" i="1"/>
  <c r="AO255" i="1" s="1"/>
  <c r="AH802" i="1"/>
  <c r="AO802" i="1" s="1"/>
  <c r="AH418" i="1"/>
  <c r="AO418" i="1" s="1"/>
  <c r="AH932" i="1"/>
  <c r="AO932" i="1" s="1"/>
  <c r="AH948" i="1"/>
  <c r="AO948" i="1" s="1"/>
  <c r="AH438" i="1"/>
  <c r="AO438" i="1" s="1"/>
  <c r="AH951" i="1"/>
  <c r="AO951" i="1" s="1"/>
  <c r="AH980" i="1"/>
  <c r="AO980" i="1" s="1"/>
  <c r="AH537" i="1"/>
  <c r="AO537" i="1" s="1"/>
  <c r="AH400" i="1"/>
  <c r="AO400" i="1" s="1"/>
  <c r="AH454" i="1"/>
  <c r="AO454" i="1" s="1"/>
  <c r="AH893" i="1"/>
  <c r="AO893" i="1" s="1"/>
  <c r="AH1016" i="1"/>
  <c r="AO1016" i="1" s="1"/>
  <c r="AH415" i="1"/>
  <c r="AO415" i="1" s="1"/>
  <c r="AH946" i="1"/>
  <c r="AO946" i="1" s="1"/>
  <c r="AH417" i="1"/>
  <c r="AO417" i="1" s="1"/>
  <c r="AH449" i="1"/>
  <c r="AO449" i="1" s="1"/>
  <c r="AH305" i="1"/>
  <c r="AO305" i="1" s="1"/>
  <c r="AH968" i="1"/>
  <c r="AO968" i="1" s="1"/>
  <c r="AH764" i="1"/>
  <c r="AO764" i="1" s="1"/>
  <c r="AH769" i="1"/>
  <c r="AO769" i="1" s="1"/>
  <c r="AH788" i="1"/>
  <c r="AO788" i="1" s="1"/>
  <c r="AH672" i="1"/>
  <c r="AO672" i="1" s="1"/>
  <c r="AH796" i="1"/>
  <c r="AO796" i="1" s="1"/>
  <c r="AH879" i="1"/>
  <c r="AO879" i="1" s="1"/>
  <c r="AH257" i="1"/>
  <c r="AO257" i="1" s="1"/>
  <c r="AH433" i="1"/>
  <c r="AO433" i="1" s="1"/>
  <c r="AH736" i="1"/>
  <c r="AO736" i="1" s="1"/>
  <c r="AH538" i="1"/>
  <c r="AO538" i="1" s="1"/>
  <c r="AH144" i="1"/>
  <c r="AO144" i="1" s="1"/>
  <c r="AH1010" i="1"/>
  <c r="AO1010" i="1" s="1"/>
  <c r="AH765" i="1"/>
  <c r="AO765" i="1" s="1"/>
  <c r="AH744" i="1"/>
  <c r="AO744" i="1" s="1"/>
  <c r="AH377" i="1"/>
  <c r="AO377" i="1" s="1"/>
  <c r="AH700" i="1"/>
  <c r="AO700" i="1" s="1"/>
  <c r="AH568" i="1"/>
  <c r="AO568" i="1" s="1"/>
  <c r="AH500" i="1"/>
  <c r="AO500" i="1" s="1"/>
  <c r="AH749" i="1"/>
  <c r="AO749" i="1" s="1"/>
  <c r="AH1026" i="1"/>
  <c r="AO1026" i="1" s="1"/>
  <c r="AH1042" i="1"/>
  <c r="AO1042" i="1" s="1"/>
  <c r="AX900" i="1"/>
  <c r="BG900" i="1" s="1"/>
  <c r="AX403" i="1"/>
  <c r="BG403" i="1" s="1"/>
  <c r="AH315" i="1"/>
  <c r="AO315" i="1" s="1"/>
  <c r="AH502" i="1"/>
  <c r="AO502" i="1" s="1"/>
  <c r="AH411" i="1"/>
  <c r="AO411" i="1" s="1"/>
  <c r="AH186" i="1"/>
  <c r="AO186" i="1" s="1"/>
  <c r="AH803" i="1"/>
  <c r="AO803" i="1" s="1"/>
  <c r="AH578" i="1"/>
  <c r="AO578" i="1" s="1"/>
  <c r="AH967" i="1"/>
  <c r="AO967" i="1" s="1"/>
  <c r="AH909" i="1"/>
  <c r="AO909" i="1" s="1"/>
  <c r="AH913" i="1"/>
  <c r="AO913" i="1" s="1"/>
  <c r="AH925" i="1"/>
  <c r="AO925" i="1" s="1"/>
  <c r="AH279" i="1"/>
  <c r="AO279" i="1" s="1"/>
  <c r="AH87" i="1"/>
  <c r="AO87" i="1" s="1"/>
  <c r="AH287" i="1"/>
  <c r="AO287" i="1" s="1"/>
  <c r="AH434" i="1"/>
  <c r="AO434" i="1" s="1"/>
  <c r="AH750" i="1"/>
  <c r="AO750" i="1" s="1"/>
  <c r="AH495" i="1"/>
  <c r="AO495" i="1" s="1"/>
  <c r="AH914" i="1"/>
  <c r="AO914" i="1" s="1"/>
  <c r="AH597" i="1"/>
  <c r="AO597" i="1" s="1"/>
  <c r="AH684" i="1"/>
  <c r="AO684" i="1" s="1"/>
  <c r="AH716" i="1"/>
  <c r="AO716" i="1" s="1"/>
  <c r="AH748" i="1"/>
  <c r="AO748" i="1" s="1"/>
  <c r="AX842" i="1"/>
  <c r="BG842" i="1" s="1"/>
  <c r="AH619" i="1"/>
  <c r="AO619" i="1" s="1"/>
  <c r="AH570" i="1"/>
  <c r="AO570" i="1" s="1"/>
  <c r="AH292" i="1"/>
  <c r="AO292" i="1" s="1"/>
  <c r="AH478" i="1"/>
  <c r="AO478" i="1" s="1"/>
  <c r="AH456" i="1"/>
  <c r="AO456" i="1" s="1"/>
  <c r="AH679" i="1"/>
  <c r="AO679" i="1" s="1"/>
  <c r="AH867" i="1"/>
  <c r="AO867" i="1" s="1"/>
  <c r="AH883" i="1"/>
  <c r="AO883" i="1" s="1"/>
  <c r="AX845" i="1"/>
  <c r="BG845" i="1" s="1"/>
  <c r="AH787" i="1"/>
  <c r="AO787" i="1" s="1"/>
  <c r="AH881" i="1"/>
  <c r="AO881" i="1" s="1"/>
  <c r="AH705" i="1"/>
  <c r="AO705" i="1" s="1"/>
  <c r="AX787" i="1"/>
  <c r="BG787" i="1" s="1"/>
  <c r="AH974" i="1"/>
  <c r="AO974" i="1" s="1"/>
  <c r="AH269" i="1"/>
  <c r="AO269" i="1" s="1"/>
  <c r="AH369" i="1"/>
  <c r="AO369" i="1" s="1"/>
  <c r="AX771" i="1"/>
  <c r="BG771" i="1" s="1"/>
  <c r="AH782" i="1"/>
  <c r="AO782" i="1" s="1"/>
  <c r="AH885" i="1"/>
  <c r="AO885" i="1" s="1"/>
  <c r="AH840" i="1"/>
  <c r="AO840" i="1" s="1"/>
  <c r="AH996" i="1"/>
  <c r="AO996" i="1" s="1"/>
  <c r="AH989" i="1"/>
  <c r="AO989" i="1" s="1"/>
  <c r="AH1024" i="1"/>
  <c r="AO1024" i="1" s="1"/>
  <c r="AH474" i="1"/>
  <c r="AO474" i="1" s="1"/>
  <c r="AH1009" i="1"/>
  <c r="AO1009" i="1" s="1"/>
  <c r="AH497" i="1"/>
  <c r="AO497" i="1" s="1"/>
  <c r="AH425" i="1"/>
  <c r="AO425" i="1" s="1"/>
  <c r="AH350" i="1"/>
  <c r="AO350" i="1" s="1"/>
  <c r="AH38" i="1"/>
  <c r="AO38" i="1" s="1"/>
  <c r="AH756" i="1"/>
  <c r="AO756" i="1" s="1"/>
  <c r="AH801" i="1"/>
  <c r="AO801" i="1" s="1"/>
  <c r="AH217" i="1"/>
  <c r="AO217" i="1" s="1"/>
  <c r="AX864" i="1"/>
  <c r="BG864" i="1" s="1"/>
  <c r="AH846" i="1"/>
  <c r="AO846" i="1" s="1"/>
  <c r="AH624" i="1"/>
  <c r="AO624" i="1" s="1"/>
  <c r="AH1043" i="1"/>
  <c r="AO1043" i="1" s="1"/>
  <c r="AX644" i="1"/>
  <c r="BG644" i="1" s="1"/>
  <c r="AH631" i="1"/>
  <c r="AO631" i="1" s="1"/>
  <c r="AH393" i="1"/>
  <c r="AO393" i="1" s="1"/>
  <c r="AH66" i="1"/>
  <c r="AO66" i="1" s="1"/>
  <c r="AH445" i="1"/>
  <c r="AO445" i="1" s="1"/>
  <c r="AH732" i="1"/>
  <c r="AO732" i="1" s="1"/>
  <c r="AH596" i="1"/>
  <c r="AO596" i="1" s="1"/>
  <c r="AX293" i="1"/>
  <c r="BG293" i="1" s="1"/>
  <c r="AX920" i="1"/>
  <c r="BG920" i="1" s="1"/>
  <c r="AH711" i="1"/>
  <c r="AO711" i="1" s="1"/>
  <c r="AX483" i="1"/>
  <c r="BG483" i="1" s="1"/>
  <c r="AH437" i="1"/>
  <c r="AO437" i="1" s="1"/>
  <c r="AH1029" i="1"/>
  <c r="AO1029" i="1" s="1"/>
  <c r="AH396" i="1"/>
  <c r="AO396" i="1" s="1"/>
  <c r="AH200" i="1"/>
  <c r="AO200" i="1" s="1"/>
  <c r="AX99" i="1"/>
  <c r="BG99" i="1" s="1"/>
  <c r="AH529" i="1"/>
  <c r="AO529" i="1" s="1"/>
  <c r="AH1040" i="1"/>
  <c r="AO1040" i="1" s="1"/>
  <c r="AH1004" i="1"/>
  <c r="AO1004" i="1" s="1"/>
  <c r="AH897" i="1"/>
  <c r="AO897" i="1" s="1"/>
  <c r="AH590" i="1"/>
  <c r="AO590" i="1" s="1"/>
  <c r="AH652" i="1"/>
  <c r="AO652" i="1" s="1"/>
  <c r="AH992" i="1"/>
  <c r="AO992" i="1" s="1"/>
  <c r="AH723" i="1"/>
  <c r="AO723" i="1" s="1"/>
  <c r="AH542" i="1"/>
  <c r="AO542" i="1" s="1"/>
  <c r="AH876" i="1"/>
  <c r="AO876" i="1" s="1"/>
  <c r="AH673" i="1"/>
  <c r="AO673" i="1" s="1"/>
  <c r="AH902" i="1"/>
  <c r="AO902" i="1" s="1"/>
  <c r="AH890" i="1"/>
  <c r="AO890" i="1" s="1"/>
  <c r="AH995" i="1"/>
  <c r="AO995" i="1" s="1"/>
  <c r="AH59" i="1"/>
  <c r="AO59" i="1" s="1"/>
  <c r="AH53" i="1"/>
  <c r="AO53" i="1" s="1"/>
  <c r="AH1033" i="1"/>
  <c r="AO1033" i="1" s="1"/>
  <c r="AH224" i="1"/>
  <c r="AO224" i="1" s="1"/>
  <c r="AH201" i="1"/>
  <c r="AO201" i="1" s="1"/>
  <c r="AH101" i="1"/>
  <c r="AO101" i="1" s="1"/>
  <c r="AH116" i="1"/>
  <c r="AO116" i="1" s="1"/>
  <c r="AH122" i="1"/>
  <c r="AO122" i="1" s="1"/>
  <c r="AH733" i="1"/>
  <c r="AO733" i="1" s="1"/>
  <c r="AH616" i="1"/>
  <c r="AO616" i="1" s="1"/>
  <c r="AH740" i="1"/>
  <c r="AO740" i="1" s="1"/>
  <c r="AH299" i="1"/>
  <c r="AO299" i="1" s="1"/>
  <c r="AH408" i="1"/>
  <c r="AO408" i="1" s="1"/>
  <c r="AH753" i="1"/>
  <c r="AO753" i="1" s="1"/>
  <c r="AH1011" i="1"/>
  <c r="AO1011" i="1" s="1"/>
  <c r="AH304" i="1"/>
  <c r="AO304" i="1" s="1"/>
  <c r="AH488" i="1"/>
  <c r="AO488" i="1" s="1"/>
  <c r="AH1027" i="1"/>
  <c r="AO1027" i="1" s="1"/>
  <c r="AH687" i="1"/>
  <c r="AO687" i="1" s="1"/>
  <c r="AH34" i="1"/>
  <c r="AO34" i="1" s="1"/>
  <c r="AH198" i="1"/>
  <c r="AO198" i="1" s="1"/>
  <c r="AH894" i="1"/>
  <c r="AO894" i="1" s="1"/>
  <c r="AH816" i="1"/>
  <c r="AO816" i="1" s="1"/>
  <c r="AH465" i="1"/>
  <c r="AO465" i="1" s="1"/>
  <c r="AH912" i="1"/>
  <c r="AO912" i="1" s="1"/>
  <c r="AH972" i="1"/>
  <c r="AO972" i="1" s="1"/>
  <c r="AH979" i="1"/>
  <c r="AO979" i="1" s="1"/>
  <c r="AX665" i="1"/>
  <c r="BG665" i="1" s="1"/>
  <c r="AH908" i="1"/>
  <c r="AO908" i="1" s="1"/>
  <c r="AH656" i="1"/>
  <c r="AO656" i="1" s="1"/>
  <c r="AX1037" i="1"/>
  <c r="BG1037" i="1" s="1"/>
  <c r="AH429" i="1"/>
  <c r="AO429" i="1" s="1"/>
  <c r="AH110" i="1"/>
  <c r="AO110" i="1" s="1"/>
  <c r="AH665" i="1"/>
  <c r="AO665" i="1" s="1"/>
  <c r="AH658" i="1"/>
  <c r="AO658" i="1" s="1"/>
  <c r="AH1037" i="1"/>
  <c r="AO1037" i="1" s="1"/>
  <c r="AH459" i="1"/>
  <c r="AO459" i="1" s="1"/>
  <c r="AH741" i="1"/>
  <c r="AO741" i="1" s="1"/>
  <c r="AH877" i="1"/>
  <c r="AO877" i="1" s="1"/>
  <c r="AH821" i="1"/>
  <c r="AO821" i="1" s="1"/>
  <c r="AH629" i="1"/>
  <c r="AO629" i="1" s="1"/>
  <c r="AH592" i="1"/>
  <c r="AO592" i="1" s="1"/>
  <c r="AH928" i="1"/>
  <c r="AO928" i="1" s="1"/>
  <c r="AH693" i="1"/>
  <c r="AO693" i="1" s="1"/>
  <c r="AH1005" i="1"/>
  <c r="AO1005" i="1" s="1"/>
  <c r="D21" i="1"/>
  <c r="U543" i="1"/>
  <c r="V543" i="1" s="1"/>
  <c r="U34" i="1"/>
  <c r="V34" i="1" s="1"/>
  <c r="AE995" i="1"/>
  <c r="AF995" i="1" s="1"/>
  <c r="AE293" i="1"/>
  <c r="AF293" i="1" s="1"/>
  <c r="AE918" i="1"/>
  <c r="AF918" i="1" s="1"/>
  <c r="AE589" i="1"/>
  <c r="AF589" i="1" s="1"/>
  <c r="AE976" i="1"/>
  <c r="AF976" i="1" s="1"/>
  <c r="AE119" i="1"/>
  <c r="AF119" i="1" s="1"/>
  <c r="AE770" i="1"/>
  <c r="AF770" i="1" s="1"/>
  <c r="AE943" i="1"/>
  <c r="AF943" i="1" s="1"/>
  <c r="AE783" i="1"/>
  <c r="AF783" i="1" s="1"/>
  <c r="AE456" i="1"/>
  <c r="AF456" i="1" s="1"/>
  <c r="AE563" i="1"/>
  <c r="AF563" i="1" s="1"/>
  <c r="AE619" i="1"/>
  <c r="AF619" i="1" s="1"/>
  <c r="AE102" i="1"/>
  <c r="AF102" i="1" s="1"/>
  <c r="AE107" i="1"/>
  <c r="AF107" i="1" s="1"/>
  <c r="I21" i="1"/>
  <c r="AE910" i="1"/>
  <c r="AF910" i="1" s="1"/>
  <c r="AE246" i="1"/>
  <c r="AF246" i="1" s="1"/>
  <c r="AE998" i="1"/>
  <c r="AF998" i="1" s="1"/>
  <c r="AE516" i="1"/>
  <c r="AF516" i="1" s="1"/>
  <c r="AE927" i="1"/>
  <c r="AF927" i="1" s="1"/>
  <c r="AE255" i="1"/>
  <c r="AF255" i="1" s="1"/>
  <c r="AE978" i="1"/>
  <c r="AF978" i="1" s="1"/>
  <c r="AE959" i="1"/>
  <c r="AF959" i="1" s="1"/>
  <c r="AE799" i="1"/>
  <c r="AF799" i="1" s="1"/>
  <c r="AE576" i="1"/>
  <c r="AF576" i="1" s="1"/>
  <c r="AE597" i="1"/>
  <c r="AF597" i="1" s="1"/>
  <c r="AE714" i="1"/>
  <c r="AF714" i="1" s="1"/>
  <c r="AE628" i="1"/>
  <c r="AF628" i="1" s="1"/>
  <c r="AE90" i="1"/>
  <c r="AF90" i="1" s="1"/>
  <c r="AE377" i="1"/>
  <c r="AF377" i="1" s="1"/>
  <c r="AE654" i="1"/>
  <c r="AF654" i="1" s="1"/>
  <c r="AE418" i="1"/>
  <c r="AF418" i="1" s="1"/>
  <c r="AE682" i="1"/>
  <c r="AF682" i="1" s="1"/>
  <c r="AE503" i="1"/>
  <c r="AF503" i="1" s="1"/>
  <c r="AE881" i="1"/>
  <c r="AF881" i="1" s="1"/>
  <c r="AE1030" i="1"/>
  <c r="AF1030" i="1" s="1"/>
  <c r="AE674" i="1"/>
  <c r="AF674" i="1" s="1"/>
  <c r="AE847" i="1"/>
  <c r="AF847" i="1" s="1"/>
  <c r="AE712" i="1"/>
  <c r="AF712" i="1" s="1"/>
  <c r="AE643" i="1"/>
  <c r="AF643" i="1" s="1"/>
  <c r="AE420" i="1"/>
  <c r="AF420" i="1" s="1"/>
  <c r="AE935" i="1"/>
  <c r="AF935" i="1" s="1"/>
  <c r="AA687" i="1"/>
  <c r="AB687" i="1" s="1"/>
  <c r="AC687" i="1"/>
  <c r="AA754" i="1"/>
  <c r="AB754" i="1" s="1"/>
  <c r="AC754" i="1"/>
  <c r="AA819" i="1"/>
  <c r="AB819" i="1" s="1"/>
  <c r="AC819" i="1"/>
  <c r="AA656" i="1"/>
  <c r="AB656" i="1" s="1"/>
  <c r="AC656" i="1"/>
  <c r="AA278" i="1"/>
  <c r="AB278" i="1" s="1"/>
  <c r="AC278" i="1"/>
  <c r="AA724" i="1"/>
  <c r="AB724" i="1" s="1"/>
  <c r="AC724" i="1"/>
  <c r="AA997" i="1"/>
  <c r="AB997" i="1" s="1"/>
  <c r="AC997" i="1"/>
  <c r="AA868" i="1"/>
  <c r="AB868" i="1" s="1"/>
  <c r="AC868" i="1"/>
  <c r="AA902" i="1"/>
  <c r="AB902" i="1" s="1"/>
  <c r="AC902" i="1"/>
  <c r="AA862" i="1"/>
  <c r="AB862" i="1" s="1"/>
  <c r="AC862" i="1"/>
  <c r="AA1015" i="1"/>
  <c r="AB1015" i="1" s="1"/>
  <c r="AC1015" i="1"/>
  <c r="AA647" i="1"/>
  <c r="AB647" i="1" s="1"/>
  <c r="AC647" i="1"/>
  <c r="AA784" i="1"/>
  <c r="AB784" i="1" s="1"/>
  <c r="AC784" i="1"/>
  <c r="AA719" i="1"/>
  <c r="AB719" i="1" s="1"/>
  <c r="AC719" i="1"/>
  <c r="AA590" i="1"/>
  <c r="AB590" i="1" s="1"/>
  <c r="AC590" i="1"/>
  <c r="AA542" i="1"/>
  <c r="AB542" i="1" s="1"/>
  <c r="AC542" i="1"/>
  <c r="AA1033" i="1"/>
  <c r="AB1033" i="1" s="1"/>
  <c r="AC1033" i="1"/>
  <c r="AA388" i="1"/>
  <c r="AB388" i="1" s="1"/>
  <c r="AC388" i="1"/>
  <c r="AA640" i="1"/>
  <c r="AB640" i="1" s="1"/>
  <c r="AC640" i="1"/>
  <c r="AA554" i="1"/>
  <c r="AB554" i="1" s="1"/>
  <c r="AC554" i="1"/>
  <c r="AA928" i="1"/>
  <c r="AB928" i="1" s="1"/>
  <c r="AC928" i="1"/>
  <c r="AA524" i="1"/>
  <c r="AB524" i="1" s="1"/>
  <c r="AC524" i="1"/>
  <c r="AA391" i="1"/>
  <c r="AB391" i="1" s="1"/>
  <c r="AC391" i="1"/>
  <c r="AA34" i="1"/>
  <c r="AB34" i="1" s="1"/>
  <c r="AC34" i="1"/>
  <c r="AA242" i="1"/>
  <c r="AB242" i="1" s="1"/>
  <c r="AC242" i="1"/>
  <c r="AA552" i="1"/>
  <c r="AB552" i="1" s="1"/>
  <c r="AC552" i="1"/>
  <c r="AA996" i="1"/>
  <c r="AB996" i="1" s="1"/>
  <c r="AC996" i="1"/>
  <c r="AA236" i="1"/>
  <c r="AB236" i="1" s="1"/>
  <c r="AC236" i="1"/>
  <c r="AA283" i="1"/>
  <c r="AB283" i="1" s="1"/>
  <c r="AC283" i="1"/>
  <c r="AA930" i="1"/>
  <c r="AB930" i="1" s="1"/>
  <c r="AC930" i="1"/>
  <c r="AA896" i="1"/>
  <c r="AB896" i="1" s="1"/>
  <c r="AC896" i="1"/>
  <c r="AA182" i="1"/>
  <c r="AB182" i="1" s="1"/>
  <c r="AC182" i="1"/>
  <c r="AA213" i="1"/>
  <c r="AB213" i="1" s="1"/>
  <c r="AC213" i="1"/>
  <c r="AA980" i="1"/>
  <c r="AB980" i="1" s="1"/>
  <c r="AC980" i="1"/>
  <c r="AA568" i="1"/>
  <c r="AB568" i="1" s="1"/>
  <c r="AC568" i="1"/>
  <c r="AA688" i="1"/>
  <c r="AB688" i="1" s="1"/>
  <c r="AC688" i="1"/>
  <c r="AA621" i="1"/>
  <c r="AB621" i="1" s="1"/>
  <c r="AC621" i="1"/>
  <c r="AA426" i="1"/>
  <c r="AB426" i="1" s="1"/>
  <c r="AC426" i="1"/>
  <c r="AA1032" i="1"/>
  <c r="AB1032" i="1" s="1"/>
  <c r="AC1032" i="1"/>
  <c r="AA596" i="1"/>
  <c r="AB596" i="1" s="1"/>
  <c r="AC596" i="1"/>
  <c r="AA530" i="1"/>
  <c r="AB530" i="1" s="1"/>
  <c r="AC530" i="1"/>
  <c r="AA192" i="1"/>
  <c r="AB192" i="1" s="1"/>
  <c r="AC192" i="1"/>
  <c r="AA854" i="1"/>
  <c r="AB854" i="1" s="1"/>
  <c r="AC854" i="1"/>
  <c r="AA906" i="1"/>
  <c r="AB906" i="1" s="1"/>
  <c r="AC906" i="1"/>
  <c r="AA406" i="1"/>
  <c r="AB406" i="1" s="1"/>
  <c r="AC406" i="1"/>
  <c r="AA759" i="1"/>
  <c r="AB759" i="1" s="1"/>
  <c r="AC759" i="1"/>
  <c r="AA544" i="1"/>
  <c r="AB544" i="1" s="1"/>
  <c r="AC544" i="1"/>
  <c r="AA571" i="1"/>
  <c r="AB571" i="1" s="1"/>
  <c r="AC571" i="1"/>
  <c r="AA457" i="1"/>
  <c r="AB457" i="1" s="1"/>
  <c r="AC457" i="1"/>
  <c r="AA212" i="1"/>
  <c r="AB212" i="1" s="1"/>
  <c r="AC212" i="1"/>
  <c r="AA870" i="1"/>
  <c r="AB870" i="1" s="1"/>
  <c r="AC870" i="1"/>
  <c r="AA504" i="1"/>
  <c r="AB504" i="1" s="1"/>
  <c r="AC504" i="1"/>
  <c r="AA919" i="1"/>
  <c r="AB919" i="1" s="1"/>
  <c r="AC919" i="1"/>
  <c r="AA497" i="1"/>
  <c r="AB497" i="1" s="1"/>
  <c r="AC497" i="1"/>
  <c r="AA307" i="1"/>
  <c r="AB307" i="1" s="1"/>
  <c r="AC307" i="1"/>
  <c r="AA260" i="1"/>
  <c r="AB260" i="1" s="1"/>
  <c r="AC260" i="1"/>
  <c r="AA618" i="1"/>
  <c r="AB618" i="1" s="1"/>
  <c r="AC618" i="1"/>
  <c r="AA459" i="1"/>
  <c r="AB459" i="1" s="1"/>
  <c r="AC459" i="1"/>
  <c r="AA610" i="1"/>
  <c r="AB610" i="1" s="1"/>
  <c r="AC610" i="1"/>
  <c r="AA762" i="1"/>
  <c r="AB762" i="1" s="1"/>
  <c r="AC762" i="1"/>
  <c r="AA701" i="1"/>
  <c r="AB701" i="1" s="1"/>
  <c r="AC701" i="1"/>
  <c r="AA207" i="1"/>
  <c r="AB207" i="1" s="1"/>
  <c r="AC207" i="1"/>
  <c r="AA253" i="1"/>
  <c r="AB253" i="1" s="1"/>
  <c r="AC253" i="1"/>
  <c r="AA985" i="1"/>
  <c r="AB985" i="1" s="1"/>
  <c r="AC985" i="1"/>
  <c r="AA1038" i="1"/>
  <c r="AB1038" i="1" s="1"/>
  <c r="AC1038" i="1"/>
  <c r="AA575" i="1"/>
  <c r="AB575" i="1" s="1"/>
  <c r="AC575" i="1"/>
  <c r="AA265" i="1"/>
  <c r="AB265" i="1" s="1"/>
  <c r="AC265" i="1"/>
  <c r="AA573" i="1"/>
  <c r="AB573" i="1" s="1"/>
  <c r="AC573" i="1"/>
  <c r="AA1031" i="1"/>
  <c r="AB1031" i="1" s="1"/>
  <c r="AC1031" i="1"/>
  <c r="AA299" i="1"/>
  <c r="AB299" i="1" s="1"/>
  <c r="AC299" i="1"/>
  <c r="AA179" i="1"/>
  <c r="AB179" i="1" s="1"/>
  <c r="AC179" i="1"/>
  <c r="AA663" i="1"/>
  <c r="AB663" i="1" s="1"/>
  <c r="AC663" i="1"/>
  <c r="AA343" i="1"/>
  <c r="AB343" i="1" s="1"/>
  <c r="AC343" i="1"/>
  <c r="AA667" i="1"/>
  <c r="AB667" i="1" s="1"/>
  <c r="AC667" i="1"/>
  <c r="AA878" i="1"/>
  <c r="AB878" i="1" s="1"/>
  <c r="AC878" i="1"/>
  <c r="AA127" i="1"/>
  <c r="AB127" i="1" s="1"/>
  <c r="AC127" i="1"/>
  <c r="AA561" i="1"/>
  <c r="AB561" i="1" s="1"/>
  <c r="AC561" i="1"/>
  <c r="AA884" i="1"/>
  <c r="AB884" i="1" s="1"/>
  <c r="AC884" i="1"/>
  <c r="AA629" i="1"/>
  <c r="AB629" i="1" s="1"/>
  <c r="AC629" i="1"/>
  <c r="AA533" i="1"/>
  <c r="AB533" i="1" s="1"/>
  <c r="AC533" i="1"/>
  <c r="AA543" i="1"/>
  <c r="AB543" i="1" s="1"/>
  <c r="AC543" i="1"/>
  <c r="AA972" i="1"/>
  <c r="AB972" i="1" s="1"/>
  <c r="AC972" i="1"/>
  <c r="AA68" i="1"/>
  <c r="AB68" i="1" s="1"/>
  <c r="AC68" i="1"/>
  <c r="AA1000" i="1"/>
  <c r="AB1000" i="1" s="1"/>
  <c r="AC1000" i="1"/>
  <c r="AA969" i="1"/>
  <c r="AB969" i="1" s="1"/>
  <c r="AC969" i="1"/>
  <c r="AA665" i="1"/>
  <c r="AB665" i="1" s="1"/>
  <c r="AC665" i="1"/>
  <c r="AA537" i="1"/>
  <c r="AB537" i="1" s="1"/>
  <c r="AC537" i="1"/>
  <c r="AA988" i="1"/>
  <c r="AB988" i="1" s="1"/>
  <c r="AC988" i="1"/>
  <c r="AA1008" i="1"/>
  <c r="AB1008" i="1" s="1"/>
  <c r="AC1008" i="1"/>
  <c r="AA1026" i="1"/>
  <c r="AB1026" i="1" s="1"/>
  <c r="AC1026" i="1"/>
  <c r="AA767" i="1"/>
  <c r="AB767" i="1" s="1"/>
  <c r="AC767" i="1"/>
  <c r="AA254" i="1"/>
  <c r="AB254" i="1" s="1"/>
  <c r="AC254" i="1"/>
  <c r="AA221" i="1"/>
  <c r="AB221" i="1" s="1"/>
  <c r="AC221" i="1"/>
  <c r="AA446" i="1"/>
  <c r="AB446" i="1" s="1"/>
  <c r="AC446" i="1"/>
  <c r="AA474" i="1"/>
  <c r="AB474" i="1" s="1"/>
  <c r="AC474" i="1"/>
  <c r="AA735" i="1"/>
  <c r="AB735" i="1" s="1"/>
  <c r="AC735" i="1"/>
  <c r="AA560" i="1"/>
  <c r="AB560" i="1" s="1"/>
  <c r="AC560" i="1"/>
  <c r="AA598" i="1"/>
  <c r="AB598" i="1" s="1"/>
  <c r="AC598" i="1"/>
  <c r="AA889" i="1"/>
  <c r="AB889" i="1" s="1"/>
  <c r="AC889" i="1"/>
  <c r="AA740" i="1"/>
  <c r="AB740" i="1" s="1"/>
  <c r="AC740" i="1"/>
  <c r="AA436" i="1"/>
  <c r="AB436" i="1" s="1"/>
  <c r="AC436" i="1"/>
  <c r="AA360" i="1"/>
  <c r="AB360" i="1" s="1"/>
  <c r="AC360" i="1"/>
  <c r="AA445" i="1"/>
  <c r="AB445" i="1" s="1"/>
  <c r="AC445" i="1"/>
  <c r="AA32" i="1"/>
  <c r="AB32" i="1" s="1"/>
  <c r="AC32" i="1"/>
  <c r="AA37" i="1"/>
  <c r="AB37" i="1" s="1"/>
  <c r="AC37" i="1"/>
  <c r="AA144" i="1"/>
  <c r="AB144" i="1" s="1"/>
  <c r="AC144" i="1"/>
  <c r="AA195" i="1"/>
  <c r="AB195" i="1" s="1"/>
  <c r="AC195" i="1"/>
  <c r="AA258" i="1"/>
  <c r="AB258" i="1" s="1"/>
  <c r="AC258" i="1"/>
  <c r="AA297" i="1"/>
  <c r="AB297" i="1" s="1"/>
  <c r="AC297" i="1"/>
  <c r="AA348" i="1"/>
  <c r="AB348" i="1" s="1"/>
  <c r="AC348" i="1"/>
  <c r="AA305" i="1"/>
  <c r="AB305" i="1" s="1"/>
  <c r="AC305" i="1"/>
  <c r="AA325" i="1"/>
  <c r="AB325" i="1" s="1"/>
  <c r="AC325" i="1"/>
  <c r="AA30" i="1"/>
  <c r="AB30" i="1" s="1"/>
  <c r="AC30" i="1"/>
  <c r="AA129" i="1"/>
  <c r="AB129" i="1" s="1"/>
  <c r="AC129" i="1"/>
  <c r="AA173" i="1"/>
  <c r="AB173" i="1" s="1"/>
  <c r="AC173" i="1"/>
  <c r="AA70" i="1"/>
  <c r="AB70" i="1" s="1"/>
  <c r="AC70" i="1"/>
  <c r="AA98" i="1"/>
  <c r="AB98" i="1" s="1"/>
  <c r="AC98" i="1"/>
  <c r="AA122" i="1"/>
  <c r="AB122" i="1" s="1"/>
  <c r="AC122" i="1"/>
  <c r="AA60" i="1"/>
  <c r="AB60" i="1" s="1"/>
  <c r="AC60" i="1"/>
  <c r="AA84" i="1"/>
  <c r="AB84" i="1" s="1"/>
  <c r="AC84" i="1"/>
  <c r="AA95" i="1"/>
  <c r="AB95" i="1" s="1"/>
  <c r="AC95" i="1"/>
  <c r="AA1041" i="1"/>
  <c r="AB1041" i="1" s="1"/>
  <c r="AC1041" i="1"/>
  <c r="AA1043" i="1"/>
  <c r="AB1043" i="1" s="1"/>
  <c r="AC1043" i="1"/>
  <c r="AA331" i="1"/>
  <c r="AB331" i="1" s="1"/>
  <c r="AC331" i="1"/>
  <c r="AA288" i="1"/>
  <c r="AB288" i="1" s="1"/>
  <c r="AC288" i="1"/>
  <c r="AA218" i="1"/>
  <c r="AB218" i="1" s="1"/>
  <c r="AC218" i="1"/>
  <c r="AA48" i="1"/>
  <c r="AB48" i="1" s="1"/>
  <c r="AC48" i="1"/>
  <c r="AA44" i="1"/>
  <c r="AB44" i="1" s="1"/>
  <c r="AC44" i="1"/>
  <c r="AA913" i="1"/>
  <c r="AB913" i="1" s="1"/>
  <c r="AC913" i="1"/>
  <c r="AA252" i="1"/>
  <c r="AB252" i="1" s="1"/>
  <c r="AC252" i="1"/>
  <c r="AA899" i="1"/>
  <c r="AB899" i="1" s="1"/>
  <c r="AC899" i="1"/>
  <c r="AA622" i="1"/>
  <c r="AB622" i="1" s="1"/>
  <c r="AC622" i="1"/>
  <c r="AA1024" i="1"/>
  <c r="AB1024" i="1" s="1"/>
  <c r="AC1024" i="1"/>
  <c r="AA442" i="1"/>
  <c r="AB442" i="1" s="1"/>
  <c r="AC442" i="1"/>
  <c r="AA835" i="1"/>
  <c r="AB835" i="1" s="1"/>
  <c r="AC835" i="1"/>
  <c r="AA303" i="1"/>
  <c r="AB303" i="1" s="1"/>
  <c r="AC303" i="1"/>
  <c r="AA231" i="1"/>
  <c r="AB231" i="1" s="1"/>
  <c r="AC231" i="1"/>
  <c r="AA772" i="1"/>
  <c r="AB772" i="1" s="1"/>
  <c r="AC772" i="1"/>
  <c r="AA428" i="1"/>
  <c r="AB428" i="1" s="1"/>
  <c r="AC428" i="1"/>
  <c r="AA993" i="1"/>
  <c r="AB993" i="1" s="1"/>
  <c r="AC993" i="1"/>
  <c r="AA493" i="1"/>
  <c r="AB493" i="1" s="1"/>
  <c r="AC493" i="1"/>
  <c r="AA863" i="1"/>
  <c r="AB863" i="1" s="1"/>
  <c r="AC863" i="1"/>
  <c r="AA378" i="1"/>
  <c r="AB378" i="1" s="1"/>
  <c r="AC378" i="1"/>
  <c r="AA716" i="1"/>
  <c r="AB716" i="1" s="1"/>
  <c r="AC716" i="1"/>
  <c r="AA356" i="1"/>
  <c r="AB356" i="1" s="1"/>
  <c r="AC356" i="1"/>
  <c r="AA318" i="1"/>
  <c r="AB318" i="1" s="1"/>
  <c r="AC318" i="1"/>
  <c r="AA564" i="1"/>
  <c r="AB564" i="1" s="1"/>
  <c r="AC564" i="1"/>
  <c r="AA86" i="1"/>
  <c r="AB86" i="1" s="1"/>
  <c r="AC86" i="1"/>
  <c r="AA311" i="1"/>
  <c r="AB311" i="1" s="1"/>
  <c r="AC311" i="1"/>
  <c r="AA796" i="1"/>
  <c r="AB796" i="1" s="1"/>
  <c r="AC796" i="1"/>
  <c r="AA407" i="1"/>
  <c r="AB407" i="1" s="1"/>
  <c r="AC407" i="1"/>
  <c r="AA41" i="1"/>
  <c r="AB41" i="1" s="1"/>
  <c r="AC41" i="1"/>
  <c r="AA112" i="1"/>
  <c r="AB112" i="1" s="1"/>
  <c r="AC112" i="1"/>
  <c r="AA110" i="1"/>
  <c r="AB110" i="1" s="1"/>
  <c r="AC110" i="1"/>
  <c r="AA345" i="1"/>
  <c r="AB345" i="1" s="1"/>
  <c r="AC345" i="1"/>
  <c r="AA304" i="1"/>
  <c r="AB304" i="1" s="1"/>
  <c r="AC304" i="1"/>
  <c r="AA427" i="1"/>
  <c r="AB427" i="1" s="1"/>
  <c r="AC427" i="1"/>
  <c r="AA191" i="1"/>
  <c r="AB191" i="1" s="1"/>
  <c r="AC191" i="1"/>
  <c r="AA699" i="1"/>
  <c r="AB699" i="1" s="1"/>
  <c r="AC699" i="1"/>
  <c r="AA332" i="1"/>
  <c r="AB332" i="1" s="1"/>
  <c r="AC332" i="1"/>
  <c r="AA78" i="1"/>
  <c r="AB78" i="1" s="1"/>
  <c r="AC78" i="1"/>
  <c r="AA611" i="1"/>
  <c r="AB611" i="1" s="1"/>
  <c r="AC611" i="1"/>
  <c r="AA136" i="1"/>
  <c r="AB136" i="1" s="1"/>
  <c r="AC136" i="1"/>
  <c r="AA167" i="1"/>
  <c r="AB167" i="1" s="1"/>
  <c r="AC167" i="1"/>
  <c r="AA892" i="1"/>
  <c r="AB892" i="1" s="1"/>
  <c r="AC892" i="1"/>
  <c r="AA165" i="1"/>
  <c r="AB165" i="1" s="1"/>
  <c r="AC165" i="1"/>
  <c r="AA733" i="1"/>
  <c r="AB733" i="1" s="1"/>
  <c r="AC733" i="1"/>
  <c r="AA723" i="1"/>
  <c r="AB723" i="1" s="1"/>
  <c r="AC723" i="1"/>
  <c r="AA613" i="1"/>
  <c r="AB613" i="1" s="1"/>
  <c r="AC613" i="1"/>
  <c r="AA623" i="1"/>
  <c r="AB623" i="1" s="1"/>
  <c r="AC623" i="1"/>
  <c r="AA495" i="1"/>
  <c r="AB495" i="1" s="1"/>
  <c r="AC495" i="1"/>
  <c r="AA753" i="1"/>
  <c r="AB753" i="1" s="1"/>
  <c r="AC753" i="1"/>
  <c r="AA917" i="1"/>
  <c r="AB917" i="1" s="1"/>
  <c r="AE917" i="1" s="1"/>
  <c r="AF917" i="1" s="1"/>
  <c r="AC917" i="1"/>
  <c r="AA587" i="1"/>
  <c r="AB587" i="1" s="1"/>
  <c r="AC587" i="1"/>
  <c r="AA1036" i="1"/>
  <c r="AB1036" i="1" s="1"/>
  <c r="AE1036" i="1" s="1"/>
  <c r="AF1036" i="1" s="1"/>
  <c r="AC1036" i="1"/>
  <c r="AA660" i="1"/>
  <c r="AB660" i="1" s="1"/>
  <c r="AC660" i="1"/>
  <c r="AA108" i="1"/>
  <c r="AB108" i="1" s="1"/>
  <c r="AE108" i="1" s="1"/>
  <c r="AF108" i="1" s="1"/>
  <c r="AC108" i="1"/>
  <c r="AA841" i="1"/>
  <c r="AB841" i="1" s="1"/>
  <c r="AC841" i="1"/>
  <c r="AA771" i="1"/>
  <c r="AB771" i="1" s="1"/>
  <c r="AE771" i="1" s="1"/>
  <c r="AF771" i="1" s="1"/>
  <c r="AC771" i="1"/>
  <c r="AA635" i="1"/>
  <c r="AB635" i="1" s="1"/>
  <c r="AC635" i="1"/>
  <c r="AA706" i="1"/>
  <c r="AB706" i="1" s="1"/>
  <c r="AE706" i="1" s="1"/>
  <c r="AF706" i="1" s="1"/>
  <c r="AC706" i="1"/>
  <c r="AA386" i="1"/>
  <c r="AB386" i="1" s="1"/>
  <c r="AC386" i="1"/>
  <c r="AA514" i="1"/>
  <c r="AB514" i="1" s="1"/>
  <c r="AE514" i="1" s="1"/>
  <c r="AF514" i="1" s="1"/>
  <c r="AC514" i="1"/>
  <c r="AA475" i="1"/>
  <c r="AB475" i="1" s="1"/>
  <c r="AC475" i="1"/>
  <c r="AA608" i="1"/>
  <c r="AB608" i="1" s="1"/>
  <c r="AE608" i="1" s="1"/>
  <c r="AF608" i="1" s="1"/>
  <c r="AC608" i="1"/>
  <c r="AA206" i="1"/>
  <c r="AB206" i="1" s="1"/>
  <c r="AC206" i="1"/>
  <c r="AA382" i="1"/>
  <c r="AB382" i="1" s="1"/>
  <c r="AE382" i="1" s="1"/>
  <c r="AF382" i="1" s="1"/>
  <c r="AC382" i="1"/>
  <c r="AA887" i="1"/>
  <c r="AB887" i="1" s="1"/>
  <c r="AC887" i="1"/>
  <c r="AA820" i="1"/>
  <c r="AB820" i="1" s="1"/>
  <c r="AE820" i="1" s="1"/>
  <c r="AF820" i="1" s="1"/>
  <c r="AC820" i="1"/>
  <c r="AA43" i="1"/>
  <c r="AB43" i="1" s="1"/>
  <c r="AC43" i="1"/>
  <c r="AA101" i="1"/>
  <c r="AB101" i="1" s="1"/>
  <c r="AE101" i="1" s="1"/>
  <c r="AF101" i="1" s="1"/>
  <c r="AC101" i="1"/>
  <c r="AA761" i="1"/>
  <c r="AB761" i="1" s="1"/>
  <c r="AC761" i="1"/>
  <c r="AA825" i="1"/>
  <c r="AB825" i="1" s="1"/>
  <c r="AE825" i="1" s="1"/>
  <c r="AF825" i="1" s="1"/>
  <c r="AC825" i="1"/>
  <c r="AA187" i="1"/>
  <c r="AB187" i="1" s="1"/>
  <c r="AC187" i="1"/>
  <c r="AA545" i="1"/>
  <c r="AB545" i="1" s="1"/>
  <c r="AE545" i="1" s="1"/>
  <c r="AF545" i="1" s="1"/>
  <c r="AC545" i="1"/>
  <c r="AA690" i="1"/>
  <c r="AB690" i="1" s="1"/>
  <c r="AC690" i="1"/>
  <c r="AA659" i="1"/>
  <c r="AB659" i="1" s="1"/>
  <c r="AE659" i="1" s="1"/>
  <c r="AF659" i="1" s="1"/>
  <c r="AC659" i="1"/>
  <c r="AA626" i="1"/>
  <c r="AB626" i="1" s="1"/>
  <c r="AC626" i="1"/>
  <c r="AA33" i="1"/>
  <c r="AB33" i="1" s="1"/>
  <c r="AE33" i="1" s="1"/>
  <c r="AF33" i="1" s="1"/>
  <c r="AC33" i="1"/>
  <c r="AA291" i="1"/>
  <c r="AB291" i="1" s="1"/>
  <c r="AC291" i="1"/>
  <c r="AA856" i="1"/>
  <c r="AB856" i="1" s="1"/>
  <c r="AE856" i="1" s="1"/>
  <c r="AF856" i="1" s="1"/>
  <c r="AC856" i="1"/>
  <c r="AA54" i="1"/>
  <c r="AB54" i="1" s="1"/>
  <c r="AC54" i="1"/>
  <c r="AA875" i="1"/>
  <c r="AB875" i="1" s="1"/>
  <c r="AE875" i="1" s="1"/>
  <c r="AF875" i="1" s="1"/>
  <c r="AC875" i="1"/>
  <c r="AA763" i="1"/>
  <c r="AB763" i="1" s="1"/>
  <c r="AC763" i="1"/>
  <c r="AA728" i="1"/>
  <c r="AB728" i="1" s="1"/>
  <c r="AE728" i="1" s="1"/>
  <c r="AF728" i="1" s="1"/>
  <c r="AC728" i="1"/>
  <c r="AA843" i="1"/>
  <c r="AB843" i="1" s="1"/>
  <c r="AC843" i="1"/>
  <c r="AA747" i="1"/>
  <c r="AB747" i="1" s="1"/>
  <c r="AE747" i="1" s="1"/>
  <c r="AF747" i="1" s="1"/>
  <c r="AC747" i="1"/>
  <c r="AA454" i="1"/>
  <c r="AB454" i="1" s="1"/>
  <c r="AC454" i="1"/>
  <c r="AA224" i="1"/>
  <c r="AB224" i="1" s="1"/>
  <c r="AE224" i="1" s="1"/>
  <c r="AF224" i="1" s="1"/>
  <c r="AC224" i="1"/>
  <c r="AA750" i="1"/>
  <c r="AB750" i="1" s="1"/>
  <c r="AC750" i="1"/>
  <c r="AA873" i="1"/>
  <c r="AB873" i="1" s="1"/>
  <c r="AE873" i="1" s="1"/>
  <c r="AF873" i="1" s="1"/>
  <c r="AC873" i="1"/>
  <c r="AA845" i="1"/>
  <c r="AB845" i="1" s="1"/>
  <c r="AC845" i="1"/>
  <c r="AA577" i="1"/>
  <c r="AB577" i="1" s="1"/>
  <c r="AE577" i="1" s="1"/>
  <c r="AF577" i="1" s="1"/>
  <c r="AC577" i="1"/>
  <c r="AA965" i="1"/>
  <c r="AB965" i="1" s="1"/>
  <c r="AC965" i="1"/>
  <c r="AA1028" i="1"/>
  <c r="AB1028" i="1" s="1"/>
  <c r="AE1028" i="1" s="1"/>
  <c r="AF1028" i="1" s="1"/>
  <c r="AC1028" i="1"/>
  <c r="AA984" i="1"/>
  <c r="AB984" i="1" s="1"/>
  <c r="AC984" i="1"/>
  <c r="AA709" i="1"/>
  <c r="AB709" i="1" s="1"/>
  <c r="AE709" i="1" s="1"/>
  <c r="AF709" i="1" s="1"/>
  <c r="AC709" i="1"/>
  <c r="AA912" i="1"/>
  <c r="AB912" i="1" s="1"/>
  <c r="AC912" i="1"/>
  <c r="AA941" i="1"/>
  <c r="AB941" i="1" s="1"/>
  <c r="AE941" i="1" s="1"/>
  <c r="AF941" i="1" s="1"/>
  <c r="AC941" i="1"/>
  <c r="AA134" i="1"/>
  <c r="AB134" i="1" s="1"/>
  <c r="AC134" i="1"/>
  <c r="AA749" i="1"/>
  <c r="AB749" i="1" s="1"/>
  <c r="AE749" i="1" s="1"/>
  <c r="AF749" i="1" s="1"/>
  <c r="AC749" i="1"/>
  <c r="AA1012" i="1"/>
  <c r="AB1012" i="1" s="1"/>
  <c r="AC1012" i="1"/>
  <c r="AA617" i="1"/>
  <c r="AB617" i="1" s="1"/>
  <c r="AE617" i="1" s="1"/>
  <c r="AF617" i="1" s="1"/>
  <c r="AC617" i="1"/>
  <c r="AA869" i="1"/>
  <c r="AB869" i="1" s="1"/>
  <c r="AC869" i="1"/>
  <c r="AA901" i="1"/>
  <c r="AB901" i="1" s="1"/>
  <c r="AE901" i="1" s="1"/>
  <c r="AF901" i="1" s="1"/>
  <c r="AC901" i="1"/>
  <c r="AA520" i="1"/>
  <c r="AB520" i="1" s="1"/>
  <c r="AC520" i="1"/>
  <c r="AA540" i="1"/>
  <c r="AB540" i="1" s="1"/>
  <c r="AE540" i="1" s="1"/>
  <c r="AF540" i="1" s="1"/>
  <c r="AC540" i="1"/>
  <c r="AA669" i="1"/>
  <c r="AB669" i="1" s="1"/>
  <c r="AC669" i="1"/>
  <c r="AA738" i="1"/>
  <c r="AB738" i="1" s="1"/>
  <c r="AE738" i="1" s="1"/>
  <c r="AF738" i="1" s="1"/>
  <c r="AC738" i="1"/>
  <c r="AA732" i="1"/>
  <c r="AB732" i="1" s="1"/>
  <c r="AC732" i="1"/>
  <c r="AA650" i="1"/>
  <c r="AB650" i="1" s="1"/>
  <c r="AE650" i="1" s="1"/>
  <c r="AF650" i="1" s="1"/>
  <c r="AC650" i="1"/>
  <c r="AA830" i="1"/>
  <c r="AB830" i="1" s="1"/>
  <c r="AC830" i="1"/>
  <c r="AA792" i="1"/>
  <c r="AB792" i="1" s="1"/>
  <c r="AE792" i="1" s="1"/>
  <c r="AF792" i="1" s="1"/>
  <c r="AC792" i="1"/>
  <c r="AA262" i="1"/>
  <c r="AB262" i="1" s="1"/>
  <c r="AC262" i="1"/>
  <c r="AA707" i="1"/>
  <c r="AB707" i="1" s="1"/>
  <c r="AE707" i="1" s="1"/>
  <c r="AF707" i="1" s="1"/>
  <c r="AC707" i="1"/>
  <c r="AA852" i="1"/>
  <c r="AB852" i="1" s="1"/>
  <c r="AC852" i="1"/>
  <c r="AA448" i="1"/>
  <c r="AB448" i="1" s="1"/>
  <c r="AE448" i="1" s="1"/>
  <c r="AF448" i="1" s="1"/>
  <c r="AC448" i="1"/>
  <c r="AA353" i="1"/>
  <c r="AB353" i="1" s="1"/>
  <c r="AC353" i="1"/>
  <c r="AA437" i="1"/>
  <c r="AB437" i="1" s="1"/>
  <c r="AE437" i="1" s="1"/>
  <c r="AF437" i="1" s="1"/>
  <c r="AC437" i="1"/>
  <c r="AA125" i="1"/>
  <c r="AB125" i="1" s="1"/>
  <c r="AC125" i="1"/>
  <c r="AA111" i="1"/>
  <c r="AB111" i="1" s="1"/>
  <c r="AE111" i="1" s="1"/>
  <c r="AF111" i="1" s="1"/>
  <c r="AC111" i="1"/>
  <c r="AA124" i="1"/>
  <c r="AB124" i="1" s="1"/>
  <c r="AC124" i="1"/>
  <c r="AA214" i="1"/>
  <c r="AB214" i="1" s="1"/>
  <c r="AE214" i="1" s="1"/>
  <c r="AF214" i="1" s="1"/>
  <c r="AC214" i="1"/>
  <c r="AA251" i="1"/>
  <c r="AB251" i="1" s="1"/>
  <c r="AC251" i="1"/>
  <c r="AA233" i="1"/>
  <c r="AB233" i="1" s="1"/>
  <c r="AE233" i="1" s="1"/>
  <c r="AF233" i="1" s="1"/>
  <c r="AC233" i="1"/>
  <c r="AA308" i="1"/>
  <c r="AB308" i="1" s="1"/>
  <c r="AC308" i="1"/>
  <c r="AA337" i="1"/>
  <c r="AB337" i="1" s="1"/>
  <c r="AE337" i="1" s="1"/>
  <c r="AF337" i="1" s="1"/>
  <c r="AC337" i="1"/>
  <c r="AA341" i="1"/>
  <c r="AB341" i="1" s="1"/>
  <c r="AC341" i="1"/>
  <c r="AA49" i="1"/>
  <c r="AB49" i="1" s="1"/>
  <c r="AE49" i="1" s="1"/>
  <c r="AF49" i="1" s="1"/>
  <c r="AC49" i="1"/>
  <c r="AA1040" i="1"/>
  <c r="AB1040" i="1" s="1"/>
  <c r="AC1040" i="1"/>
  <c r="AA94" i="1"/>
  <c r="AB94" i="1" s="1"/>
  <c r="AE94" i="1" s="1"/>
  <c r="AF94" i="1" s="1"/>
  <c r="AC94" i="1"/>
  <c r="AA322" i="1"/>
  <c r="AB322" i="1" s="1"/>
  <c r="AC322" i="1"/>
  <c r="AA249" i="1"/>
  <c r="AB249" i="1" s="1"/>
  <c r="AE249" i="1" s="1"/>
  <c r="AF249" i="1" s="1"/>
  <c r="AC249" i="1"/>
  <c r="AA168" i="1"/>
  <c r="AB168" i="1" s="1"/>
  <c r="AE168" i="1" s="1"/>
  <c r="AF168" i="1" s="1"/>
  <c r="AC168" i="1"/>
  <c r="AA35" i="1"/>
  <c r="AB35" i="1" s="1"/>
  <c r="AE35" i="1" s="1"/>
  <c r="AF35" i="1" s="1"/>
  <c r="AC35" i="1"/>
  <c r="AA666" i="1"/>
  <c r="AB666" i="1" s="1"/>
  <c r="AE666" i="1" s="1"/>
  <c r="AF666" i="1" s="1"/>
  <c r="AC666" i="1"/>
  <c r="AA803" i="1"/>
  <c r="AB803" i="1" s="1"/>
  <c r="AE803" i="1" s="1"/>
  <c r="AF803" i="1" s="1"/>
  <c r="AC803" i="1"/>
  <c r="AA135" i="1"/>
  <c r="AB135" i="1" s="1"/>
  <c r="AE135" i="1" s="1"/>
  <c r="AF135" i="1" s="1"/>
  <c r="AC135" i="1"/>
  <c r="AA583" i="1"/>
  <c r="AB583" i="1" s="1"/>
  <c r="AE583" i="1" s="1"/>
  <c r="AF583" i="1" s="1"/>
  <c r="AC583" i="1"/>
  <c r="AA1004" i="1"/>
  <c r="AB1004" i="1" s="1"/>
  <c r="AE1004" i="1" s="1"/>
  <c r="AF1004" i="1" s="1"/>
  <c r="AC1004" i="1"/>
  <c r="AA574" i="1"/>
  <c r="AB574" i="1" s="1"/>
  <c r="AE574" i="1" s="1"/>
  <c r="AF574" i="1" s="1"/>
  <c r="AC574" i="1"/>
  <c r="AA449" i="1"/>
  <c r="AB449" i="1" s="1"/>
  <c r="AE449" i="1" s="1"/>
  <c r="AF449" i="1" s="1"/>
  <c r="AC449" i="1"/>
  <c r="AA945" i="1"/>
  <c r="AB945" i="1" s="1"/>
  <c r="AE945" i="1" s="1"/>
  <c r="AF945" i="1" s="1"/>
  <c r="AC945" i="1"/>
  <c r="AA374" i="1"/>
  <c r="AB374" i="1" s="1"/>
  <c r="AE374" i="1" s="1"/>
  <c r="AF374" i="1" s="1"/>
  <c r="AC374" i="1"/>
  <c r="AA408" i="1"/>
  <c r="AB408" i="1" s="1"/>
  <c r="AE408" i="1" s="1"/>
  <c r="AF408" i="1" s="1"/>
  <c r="AC408" i="1"/>
  <c r="AA558" i="1"/>
  <c r="AB558" i="1" s="1"/>
  <c r="AE558" i="1" s="1"/>
  <c r="AF558" i="1" s="1"/>
  <c r="AC558" i="1"/>
  <c r="AA535" i="1"/>
  <c r="AB535" i="1" s="1"/>
  <c r="AE535" i="1" s="1"/>
  <c r="AF535" i="1" s="1"/>
  <c r="AC535" i="1"/>
  <c r="AA605" i="1"/>
  <c r="AB605" i="1" s="1"/>
  <c r="AE605" i="1" s="1"/>
  <c r="AF605" i="1" s="1"/>
  <c r="AC605" i="1"/>
  <c r="AA925" i="1"/>
  <c r="AB925" i="1" s="1"/>
  <c r="AE925" i="1" s="1"/>
  <c r="AF925" i="1" s="1"/>
  <c r="AC925" i="1"/>
  <c r="AA349" i="1"/>
  <c r="AB349" i="1" s="1"/>
  <c r="AE349" i="1" s="1"/>
  <c r="AF349" i="1" s="1"/>
  <c r="AC349" i="1"/>
  <c r="AA230" i="1"/>
  <c r="AB230" i="1" s="1"/>
  <c r="AE230" i="1" s="1"/>
  <c r="AF230" i="1" s="1"/>
  <c r="AC230" i="1"/>
  <c r="AA370" i="1"/>
  <c r="AB370" i="1" s="1"/>
  <c r="AE370" i="1" s="1"/>
  <c r="AF370" i="1" s="1"/>
  <c r="AC370" i="1"/>
  <c r="AA298" i="1"/>
  <c r="AB298" i="1" s="1"/>
  <c r="AE298" i="1" s="1"/>
  <c r="AF298" i="1" s="1"/>
  <c r="AC298" i="1"/>
  <c r="AA748" i="1"/>
  <c r="AB748" i="1" s="1"/>
  <c r="AE748" i="1" s="1"/>
  <c r="AF748" i="1" s="1"/>
  <c r="AC748" i="1"/>
  <c r="AA879" i="1"/>
  <c r="AB879" i="1" s="1"/>
  <c r="AE879" i="1" s="1"/>
  <c r="AF879" i="1" s="1"/>
  <c r="AC879" i="1"/>
  <c r="AA751" i="1"/>
  <c r="AB751" i="1" s="1"/>
  <c r="AE751" i="1" s="1"/>
  <c r="AF751" i="1" s="1"/>
  <c r="AC751" i="1"/>
  <c r="AA451" i="1"/>
  <c r="AB451" i="1" s="1"/>
  <c r="AE451" i="1" s="1"/>
  <c r="AF451" i="1" s="1"/>
  <c r="AC451" i="1"/>
  <c r="AA208" i="1"/>
  <c r="AB208" i="1" s="1"/>
  <c r="AE208" i="1" s="1"/>
  <c r="AF208" i="1" s="1"/>
  <c r="AC208" i="1"/>
  <c r="AA190" i="1"/>
  <c r="AB190" i="1" s="1"/>
  <c r="AE190" i="1" s="1"/>
  <c r="AF190" i="1" s="1"/>
  <c r="AC190" i="1"/>
  <c r="AA1034" i="1"/>
  <c r="AB1034" i="1" s="1"/>
  <c r="AE1034" i="1" s="1"/>
  <c r="AF1034" i="1" s="1"/>
  <c r="AC1034" i="1"/>
  <c r="AA979" i="1"/>
  <c r="AB979" i="1" s="1"/>
  <c r="AE979" i="1" s="1"/>
  <c r="AF979" i="1" s="1"/>
  <c r="AC979" i="1"/>
  <c r="AA499" i="1"/>
  <c r="AB499" i="1" s="1"/>
  <c r="AE499" i="1" s="1"/>
  <c r="AF499" i="1" s="1"/>
  <c r="AC499" i="1"/>
  <c r="AA1039" i="1"/>
  <c r="AB1039" i="1" s="1"/>
  <c r="AE1039" i="1" s="1"/>
  <c r="AF1039" i="1" s="1"/>
  <c r="AC1039" i="1"/>
  <c r="AA586" i="1"/>
  <c r="AB586" i="1" s="1"/>
  <c r="AE586" i="1" s="1"/>
  <c r="AF586" i="1" s="1"/>
  <c r="AC586" i="1"/>
  <c r="AA579" i="1"/>
  <c r="AB579" i="1" s="1"/>
  <c r="AE579" i="1" s="1"/>
  <c r="AF579" i="1" s="1"/>
  <c r="AC579" i="1"/>
  <c r="AA96" i="1"/>
  <c r="AB96" i="1" s="1"/>
  <c r="AE96" i="1" s="1"/>
  <c r="AF96" i="1" s="1"/>
  <c r="AC96" i="1"/>
  <c r="AA383" i="1"/>
  <c r="AB383" i="1" s="1"/>
  <c r="AE383" i="1" s="1"/>
  <c r="AF383" i="1" s="1"/>
  <c r="AC383" i="1"/>
  <c r="AA435" i="1"/>
  <c r="AB435" i="1" s="1"/>
  <c r="AE435" i="1" s="1"/>
  <c r="AF435" i="1" s="1"/>
  <c r="AC435" i="1"/>
  <c r="AA496" i="1"/>
  <c r="AB496" i="1" s="1"/>
  <c r="AE496" i="1" s="1"/>
  <c r="AF496" i="1" s="1"/>
  <c r="AC496" i="1"/>
  <c r="AA463" i="1"/>
  <c r="AB463" i="1" s="1"/>
  <c r="AE463" i="1" s="1"/>
  <c r="AF463" i="1" s="1"/>
  <c r="AC463" i="1"/>
  <c r="AA1035" i="1"/>
  <c r="AB1035" i="1" s="1"/>
  <c r="AE1035" i="1" s="1"/>
  <c r="AF1035" i="1" s="1"/>
  <c r="AC1035" i="1"/>
  <c r="AA123" i="1"/>
  <c r="AB123" i="1" s="1"/>
  <c r="AE123" i="1" s="1"/>
  <c r="AF123" i="1" s="1"/>
  <c r="AC123" i="1"/>
  <c r="AA859" i="1"/>
  <c r="AB859" i="1" s="1"/>
  <c r="AE859" i="1" s="1"/>
  <c r="AF859" i="1" s="1"/>
  <c r="AC859" i="1"/>
  <c r="AA938" i="1"/>
  <c r="AB938" i="1" s="1"/>
  <c r="AE938" i="1" s="1"/>
  <c r="AF938" i="1" s="1"/>
  <c r="AC938" i="1"/>
  <c r="AA903" i="1"/>
  <c r="AB903" i="1" s="1"/>
  <c r="AE903" i="1" s="1"/>
  <c r="AF903" i="1" s="1"/>
  <c r="AC903" i="1"/>
  <c r="AA578" i="1"/>
  <c r="AB578" i="1" s="1"/>
  <c r="AE578" i="1" s="1"/>
  <c r="AF578" i="1" s="1"/>
  <c r="AC578" i="1"/>
  <c r="AA920" i="1"/>
  <c r="AB920" i="1" s="1"/>
  <c r="AE920" i="1" s="1"/>
  <c r="AF920" i="1" s="1"/>
  <c r="AC920" i="1"/>
  <c r="AA301" i="1"/>
  <c r="AB301" i="1" s="1"/>
  <c r="AE301" i="1" s="1"/>
  <c r="AF301" i="1" s="1"/>
  <c r="AC301" i="1"/>
  <c r="AA826" i="1"/>
  <c r="AB826" i="1" s="1"/>
  <c r="AE826" i="1" s="1"/>
  <c r="AF826" i="1" s="1"/>
  <c r="AC826" i="1"/>
  <c r="AA546" i="1"/>
  <c r="AB546" i="1" s="1"/>
  <c r="AE546" i="1" s="1"/>
  <c r="AF546" i="1" s="1"/>
  <c r="AC546" i="1"/>
  <c r="AA404" i="1"/>
  <c r="AB404" i="1" s="1"/>
  <c r="AE404" i="1" s="1"/>
  <c r="AF404" i="1" s="1"/>
  <c r="AC404" i="1"/>
  <c r="AA277" i="1"/>
  <c r="AB277" i="1" s="1"/>
  <c r="AE277" i="1" s="1"/>
  <c r="AF277" i="1" s="1"/>
  <c r="AC277" i="1"/>
  <c r="AA773" i="1"/>
  <c r="AB773" i="1" s="1"/>
  <c r="AE773" i="1" s="1"/>
  <c r="AF773" i="1" s="1"/>
  <c r="AC773" i="1"/>
  <c r="AA160" i="1"/>
  <c r="AB160" i="1" s="1"/>
  <c r="AE160" i="1" s="1"/>
  <c r="AF160" i="1" s="1"/>
  <c r="AC160" i="1"/>
  <c r="AA99" i="1"/>
  <c r="AB99" i="1" s="1"/>
  <c r="AE99" i="1" s="1"/>
  <c r="AF99" i="1" s="1"/>
  <c r="AC99" i="1"/>
  <c r="AA25" i="1"/>
  <c r="AB25" i="1" s="1"/>
  <c r="AE25" i="1" s="1"/>
  <c r="AF25" i="1" s="1"/>
  <c r="AC25" i="1"/>
  <c r="AA638" i="1"/>
  <c r="AB638" i="1" s="1"/>
  <c r="AE638" i="1" s="1"/>
  <c r="AF638" i="1" s="1"/>
  <c r="AC638" i="1"/>
  <c r="AA867" i="1"/>
  <c r="AB867" i="1" s="1"/>
  <c r="AE867" i="1" s="1"/>
  <c r="AF867" i="1" s="1"/>
  <c r="AC867" i="1"/>
  <c r="AA115" i="1"/>
  <c r="AB115" i="1" s="1"/>
  <c r="AE115" i="1" s="1"/>
  <c r="AF115" i="1" s="1"/>
  <c r="AC115" i="1"/>
  <c r="AA705" i="1"/>
  <c r="AB705" i="1" s="1"/>
  <c r="AE705" i="1" s="1"/>
  <c r="AF705" i="1" s="1"/>
  <c r="AC705" i="1"/>
  <c r="AA381" i="1"/>
  <c r="AB381" i="1" s="1"/>
  <c r="AE381" i="1" s="1"/>
  <c r="AF381" i="1" s="1"/>
  <c r="AC381" i="1"/>
  <c r="AA226" i="1"/>
  <c r="AB226" i="1" s="1"/>
  <c r="AE226" i="1" s="1"/>
  <c r="AF226" i="1" s="1"/>
  <c r="AC226" i="1"/>
  <c r="AA439" i="1"/>
  <c r="AB439" i="1" s="1"/>
  <c r="AE439" i="1" s="1"/>
  <c r="AF439" i="1" s="1"/>
  <c r="AC439" i="1"/>
  <c r="AA673" i="1"/>
  <c r="AB673" i="1" s="1"/>
  <c r="AE673" i="1" s="1"/>
  <c r="AF673" i="1" s="1"/>
  <c r="AC673" i="1"/>
  <c r="AA326" i="1"/>
  <c r="AB326" i="1" s="1"/>
  <c r="AE326" i="1" s="1"/>
  <c r="AF326" i="1" s="1"/>
  <c r="AC326" i="1"/>
  <c r="AA394" i="1"/>
  <c r="AB394" i="1" s="1"/>
  <c r="AE394" i="1" s="1"/>
  <c r="AF394" i="1" s="1"/>
  <c r="AC394" i="1"/>
  <c r="AA639" i="1"/>
  <c r="AB639" i="1" s="1"/>
  <c r="AE639" i="1" s="1"/>
  <c r="AF639" i="1" s="1"/>
  <c r="AC639" i="1"/>
  <c r="AA861" i="1"/>
  <c r="AB861" i="1" s="1"/>
  <c r="AE861" i="1" s="1"/>
  <c r="AF861" i="1" s="1"/>
  <c r="AC861" i="1"/>
  <c r="AA582" i="1"/>
  <c r="AB582" i="1" s="1"/>
  <c r="AE582" i="1" s="1"/>
  <c r="AF582" i="1" s="1"/>
  <c r="AC582" i="1"/>
  <c r="AA502" i="1"/>
  <c r="AB502" i="1" s="1"/>
  <c r="AE502" i="1" s="1"/>
  <c r="AF502" i="1" s="1"/>
  <c r="AC502" i="1"/>
  <c r="AA42" i="1"/>
  <c r="AB42" i="1" s="1"/>
  <c r="AE42" i="1" s="1"/>
  <c r="AF42" i="1" s="1"/>
  <c r="AC42" i="1"/>
  <c r="AA414" i="1"/>
  <c r="AB414" i="1" s="1"/>
  <c r="AE414" i="1" s="1"/>
  <c r="AF414" i="1" s="1"/>
  <c r="AC414" i="1"/>
  <c r="AA45" i="1"/>
  <c r="AB45" i="1" s="1"/>
  <c r="AE45" i="1" s="1"/>
  <c r="AF45" i="1" s="1"/>
  <c r="AC45" i="1"/>
  <c r="AA443" i="1"/>
  <c r="AB443" i="1" s="1"/>
  <c r="AE443" i="1" s="1"/>
  <c r="AF443" i="1" s="1"/>
  <c r="AC443" i="1"/>
  <c r="AA948" i="1"/>
  <c r="AB948" i="1" s="1"/>
  <c r="AE948" i="1" s="1"/>
  <c r="AF948" i="1" s="1"/>
  <c r="AC948" i="1"/>
  <c r="AA676" i="1"/>
  <c r="AB676" i="1" s="1"/>
  <c r="AE676" i="1" s="1"/>
  <c r="AF676" i="1" s="1"/>
  <c r="AC676" i="1"/>
  <c r="AA501" i="1"/>
  <c r="AB501" i="1" s="1"/>
  <c r="AE501" i="1" s="1"/>
  <c r="AF501" i="1" s="1"/>
  <c r="AC501" i="1"/>
  <c r="AA777" i="1"/>
  <c r="AB777" i="1" s="1"/>
  <c r="AE777" i="1" s="1"/>
  <c r="AF777" i="1" s="1"/>
  <c r="AC777" i="1"/>
  <c r="AA1044" i="1"/>
  <c r="AB1044" i="1" s="1"/>
  <c r="AE1044" i="1" s="1"/>
  <c r="AF1044" i="1" s="1"/>
  <c r="AC1044" i="1"/>
  <c r="AA697" i="1"/>
  <c r="AB697" i="1" s="1"/>
  <c r="AE697" i="1" s="1"/>
  <c r="AF697" i="1" s="1"/>
  <c r="AC697" i="1"/>
  <c r="AA569" i="1"/>
  <c r="AB569" i="1" s="1"/>
  <c r="AE569" i="1" s="1"/>
  <c r="AF569" i="1" s="1"/>
  <c r="AC569" i="1"/>
  <c r="AA804" i="1"/>
  <c r="AB804" i="1" s="1"/>
  <c r="AE804" i="1" s="1"/>
  <c r="AF804" i="1" s="1"/>
  <c r="AC804" i="1"/>
  <c r="AA957" i="1"/>
  <c r="AB957" i="1" s="1"/>
  <c r="AE957" i="1" s="1"/>
  <c r="AF957" i="1" s="1"/>
  <c r="AC957" i="1"/>
  <c r="AA398" i="1"/>
  <c r="AB398" i="1" s="1"/>
  <c r="AE398" i="1" s="1"/>
  <c r="AF398" i="1" s="1"/>
  <c r="AC398" i="1"/>
  <c r="AA848" i="1"/>
  <c r="AB848" i="1" s="1"/>
  <c r="AE848" i="1" s="1"/>
  <c r="AF848" i="1" s="1"/>
  <c r="AC848" i="1"/>
  <c r="AA557" i="1"/>
  <c r="AB557" i="1" s="1"/>
  <c r="AE557" i="1" s="1"/>
  <c r="AF557" i="1" s="1"/>
  <c r="AC557" i="1"/>
  <c r="AA652" i="1"/>
  <c r="AB652" i="1" s="1"/>
  <c r="AE652" i="1" s="1"/>
  <c r="AF652" i="1" s="1"/>
  <c r="AC652" i="1"/>
  <c r="AA500" i="1"/>
  <c r="AB500" i="1" s="1"/>
  <c r="AE500" i="1" s="1"/>
  <c r="AF500" i="1" s="1"/>
  <c r="AC500" i="1"/>
  <c r="AA634" i="1"/>
  <c r="AB634" i="1" s="1"/>
  <c r="AE634" i="1" s="1"/>
  <c r="AF634" i="1" s="1"/>
  <c r="AC634" i="1"/>
  <c r="AA814" i="1"/>
  <c r="AB814" i="1" s="1"/>
  <c r="AE814" i="1" s="1"/>
  <c r="AF814" i="1" s="1"/>
  <c r="AC814" i="1"/>
  <c r="AA612" i="1"/>
  <c r="AB612" i="1" s="1"/>
  <c r="AE612" i="1" s="1"/>
  <c r="AF612" i="1" s="1"/>
  <c r="AC612" i="1"/>
  <c r="AA710" i="1"/>
  <c r="AB710" i="1" s="1"/>
  <c r="AE710" i="1" s="1"/>
  <c r="AF710" i="1" s="1"/>
  <c r="AC710" i="1"/>
  <c r="AA1019" i="1"/>
  <c r="AB1019" i="1" s="1"/>
  <c r="AE1019" i="1" s="1"/>
  <c r="AF1019" i="1" s="1"/>
  <c r="AC1019" i="1"/>
  <c r="AA787" i="1"/>
  <c r="AB787" i="1" s="1"/>
  <c r="AE787" i="1" s="1"/>
  <c r="AF787" i="1" s="1"/>
  <c r="AC787" i="1"/>
  <c r="AA416" i="1"/>
  <c r="AB416" i="1" s="1"/>
  <c r="AE416" i="1" s="1"/>
  <c r="AF416" i="1" s="1"/>
  <c r="AC416" i="1"/>
  <c r="AA366" i="1"/>
  <c r="AB366" i="1" s="1"/>
  <c r="AE366" i="1" s="1"/>
  <c r="AF366" i="1" s="1"/>
  <c r="AC366" i="1"/>
  <c r="AA425" i="1"/>
  <c r="AB425" i="1" s="1"/>
  <c r="AE425" i="1" s="1"/>
  <c r="AF425" i="1" s="1"/>
  <c r="AC425" i="1"/>
  <c r="AA59" i="1"/>
  <c r="AB59" i="1" s="1"/>
  <c r="AE59" i="1" s="1"/>
  <c r="AF59" i="1" s="1"/>
  <c r="AC59" i="1"/>
  <c r="AA73" i="1"/>
  <c r="AB73" i="1" s="1"/>
  <c r="AE73" i="1" s="1"/>
  <c r="AF73" i="1" s="1"/>
  <c r="AC73" i="1"/>
  <c r="AA170" i="1"/>
  <c r="AB170" i="1" s="1"/>
  <c r="AE170" i="1" s="1"/>
  <c r="AF170" i="1" s="1"/>
  <c r="AC170" i="1"/>
  <c r="AA126" i="1"/>
  <c r="AB126" i="1" s="1"/>
  <c r="AE126" i="1" s="1"/>
  <c r="AF126" i="1" s="1"/>
  <c r="AC126" i="1"/>
  <c r="AA40" i="1"/>
  <c r="AB40" i="1" s="1"/>
  <c r="AE40" i="1" s="1"/>
  <c r="AF40" i="1" s="1"/>
  <c r="AC40" i="1"/>
  <c r="AA702" i="1"/>
  <c r="AB702" i="1" s="1"/>
  <c r="AE702" i="1" s="1"/>
  <c r="AF702" i="1" s="1"/>
  <c r="AC702" i="1"/>
  <c r="AA358" i="1"/>
  <c r="AB358" i="1" s="1"/>
  <c r="AE358" i="1" s="1"/>
  <c r="AF358" i="1" s="1"/>
  <c r="AC358" i="1"/>
  <c r="AA285" i="1"/>
  <c r="AB285" i="1" s="1"/>
  <c r="AE285" i="1" s="1"/>
  <c r="AF285" i="1" s="1"/>
  <c r="AC285" i="1"/>
  <c r="AA238" i="1"/>
  <c r="AB238" i="1" s="1"/>
  <c r="AE238" i="1" s="1"/>
  <c r="AF238" i="1" s="1"/>
  <c r="AC238" i="1"/>
  <c r="AA838" i="1"/>
  <c r="AB838" i="1" s="1"/>
  <c r="AE838" i="1" s="1"/>
  <c r="AF838" i="1" s="1"/>
  <c r="AC838" i="1"/>
  <c r="AA883" i="1"/>
  <c r="AB883" i="1" s="1"/>
  <c r="AE883" i="1" s="1"/>
  <c r="AF883" i="1" s="1"/>
  <c r="AC883" i="1"/>
  <c r="AA987" i="1"/>
  <c r="AB987" i="1" s="1"/>
  <c r="AE987" i="1" s="1"/>
  <c r="AF987" i="1" s="1"/>
  <c r="AC987" i="1"/>
  <c r="AA87" i="1"/>
  <c r="AB87" i="1" s="1"/>
  <c r="AE87" i="1" s="1"/>
  <c r="AF87" i="1" s="1"/>
  <c r="AC87" i="1"/>
  <c r="AA886" i="1"/>
  <c r="AB886" i="1" s="1"/>
  <c r="AE886" i="1" s="1"/>
  <c r="AF886" i="1" s="1"/>
  <c r="AC886" i="1"/>
  <c r="AA900" i="1"/>
  <c r="AB900" i="1" s="1"/>
  <c r="AE900" i="1" s="1"/>
  <c r="AF900" i="1" s="1"/>
  <c r="AC900" i="1"/>
  <c r="AA715" i="1"/>
  <c r="AB715" i="1" s="1"/>
  <c r="AE715" i="1" s="1"/>
  <c r="AF715" i="1" s="1"/>
  <c r="AC715" i="1"/>
  <c r="AA662" i="1"/>
  <c r="AB662" i="1" s="1"/>
  <c r="AE662" i="1" s="1"/>
  <c r="AF662" i="1" s="1"/>
  <c r="AC662" i="1"/>
  <c r="AA774" i="1"/>
  <c r="AB774" i="1" s="1"/>
  <c r="AE774" i="1" s="1"/>
  <c r="AF774" i="1" s="1"/>
  <c r="AC774" i="1"/>
  <c r="AA739" i="1"/>
  <c r="AB739" i="1" s="1"/>
  <c r="AE739" i="1" s="1"/>
  <c r="AF739" i="1" s="1"/>
  <c r="AC739" i="1"/>
  <c r="AA494" i="1"/>
  <c r="AB494" i="1" s="1"/>
  <c r="AE494" i="1" s="1"/>
  <c r="AF494" i="1" s="1"/>
  <c r="AC494" i="1"/>
  <c r="AA387" i="1"/>
  <c r="AB387" i="1" s="1"/>
  <c r="AE387" i="1" s="1"/>
  <c r="AF387" i="1" s="1"/>
  <c r="AC387" i="1"/>
  <c r="AA823" i="1"/>
  <c r="AB823" i="1" s="1"/>
  <c r="AE823" i="1" s="1"/>
  <c r="AF823" i="1" s="1"/>
  <c r="AC823" i="1"/>
  <c r="AA177" i="1"/>
  <c r="AB177" i="1" s="1"/>
  <c r="AE177" i="1" s="1"/>
  <c r="AF177" i="1" s="1"/>
  <c r="AC177" i="1"/>
  <c r="AA681" i="1"/>
  <c r="AB681" i="1" s="1"/>
  <c r="AE681" i="1" s="1"/>
  <c r="AF681" i="1" s="1"/>
  <c r="AC681" i="1"/>
  <c r="AA506" i="1"/>
  <c r="AB506" i="1" s="1"/>
  <c r="AE506" i="1" s="1"/>
  <c r="AF506" i="1" s="1"/>
  <c r="AC506" i="1"/>
  <c r="AA81" i="1"/>
  <c r="AB81" i="1" s="1"/>
  <c r="AE81" i="1" s="1"/>
  <c r="AF81" i="1" s="1"/>
  <c r="AC81" i="1"/>
  <c r="AA834" i="1"/>
  <c r="AB834" i="1" s="1"/>
  <c r="AE834" i="1" s="1"/>
  <c r="AF834" i="1" s="1"/>
  <c r="AC834" i="1"/>
  <c r="AA316" i="1"/>
  <c r="AB316" i="1" s="1"/>
  <c r="AE316" i="1" s="1"/>
  <c r="AF316" i="1" s="1"/>
  <c r="AC316" i="1"/>
  <c r="AA851" i="1"/>
  <c r="AB851" i="1" s="1"/>
  <c r="AE851" i="1" s="1"/>
  <c r="AF851" i="1" s="1"/>
  <c r="AC851" i="1"/>
  <c r="AA272" i="1"/>
  <c r="AB272" i="1" s="1"/>
  <c r="AE272" i="1" s="1"/>
  <c r="AF272" i="1" s="1"/>
  <c r="AC272" i="1"/>
  <c r="AA857" i="1"/>
  <c r="AB857" i="1" s="1"/>
  <c r="AE857" i="1" s="1"/>
  <c r="AF857" i="1" s="1"/>
  <c r="AC857" i="1"/>
  <c r="AA974" i="1"/>
  <c r="AB974" i="1" s="1"/>
  <c r="AE974" i="1" s="1"/>
  <c r="AF974" i="1" s="1"/>
  <c r="AC974" i="1"/>
  <c r="AA234" i="1"/>
  <c r="AB234" i="1" s="1"/>
  <c r="AE234" i="1" s="1"/>
  <c r="AF234" i="1" s="1"/>
  <c r="AC234" i="1"/>
  <c r="AA276" i="1"/>
  <c r="AB276" i="1" s="1"/>
  <c r="AE276" i="1" s="1"/>
  <c r="AF276" i="1" s="1"/>
  <c r="AC276" i="1"/>
  <c r="AA61" i="1"/>
  <c r="AB61" i="1" s="1"/>
  <c r="AE61" i="1" s="1"/>
  <c r="AF61" i="1" s="1"/>
  <c r="AC61" i="1"/>
  <c r="AA882" i="1"/>
  <c r="AB882" i="1" s="1"/>
  <c r="AE882" i="1" s="1"/>
  <c r="AF882" i="1" s="1"/>
  <c r="AC882" i="1"/>
  <c r="AA531" i="1"/>
  <c r="AB531" i="1" s="1"/>
  <c r="AE531" i="1" s="1"/>
  <c r="AF531" i="1" s="1"/>
  <c r="AC531" i="1"/>
  <c r="AA399" i="1"/>
  <c r="AB399" i="1" s="1"/>
  <c r="AE399" i="1" s="1"/>
  <c r="AF399" i="1" s="1"/>
  <c r="AC399" i="1"/>
  <c r="AA956" i="1"/>
  <c r="AB956" i="1" s="1"/>
  <c r="AE956" i="1" s="1"/>
  <c r="AF956" i="1" s="1"/>
  <c r="AC956" i="1"/>
  <c r="AA452" i="1"/>
  <c r="AB452" i="1" s="1"/>
  <c r="AE452" i="1" s="1"/>
  <c r="AF452" i="1" s="1"/>
  <c r="AC452" i="1"/>
  <c r="AA453" i="1"/>
  <c r="AB453" i="1" s="1"/>
  <c r="AE453" i="1" s="1"/>
  <c r="AF453" i="1" s="1"/>
  <c r="AC453" i="1"/>
  <c r="AA591" i="1"/>
  <c r="AB591" i="1" s="1"/>
  <c r="AE591" i="1" s="1"/>
  <c r="AF591" i="1" s="1"/>
  <c r="AC591" i="1"/>
  <c r="AA614" i="1"/>
  <c r="AB614" i="1" s="1"/>
  <c r="AE614" i="1" s="1"/>
  <c r="AF614" i="1" s="1"/>
  <c r="AC614" i="1"/>
  <c r="AA295" i="1"/>
  <c r="AB295" i="1" s="1"/>
  <c r="AE295" i="1" s="1"/>
  <c r="AF295" i="1" s="1"/>
  <c r="AC295" i="1"/>
  <c r="AA999" i="1"/>
  <c r="AB999" i="1" s="1"/>
  <c r="AE999" i="1" s="1"/>
  <c r="AF999" i="1" s="1"/>
  <c r="AC999" i="1"/>
  <c r="AA223" i="1"/>
  <c r="AB223" i="1" s="1"/>
  <c r="AE223" i="1" s="1"/>
  <c r="AF223" i="1" s="1"/>
  <c r="AC223" i="1"/>
  <c r="AA971" i="1"/>
  <c r="AB971" i="1" s="1"/>
  <c r="AE971" i="1" s="1"/>
  <c r="AF971" i="1" s="1"/>
  <c r="AC971" i="1"/>
  <c r="AA324" i="1"/>
  <c r="AB324" i="1" s="1"/>
  <c r="AE324" i="1" s="1"/>
  <c r="AF324" i="1" s="1"/>
  <c r="AC324" i="1"/>
  <c r="AA523" i="1"/>
  <c r="AB523" i="1" s="1"/>
  <c r="AE523" i="1" s="1"/>
  <c r="AF523" i="1" s="1"/>
  <c r="AC523" i="1"/>
  <c r="AA801" i="1"/>
  <c r="AB801" i="1" s="1"/>
  <c r="AE801" i="1" s="1"/>
  <c r="AF801" i="1" s="1"/>
  <c r="AC801" i="1"/>
  <c r="AA692" i="1"/>
  <c r="AB692" i="1" s="1"/>
  <c r="AE692" i="1" s="1"/>
  <c r="AF692" i="1" s="1"/>
  <c r="AC692" i="1"/>
  <c r="AA1011" i="1"/>
  <c r="AB1011" i="1" s="1"/>
  <c r="AE1011" i="1" s="1"/>
  <c r="AF1011" i="1" s="1"/>
  <c r="AC1011" i="1"/>
  <c r="AA775" i="1"/>
  <c r="AB775" i="1" s="1"/>
  <c r="AE775" i="1" s="1"/>
  <c r="AF775" i="1" s="1"/>
  <c r="AC775" i="1"/>
  <c r="AA243" i="1"/>
  <c r="AB243" i="1" s="1"/>
  <c r="AE243" i="1" s="1"/>
  <c r="AF243" i="1" s="1"/>
  <c r="AC243" i="1"/>
  <c r="AA641" i="1"/>
  <c r="AB641" i="1" s="1"/>
  <c r="AE641" i="1" s="1"/>
  <c r="AF641" i="1" s="1"/>
  <c r="AC641" i="1"/>
  <c r="AA513" i="1"/>
  <c r="AB513" i="1" s="1"/>
  <c r="AE513" i="1" s="1"/>
  <c r="AF513" i="1" s="1"/>
  <c r="AC513" i="1"/>
  <c r="AA310" i="1"/>
  <c r="AB310" i="1" s="1"/>
  <c r="AE310" i="1" s="1"/>
  <c r="AF310" i="1" s="1"/>
  <c r="AC310" i="1"/>
  <c r="AA594" i="1"/>
  <c r="AB594" i="1" s="1"/>
  <c r="AE594" i="1" s="1"/>
  <c r="AF594" i="1" s="1"/>
  <c r="AC594" i="1"/>
  <c r="AA197" i="1"/>
  <c r="AB197" i="1" s="1"/>
  <c r="AE197" i="1" s="1"/>
  <c r="AF197" i="1" s="1"/>
  <c r="AC197" i="1"/>
  <c r="AA69" i="1"/>
  <c r="AB69" i="1" s="1"/>
  <c r="AE69" i="1" s="1"/>
  <c r="AF69" i="1" s="1"/>
  <c r="AC69" i="1"/>
  <c r="AA670" i="1"/>
  <c r="AB670" i="1" s="1"/>
  <c r="AE670" i="1" s="1"/>
  <c r="AF670" i="1" s="1"/>
  <c r="AC670" i="1"/>
  <c r="AA336" i="1"/>
  <c r="AB336" i="1" s="1"/>
  <c r="AE336" i="1" s="1"/>
  <c r="AF336" i="1" s="1"/>
  <c r="AC336" i="1"/>
  <c r="AA367" i="1"/>
  <c r="AB367" i="1" s="1"/>
  <c r="AE367" i="1" s="1"/>
  <c r="AF367" i="1" s="1"/>
  <c r="AC367" i="1"/>
  <c r="AA199" i="1"/>
  <c r="AB199" i="1" s="1"/>
  <c r="AE199" i="1" s="1"/>
  <c r="AF199" i="1" s="1"/>
  <c r="AC199" i="1"/>
  <c r="AA314" i="1"/>
  <c r="AB314" i="1" s="1"/>
  <c r="AE314" i="1" s="1"/>
  <c r="AF314" i="1" s="1"/>
  <c r="AC314" i="1"/>
  <c r="AA703" i="1"/>
  <c r="AB703" i="1" s="1"/>
  <c r="AE703" i="1" s="1"/>
  <c r="AF703" i="1" s="1"/>
  <c r="AC703" i="1"/>
  <c r="AA259" i="1"/>
  <c r="AB259" i="1" s="1"/>
  <c r="AE259" i="1" s="1"/>
  <c r="AF259" i="1" s="1"/>
  <c r="AC259" i="1"/>
  <c r="AA109" i="1"/>
  <c r="AB109" i="1" s="1"/>
  <c r="AE109" i="1" s="1"/>
  <c r="AF109" i="1" s="1"/>
  <c r="AC109" i="1"/>
  <c r="AA91" i="1"/>
  <c r="AB91" i="1" s="1"/>
  <c r="AE91" i="1" s="1"/>
  <c r="AF91" i="1" s="1"/>
  <c r="AC91" i="1"/>
  <c r="AA939" i="1"/>
  <c r="AB939" i="1" s="1"/>
  <c r="AE939" i="1" s="1"/>
  <c r="AF939" i="1" s="1"/>
  <c r="AC939" i="1"/>
  <c r="AA975" i="1"/>
  <c r="AB975" i="1" s="1"/>
  <c r="AE975" i="1" s="1"/>
  <c r="AF975" i="1" s="1"/>
  <c r="AC975" i="1"/>
  <c r="AA990" i="1"/>
  <c r="AB990" i="1" s="1"/>
  <c r="AE990" i="1" s="1"/>
  <c r="AF990" i="1" s="1"/>
  <c r="AC990" i="1"/>
  <c r="AA811" i="1"/>
  <c r="AB811" i="1" s="1"/>
  <c r="AE811" i="1" s="1"/>
  <c r="AF811" i="1" s="1"/>
  <c r="AC811" i="1"/>
  <c r="AA306" i="1"/>
  <c r="AB306" i="1" s="1"/>
  <c r="AE306" i="1" s="1"/>
  <c r="AF306" i="1" s="1"/>
  <c r="AC306" i="1"/>
  <c r="AA267" i="1"/>
  <c r="AB267" i="1" s="1"/>
  <c r="AE267" i="1" s="1"/>
  <c r="AF267" i="1" s="1"/>
  <c r="AC267" i="1"/>
  <c r="AA926" i="1"/>
  <c r="AB926" i="1" s="1"/>
  <c r="AE926" i="1" s="1"/>
  <c r="AF926" i="1" s="1"/>
  <c r="AC926" i="1"/>
  <c r="AA808" i="1"/>
  <c r="AB808" i="1" s="1"/>
  <c r="AE808" i="1" s="1"/>
  <c r="AF808" i="1" s="1"/>
  <c r="AC808" i="1"/>
  <c r="AA780" i="1"/>
  <c r="AB780" i="1" s="1"/>
  <c r="AE780" i="1" s="1"/>
  <c r="AF780" i="1" s="1"/>
  <c r="AC780" i="1"/>
  <c r="AA678" i="1"/>
  <c r="AB678" i="1" s="1"/>
  <c r="AE678" i="1" s="1"/>
  <c r="AF678" i="1" s="1"/>
  <c r="AC678" i="1"/>
  <c r="AA235" i="1"/>
  <c r="AB235" i="1" s="1"/>
  <c r="AE235" i="1" s="1"/>
  <c r="AF235" i="1" s="1"/>
  <c r="AC235" i="1"/>
  <c r="AA274" i="1"/>
  <c r="AB274" i="1" s="1"/>
  <c r="AE274" i="1" s="1"/>
  <c r="AF274" i="1" s="1"/>
  <c r="AC274" i="1"/>
  <c r="AA907" i="1"/>
  <c r="AB907" i="1" s="1"/>
  <c r="AE907" i="1" s="1"/>
  <c r="AF907" i="1" s="1"/>
  <c r="AC907" i="1"/>
  <c r="AA529" i="1"/>
  <c r="AB529" i="1" s="1"/>
  <c r="AE529" i="1" s="1"/>
  <c r="AF529" i="1" s="1"/>
  <c r="AC529" i="1"/>
  <c r="AA817" i="1"/>
  <c r="AB817" i="1" s="1"/>
  <c r="AE817" i="1" s="1"/>
  <c r="AF817" i="1" s="1"/>
  <c r="AC817" i="1"/>
  <c r="AA885" i="1"/>
  <c r="AB885" i="1" s="1"/>
  <c r="AE885" i="1" s="1"/>
  <c r="AF885" i="1" s="1"/>
  <c r="AC885" i="1"/>
  <c r="AA897" i="1"/>
  <c r="AB897" i="1" s="1"/>
  <c r="AE897" i="1" s="1"/>
  <c r="AF897" i="1" s="1"/>
  <c r="AC897" i="1"/>
  <c r="AA694" i="1"/>
  <c r="AB694" i="1" s="1"/>
  <c r="AE694" i="1" s="1"/>
  <c r="AF694" i="1" s="1"/>
  <c r="AC694" i="1"/>
  <c r="AA880" i="1"/>
  <c r="AB880" i="1" s="1"/>
  <c r="AE880" i="1" s="1"/>
  <c r="AF880" i="1" s="1"/>
  <c r="AC880" i="1"/>
  <c r="AA933" i="1"/>
  <c r="AB933" i="1" s="1"/>
  <c r="AE933" i="1" s="1"/>
  <c r="AF933" i="1" s="1"/>
  <c r="AC933" i="1"/>
  <c r="AA1005" i="1"/>
  <c r="AB1005" i="1" s="1"/>
  <c r="AE1005" i="1" s="1"/>
  <c r="AF1005" i="1" s="1"/>
  <c r="AC1005" i="1"/>
  <c r="AA1021" i="1"/>
  <c r="AB1021" i="1" s="1"/>
  <c r="AE1021" i="1" s="1"/>
  <c r="AF1021" i="1" s="1"/>
  <c r="AC1021" i="1"/>
  <c r="AA713" i="1"/>
  <c r="AB713" i="1" s="1"/>
  <c r="AE713" i="1" s="1"/>
  <c r="AF713" i="1" s="1"/>
  <c r="AC713" i="1"/>
  <c r="AA584" i="1"/>
  <c r="AB584" i="1" s="1"/>
  <c r="AE584" i="1" s="1"/>
  <c r="AF584" i="1" s="1"/>
  <c r="AC584" i="1"/>
  <c r="AA741" i="1"/>
  <c r="AB741" i="1" s="1"/>
  <c r="AE741" i="1" s="1"/>
  <c r="AF741" i="1" s="1"/>
  <c r="AC741" i="1"/>
  <c r="AA1009" i="1"/>
  <c r="AB1009" i="1" s="1"/>
  <c r="AE1009" i="1" s="1"/>
  <c r="AF1009" i="1" s="1"/>
  <c r="AC1009" i="1"/>
  <c r="AA949" i="1"/>
  <c r="AB949" i="1" s="1"/>
  <c r="AE949" i="1" s="1"/>
  <c r="AF949" i="1" s="1"/>
  <c r="AC949" i="1"/>
  <c r="AA166" i="1"/>
  <c r="AB166" i="1" s="1"/>
  <c r="AE166" i="1" s="1"/>
  <c r="AF166" i="1" s="1"/>
  <c r="AC166" i="1"/>
  <c r="AA430" i="1"/>
  <c r="AB430" i="1" s="1"/>
  <c r="AE430" i="1" s="1"/>
  <c r="AF430" i="1" s="1"/>
  <c r="AC430" i="1"/>
  <c r="AA832" i="1"/>
  <c r="AB832" i="1" s="1"/>
  <c r="AE832" i="1" s="1"/>
  <c r="AF832" i="1" s="1"/>
  <c r="AC832" i="1"/>
  <c r="AA478" i="1"/>
  <c r="AB478" i="1" s="1"/>
  <c r="AE478" i="1" s="1"/>
  <c r="AF478" i="1" s="1"/>
  <c r="AC478" i="1"/>
  <c r="AA588" i="1"/>
  <c r="AB588" i="1" s="1"/>
  <c r="AE588" i="1" s="1"/>
  <c r="AF588" i="1" s="1"/>
  <c r="AC588" i="1"/>
  <c r="AA512" i="1"/>
  <c r="AB512" i="1" s="1"/>
  <c r="AE512" i="1" s="1"/>
  <c r="AF512" i="1" s="1"/>
  <c r="AC512" i="1"/>
  <c r="AA490" i="1"/>
  <c r="AB490" i="1" s="1"/>
  <c r="AE490" i="1" s="1"/>
  <c r="AF490" i="1" s="1"/>
  <c r="AC490" i="1"/>
  <c r="AA766" i="1"/>
  <c r="AB766" i="1" s="1"/>
  <c r="AE766" i="1" s="1"/>
  <c r="AF766" i="1" s="1"/>
  <c r="AC766" i="1"/>
  <c r="AA624" i="1"/>
  <c r="AB624" i="1" s="1"/>
  <c r="AE624" i="1" s="1"/>
  <c r="AF624" i="1" s="1"/>
  <c r="AC624" i="1"/>
  <c r="AA630" i="1"/>
  <c r="AB630" i="1" s="1"/>
  <c r="AE630" i="1" s="1"/>
  <c r="AF630" i="1" s="1"/>
  <c r="AC630" i="1"/>
  <c r="AA1002" i="1"/>
  <c r="AB1002" i="1" s="1"/>
  <c r="AE1002" i="1" s="1"/>
  <c r="AF1002" i="1" s="1"/>
  <c r="AC1002" i="1"/>
  <c r="AA756" i="1"/>
  <c r="AB756" i="1" s="1"/>
  <c r="AE756" i="1" s="1"/>
  <c r="AF756" i="1" s="1"/>
  <c r="AC756" i="1"/>
  <c r="AA384" i="1"/>
  <c r="AB384" i="1" s="1"/>
  <c r="AE384" i="1" s="1"/>
  <c r="AF384" i="1" s="1"/>
  <c r="AC384" i="1"/>
  <c r="AA270" i="1"/>
  <c r="AB270" i="1" s="1"/>
  <c r="AE270" i="1" s="1"/>
  <c r="AF270" i="1" s="1"/>
  <c r="AC270" i="1"/>
  <c r="AA342" i="1"/>
  <c r="AB342" i="1" s="1"/>
  <c r="AE342" i="1" s="1"/>
  <c r="AF342" i="1" s="1"/>
  <c r="AC342" i="1"/>
  <c r="AA29" i="1"/>
  <c r="AB29" i="1" s="1"/>
  <c r="AE29" i="1" s="1"/>
  <c r="AF29" i="1" s="1"/>
  <c r="AC29" i="1"/>
  <c r="AA64" i="1"/>
  <c r="AB64" i="1" s="1"/>
  <c r="AE64" i="1" s="1"/>
  <c r="AF64" i="1" s="1"/>
  <c r="AC64" i="1"/>
  <c r="AA100" i="1"/>
  <c r="AB100" i="1" s="1"/>
  <c r="AE100" i="1" s="1"/>
  <c r="AF100" i="1" s="1"/>
  <c r="AC100" i="1"/>
  <c r="AA132" i="1"/>
  <c r="AB132" i="1" s="1"/>
  <c r="AE132" i="1" s="1"/>
  <c r="AF132" i="1" s="1"/>
  <c r="AC132" i="1"/>
  <c r="AA320" i="1"/>
  <c r="AB320" i="1" s="1"/>
  <c r="AE320" i="1" s="1"/>
  <c r="AF320" i="1" s="1"/>
  <c r="AC320" i="1"/>
  <c r="AA225" i="1"/>
  <c r="AB225" i="1" s="1"/>
  <c r="AE225" i="1" s="1"/>
  <c r="AF225" i="1" s="1"/>
  <c r="AC225" i="1"/>
  <c r="AA232" i="1"/>
  <c r="AB232" i="1" s="1"/>
  <c r="AE232" i="1" s="1"/>
  <c r="AF232" i="1" s="1"/>
  <c r="AC232" i="1"/>
  <c r="AA113" i="1"/>
  <c r="AB113" i="1" s="1"/>
  <c r="AE113" i="1" s="1"/>
  <c r="AF113" i="1" s="1"/>
  <c r="AC113" i="1"/>
  <c r="AA79" i="1"/>
  <c r="AB79" i="1" s="1"/>
  <c r="AE79" i="1" s="1"/>
  <c r="AF79" i="1" s="1"/>
  <c r="AC79" i="1"/>
  <c r="AA216" i="1"/>
  <c r="AB216" i="1" s="1"/>
  <c r="AE216" i="1" s="1"/>
  <c r="AF216" i="1" s="1"/>
  <c r="AC216" i="1"/>
  <c r="AA63" i="1"/>
  <c r="AB63" i="1" s="1"/>
  <c r="AE63" i="1" s="1"/>
  <c r="AF63" i="1" s="1"/>
  <c r="AC63" i="1"/>
  <c r="AA141" i="1"/>
  <c r="AB141" i="1" s="1"/>
  <c r="AE141" i="1" s="1"/>
  <c r="AF141" i="1" s="1"/>
  <c r="AC141" i="1"/>
  <c r="AA93" i="1"/>
  <c r="AB93" i="1" s="1"/>
  <c r="AE93" i="1" s="1"/>
  <c r="AF93" i="1" s="1"/>
  <c r="AC93" i="1"/>
  <c r="AA149" i="1"/>
  <c r="AB149" i="1" s="1"/>
  <c r="AE149" i="1" s="1"/>
  <c r="AF149" i="1" s="1"/>
  <c r="AC149" i="1"/>
  <c r="AA28" i="1"/>
  <c r="AB28" i="1" s="1"/>
  <c r="AE28" i="1" s="1"/>
  <c r="AF28" i="1" s="1"/>
  <c r="AC28" i="1"/>
  <c r="AA52" i="1"/>
  <c r="AB52" i="1" s="1"/>
  <c r="AE52" i="1" s="1"/>
  <c r="AF52" i="1" s="1"/>
  <c r="AC52" i="1"/>
  <c r="AA189" i="1"/>
  <c r="AB189" i="1" s="1"/>
  <c r="AE189" i="1" s="1"/>
  <c r="AF189" i="1" s="1"/>
  <c r="AC189" i="1"/>
  <c r="AA106" i="1"/>
  <c r="AB106" i="1" s="1"/>
  <c r="AE106" i="1" s="1"/>
  <c r="AF106" i="1" s="1"/>
  <c r="AC106" i="1"/>
  <c r="AA51" i="1"/>
  <c r="AB51" i="1" s="1"/>
  <c r="AE51" i="1" s="1"/>
  <c r="AF51" i="1" s="1"/>
  <c r="AC51" i="1"/>
  <c r="AA248" i="1"/>
  <c r="AB248" i="1" s="1"/>
  <c r="AE248" i="1" s="1"/>
  <c r="AF248" i="1" s="1"/>
  <c r="AC248" i="1"/>
  <c r="AA351" i="1"/>
  <c r="AB351" i="1" s="1"/>
  <c r="AE351" i="1" s="1"/>
  <c r="AF351" i="1" s="1"/>
  <c r="AC351" i="1"/>
  <c r="AA286" i="1"/>
  <c r="AB286" i="1" s="1"/>
  <c r="AE286" i="1" s="1"/>
  <c r="AF286" i="1" s="1"/>
  <c r="AC286" i="1"/>
  <c r="AA39" i="1"/>
  <c r="AB39" i="1" s="1"/>
  <c r="AE39" i="1" s="1"/>
  <c r="AF39" i="1" s="1"/>
  <c r="AC39" i="1"/>
  <c r="AA46" i="1"/>
  <c r="AB46" i="1" s="1"/>
  <c r="AE46" i="1" s="1"/>
  <c r="AF46" i="1" s="1"/>
  <c r="AC46" i="1"/>
  <c r="AA764" i="1"/>
  <c r="AB764" i="1" s="1"/>
  <c r="AC764" i="1"/>
  <c r="AA898" i="1"/>
  <c r="AB898" i="1" s="1"/>
  <c r="AC898" i="1"/>
  <c r="AA931" i="1"/>
  <c r="AB931" i="1" s="1"/>
  <c r="AC931" i="1"/>
  <c r="AA720" i="1"/>
  <c r="AB720" i="1" s="1"/>
  <c r="AC720" i="1"/>
  <c r="AA509" i="1"/>
  <c r="AB509" i="1" s="1"/>
  <c r="AC509" i="1"/>
  <c r="AA789" i="1"/>
  <c r="AB789" i="1" s="1"/>
  <c r="AC789" i="1"/>
  <c r="AA526" i="1"/>
  <c r="AB526" i="1" s="1"/>
  <c r="AC526" i="1"/>
  <c r="AA631" i="1"/>
  <c r="AB631" i="1" s="1"/>
  <c r="AC631" i="1"/>
  <c r="AA850" i="1"/>
  <c r="AB850" i="1" s="1"/>
  <c r="AC850" i="1"/>
  <c r="AA986" i="1"/>
  <c r="AB986" i="1" s="1"/>
  <c r="AC986" i="1"/>
  <c r="AA815" i="1"/>
  <c r="AB815" i="1" s="1"/>
  <c r="AC815" i="1"/>
  <c r="AA567" i="1"/>
  <c r="AB567" i="1" s="1"/>
  <c r="AC567" i="1"/>
  <c r="AA519" i="1"/>
  <c r="AB519" i="1" s="1"/>
  <c r="AC519" i="1"/>
  <c r="AA637" i="1"/>
  <c r="AB637" i="1" s="1"/>
  <c r="AC637" i="1"/>
  <c r="AA464" i="1"/>
  <c r="AB464" i="1" s="1"/>
  <c r="AC464" i="1"/>
  <c r="AA871" i="1"/>
  <c r="AB871" i="1" s="1"/>
  <c r="AC871" i="1"/>
  <c r="AA26" i="1"/>
  <c r="AB26" i="1" s="1"/>
  <c r="AC26" i="1"/>
  <c r="AA684" i="1"/>
  <c r="AB684" i="1" s="1"/>
  <c r="AC684" i="1"/>
  <c r="AA434" i="1"/>
  <c r="AB434" i="1" s="1"/>
  <c r="AC434" i="1"/>
  <c r="AA36" i="1"/>
  <c r="AB36" i="1" s="1"/>
  <c r="AC36" i="1"/>
  <c r="AA683" i="1"/>
  <c r="AB683" i="1" s="1"/>
  <c r="AC683" i="1"/>
  <c r="AA866" i="1"/>
  <c r="AB866" i="1" s="1"/>
  <c r="AC866" i="1"/>
  <c r="AA802" i="1"/>
  <c r="AB802" i="1" s="1"/>
  <c r="AC802" i="1"/>
  <c r="AA329" i="1"/>
  <c r="AB329" i="1" s="1"/>
  <c r="AC329" i="1"/>
  <c r="AA263" i="1"/>
  <c r="AB263" i="1" s="1"/>
  <c r="AC263" i="1"/>
  <c r="AA929" i="1"/>
  <c r="AB929" i="1" s="1"/>
  <c r="AC929" i="1"/>
  <c r="AA727" i="1"/>
  <c r="AB727" i="1" s="1"/>
  <c r="AC727" i="1"/>
  <c r="AA700" i="1"/>
  <c r="AB700" i="1" s="1"/>
  <c r="AC700" i="1"/>
  <c r="AA627" i="1"/>
  <c r="AB627" i="1" s="1"/>
  <c r="AC627" i="1"/>
  <c r="AA185" i="1"/>
  <c r="AB185" i="1" s="1"/>
  <c r="AC185" i="1"/>
  <c r="AA946" i="1"/>
  <c r="AB946" i="1" s="1"/>
  <c r="AC946" i="1"/>
  <c r="AA818" i="1"/>
  <c r="AB818" i="1" s="1"/>
  <c r="AC818" i="1"/>
  <c r="AA809" i="1"/>
  <c r="AB809" i="1" s="1"/>
  <c r="AC809" i="1"/>
  <c r="AA973" i="1"/>
  <c r="AB973" i="1" s="1"/>
  <c r="AC973" i="1"/>
  <c r="AA736" i="1"/>
  <c r="AB736" i="1" s="1"/>
  <c r="AC736" i="1"/>
  <c r="AA685" i="1"/>
  <c r="AB685" i="1" s="1"/>
  <c r="AC685" i="1"/>
  <c r="AA396" i="1"/>
  <c r="AB396" i="1" s="1"/>
  <c r="AC396" i="1"/>
  <c r="AA470" i="1"/>
  <c r="AB470" i="1" s="1"/>
  <c r="AC470" i="1"/>
  <c r="AA1027" i="1"/>
  <c r="AB1027" i="1" s="1"/>
  <c r="AC1027" i="1"/>
  <c r="AA651" i="1"/>
  <c r="AB651" i="1" s="1"/>
  <c r="AC651" i="1"/>
  <c r="AA209" i="1"/>
  <c r="AB209" i="1" s="1"/>
  <c r="AC209" i="1"/>
  <c r="AA350" i="1"/>
  <c r="AB350" i="1" s="1"/>
  <c r="AC350" i="1"/>
  <c r="AA250" i="1"/>
  <c r="AB250" i="1" s="1"/>
  <c r="AC250" i="1"/>
  <c r="AA492" i="1"/>
  <c r="AB492" i="1" s="1"/>
  <c r="AC492" i="1"/>
  <c r="AA822" i="1"/>
  <c r="AB822" i="1" s="1"/>
  <c r="AC822" i="1"/>
  <c r="AA726" i="1"/>
  <c r="AB726" i="1" s="1"/>
  <c r="AC726" i="1"/>
  <c r="AA465" i="1"/>
  <c r="AB465" i="1" s="1"/>
  <c r="AC465" i="1"/>
  <c r="AA977" i="1"/>
  <c r="AB977" i="1" s="1"/>
  <c r="AC977" i="1"/>
  <c r="AA722" i="1"/>
  <c r="AB722" i="1" s="1"/>
  <c r="AC722" i="1"/>
  <c r="AA805" i="1"/>
  <c r="AB805" i="1" s="1"/>
  <c r="AC805" i="1"/>
  <c r="AA671" i="1"/>
  <c r="AB671" i="1" s="1"/>
  <c r="AC671" i="1"/>
  <c r="AA691" i="1"/>
  <c r="AB691" i="1" s="1"/>
  <c r="AC691" i="1"/>
  <c r="AA743" i="1"/>
  <c r="AB743" i="1" s="1"/>
  <c r="AC743" i="1"/>
  <c r="AA491" i="1"/>
  <c r="AB491" i="1" s="1"/>
  <c r="AC491" i="1"/>
  <c r="AA970" i="1"/>
  <c r="AB970" i="1" s="1"/>
  <c r="AC970" i="1"/>
  <c r="AA364" i="1"/>
  <c r="AB364" i="1" s="1"/>
  <c r="AC364" i="1"/>
  <c r="AA507" i="1"/>
  <c r="AB507" i="1" s="1"/>
  <c r="AC507" i="1"/>
  <c r="AA675" i="1"/>
  <c r="AB675" i="1" s="1"/>
  <c r="AC675" i="1"/>
  <c r="AA429" i="1"/>
  <c r="AB429" i="1" s="1"/>
  <c r="AC429" i="1"/>
  <c r="AA131" i="1"/>
  <c r="AB131" i="1" s="1"/>
  <c r="AC131" i="1"/>
  <c r="AA279" i="1"/>
  <c r="AB279" i="1" s="1"/>
  <c r="AC279" i="1"/>
  <c r="AA874" i="1"/>
  <c r="AB874" i="1" s="1"/>
  <c r="AC874" i="1"/>
  <c r="AA287" i="1"/>
  <c r="AB287" i="1" s="1"/>
  <c r="AC287" i="1"/>
  <c r="AA415" i="1"/>
  <c r="AB415" i="1" s="1"/>
  <c r="AC415" i="1"/>
  <c r="AA991" i="1"/>
  <c r="AB991" i="1" s="1"/>
  <c r="AC991" i="1"/>
  <c r="AA156" i="1"/>
  <c r="AB156" i="1" s="1"/>
  <c r="AC156" i="1"/>
  <c r="AA410" i="1"/>
  <c r="AB410" i="1" s="1"/>
  <c r="AC410" i="1"/>
  <c r="AA1014" i="1"/>
  <c r="AB1014" i="1" s="1"/>
  <c r="AC1014" i="1"/>
  <c r="AA57" i="1"/>
  <c r="AB57" i="1" s="1"/>
  <c r="AC57" i="1"/>
  <c r="AA760" i="1"/>
  <c r="AB760" i="1" s="1"/>
  <c r="AC760" i="1"/>
  <c r="AA130" i="1"/>
  <c r="AB130" i="1" s="1"/>
  <c r="AC130" i="1"/>
  <c r="AA646" i="1"/>
  <c r="AB646" i="1" s="1"/>
  <c r="AC646" i="1"/>
  <c r="AA511" i="1"/>
  <c r="AB511" i="1" s="1"/>
  <c r="AC511" i="1"/>
  <c r="AA693" i="1"/>
  <c r="AB693" i="1" s="1"/>
  <c r="AC693" i="1"/>
  <c r="AA955" i="1"/>
  <c r="AB955" i="1" s="1"/>
  <c r="AC955" i="1"/>
  <c r="AA657" i="1"/>
  <c r="AB657" i="1" s="1"/>
  <c r="AC657" i="1"/>
  <c r="AA989" i="1"/>
  <c r="AB989" i="1" s="1"/>
  <c r="AC989" i="1"/>
  <c r="AA661" i="1"/>
  <c r="AB661" i="1" s="1"/>
  <c r="AC661" i="1"/>
  <c r="AA566" i="1"/>
  <c r="AB566" i="1" s="1"/>
  <c r="AC566" i="1"/>
  <c r="AA517" i="1"/>
  <c r="AB517" i="1" s="1"/>
  <c r="AC517" i="1"/>
  <c r="AA821" i="1"/>
  <c r="AB821" i="1" s="1"/>
  <c r="AC821" i="1"/>
  <c r="AA737" i="1"/>
  <c r="AB737" i="1" s="1"/>
  <c r="AC737" i="1"/>
  <c r="AA890" i="1"/>
  <c r="AB890" i="1" s="1"/>
  <c r="AC890" i="1"/>
  <c r="AA813" i="1"/>
  <c r="AB813" i="1" s="1"/>
  <c r="AC813" i="1"/>
  <c r="AA729" i="1"/>
  <c r="AB729" i="1" s="1"/>
  <c r="AC729" i="1"/>
  <c r="AA602" i="1"/>
  <c r="AB602" i="1" s="1"/>
  <c r="AC602" i="1"/>
  <c r="AA904" i="1"/>
  <c r="AB904" i="1" s="1"/>
  <c r="AC904" i="1"/>
  <c r="AA1013" i="1"/>
  <c r="AB1013" i="1" s="1"/>
  <c r="AC1013" i="1"/>
  <c r="AA150" i="1"/>
  <c r="AB150" i="1" s="1"/>
  <c r="AC150" i="1"/>
  <c r="AA758" i="1"/>
  <c r="AB758" i="1" s="1"/>
  <c r="AC758" i="1"/>
  <c r="AA440" i="1"/>
  <c r="AB440" i="1" s="1"/>
  <c r="AC440" i="1"/>
  <c r="AA914" i="1"/>
  <c r="AB914" i="1" s="1"/>
  <c r="AC914" i="1"/>
  <c r="AA779" i="1"/>
  <c r="AB779" i="1" s="1"/>
  <c r="AC779" i="1"/>
  <c r="AA698" i="1"/>
  <c r="AB698" i="1" s="1"/>
  <c r="AC698" i="1"/>
  <c r="AA893" i="1"/>
  <c r="AB893" i="1" s="1"/>
  <c r="AC893" i="1"/>
  <c r="AA824" i="1"/>
  <c r="AB824" i="1" s="1"/>
  <c r="AC824" i="1"/>
  <c r="AA412" i="1"/>
  <c r="AB412" i="1" s="1"/>
  <c r="AC412" i="1"/>
  <c r="AA393" i="1"/>
  <c r="AB393" i="1" s="1"/>
  <c r="AC393" i="1"/>
  <c r="AA556" i="1"/>
  <c r="AB556" i="1" s="1"/>
  <c r="AC556" i="1"/>
  <c r="AA481" i="1"/>
  <c r="AB481" i="1" s="1"/>
  <c r="AC481" i="1"/>
  <c r="AA482" i="1"/>
  <c r="AB482" i="1" s="1"/>
  <c r="AC482" i="1"/>
  <c r="AA405" i="1"/>
  <c r="AB405" i="1" s="1"/>
  <c r="AC405" i="1"/>
  <c r="AA433" i="1"/>
  <c r="AB433" i="1" s="1"/>
  <c r="AC433" i="1"/>
  <c r="AA157" i="1"/>
  <c r="AB157" i="1" s="1"/>
  <c r="AC157" i="1"/>
  <c r="AA142" i="1"/>
  <c r="AB142" i="1" s="1"/>
  <c r="AC142" i="1"/>
  <c r="AA204" i="1"/>
  <c r="AB204" i="1" s="1"/>
  <c r="AC204" i="1"/>
  <c r="AA338" i="1"/>
  <c r="AB338" i="1" s="1"/>
  <c r="AC338" i="1"/>
  <c r="AA215" i="1"/>
  <c r="AB215" i="1" s="1"/>
  <c r="AC215" i="1"/>
  <c r="AA335" i="1"/>
  <c r="AB335" i="1" s="1"/>
  <c r="AC335" i="1"/>
  <c r="AA241" i="1"/>
  <c r="AB241" i="1" s="1"/>
  <c r="AC241" i="1"/>
  <c r="AA264" i="1"/>
  <c r="AB264" i="1" s="1"/>
  <c r="AC264" i="1"/>
  <c r="AA145" i="1"/>
  <c r="AB145" i="1" s="1"/>
  <c r="AC145" i="1"/>
  <c r="AA201" i="1"/>
  <c r="AB201" i="1" s="1"/>
  <c r="AC201" i="1"/>
  <c r="AA104" i="1"/>
  <c r="AB104" i="1" s="1"/>
  <c r="AC104" i="1"/>
  <c r="AA220" i="1"/>
  <c r="AB220" i="1" s="1"/>
  <c r="AC220" i="1"/>
  <c r="AA105" i="1"/>
  <c r="AB105" i="1" s="1"/>
  <c r="AC105" i="1"/>
  <c r="AA158" i="1"/>
  <c r="AB158" i="1" s="1"/>
  <c r="AC158" i="1"/>
  <c r="AA72" i="1"/>
  <c r="AB72" i="1" s="1"/>
  <c r="AC72" i="1"/>
  <c r="AA80" i="1"/>
  <c r="AB80" i="1" s="1"/>
  <c r="AC80" i="1"/>
  <c r="AA62" i="1"/>
  <c r="AB62" i="1" s="1"/>
  <c r="AC62" i="1"/>
  <c r="AA146" i="1"/>
  <c r="AB146" i="1" s="1"/>
  <c r="AC146" i="1"/>
  <c r="AA75" i="1"/>
  <c r="AB75" i="1" s="1"/>
  <c r="AC75" i="1"/>
  <c r="AA312" i="1"/>
  <c r="AB312" i="1" s="1"/>
  <c r="AC312" i="1"/>
  <c r="AA284" i="1"/>
  <c r="AB284" i="1" s="1"/>
  <c r="AC284" i="1"/>
  <c r="AA178" i="1"/>
  <c r="AB178" i="1" s="1"/>
  <c r="AC178" i="1"/>
  <c r="AA1037" i="1"/>
  <c r="AB1037" i="1" s="1"/>
  <c r="AC1037" i="1"/>
  <c r="AA118" i="1"/>
  <c r="AB118" i="1" s="1"/>
  <c r="AC118" i="1"/>
  <c r="AA460" i="1"/>
  <c r="AB460" i="1" s="1"/>
  <c r="AC460" i="1"/>
  <c r="AA551" i="1"/>
  <c r="AB551" i="1" s="1"/>
  <c r="AC551" i="1"/>
  <c r="AA695" i="1"/>
  <c r="AB695" i="1" s="1"/>
  <c r="AC695" i="1"/>
  <c r="AA717" i="1"/>
  <c r="AB717" i="1" s="1"/>
  <c r="AC717" i="1"/>
  <c r="AA1023" i="1"/>
  <c r="AB1023" i="1" s="1"/>
  <c r="AC1023" i="1"/>
  <c r="AA966" i="1"/>
  <c r="AB966" i="1" s="1"/>
  <c r="AC966" i="1"/>
  <c r="AA477" i="1"/>
  <c r="AB477" i="1" s="1"/>
  <c r="AC477" i="1"/>
  <c r="AA769" i="1"/>
  <c r="AB769" i="1" s="1"/>
  <c r="AC769" i="1"/>
  <c r="AA347" i="1"/>
  <c r="AB347" i="1" s="1"/>
  <c r="AC347" i="1"/>
  <c r="AA525" i="1"/>
  <c r="AB525" i="1" s="1"/>
  <c r="AC525" i="1"/>
  <c r="AA528" i="1"/>
  <c r="AB528" i="1" s="1"/>
  <c r="AC528" i="1"/>
  <c r="AA355" i="1"/>
  <c r="AB355" i="1" s="1"/>
  <c r="AC355" i="1"/>
  <c r="AA865" i="1"/>
  <c r="AB865" i="1" s="1"/>
  <c r="AC865" i="1"/>
  <c r="AA402" i="1"/>
  <c r="AB402" i="1" s="1"/>
  <c r="AC402" i="1"/>
  <c r="AA159" i="1"/>
  <c r="AB159" i="1" s="1"/>
  <c r="AC159" i="1"/>
  <c r="AA653" i="1"/>
  <c r="AB653" i="1" s="1"/>
  <c r="AC653" i="1"/>
  <c r="AA300" i="1"/>
  <c r="AB300" i="1" s="1"/>
  <c r="AC300" i="1"/>
  <c r="AA148" i="1"/>
  <c r="AB148" i="1" s="1"/>
  <c r="AC148" i="1"/>
  <c r="AA363" i="1"/>
  <c r="AB363" i="1" s="1"/>
  <c r="AC363" i="1"/>
  <c r="AA522" i="1"/>
  <c r="AB522" i="1" s="1"/>
  <c r="AC522" i="1"/>
  <c r="AA515" i="1"/>
  <c r="AB515" i="1" s="1"/>
  <c r="AC515" i="1"/>
  <c r="AA570" i="1"/>
  <c r="AB570" i="1" s="1"/>
  <c r="AC570" i="1"/>
  <c r="AA648" i="1"/>
  <c r="AB648" i="1" s="1"/>
  <c r="AC648" i="1"/>
  <c r="AA768" i="1"/>
  <c r="AB768" i="1" s="1"/>
  <c r="AC768" i="1"/>
  <c r="AA864" i="1"/>
  <c r="AB864" i="1" s="1"/>
  <c r="AC864" i="1"/>
  <c r="AA483" i="1"/>
  <c r="AB483" i="1" s="1"/>
  <c r="AC483" i="1"/>
  <c r="AA88" i="1"/>
  <c r="AB88" i="1" s="1"/>
  <c r="AC88" i="1"/>
  <c r="AA240" i="1"/>
  <c r="AB240" i="1" s="1"/>
  <c r="AC240" i="1"/>
  <c r="AA362" i="1"/>
  <c r="AB362" i="1" s="1"/>
  <c r="AC362" i="1"/>
  <c r="AA327" i="1"/>
  <c r="AB327" i="1" s="1"/>
  <c r="AC327" i="1"/>
  <c r="AA711" i="1"/>
  <c r="AB711" i="1" s="1"/>
  <c r="AC711" i="1"/>
  <c r="AA484" i="1"/>
  <c r="AB484" i="1" s="1"/>
  <c r="AC484" i="1"/>
  <c r="AA375" i="1"/>
  <c r="AB375" i="1" s="1"/>
  <c r="AC375" i="1"/>
  <c r="AA152" i="1"/>
  <c r="AB152" i="1" s="1"/>
  <c r="AC152" i="1"/>
  <c r="AA601" i="1"/>
  <c r="AB601" i="1" s="1"/>
  <c r="AC601" i="1"/>
  <c r="AA458" i="1"/>
  <c r="AB458" i="1" s="1"/>
  <c r="AC458" i="1"/>
  <c r="AA905" i="1"/>
  <c r="AB905" i="1" s="1"/>
  <c r="AC905" i="1"/>
  <c r="AA1001" i="1"/>
  <c r="AB1001" i="1" s="1"/>
  <c r="AC1001" i="1"/>
  <c r="AA184" i="1"/>
  <c r="AB184" i="1" s="1"/>
  <c r="AC184" i="1"/>
  <c r="AA932" i="1"/>
  <c r="AB932" i="1" s="1"/>
  <c r="AC932" i="1"/>
  <c r="AA592" i="1"/>
  <c r="AB592" i="1" s="1"/>
  <c r="AC592" i="1"/>
  <c r="AA392" i="1"/>
  <c r="AB392" i="1" s="1"/>
  <c r="AC392" i="1"/>
  <c r="AA559" i="1"/>
  <c r="AB559" i="1" s="1"/>
  <c r="AC559" i="1"/>
  <c r="AA380" i="1"/>
  <c r="AB380" i="1" s="1"/>
  <c r="AC380" i="1"/>
  <c r="AA982" i="1"/>
  <c r="AB982" i="1" s="1"/>
  <c r="AC982" i="1"/>
  <c r="AA951" i="1"/>
  <c r="AB951" i="1" s="1"/>
  <c r="AC951" i="1"/>
  <c r="AA498" i="1"/>
  <c r="AB498" i="1" s="1"/>
  <c r="AC498" i="1"/>
  <c r="AA155" i="1"/>
  <c r="AB155" i="1" s="1"/>
  <c r="AC155" i="1"/>
  <c r="AA888" i="1"/>
  <c r="AB888" i="1" s="1"/>
  <c r="AC888" i="1"/>
  <c r="AA1022" i="1"/>
  <c r="AB1022" i="1" s="1"/>
  <c r="AC1022" i="1"/>
  <c r="AA746" i="1"/>
  <c r="AB746" i="1" s="1"/>
  <c r="AC746" i="1"/>
  <c r="AA664" i="1"/>
  <c r="AB664" i="1" s="1"/>
  <c r="AC664" i="1"/>
  <c r="AA603" i="1"/>
  <c r="AB603" i="1" s="1"/>
  <c r="AC603" i="1"/>
  <c r="AA466" i="1"/>
  <c r="AB466" i="1" s="1"/>
  <c r="AC466" i="1"/>
  <c r="AA1003" i="1"/>
  <c r="AB1003" i="1" s="1"/>
  <c r="AC1003" i="1"/>
  <c r="AA203" i="1"/>
  <c r="AB203" i="1" s="1"/>
  <c r="AC203" i="1"/>
  <c r="AA807" i="1"/>
  <c r="AB807" i="1" s="1"/>
  <c r="AC807" i="1"/>
  <c r="AA555" i="1"/>
  <c r="AB555" i="1" s="1"/>
  <c r="AC555" i="1"/>
  <c r="AA658" i="1"/>
  <c r="AB658" i="1" s="1"/>
  <c r="AC658" i="1"/>
  <c r="AA616" i="1"/>
  <c r="AB616" i="1" s="1"/>
  <c r="AC616" i="1"/>
  <c r="AA372" i="1"/>
  <c r="AB372" i="1" s="1"/>
  <c r="AC372" i="1"/>
  <c r="AA180" i="1"/>
  <c r="AB180" i="1" s="1"/>
  <c r="AC180" i="1"/>
  <c r="AA162" i="1"/>
  <c r="AB162" i="1" s="1"/>
  <c r="AC162" i="1"/>
  <c r="AA607" i="1"/>
  <c r="AB607" i="1" s="1"/>
  <c r="AC607" i="1"/>
  <c r="AA510" i="1"/>
  <c r="AB510" i="1" s="1"/>
  <c r="AC510" i="1"/>
  <c r="AA169" i="1"/>
  <c r="AB169" i="1" s="1"/>
  <c r="AC169" i="1"/>
  <c r="AA810" i="1"/>
  <c r="AB810" i="1" s="1"/>
  <c r="AC810" i="1"/>
  <c r="AA219" i="1"/>
  <c r="AB219" i="1" s="1"/>
  <c r="AC219" i="1"/>
  <c r="AA447" i="1"/>
  <c r="AB447" i="1" s="1"/>
  <c r="AC447" i="1"/>
  <c r="AA968" i="1"/>
  <c r="AB968" i="1" s="1"/>
  <c r="AC968" i="1"/>
  <c r="AA82" i="1"/>
  <c r="AB82" i="1" s="1"/>
  <c r="AC82" i="1"/>
  <c r="AA66" i="1"/>
  <c r="AB66" i="1" s="1"/>
  <c r="AC66" i="1"/>
  <c r="AA441" i="1"/>
  <c r="AB441" i="1" s="1"/>
  <c r="AC441" i="1"/>
  <c r="AA704" i="1"/>
  <c r="AB704" i="1" s="1"/>
  <c r="AC704" i="1"/>
  <c r="AA958" i="1"/>
  <c r="AB958" i="1" s="1"/>
  <c r="AC958" i="1"/>
  <c r="AA731" i="1"/>
  <c r="AB731" i="1" s="1"/>
  <c r="AC731" i="1"/>
  <c r="AA409" i="1"/>
  <c r="AB409" i="1" s="1"/>
  <c r="AC409" i="1"/>
  <c r="AA942" i="1"/>
  <c r="AB942" i="1" s="1"/>
  <c r="AC942" i="1"/>
  <c r="AA795" i="1"/>
  <c r="AB795" i="1" s="1"/>
  <c r="AC795" i="1"/>
  <c r="AA479" i="1"/>
  <c r="AB479" i="1" s="1"/>
  <c r="AC479" i="1"/>
  <c r="AA174" i="1"/>
  <c r="AB174" i="1" s="1"/>
  <c r="AC174" i="1"/>
  <c r="AA923" i="1"/>
  <c r="AB923" i="1" s="1"/>
  <c r="AC923" i="1"/>
  <c r="AA745" i="1"/>
  <c r="AB745" i="1" s="1"/>
  <c r="AC745" i="1"/>
  <c r="AA937" i="1"/>
  <c r="AB937" i="1" s="1"/>
  <c r="AC937" i="1"/>
  <c r="AA609" i="1"/>
  <c r="AB609" i="1" s="1"/>
  <c r="AC609" i="1"/>
  <c r="AA837" i="1"/>
  <c r="AB837" i="1" s="1"/>
  <c r="AC837" i="1"/>
  <c r="AA183" i="1"/>
  <c r="AB183" i="1" s="1"/>
  <c r="AC183" i="1"/>
  <c r="AA960" i="1"/>
  <c r="AB960" i="1" s="1"/>
  <c r="AC960" i="1"/>
  <c r="AA725" i="1"/>
  <c r="AB725" i="1" s="1"/>
  <c r="AC725" i="1"/>
  <c r="AA645" i="1"/>
  <c r="AB645" i="1" s="1"/>
  <c r="AC645" i="1"/>
  <c r="AA944" i="1"/>
  <c r="AB944" i="1" s="1"/>
  <c r="AC944" i="1"/>
  <c r="AA828" i="1"/>
  <c r="AB828" i="1" s="1"/>
  <c r="AC828" i="1"/>
  <c r="AA842" i="1"/>
  <c r="AB842" i="1" s="1"/>
  <c r="AC842" i="1"/>
  <c r="AA940" i="1"/>
  <c r="AB940" i="1" s="1"/>
  <c r="AC940" i="1"/>
  <c r="AA680" i="1"/>
  <c r="AB680" i="1" s="1"/>
  <c r="AC680" i="1"/>
  <c r="AA553" i="1"/>
  <c r="AB553" i="1" s="1"/>
  <c r="AC553" i="1"/>
  <c r="AA909" i="1"/>
  <c r="AB909" i="1" s="1"/>
  <c r="AC909" i="1"/>
  <c r="AA53" i="1"/>
  <c r="AB53" i="1" s="1"/>
  <c r="AC53" i="1"/>
  <c r="AA981" i="1"/>
  <c r="AB981" i="1" s="1"/>
  <c r="AC981" i="1"/>
  <c r="AA644" i="1"/>
  <c r="AB644" i="1" s="1"/>
  <c r="AC644" i="1"/>
  <c r="AA632" i="1"/>
  <c r="AB632" i="1" s="1"/>
  <c r="AC632" i="1"/>
  <c r="AA844" i="1"/>
  <c r="AB844" i="1" s="1"/>
  <c r="AC844" i="1"/>
  <c r="AA489" i="1"/>
  <c r="AB489" i="1" s="1"/>
  <c r="AC489" i="1"/>
  <c r="AA401" i="1"/>
  <c r="AB401" i="1" s="1"/>
  <c r="AC401" i="1"/>
  <c r="AA636" i="1"/>
  <c r="AB636" i="1" s="1"/>
  <c r="AC636" i="1"/>
  <c r="AA485" i="1"/>
  <c r="AB485" i="1" s="1"/>
  <c r="AC485" i="1"/>
  <c r="AA550" i="1"/>
  <c r="AB550" i="1" s="1"/>
  <c r="AC550" i="1"/>
  <c r="AA794" i="1"/>
  <c r="AB794" i="1" s="1"/>
  <c r="AC794" i="1"/>
  <c r="AA532" i="1"/>
  <c r="AB532" i="1" s="1"/>
  <c r="AC532" i="1"/>
  <c r="AA689" i="1"/>
  <c r="AB689" i="1" s="1"/>
  <c r="AC689" i="1"/>
  <c r="AA302" i="1"/>
  <c r="AB302" i="1" s="1"/>
  <c r="AC302" i="1"/>
  <c r="AA1042" i="1"/>
  <c r="AB1042" i="1" s="1"/>
  <c r="AC1042" i="1"/>
  <c r="AA205" i="1"/>
  <c r="AB205" i="1" s="1"/>
  <c r="AC205" i="1"/>
  <c r="AA188" i="1"/>
  <c r="AB188" i="1" s="1"/>
  <c r="AC188" i="1"/>
  <c r="AA344" i="1"/>
  <c r="AB344" i="1" s="1"/>
  <c r="AC344" i="1"/>
  <c r="AA290" i="1"/>
  <c r="AB290" i="1" s="1"/>
  <c r="AC290" i="1"/>
  <c r="AA361" i="1"/>
  <c r="AB361" i="1" s="1"/>
  <c r="AC361" i="1"/>
  <c r="AA313" i="1"/>
  <c r="AB313" i="1" s="1"/>
  <c r="AC313" i="1"/>
  <c r="AA257" i="1"/>
  <c r="AB257" i="1" s="1"/>
  <c r="AC257" i="1"/>
  <c r="AA328" i="1"/>
  <c r="AB328" i="1" s="1"/>
  <c r="AC328" i="1"/>
  <c r="AA196" i="1"/>
  <c r="AB196" i="1" s="1"/>
  <c r="AC196" i="1"/>
  <c r="AA137" i="1"/>
  <c r="AB137" i="1" s="1"/>
  <c r="AC137" i="1"/>
  <c r="AA38" i="1"/>
  <c r="AB38" i="1" s="1"/>
  <c r="AC38" i="1"/>
  <c r="AA280" i="1"/>
  <c r="AB280" i="1" s="1"/>
  <c r="AC280" i="1"/>
  <c r="AA164" i="1"/>
  <c r="AB164" i="1" s="1"/>
  <c r="AC164" i="1"/>
  <c r="AA273" i="1"/>
  <c r="AB273" i="1" s="1"/>
  <c r="AC273" i="1"/>
  <c r="AA222" i="1"/>
  <c r="AB222" i="1" s="1"/>
  <c r="AC222" i="1"/>
  <c r="AA983" i="1"/>
  <c r="AB983" i="1" s="1"/>
  <c r="AC983" i="1"/>
  <c r="AA915" i="1"/>
  <c r="AB915" i="1" s="1"/>
  <c r="AC915" i="1"/>
  <c r="AA371" i="1"/>
  <c r="AB371" i="1" s="1"/>
  <c r="AC371" i="1"/>
  <c r="AA599" i="1"/>
  <c r="AB599" i="1" s="1"/>
  <c r="AC599" i="1"/>
  <c r="AA895" i="1"/>
  <c r="AB895" i="1" s="1"/>
  <c r="AC895" i="1"/>
  <c r="AA376" i="1"/>
  <c r="AB376" i="1" s="1"/>
  <c r="AC376" i="1"/>
  <c r="AA462" i="1"/>
  <c r="AB462" i="1" s="1"/>
  <c r="AC462" i="1"/>
  <c r="AA229" i="1"/>
  <c r="AB229" i="1" s="1"/>
  <c r="AC229" i="1"/>
  <c r="AA210" i="1"/>
  <c r="AB210" i="1" s="1"/>
  <c r="AC210" i="1"/>
  <c r="AA486" i="1"/>
  <c r="AB486" i="1" s="1"/>
  <c r="AC486" i="1"/>
  <c r="AA604" i="1"/>
  <c r="AB604" i="1" s="1"/>
  <c r="AC604" i="1"/>
  <c r="AA877" i="1"/>
  <c r="AB877" i="1" s="1"/>
  <c r="AC877" i="1"/>
  <c r="AA742" i="1"/>
  <c r="AB742" i="1" s="1"/>
  <c r="AC742" i="1"/>
  <c r="AA686" i="1"/>
  <c r="AB686" i="1" s="1"/>
  <c r="AC686" i="1"/>
  <c r="AA176" i="1"/>
  <c r="AB176" i="1" s="1"/>
  <c r="AC176" i="1"/>
  <c r="AA357" i="1"/>
  <c r="AB357" i="1" s="1"/>
  <c r="AC357" i="1"/>
  <c r="AA547" i="1"/>
  <c r="AB547" i="1" s="1"/>
  <c r="AC547" i="1"/>
  <c r="AA831" i="1"/>
  <c r="AB831" i="1" s="1"/>
  <c r="AC831" i="1"/>
  <c r="AA488" i="1"/>
  <c r="AB488" i="1" s="1"/>
  <c r="AC488" i="1"/>
  <c r="AA600" i="1"/>
  <c r="AB600" i="1" s="1"/>
  <c r="AC600" i="1"/>
  <c r="AA55" i="1"/>
  <c r="AB55" i="1" s="1"/>
  <c r="AC55" i="1"/>
  <c r="AA708" i="1"/>
  <c r="AB708" i="1" s="1"/>
  <c r="AC708" i="1"/>
  <c r="AA120" i="1"/>
  <c r="AB120" i="1" s="1"/>
  <c r="AC120" i="1"/>
  <c r="AA256" i="1"/>
  <c r="AB256" i="1" s="1"/>
  <c r="AC256" i="1"/>
  <c r="AA793" i="1"/>
  <c r="AB793" i="1" s="1"/>
  <c r="AC793" i="1"/>
  <c r="AA423" i="1"/>
  <c r="AB423" i="1" s="1"/>
  <c r="AC423" i="1"/>
  <c r="AA354" i="1"/>
  <c r="AB354" i="1" s="1"/>
  <c r="AC354" i="1"/>
  <c r="AA967" i="1"/>
  <c r="AB967" i="1" s="1"/>
  <c r="AC967" i="1"/>
  <c r="AA421" i="1"/>
  <c r="AB421" i="1" s="1"/>
  <c r="AC421" i="1"/>
  <c r="AA266" i="1"/>
  <c r="AB266" i="1" s="1"/>
  <c r="AC266" i="1"/>
  <c r="AA161" i="1"/>
  <c r="AB161" i="1" s="1"/>
  <c r="AC161" i="1"/>
  <c r="AA292" i="1"/>
  <c r="AB292" i="1" s="1"/>
  <c r="AC292" i="1"/>
  <c r="AA200" i="1"/>
  <c r="AB200" i="1" s="1"/>
  <c r="AC200" i="1"/>
  <c r="AA668" i="1"/>
  <c r="AB668" i="1" s="1"/>
  <c r="AC668" i="1"/>
  <c r="AA595" i="1"/>
  <c r="AB595" i="1" s="1"/>
  <c r="AC595" i="1"/>
  <c r="AA992" i="1"/>
  <c r="AB992" i="1" s="1"/>
  <c r="AC992" i="1"/>
  <c r="AA1018" i="1"/>
  <c r="AB1018" i="1" s="1"/>
  <c r="AC1018" i="1"/>
  <c r="AA92" i="1"/>
  <c r="AB92" i="1" s="1"/>
  <c r="AC92" i="1"/>
  <c r="AA239" i="1"/>
  <c r="AB239" i="1" s="1"/>
  <c r="AC239" i="1"/>
  <c r="AA333" i="1"/>
  <c r="AB333" i="1" s="1"/>
  <c r="AC333" i="1"/>
  <c r="AA791" i="1"/>
  <c r="AB791" i="1" s="1"/>
  <c r="AC791" i="1"/>
  <c r="AA472" i="1"/>
  <c r="AB472" i="1" s="1"/>
  <c r="AC472" i="1"/>
  <c r="AA397" i="1"/>
  <c r="AB397" i="1" s="1"/>
  <c r="AC397" i="1"/>
  <c r="AA275" i="1"/>
  <c r="AB275" i="1" s="1"/>
  <c r="AC275" i="1"/>
  <c r="AA858" i="1"/>
  <c r="AB858" i="1" s="1"/>
  <c r="AC858" i="1"/>
  <c r="AA952" i="1"/>
  <c r="AB952" i="1" s="1"/>
  <c r="AC952" i="1"/>
  <c r="AA228" i="1"/>
  <c r="AB228" i="1" s="1"/>
  <c r="AC228" i="1"/>
  <c r="AA954" i="1"/>
  <c r="AB954" i="1" s="1"/>
  <c r="AC954" i="1"/>
  <c r="AA269" i="1"/>
  <c r="AB269" i="1" s="1"/>
  <c r="AC269" i="1"/>
  <c r="AA352" i="1"/>
  <c r="AB352" i="1" s="1"/>
  <c r="AC352" i="1"/>
  <c r="AA181" i="1"/>
  <c r="AB181" i="1" s="1"/>
  <c r="AC181" i="1"/>
  <c r="AA964" i="1"/>
  <c r="AB964" i="1" s="1"/>
  <c r="AC964" i="1"/>
  <c r="AA797" i="1"/>
  <c r="AB797" i="1" s="1"/>
  <c r="AC797" i="1"/>
  <c r="AA346" i="1"/>
  <c r="AB346" i="1" s="1"/>
  <c r="AC346" i="1"/>
  <c r="AA245" i="1"/>
  <c r="AB245" i="1" s="1"/>
  <c r="AC245" i="1"/>
  <c r="AA143" i="1"/>
  <c r="AB143" i="1" s="1"/>
  <c r="AC143" i="1"/>
  <c r="AA922" i="1"/>
  <c r="AB922" i="1" s="1"/>
  <c r="AC922" i="1"/>
  <c r="AA71" i="1"/>
  <c r="AB71" i="1" s="1"/>
  <c r="AC71" i="1"/>
  <c r="AA198" i="1"/>
  <c r="AB198" i="1" s="1"/>
  <c r="AC198" i="1"/>
  <c r="AA846" i="1"/>
  <c r="AB846" i="1" s="1"/>
  <c r="AC846" i="1"/>
  <c r="AA194" i="1"/>
  <c r="AB194" i="1" s="1"/>
  <c r="AC194" i="1"/>
  <c r="AA744" i="1"/>
  <c r="AB744" i="1" s="1"/>
  <c r="AC744" i="1"/>
  <c r="AA891" i="1"/>
  <c r="AB891" i="1" s="1"/>
  <c r="AC891" i="1"/>
  <c r="AA782" i="1"/>
  <c r="AB782" i="1" s="1"/>
  <c r="AC782" i="1"/>
  <c r="AA565" i="1"/>
  <c r="AB565" i="1" s="1"/>
  <c r="AC565" i="1"/>
  <c r="AA424" i="1"/>
  <c r="AB424" i="1" s="1"/>
  <c r="AC424" i="1"/>
  <c r="AA438" i="1"/>
  <c r="AB438" i="1" s="1"/>
  <c r="AC438" i="1"/>
  <c r="AA1006" i="1"/>
  <c r="AB1006" i="1" s="1"/>
  <c r="AC1006" i="1"/>
  <c r="AA175" i="1"/>
  <c r="AB175" i="1" s="1"/>
  <c r="AC175" i="1"/>
  <c r="AA916" i="1"/>
  <c r="AB916" i="1" s="1"/>
  <c r="AC916" i="1"/>
  <c r="AA1017" i="1"/>
  <c r="AB1017" i="1" s="1"/>
  <c r="AC1017" i="1"/>
  <c r="AA549" i="1"/>
  <c r="AB549" i="1" s="1"/>
  <c r="AC549" i="1"/>
  <c r="AA1025" i="1"/>
  <c r="AB1025" i="1" s="1"/>
  <c r="AC1025" i="1"/>
  <c r="AA953" i="1"/>
  <c r="AB953" i="1" s="1"/>
  <c r="AC953" i="1"/>
  <c r="AA908" i="1"/>
  <c r="AB908" i="1" s="1"/>
  <c r="AC908" i="1"/>
  <c r="AA633" i="1"/>
  <c r="AB633" i="1" s="1"/>
  <c r="AC633" i="1"/>
  <c r="AA505" i="1"/>
  <c r="AB505" i="1" s="1"/>
  <c r="AC505" i="1"/>
  <c r="AA1029" i="1"/>
  <c r="AB1029" i="1" s="1"/>
  <c r="AC1029" i="1"/>
  <c r="AA83" i="1"/>
  <c r="AB83" i="1" s="1"/>
  <c r="AC83" i="1"/>
  <c r="AA950" i="1"/>
  <c r="AB950" i="1" s="1"/>
  <c r="AC950" i="1"/>
  <c r="AA580" i="1"/>
  <c r="AB580" i="1" s="1"/>
  <c r="AC580" i="1"/>
  <c r="AA1010" i="1"/>
  <c r="AB1010" i="1" s="1"/>
  <c r="AC1010" i="1"/>
  <c r="AA829" i="1"/>
  <c r="AB829" i="1" s="1"/>
  <c r="AC829" i="1"/>
  <c r="AA473" i="1"/>
  <c r="AB473" i="1" s="1"/>
  <c r="AC473" i="1"/>
  <c r="AA368" i="1"/>
  <c r="AB368" i="1" s="1"/>
  <c r="AC368" i="1"/>
  <c r="AA508" i="1"/>
  <c r="AB508" i="1" s="1"/>
  <c r="AC508" i="1"/>
  <c r="AA469" i="1"/>
  <c r="AB469" i="1" s="1"/>
  <c r="AC469" i="1"/>
  <c r="AA534" i="1"/>
  <c r="AB534" i="1" s="1"/>
  <c r="AC534" i="1"/>
  <c r="AA778" i="1"/>
  <c r="AB778" i="1" s="1"/>
  <c r="AC778" i="1"/>
  <c r="AA468" i="1"/>
  <c r="AB468" i="1" s="1"/>
  <c r="AC468" i="1"/>
  <c r="AA642" i="1"/>
  <c r="AB642" i="1" s="1"/>
  <c r="AC642" i="1"/>
  <c r="AA373" i="1"/>
  <c r="AB373" i="1" s="1"/>
  <c r="AC373" i="1"/>
  <c r="AA369" i="1"/>
  <c r="AB369" i="1" s="1"/>
  <c r="AC369" i="1"/>
  <c r="AA147" i="1"/>
  <c r="AB147" i="1" s="1"/>
  <c r="AC147" i="1"/>
  <c r="AA340" i="1"/>
  <c r="AB340" i="1" s="1"/>
  <c r="AC340" i="1"/>
  <c r="AA74" i="1"/>
  <c r="AB74" i="1" s="1"/>
  <c r="AC74" i="1"/>
  <c r="AA97" i="1"/>
  <c r="AB97" i="1" s="1"/>
  <c r="AC97" i="1"/>
  <c r="AA615" i="1"/>
  <c r="AB615" i="1" s="1"/>
  <c r="AC615" i="1"/>
  <c r="AA422" i="1"/>
  <c r="AB422" i="1" s="1"/>
  <c r="AC422" i="1"/>
  <c r="AA385" i="1"/>
  <c r="AB385" i="1" s="1"/>
  <c r="AC385" i="1"/>
  <c r="AA411" i="1"/>
  <c r="AB411" i="1" s="1"/>
  <c r="AC411" i="1"/>
  <c r="AA536" i="1"/>
  <c r="AB536" i="1" s="1"/>
  <c r="AC536" i="1"/>
  <c r="AA947" i="1"/>
  <c r="AB947" i="1" s="1"/>
  <c r="AC947" i="1"/>
  <c r="AA961" i="1"/>
  <c r="AB961" i="1" s="1"/>
  <c r="AC961" i="1"/>
  <c r="AA476" i="1"/>
  <c r="AB476" i="1" s="1"/>
  <c r="AC476" i="1"/>
  <c r="AA403" i="1"/>
  <c r="AB403" i="1" s="1"/>
  <c r="AC403" i="1"/>
  <c r="AA755" i="1"/>
  <c r="AB755" i="1" s="1"/>
  <c r="AC755" i="1"/>
  <c r="AA800" i="1"/>
  <c r="AB800" i="1" s="1"/>
  <c r="AC800" i="1"/>
  <c r="AA788" i="1"/>
  <c r="AB788" i="1" s="1"/>
  <c r="AC788" i="1"/>
  <c r="AA855" i="1"/>
  <c r="AB855" i="1" s="1"/>
  <c r="AC855" i="1"/>
  <c r="AA963" i="1"/>
  <c r="AB963" i="1" s="1"/>
  <c r="AC963" i="1"/>
  <c r="AA455" i="1"/>
  <c r="AB455" i="1" s="1"/>
  <c r="AC455" i="1"/>
  <c r="AA853" i="1"/>
  <c r="AB853" i="1" s="1"/>
  <c r="AC853" i="1"/>
  <c r="AA752" i="1"/>
  <c r="AB752" i="1" s="1"/>
  <c r="AC752" i="1"/>
  <c r="AA471" i="1"/>
  <c r="AB471" i="1" s="1"/>
  <c r="AC471" i="1"/>
  <c r="AA860" i="1"/>
  <c r="AB860" i="1" s="1"/>
  <c r="AC860" i="1"/>
  <c r="AA585" i="1"/>
  <c r="AB585" i="1" s="1"/>
  <c r="AC585" i="1"/>
  <c r="AA58" i="1"/>
  <c r="AB58" i="1" s="1"/>
  <c r="AC58" i="1"/>
  <c r="AA65" i="1"/>
  <c r="AB65" i="1" s="1"/>
  <c r="AC65" i="1"/>
  <c r="AA268" i="1"/>
  <c r="AB268" i="1" s="1"/>
  <c r="AC268" i="1"/>
  <c r="AA323" i="1"/>
  <c r="AB323" i="1" s="1"/>
  <c r="AC323" i="1"/>
  <c r="AA994" i="1"/>
  <c r="AB994" i="1" s="1"/>
  <c r="AC994" i="1"/>
  <c r="AA395" i="1"/>
  <c r="AB395" i="1" s="1"/>
  <c r="AC395" i="1"/>
  <c r="AA765" i="1"/>
  <c r="AB765" i="1" s="1"/>
  <c r="AC765" i="1"/>
  <c r="AA139" i="1"/>
  <c r="AB139" i="1" s="1"/>
  <c r="AC139" i="1"/>
  <c r="AA116" i="1"/>
  <c r="AB116" i="1" s="1"/>
  <c r="AC116" i="1"/>
  <c r="AA121" i="1"/>
  <c r="AB121" i="1" s="1"/>
  <c r="AC121" i="1"/>
  <c r="AA816" i="1"/>
  <c r="AB816" i="1" s="1"/>
  <c r="AC816" i="1"/>
  <c r="AA786" i="1"/>
  <c r="AB786" i="1" s="1"/>
  <c r="AC786" i="1"/>
  <c r="AA244" i="1"/>
  <c r="AB244" i="1" s="1"/>
  <c r="AC244" i="1"/>
  <c r="AA781" i="1"/>
  <c r="AB781" i="1" s="1"/>
  <c r="AC781" i="1"/>
  <c r="AA133" i="1"/>
  <c r="AB133" i="1" s="1"/>
  <c r="AC133" i="1"/>
  <c r="AA572" i="1"/>
  <c r="AB572" i="1" s="1"/>
  <c r="AC572" i="1"/>
  <c r="AA655" i="1"/>
  <c r="AB655" i="1" s="1"/>
  <c r="AC655" i="1"/>
  <c r="AA527" i="1"/>
  <c r="AB527" i="1" s="1"/>
  <c r="AC527" i="1"/>
  <c r="AA836" i="1"/>
  <c r="AB836" i="1" s="1"/>
  <c r="AC836" i="1"/>
  <c r="AA419" i="1"/>
  <c r="AB419" i="1" s="1"/>
  <c r="AC419" i="1"/>
  <c r="AA151" i="1"/>
  <c r="AB151" i="1" s="1"/>
  <c r="AC151" i="1"/>
  <c r="AA103" i="1"/>
  <c r="AB103" i="1" s="1"/>
  <c r="AC103" i="1"/>
  <c r="AA413" i="1"/>
  <c r="AB413" i="1" s="1"/>
  <c r="AC413" i="1"/>
  <c r="AA480" i="1"/>
  <c r="AB480" i="1" s="1"/>
  <c r="AC480" i="1"/>
  <c r="AA894" i="1"/>
  <c r="AB894" i="1" s="1"/>
  <c r="AC894" i="1"/>
  <c r="AA730" i="1"/>
  <c r="AB730" i="1" s="1"/>
  <c r="AC730" i="1"/>
  <c r="AA934" i="1"/>
  <c r="AB934" i="1" s="1"/>
  <c r="AC934" i="1"/>
  <c r="AA839" i="1"/>
  <c r="AB839" i="1" s="1"/>
  <c r="AC839" i="1"/>
  <c r="AA593" i="1"/>
  <c r="AB593" i="1" s="1"/>
  <c r="AC593" i="1"/>
  <c r="AA625" i="1"/>
  <c r="AB625" i="1" s="1"/>
  <c r="AC625" i="1"/>
  <c r="AA365" i="1"/>
  <c r="AB365" i="1" s="1"/>
  <c r="AC365" i="1"/>
  <c r="AA450" i="1"/>
  <c r="AB450" i="1" s="1"/>
  <c r="AC450" i="1"/>
  <c r="AA27" i="1"/>
  <c r="AB27" i="1" s="1"/>
  <c r="AC27" i="1"/>
  <c r="AA128" i="1"/>
  <c r="AB128" i="1" s="1"/>
  <c r="AC128" i="1"/>
  <c r="AA67" i="1"/>
  <c r="AB67" i="1" s="1"/>
  <c r="AC67" i="1"/>
  <c r="AA1016" i="1"/>
  <c r="AB1016" i="1" s="1"/>
  <c r="AC1016" i="1"/>
  <c r="AA334" i="1"/>
  <c r="AB334" i="1" s="1"/>
  <c r="AC334" i="1"/>
  <c r="AA924" i="1"/>
  <c r="AB924" i="1" s="1"/>
  <c r="AC924" i="1"/>
  <c r="AA539" i="1"/>
  <c r="AB539" i="1" s="1"/>
  <c r="AC539" i="1"/>
  <c r="AA431" i="1"/>
  <c r="AB431" i="1" s="1"/>
  <c r="AC431" i="1"/>
  <c r="AA282" i="1"/>
  <c r="AB282" i="1" s="1"/>
  <c r="AC282" i="1"/>
  <c r="AA672" i="1"/>
  <c r="AB672" i="1" s="1"/>
  <c r="AC672" i="1"/>
  <c r="AA202" i="1"/>
  <c r="AB202" i="1" s="1"/>
  <c r="AC202" i="1"/>
  <c r="AA114" i="1"/>
  <c r="AB114" i="1" s="1"/>
  <c r="AC114" i="1"/>
  <c r="AA606" i="1"/>
  <c r="AB606" i="1" s="1"/>
  <c r="AC606" i="1"/>
  <c r="AA271" i="1"/>
  <c r="AB271" i="1" s="1"/>
  <c r="AC271" i="1"/>
  <c r="AA211" i="1"/>
  <c r="AB211" i="1" s="1"/>
  <c r="AC211" i="1"/>
  <c r="AA776" i="1"/>
  <c r="AB776" i="1" s="1"/>
  <c r="AC776" i="1"/>
  <c r="AA679" i="1"/>
  <c r="AB679" i="1" s="1"/>
  <c r="AC679" i="1"/>
  <c r="AA47" i="1"/>
  <c r="AB47" i="1" s="1"/>
  <c r="AC47" i="1"/>
  <c r="AA359" i="1"/>
  <c r="AB359" i="1" s="1"/>
  <c r="AC359" i="1"/>
  <c r="AA798" i="1"/>
  <c r="AB798" i="1" s="1"/>
  <c r="AC798" i="1"/>
  <c r="AA827" i="1"/>
  <c r="AB827" i="1" s="1"/>
  <c r="AC827" i="1"/>
  <c r="AA339" i="1"/>
  <c r="AB339" i="1" s="1"/>
  <c r="AC339" i="1"/>
  <c r="AA487" i="1"/>
  <c r="AB487" i="1" s="1"/>
  <c r="AC487" i="1"/>
  <c r="AA330" i="1"/>
  <c r="AB330" i="1" s="1"/>
  <c r="AC330" i="1"/>
  <c r="AA389" i="1"/>
  <c r="AB389" i="1" s="1"/>
  <c r="AC389" i="1"/>
  <c r="AA721" i="1"/>
  <c r="AB721" i="1" s="1"/>
  <c r="AC721" i="1"/>
  <c r="AA1020" i="1"/>
  <c r="AB1020" i="1" s="1"/>
  <c r="AC1020" i="1"/>
  <c r="AA833" i="1"/>
  <c r="AB833" i="1" s="1"/>
  <c r="AC833" i="1"/>
  <c r="AA379" i="1"/>
  <c r="AB379" i="1" s="1"/>
  <c r="AC379" i="1"/>
  <c r="AA872" i="1"/>
  <c r="AB872" i="1" s="1"/>
  <c r="AC872" i="1"/>
  <c r="AA757" i="1"/>
  <c r="AB757" i="1" s="1"/>
  <c r="AC757" i="1"/>
  <c r="AA849" i="1"/>
  <c r="AB849" i="1" s="1"/>
  <c r="AC849" i="1"/>
  <c r="AA581" i="1"/>
  <c r="AB581" i="1" s="1"/>
  <c r="AC581" i="1"/>
  <c r="AA921" i="1"/>
  <c r="AB921" i="1" s="1"/>
  <c r="AC921" i="1"/>
  <c r="AA876" i="1"/>
  <c r="AB876" i="1" s="1"/>
  <c r="AC876" i="1"/>
  <c r="AA649" i="1"/>
  <c r="AB649" i="1" s="1"/>
  <c r="AC649" i="1"/>
  <c r="AA521" i="1"/>
  <c r="AB521" i="1" s="1"/>
  <c r="AC521" i="1"/>
  <c r="AA936" i="1"/>
  <c r="AB936" i="1" s="1"/>
  <c r="AC936" i="1"/>
  <c r="AA785" i="1"/>
  <c r="AB785" i="1" s="1"/>
  <c r="AC785" i="1"/>
  <c r="AA85" i="1"/>
  <c r="AB85" i="1" s="1"/>
  <c r="AC85" i="1"/>
  <c r="AA117" i="1"/>
  <c r="AB117" i="1" s="1"/>
  <c r="AC117" i="1"/>
  <c r="AA806" i="1"/>
  <c r="AB806" i="1" s="1"/>
  <c r="AC806" i="1"/>
  <c r="AA461" i="1"/>
  <c r="AB461" i="1" s="1"/>
  <c r="AC461" i="1"/>
  <c r="AA962" i="1"/>
  <c r="AB962" i="1" s="1"/>
  <c r="AC962" i="1"/>
  <c r="AA812" i="1"/>
  <c r="AB812" i="1" s="1"/>
  <c r="AC812" i="1"/>
  <c r="AA432" i="1"/>
  <c r="AB432" i="1" s="1"/>
  <c r="AC432" i="1"/>
  <c r="AA677" i="1"/>
  <c r="AB677" i="1" s="1"/>
  <c r="AC677" i="1"/>
  <c r="AA840" i="1"/>
  <c r="AB840" i="1" s="1"/>
  <c r="AC840" i="1"/>
  <c r="AA444" i="1"/>
  <c r="AB444" i="1" s="1"/>
  <c r="AC444" i="1"/>
  <c r="AA518" i="1"/>
  <c r="AB518" i="1" s="1"/>
  <c r="AC518" i="1"/>
  <c r="AA620" i="1"/>
  <c r="AB620" i="1" s="1"/>
  <c r="AC620" i="1"/>
  <c r="AA696" i="1"/>
  <c r="AB696" i="1" s="1"/>
  <c r="AC696" i="1"/>
  <c r="AA562" i="1"/>
  <c r="AB562" i="1" s="1"/>
  <c r="AC562" i="1"/>
  <c r="AA390" i="1"/>
  <c r="AB390" i="1" s="1"/>
  <c r="AC390" i="1"/>
  <c r="AA417" i="1"/>
  <c r="AB417" i="1" s="1"/>
  <c r="AC417" i="1"/>
  <c r="AA76" i="1"/>
  <c r="AB76" i="1" s="1"/>
  <c r="AC76" i="1"/>
  <c r="AA321" i="1"/>
  <c r="AB321" i="1" s="1"/>
  <c r="AC321" i="1"/>
  <c r="AA227" i="1"/>
  <c r="AB227" i="1" s="1"/>
  <c r="AC227" i="1"/>
  <c r="AA281" i="1"/>
  <c r="AB281" i="1" s="1"/>
  <c r="AC281" i="1"/>
  <c r="AA317" i="1"/>
  <c r="AB317" i="1" s="1"/>
  <c r="AC317" i="1"/>
  <c r="AA289" i="1"/>
  <c r="AB289" i="1" s="1"/>
  <c r="AC289" i="1"/>
  <c r="AA309" i="1"/>
  <c r="AB309" i="1" s="1"/>
  <c r="AC309" i="1"/>
  <c r="AA186" i="1"/>
  <c r="AB186" i="1" s="1"/>
  <c r="AC186" i="1"/>
  <c r="AA140" i="1"/>
  <c r="AB140" i="1" s="1"/>
  <c r="AC140" i="1"/>
  <c r="AA172" i="1"/>
  <c r="AB172" i="1" s="1"/>
  <c r="AC172" i="1"/>
  <c r="AA193" i="1"/>
  <c r="AB193" i="1" s="1"/>
  <c r="AC193" i="1"/>
  <c r="AA77" i="1"/>
  <c r="AB77" i="1" s="1"/>
  <c r="AC77" i="1"/>
  <c r="AA138" i="1"/>
  <c r="AB138" i="1" s="1"/>
  <c r="AC138" i="1"/>
  <c r="AA56" i="1"/>
  <c r="AB56" i="1" s="1"/>
  <c r="AC56" i="1"/>
  <c r="AA50" i="1"/>
  <c r="AB50" i="1" s="1"/>
  <c r="AC50" i="1"/>
  <c r="AA237" i="1"/>
  <c r="AB237" i="1" s="1"/>
  <c r="AC237" i="1"/>
  <c r="AA217" i="1"/>
  <c r="AB217" i="1" s="1"/>
  <c r="AC217" i="1"/>
  <c r="AA153" i="1"/>
  <c r="AB153" i="1" s="1"/>
  <c r="AC153" i="1"/>
  <c r="AA296" i="1"/>
  <c r="AB296" i="1" s="1"/>
  <c r="AC296" i="1"/>
  <c r="AA315" i="1"/>
  <c r="AB315" i="1" s="1"/>
  <c r="AC315" i="1"/>
  <c r="AA261" i="1"/>
  <c r="AB261" i="1" s="1"/>
  <c r="AC261" i="1"/>
  <c r="AA163" i="1"/>
  <c r="AB163" i="1" s="1"/>
  <c r="AC163" i="1"/>
  <c r="AE319" i="1"/>
  <c r="AF319" i="1" s="1"/>
  <c r="AE89" i="1"/>
  <c r="AF89" i="1" s="1"/>
  <c r="AE1007" i="1"/>
  <c r="AF1007" i="1" s="1"/>
  <c r="AE31" i="1"/>
  <c r="AF31" i="1" s="1"/>
  <c r="AE790" i="1"/>
  <c r="AF790" i="1" s="1"/>
  <c r="AE541" i="1"/>
  <c r="AF541" i="1" s="1"/>
  <c r="AE294" i="1"/>
  <c r="AF294" i="1" s="1"/>
  <c r="AE247" i="1"/>
  <c r="AF247" i="1" s="1"/>
  <c r="AE718" i="1"/>
  <c r="AF718" i="1" s="1"/>
  <c r="AE911" i="1"/>
  <c r="AF911" i="1" s="1"/>
  <c r="AE734" i="1"/>
  <c r="AF734" i="1" s="1"/>
  <c r="AE400" i="1"/>
  <c r="AF400" i="1" s="1"/>
  <c r="AE467" i="1"/>
  <c r="AF467" i="1" s="1"/>
  <c r="AE538" i="1"/>
  <c r="AF538" i="1" s="1"/>
  <c r="AE171" i="1"/>
  <c r="AF171" i="1" s="1"/>
  <c r="AE154" i="1"/>
  <c r="AF154" i="1" s="1"/>
  <c r="AE548" i="1"/>
  <c r="AF548" i="1" s="1"/>
  <c r="U451" i="1"/>
  <c r="V451" i="1" s="1"/>
  <c r="U146" i="1"/>
  <c r="V146" i="1" s="1"/>
  <c r="U840" i="1"/>
  <c r="V840" i="1" s="1"/>
  <c r="U427" i="1"/>
  <c r="V427" i="1" s="1"/>
  <c r="U728" i="1"/>
  <c r="V728" i="1" s="1"/>
  <c r="U854" i="1"/>
  <c r="V854" i="1" s="1"/>
  <c r="U530" i="1"/>
  <c r="V530" i="1" s="1"/>
  <c r="U495" i="1"/>
  <c r="V495" i="1" s="1"/>
  <c r="U820" i="1"/>
  <c r="V820" i="1" s="1"/>
  <c r="U919" i="1"/>
  <c r="V919" i="1" s="1"/>
  <c r="U972" i="1"/>
  <c r="V972" i="1" s="1"/>
  <c r="U438" i="1"/>
  <c r="V438" i="1" s="1"/>
  <c r="W524" i="1"/>
  <c r="U810" i="1"/>
  <c r="V810" i="1" s="1"/>
  <c r="U472" i="1"/>
  <c r="V472" i="1" s="1"/>
  <c r="W947" i="1"/>
  <c r="U1035" i="1"/>
  <c r="V1035" i="1" s="1"/>
  <c r="U841" i="1"/>
  <c r="V841" i="1" s="1"/>
  <c r="U532" i="1"/>
  <c r="V532" i="1" s="1"/>
  <c r="W200" i="1"/>
  <c r="U394" i="1"/>
  <c r="V394" i="1" s="1"/>
  <c r="U1042" i="1"/>
  <c r="V1042" i="1" s="1"/>
  <c r="U182" i="1"/>
  <c r="V182" i="1" s="1"/>
  <c r="W26" i="1"/>
  <c r="U221" i="1"/>
  <c r="V221" i="1" s="1"/>
  <c r="W388" i="1"/>
  <c r="W422" i="1"/>
  <c r="W236" i="1"/>
  <c r="U950" i="1"/>
  <c r="V950" i="1" s="1"/>
  <c r="U653" i="1"/>
  <c r="V653" i="1" s="1"/>
  <c r="U166" i="1"/>
  <c r="V166" i="1" s="1"/>
  <c r="U330" i="1"/>
  <c r="V330" i="1" s="1"/>
  <c r="U827" i="1"/>
  <c r="V827" i="1" s="1"/>
  <c r="W997" i="1"/>
  <c r="U858" i="1"/>
  <c r="V858" i="1" s="1"/>
  <c r="U180" i="1"/>
  <c r="V180" i="1" s="1"/>
  <c r="U505" i="1"/>
  <c r="V505" i="1" s="1"/>
  <c r="U666" i="1"/>
  <c r="V666" i="1" s="1"/>
  <c r="U515" i="1"/>
  <c r="V515" i="1" s="1"/>
  <c r="U123" i="1"/>
  <c r="V123" i="1" s="1"/>
  <c r="U153" i="1"/>
  <c r="V153" i="1" s="1"/>
  <c r="U902" i="1"/>
  <c r="V902" i="1" s="1"/>
  <c r="U528" i="1"/>
  <c r="V528" i="1" s="1"/>
  <c r="U434" i="1"/>
  <c r="V434" i="1" s="1"/>
  <c r="U1017" i="1"/>
  <c r="V1017" i="1" s="1"/>
  <c r="AZ717" i="1"/>
  <c r="BI717" i="1" s="1"/>
  <c r="AZ769" i="1"/>
  <c r="BI769" i="1" s="1"/>
  <c r="AZ772" i="1"/>
  <c r="BI772" i="1" s="1"/>
  <c r="AZ355" i="1"/>
  <c r="BI355" i="1" s="1"/>
  <c r="AZ318" i="1"/>
  <c r="BI318" i="1" s="1"/>
  <c r="AZ41" i="1"/>
  <c r="BI41" i="1" s="1"/>
  <c r="AZ483" i="1"/>
  <c r="BI483" i="1" s="1"/>
  <c r="AZ611" i="1"/>
  <c r="BI611" i="1" s="1"/>
  <c r="AZ167" i="1"/>
  <c r="BI167" i="1" s="1"/>
  <c r="AZ165" i="1"/>
  <c r="BI165" i="1" s="1"/>
  <c r="AZ932" i="1"/>
  <c r="BI932" i="1" s="1"/>
  <c r="AZ392" i="1"/>
  <c r="BI392" i="1" s="1"/>
  <c r="AZ951" i="1"/>
  <c r="BI951" i="1" s="1"/>
  <c r="AZ660" i="1"/>
  <c r="BI660" i="1" s="1"/>
  <c r="AZ1022" i="1"/>
  <c r="BI1022" i="1" s="1"/>
  <c r="AZ664" i="1"/>
  <c r="BI664" i="1" s="1"/>
  <c r="AZ555" i="1"/>
  <c r="BI555" i="1" s="1"/>
  <c r="AZ887" i="1"/>
  <c r="BI887" i="1" s="1"/>
  <c r="AZ607" i="1"/>
  <c r="BI607" i="1" s="1"/>
  <c r="AZ219" i="1"/>
  <c r="BI219" i="1" s="1"/>
  <c r="AZ1038" i="1"/>
  <c r="BI1038" i="1" s="1"/>
  <c r="AZ265" i="1"/>
  <c r="BI265" i="1" s="1"/>
  <c r="AZ57" i="1"/>
  <c r="BI57" i="1" s="1"/>
  <c r="AZ130" i="1"/>
  <c r="BI130" i="1" s="1"/>
  <c r="AZ955" i="1"/>
  <c r="BI955" i="1" s="1"/>
  <c r="AZ561" i="1"/>
  <c r="BI561" i="1" s="1"/>
  <c r="AZ890" i="1"/>
  <c r="BI890" i="1" s="1"/>
  <c r="AZ729" i="1"/>
  <c r="BI729" i="1" s="1"/>
  <c r="AZ150" i="1"/>
  <c r="BI150" i="1" s="1"/>
  <c r="AZ893" i="1"/>
  <c r="BI893" i="1" s="1"/>
  <c r="AZ412" i="1"/>
  <c r="BI412" i="1" s="1"/>
  <c r="AZ889" i="1"/>
  <c r="BI889" i="1" s="1"/>
  <c r="AZ433" i="1"/>
  <c r="BI433" i="1" s="1"/>
  <c r="AZ142" i="1"/>
  <c r="BI142" i="1" s="1"/>
  <c r="AZ195" i="1"/>
  <c r="BI195" i="1" s="1"/>
  <c r="AZ335" i="1"/>
  <c r="BI335" i="1" s="1"/>
  <c r="AZ305" i="1"/>
  <c r="BI305" i="1" s="1"/>
  <c r="AZ1029" i="1"/>
  <c r="BI1029" i="1" s="1"/>
  <c r="AZ373" i="1"/>
  <c r="BI373" i="1" s="1"/>
  <c r="AZ351" i="1"/>
  <c r="BI351" i="1" s="1"/>
  <c r="AZ1009" i="1"/>
  <c r="BI1009" i="1" s="1"/>
  <c r="AZ232" i="1"/>
  <c r="BI232" i="1" s="1"/>
  <c r="AZ216" i="1"/>
  <c r="BI216" i="1" s="1"/>
  <c r="AZ149" i="1"/>
  <c r="BI149" i="1" s="1"/>
  <c r="AZ583" i="1"/>
  <c r="BI583" i="1" s="1"/>
  <c r="AZ945" i="1"/>
  <c r="BI945" i="1" s="1"/>
  <c r="AZ967" i="1"/>
  <c r="BI967" i="1" s="1"/>
  <c r="AZ292" i="1"/>
  <c r="BI292" i="1" s="1"/>
  <c r="AZ668" i="1"/>
  <c r="BI668" i="1" s="1"/>
  <c r="AZ92" i="1"/>
  <c r="BI92" i="1" s="1"/>
  <c r="AZ472" i="1"/>
  <c r="BI472" i="1" s="1"/>
  <c r="AZ952" i="1"/>
  <c r="BI952" i="1" s="1"/>
  <c r="AZ773" i="1"/>
  <c r="BI773" i="1" s="1"/>
  <c r="AZ705" i="1"/>
  <c r="BI705" i="1" s="1"/>
  <c r="AZ479" i="1"/>
  <c r="BI479" i="1" s="1"/>
  <c r="AZ828" i="1"/>
  <c r="BI828" i="1" s="1"/>
  <c r="AZ1012" i="1"/>
  <c r="BI1012" i="1" s="1"/>
  <c r="AZ553" i="1"/>
  <c r="BI553" i="1" s="1"/>
  <c r="AZ401" i="1"/>
  <c r="BI401" i="1" s="1"/>
  <c r="AZ485" i="1"/>
  <c r="BI485" i="1" s="1"/>
  <c r="AZ852" i="1"/>
  <c r="BI852" i="1" s="1"/>
  <c r="AZ290" i="1"/>
  <c r="BI290" i="1" s="1"/>
  <c r="AZ337" i="1"/>
  <c r="BI337" i="1" s="1"/>
  <c r="AZ1019" i="1"/>
  <c r="BI1019" i="1" s="1"/>
  <c r="AZ40" i="1"/>
  <c r="BI40" i="1" s="1"/>
  <c r="AZ225" i="1"/>
  <c r="BI225" i="1" s="1"/>
  <c r="AZ358" i="1"/>
  <c r="BI358" i="1" s="1"/>
  <c r="AZ238" i="1"/>
  <c r="BI238" i="1" s="1"/>
  <c r="AZ87" i="1"/>
  <c r="BI87" i="1" s="1"/>
  <c r="AZ853" i="1"/>
  <c r="AZ395" i="1"/>
  <c r="BI395" i="1" s="1"/>
  <c r="AZ234" i="1"/>
  <c r="BI234" i="1" s="1"/>
  <c r="AZ956" i="1"/>
  <c r="BI956" i="1" s="1"/>
  <c r="AZ641" i="1"/>
  <c r="BI641" i="1" s="1"/>
  <c r="AZ502" i="1"/>
  <c r="BI502" i="1" s="1"/>
  <c r="AZ443" i="1"/>
  <c r="BI443" i="1" s="1"/>
  <c r="AZ549" i="1"/>
  <c r="BI549" i="1" s="1"/>
  <c r="AZ953" i="1"/>
  <c r="BI953" i="1" s="1"/>
  <c r="AZ687" i="1"/>
  <c r="BI687" i="1" s="1"/>
  <c r="AZ819" i="1"/>
  <c r="BI819" i="1" s="1"/>
  <c r="AZ809" i="1"/>
  <c r="BI809" i="1" s="1"/>
  <c r="AZ688" i="1"/>
  <c r="BI688" i="1" s="1"/>
  <c r="AZ426" i="1"/>
  <c r="BI426" i="1" s="1"/>
  <c r="AZ192" i="1"/>
  <c r="BI192" i="1" s="1"/>
  <c r="AZ822" i="1"/>
  <c r="BI822" i="1" s="1"/>
  <c r="AZ571" i="1"/>
  <c r="BI571" i="1" s="1"/>
  <c r="AZ743" i="1"/>
  <c r="BI743" i="1" s="1"/>
  <c r="AZ762" i="1"/>
  <c r="BI762" i="1" s="1"/>
  <c r="AZ279" i="1"/>
  <c r="BI279" i="1" s="1"/>
  <c r="AZ776" i="1"/>
  <c r="AZ267" i="1"/>
  <c r="BI267" i="1" s="1"/>
  <c r="AZ678" i="1"/>
  <c r="BI678" i="1" s="1"/>
  <c r="AZ872" i="1"/>
  <c r="BI872" i="1" s="1"/>
  <c r="AZ478" i="1"/>
  <c r="BI478" i="1" s="1"/>
  <c r="AZ766" i="1"/>
  <c r="BI766" i="1" s="1"/>
  <c r="AZ562" i="1"/>
  <c r="BI562" i="1" s="1"/>
  <c r="U442" i="1"/>
  <c r="V442" i="1" s="1"/>
  <c r="U309" i="1"/>
  <c r="V309" i="1" s="1"/>
  <c r="U701" i="1"/>
  <c r="V701" i="1" s="1"/>
  <c r="U405" i="1"/>
  <c r="V405" i="1" s="1"/>
  <c r="W784" i="1"/>
  <c r="U712" i="1"/>
  <c r="V712" i="1" s="1"/>
  <c r="U748" i="1"/>
  <c r="V748" i="1" s="1"/>
  <c r="U914" i="1"/>
  <c r="V914" i="1" s="1"/>
  <c r="W440" i="1"/>
  <c r="U273" i="1"/>
  <c r="V273" i="1" s="1"/>
  <c r="W684" i="1"/>
  <c r="U935" i="1"/>
  <c r="V935" i="1" s="1"/>
  <c r="W802" i="1"/>
  <c r="U401" i="1"/>
  <c r="V401" i="1" s="1"/>
  <c r="U713" i="1"/>
  <c r="V713" i="1" s="1"/>
  <c r="U189" i="1"/>
  <c r="V189" i="1" s="1"/>
  <c r="U667" i="1"/>
  <c r="V667" i="1" s="1"/>
  <c r="U59" i="1"/>
  <c r="V59" i="1" s="1"/>
  <c r="U37" i="1"/>
  <c r="V37" i="1" s="1"/>
  <c r="U994" i="1"/>
  <c r="V994" i="1" s="1"/>
  <c r="W202" i="1"/>
  <c r="U692" i="1"/>
  <c r="V692" i="1" s="1"/>
  <c r="W589" i="1"/>
  <c r="U342" i="1"/>
  <c r="V342" i="1" s="1"/>
  <c r="U311" i="1"/>
  <c r="V311" i="1" s="1"/>
  <c r="U633" i="1"/>
  <c r="V633" i="1" s="1"/>
  <c r="U299" i="1"/>
  <c r="V299" i="1" s="1"/>
  <c r="U374" i="1"/>
  <c r="V374" i="1" s="1"/>
  <c r="W978" i="1"/>
  <c r="U404" i="1"/>
  <c r="V404" i="1" s="1"/>
  <c r="U696" i="1"/>
  <c r="V696" i="1" s="1"/>
  <c r="U411" i="1"/>
  <c r="V411" i="1" s="1"/>
  <c r="U354" i="1"/>
  <c r="V354" i="1" s="1"/>
  <c r="U282" i="1"/>
  <c r="V282" i="1" s="1"/>
  <c r="U307" i="1"/>
  <c r="V307" i="1" s="1"/>
  <c r="U765" i="1"/>
  <c r="V765" i="1" s="1"/>
  <c r="U618" i="1"/>
  <c r="V618" i="1" s="1"/>
  <c r="U108" i="1"/>
  <c r="V108" i="1" s="1"/>
  <c r="W605" i="1"/>
  <c r="U682" i="1"/>
  <c r="V682" i="1" s="1"/>
  <c r="U477" i="1"/>
  <c r="V477" i="1" s="1"/>
  <c r="W489" i="1"/>
  <c r="W855" i="1"/>
  <c r="U305" i="1"/>
  <c r="V305" i="1" s="1"/>
  <c r="W75" i="1"/>
  <c r="U92" i="1"/>
  <c r="V92" i="1" s="1"/>
  <c r="U361" i="1"/>
  <c r="V361" i="1" s="1"/>
  <c r="U995" i="1"/>
  <c r="V995" i="1" s="1"/>
  <c r="AZ460" i="1"/>
  <c r="BI460" i="1" s="1"/>
  <c r="AZ442" i="1"/>
  <c r="BI442" i="1" s="1"/>
  <c r="AZ303" i="1"/>
  <c r="BI303" i="1" s="1"/>
  <c r="AZ528" i="1"/>
  <c r="BI528" i="1" s="1"/>
  <c r="AZ159" i="1"/>
  <c r="BI159" i="1" s="1"/>
  <c r="AZ716" i="1"/>
  <c r="BI716" i="1" s="1"/>
  <c r="AZ515" i="1"/>
  <c r="BI515" i="1" s="1"/>
  <c r="AZ796" i="1"/>
  <c r="BI796" i="1" s="1"/>
  <c r="AZ648" i="1"/>
  <c r="BI648" i="1" s="1"/>
  <c r="AZ864" i="1"/>
  <c r="BI864" i="1" s="1"/>
  <c r="AZ88" i="1"/>
  <c r="BI88" i="1" s="1"/>
  <c r="AZ304" i="1"/>
  <c r="BI304" i="1" s="1"/>
  <c r="AZ332" i="1"/>
  <c r="BI332" i="1" s="1"/>
  <c r="AZ375" i="1"/>
  <c r="BI375" i="1" s="1"/>
  <c r="AZ601" i="1"/>
  <c r="BI601" i="1" s="1"/>
  <c r="AZ184" i="1"/>
  <c r="BI184" i="1" s="1"/>
  <c r="AZ592" i="1"/>
  <c r="BI592" i="1" s="1"/>
  <c r="AZ559" i="1"/>
  <c r="BI559" i="1" s="1"/>
  <c r="AZ753" i="1"/>
  <c r="BI753" i="1" s="1"/>
  <c r="AZ587" i="1"/>
  <c r="BI587" i="1" s="1"/>
  <c r="AZ841" i="1"/>
  <c r="BI841" i="1" s="1"/>
  <c r="AZ746" i="1"/>
  <c r="BI746" i="1" s="1"/>
  <c r="AZ635" i="1"/>
  <c r="BI635" i="1" s="1"/>
  <c r="AZ386" i="1"/>
  <c r="BI386" i="1" s="1"/>
  <c r="AZ1003" i="1"/>
  <c r="BI1003" i="1" s="1"/>
  <c r="AZ475" i="1"/>
  <c r="BI475" i="1" s="1"/>
  <c r="AZ372" i="1"/>
  <c r="BI372" i="1" s="1"/>
  <c r="AZ187" i="1"/>
  <c r="BI187" i="1" s="1"/>
  <c r="AZ810" i="1"/>
  <c r="BI810" i="1" s="1"/>
  <c r="AZ690" i="1"/>
  <c r="BI690" i="1" s="1"/>
  <c r="AZ985" i="1"/>
  <c r="BI985" i="1" s="1"/>
  <c r="AZ991" i="1"/>
  <c r="BI991" i="1" s="1"/>
  <c r="AZ511" i="1"/>
  <c r="BI511" i="1" s="1"/>
  <c r="AZ667" i="1"/>
  <c r="BI667" i="1" s="1"/>
  <c r="AZ127" i="1"/>
  <c r="BI127" i="1" s="1"/>
  <c r="AZ989" i="1"/>
  <c r="BI989" i="1" s="1"/>
  <c r="AZ884" i="1"/>
  <c r="BI884" i="1" s="1"/>
  <c r="AZ566" i="1"/>
  <c r="BI566" i="1" s="1"/>
  <c r="AZ821" i="1"/>
  <c r="BI821" i="1" s="1"/>
  <c r="AZ972" i="1"/>
  <c r="BI972" i="1" s="1"/>
  <c r="AZ988" i="1"/>
  <c r="BI988" i="1" s="1"/>
  <c r="AZ1026" i="1"/>
  <c r="BI1026" i="1" s="1"/>
  <c r="AZ440" i="1"/>
  <c r="BI440" i="1" s="1"/>
  <c r="AZ735" i="1"/>
  <c r="BI735" i="1" s="1"/>
  <c r="AZ598" i="1"/>
  <c r="BI598" i="1" s="1"/>
  <c r="AZ556" i="1"/>
  <c r="BI556" i="1" s="1"/>
  <c r="AZ740" i="1"/>
  <c r="BI740" i="1" s="1"/>
  <c r="AZ482" i="1"/>
  <c r="BI482" i="1" s="1"/>
  <c r="AZ360" i="1"/>
  <c r="BI360" i="1" s="1"/>
  <c r="AZ32" i="1"/>
  <c r="BI32" i="1" s="1"/>
  <c r="AZ338" i="1"/>
  <c r="BI338" i="1" s="1"/>
  <c r="AZ258" i="1"/>
  <c r="BI258" i="1" s="1"/>
  <c r="AZ264" i="1"/>
  <c r="BI264" i="1" s="1"/>
  <c r="AZ325" i="1"/>
  <c r="BI325" i="1" s="1"/>
  <c r="AZ201" i="1"/>
  <c r="BI201" i="1" s="1"/>
  <c r="AZ158" i="1"/>
  <c r="BI158" i="1" s="1"/>
  <c r="AZ80" i="1"/>
  <c r="BI80" i="1" s="1"/>
  <c r="AZ1010" i="1"/>
  <c r="BI1010" i="1" s="1"/>
  <c r="AZ534" i="1"/>
  <c r="BI534" i="1" s="1"/>
  <c r="AZ778" i="1"/>
  <c r="BI778" i="1" s="1"/>
  <c r="AZ147" i="1"/>
  <c r="BI147" i="1" s="1"/>
  <c r="AZ322" i="1"/>
  <c r="BI322" i="1" s="1"/>
  <c r="AZ164" i="1"/>
  <c r="BI164" i="1" s="1"/>
  <c r="AZ340" i="1"/>
  <c r="BI340" i="1" s="1"/>
  <c r="AZ97" i="1"/>
  <c r="BI97" i="1" s="1"/>
  <c r="AZ118" i="1"/>
  <c r="BI118" i="1" s="1"/>
  <c r="AZ28" i="1"/>
  <c r="BI28" i="1" s="1"/>
  <c r="AZ803" i="1"/>
  <c r="BI803" i="1" s="1"/>
  <c r="AZ895" i="1"/>
  <c r="BI895" i="1" s="1"/>
  <c r="AZ574" i="1"/>
  <c r="BI574" i="1" s="1"/>
  <c r="AZ462" i="1"/>
  <c r="BI462" i="1" s="1"/>
  <c r="AZ408" i="1"/>
  <c r="BI408" i="1" s="1"/>
  <c r="AZ176" i="1"/>
  <c r="BI176" i="1" s="1"/>
  <c r="AZ230" i="1"/>
  <c r="BI230" i="1" s="1"/>
  <c r="AZ879" i="1"/>
  <c r="BI879" i="1" s="1"/>
  <c r="AZ451" i="1"/>
  <c r="BI451" i="1" s="1"/>
  <c r="AZ120" i="1"/>
  <c r="BI120" i="1" s="1"/>
  <c r="AZ793" i="1"/>
  <c r="BI793" i="1" s="1"/>
  <c r="AZ1039" i="1"/>
  <c r="BI1039" i="1" s="1"/>
  <c r="AZ383" i="1"/>
  <c r="BI383" i="1" s="1"/>
  <c r="AZ1018" i="1"/>
  <c r="BI1018" i="1" s="1"/>
  <c r="AZ859" i="1"/>
  <c r="BI859" i="1" s="1"/>
  <c r="AZ239" i="1"/>
  <c r="BI239" i="1" s="1"/>
  <c r="AZ791" i="1"/>
  <c r="BI791" i="1" s="1"/>
  <c r="AZ920" i="1"/>
  <c r="BI920" i="1" s="1"/>
  <c r="AZ397" i="1"/>
  <c r="BI397" i="1" s="1"/>
  <c r="AZ826" i="1"/>
  <c r="BI826" i="1" s="1"/>
  <c r="AZ228" i="1"/>
  <c r="BI228" i="1" s="1"/>
  <c r="AZ269" i="1"/>
  <c r="BI269" i="1" s="1"/>
  <c r="AZ99" i="1"/>
  <c r="BI99" i="1" s="1"/>
  <c r="AZ181" i="1"/>
  <c r="BI181" i="1" s="1"/>
  <c r="AZ964" i="1"/>
  <c r="BI964" i="1" s="1"/>
  <c r="AZ867" i="1"/>
  <c r="BI867" i="1" s="1"/>
  <c r="AZ626" i="1"/>
  <c r="BI626" i="1" s="1"/>
  <c r="AZ291" i="1"/>
  <c r="BI291" i="1" s="1"/>
  <c r="AZ441" i="1"/>
  <c r="BI441" i="1" s="1"/>
  <c r="AZ54" i="1"/>
  <c r="BI54" i="1" s="1"/>
  <c r="AZ763" i="1"/>
  <c r="BI763" i="1" s="1"/>
  <c r="AZ409" i="1"/>
  <c r="BI409" i="1" s="1"/>
  <c r="AZ745" i="1"/>
  <c r="BI745" i="1" s="1"/>
  <c r="AZ845" i="1"/>
  <c r="BI845" i="1" s="1"/>
  <c r="AZ609" i="1"/>
  <c r="BI609" i="1" s="1"/>
  <c r="AZ965" i="1"/>
  <c r="BI965" i="1" s="1"/>
  <c r="AZ183" i="1"/>
  <c r="BI183" i="1" s="1"/>
  <c r="AZ984" i="1"/>
  <c r="BI984" i="1" s="1"/>
  <c r="AZ725" i="1"/>
  <c r="BI725" i="1" s="1"/>
  <c r="AZ134" i="1"/>
  <c r="BI134" i="1" s="1"/>
  <c r="AZ842" i="1"/>
  <c r="BI842" i="1" s="1"/>
  <c r="AZ520" i="1"/>
  <c r="BI520" i="1" s="1"/>
  <c r="AZ669" i="1"/>
  <c r="BI669" i="1" s="1"/>
  <c r="AZ632" i="1"/>
  <c r="BI632" i="1" s="1"/>
  <c r="AZ732" i="1"/>
  <c r="BI732" i="1" s="1"/>
  <c r="AZ489" i="1"/>
  <c r="BI489" i="1" s="1"/>
  <c r="AZ262" i="1"/>
  <c r="BI262" i="1" s="1"/>
  <c r="AZ550" i="1"/>
  <c r="BI550" i="1" s="1"/>
  <c r="AZ353" i="1"/>
  <c r="BI353" i="1" s="1"/>
  <c r="AZ205" i="1"/>
  <c r="BI205" i="1" s="1"/>
  <c r="AZ124" i="1"/>
  <c r="BI124" i="1" s="1"/>
  <c r="AZ237" i="1"/>
  <c r="BI237" i="1" s="1"/>
  <c r="AZ308" i="1"/>
  <c r="BI308" i="1" s="1"/>
  <c r="AZ341" i="1"/>
  <c r="BI341" i="1" s="1"/>
  <c r="AZ62" i="1"/>
  <c r="BI62" i="1" s="1"/>
  <c r="AZ137" i="1"/>
  <c r="BI137" i="1" s="1"/>
  <c r="AZ106" i="1"/>
  <c r="BI106" i="1" s="1"/>
  <c r="AZ95" i="1"/>
  <c r="BI95" i="1" s="1"/>
  <c r="AZ1040" i="1"/>
  <c r="BI1040" i="1" s="1"/>
  <c r="AZ38" i="1"/>
  <c r="BI38" i="1" s="1"/>
  <c r="AZ83" i="1"/>
  <c r="BI83" i="1" s="1"/>
  <c r="AZ787" i="1"/>
  <c r="BI787" i="1" s="1"/>
  <c r="AZ312" i="1"/>
  <c r="BI312" i="1" s="1"/>
  <c r="AZ261" i="1"/>
  <c r="BI261" i="1" s="1"/>
  <c r="AZ536" i="1"/>
  <c r="BI536" i="1" s="1"/>
  <c r="AZ961" i="1"/>
  <c r="BI961" i="1" s="1"/>
  <c r="AZ900" i="1"/>
  <c r="BI900" i="1" s="1"/>
  <c r="AZ800" i="1"/>
  <c r="BI800" i="1" s="1"/>
  <c r="AZ855" i="1"/>
  <c r="BI855" i="1" s="1"/>
  <c r="AZ455" i="1"/>
  <c r="BI455" i="1" s="1"/>
  <c r="AZ387" i="1"/>
  <c r="BI387" i="1" s="1"/>
  <c r="AZ752" i="1"/>
  <c r="BI752" i="1" s="1"/>
  <c r="AZ177" i="1"/>
  <c r="BI177" i="1" s="1"/>
  <c r="AZ506" i="1"/>
  <c r="BI506" i="1" s="1"/>
  <c r="AZ58" i="1"/>
  <c r="BI58" i="1" s="1"/>
  <c r="AZ834" i="1"/>
  <c r="BI834" i="1" s="1"/>
  <c r="AZ268" i="1"/>
  <c r="BI268" i="1" s="1"/>
  <c r="AZ994" i="1"/>
  <c r="BI994" i="1" s="1"/>
  <c r="AZ61" i="1"/>
  <c r="BI61" i="1" s="1"/>
  <c r="AZ531" i="1"/>
  <c r="BI531" i="1" s="1"/>
  <c r="AZ453" i="1"/>
  <c r="BI453" i="1" s="1"/>
  <c r="AZ655" i="1"/>
  <c r="BI655" i="1" s="1"/>
  <c r="AZ614" i="1"/>
  <c r="BI614" i="1" s="1"/>
  <c r="AZ999" i="1"/>
  <c r="BI999" i="1" s="1"/>
  <c r="AZ523" i="1"/>
  <c r="BI523" i="1" s="1"/>
  <c r="AZ775" i="1"/>
  <c r="BI775" i="1" s="1"/>
  <c r="AZ593" i="1"/>
  <c r="BI593" i="1" s="1"/>
  <c r="AZ310" i="1"/>
  <c r="BI310" i="1" s="1"/>
  <c r="AZ27" i="1"/>
  <c r="BI27" i="1" s="1"/>
  <c r="AZ197" i="1"/>
  <c r="BI197" i="1" s="1"/>
  <c r="AZ67" i="1"/>
  <c r="BI67" i="1" s="1"/>
  <c r="AZ670" i="1"/>
  <c r="BI670" i="1" s="1"/>
  <c r="AZ334" i="1"/>
  <c r="BI334" i="1" s="1"/>
  <c r="AZ367" i="1"/>
  <c r="BI367" i="1" s="1"/>
  <c r="AZ143" i="1"/>
  <c r="BI143" i="1" s="1"/>
  <c r="AZ71" i="1"/>
  <c r="BI71" i="1" s="1"/>
  <c r="AZ439" i="1"/>
  <c r="BI439" i="1" s="1"/>
  <c r="AZ846" i="1"/>
  <c r="BI846" i="1" s="1"/>
  <c r="AZ326" i="1"/>
  <c r="BI326" i="1" s="1"/>
  <c r="AZ744" i="1"/>
  <c r="BI744" i="1" s="1"/>
  <c r="AZ639" i="1"/>
  <c r="BI639" i="1" s="1"/>
  <c r="AZ782" i="1"/>
  <c r="BI782" i="1" s="1"/>
  <c r="AZ582" i="1"/>
  <c r="BI582" i="1" s="1"/>
  <c r="AZ424" i="1"/>
  <c r="BI424" i="1" s="1"/>
  <c r="AZ42" i="1"/>
  <c r="BI42" i="1" s="1"/>
  <c r="AZ1006" i="1"/>
  <c r="BI1006" i="1" s="1"/>
  <c r="AZ45" i="1"/>
  <c r="BI45" i="1" s="1"/>
  <c r="AZ948" i="1"/>
  <c r="BI948" i="1" s="1"/>
  <c r="AZ1044" i="1"/>
  <c r="BI1044" i="1" s="1"/>
  <c r="AZ278" i="1"/>
  <c r="BI278" i="1" s="1"/>
  <c r="AZ509" i="1"/>
  <c r="BI509" i="1" s="1"/>
  <c r="AZ997" i="1"/>
  <c r="BI997" i="1" s="1"/>
  <c r="AZ902" i="1"/>
  <c r="BI902" i="1" s="1"/>
  <c r="AZ850" i="1"/>
  <c r="BI850" i="1" s="1"/>
  <c r="AZ815" i="1"/>
  <c r="BI815" i="1" s="1"/>
  <c r="AZ647" i="1"/>
  <c r="BI647" i="1" s="1"/>
  <c r="AZ519" i="1"/>
  <c r="BI519" i="1" s="1"/>
  <c r="AZ719" i="1"/>
  <c r="BI719" i="1" s="1"/>
  <c r="AZ871" i="1"/>
  <c r="BI871" i="1" s="1"/>
  <c r="AZ388" i="1"/>
  <c r="BI388" i="1" s="1"/>
  <c r="AZ434" i="1"/>
  <c r="BI434" i="1" s="1"/>
  <c r="AZ34" i="1"/>
  <c r="BI34" i="1" s="1"/>
  <c r="AZ329" i="1"/>
  <c r="BI329" i="1" s="1"/>
  <c r="AZ929" i="1"/>
  <c r="BI929" i="1" s="1"/>
  <c r="AZ236" i="1"/>
  <c r="BI236" i="1" s="1"/>
  <c r="AZ930" i="1"/>
  <c r="BI930" i="1" s="1"/>
  <c r="AZ182" i="1"/>
  <c r="BI182" i="1" s="1"/>
  <c r="AZ818" i="1"/>
  <c r="BI818" i="1" s="1"/>
  <c r="AZ596" i="1"/>
  <c r="BI596" i="1" s="1"/>
  <c r="AZ350" i="1"/>
  <c r="BI350" i="1" s="1"/>
  <c r="AZ906" i="1"/>
  <c r="BI906" i="1" s="1"/>
  <c r="AZ492" i="1"/>
  <c r="BI492" i="1" s="1"/>
  <c r="AZ759" i="1"/>
  <c r="BI759" i="1" s="1"/>
  <c r="AZ977" i="1"/>
  <c r="BI977" i="1" s="1"/>
  <c r="AZ212" i="1"/>
  <c r="BI212" i="1" s="1"/>
  <c r="AZ805" i="1"/>
  <c r="BI805" i="1" s="1"/>
  <c r="AZ504" i="1"/>
  <c r="BI504" i="1" s="1"/>
  <c r="AZ691" i="1"/>
  <c r="BI691" i="1" s="1"/>
  <c r="AZ459" i="1"/>
  <c r="BI459" i="1" s="1"/>
  <c r="AZ131" i="1"/>
  <c r="BI131" i="1" s="1"/>
  <c r="AZ874" i="1"/>
  <c r="BI874" i="1" s="1"/>
  <c r="AZ314" i="1"/>
  <c r="BI314" i="1" s="1"/>
  <c r="AZ282" i="1"/>
  <c r="BI282" i="1" s="1"/>
  <c r="AZ202" i="1"/>
  <c r="BI202" i="1" s="1"/>
  <c r="AZ91" i="1"/>
  <c r="BI91" i="1" s="1"/>
  <c r="AZ975" i="1"/>
  <c r="BI975" i="1" s="1"/>
  <c r="AZ359" i="1"/>
  <c r="BI359" i="1" s="1"/>
  <c r="AZ808" i="1"/>
  <c r="BI808" i="1" s="1"/>
  <c r="AZ487" i="1"/>
  <c r="BI487" i="1" s="1"/>
  <c r="AZ389" i="1"/>
  <c r="BI389" i="1" s="1"/>
  <c r="AZ1020" i="1"/>
  <c r="BI1020" i="1" s="1"/>
  <c r="AZ757" i="1"/>
  <c r="BI757" i="1" s="1"/>
  <c r="AZ933" i="1"/>
  <c r="BI933" i="1" s="1"/>
  <c r="AZ581" i="1"/>
  <c r="BI581" i="1" s="1"/>
  <c r="AZ876" i="1"/>
  <c r="BI876" i="1" s="1"/>
  <c r="AZ521" i="1"/>
  <c r="BI521" i="1" s="1"/>
  <c r="AZ949" i="1"/>
  <c r="BI949" i="1" s="1"/>
  <c r="AZ85" i="1"/>
  <c r="BI85" i="1" s="1"/>
  <c r="AZ430" i="1"/>
  <c r="BI430" i="1" s="1"/>
  <c r="AZ806" i="1"/>
  <c r="BI806" i="1" s="1"/>
  <c r="AZ962" i="1"/>
  <c r="BI962" i="1" s="1"/>
  <c r="AZ512" i="1"/>
  <c r="BI512" i="1" s="1"/>
  <c r="AZ432" i="1"/>
  <c r="BI432" i="1" s="1"/>
  <c r="AZ270" i="1"/>
  <c r="BI270" i="1" s="1"/>
  <c r="AZ390" i="1"/>
  <c r="BI390" i="1" s="1"/>
  <c r="AZ76" i="1"/>
  <c r="BI76" i="1" s="1"/>
  <c r="AZ281" i="1"/>
  <c r="BI281" i="1" s="1"/>
  <c r="AZ317" i="1"/>
  <c r="BI317" i="1" s="1"/>
  <c r="AZ77" i="1"/>
  <c r="BI77" i="1" s="1"/>
  <c r="AZ138" i="1"/>
  <c r="BI138" i="1" s="1"/>
  <c r="AZ220" i="1"/>
  <c r="BI220" i="1" s="1"/>
  <c r="AZ193" i="1"/>
  <c r="BI193" i="1" s="1"/>
  <c r="AZ52" i="1"/>
  <c r="BI52" i="1" s="1"/>
  <c r="W261" i="1"/>
  <c r="W1038" i="1"/>
  <c r="U398" i="1"/>
  <c r="V398" i="1" s="1"/>
  <c r="W863" i="1"/>
  <c r="U732" i="1"/>
  <c r="V732" i="1" s="1"/>
  <c r="U875" i="1"/>
  <c r="V875" i="1" s="1"/>
  <c r="U525" i="1"/>
  <c r="V525" i="1" s="1"/>
  <c r="U441" i="1"/>
  <c r="V441" i="1" s="1"/>
  <c r="U367" i="1"/>
  <c r="V367" i="1" s="1"/>
  <c r="U806" i="1"/>
  <c r="V806" i="1" s="1"/>
  <c r="U520" i="1"/>
  <c r="V520" i="1" s="1"/>
  <c r="U702" i="1"/>
  <c r="V702" i="1" s="1"/>
  <c r="U177" i="1"/>
  <c r="V177" i="1" s="1"/>
  <c r="U541" i="1"/>
  <c r="V541" i="1" s="1"/>
  <c r="U789" i="1"/>
  <c r="V789" i="1" s="1"/>
  <c r="U396" i="1"/>
  <c r="V396" i="1" s="1"/>
  <c r="AZ458" i="1"/>
  <c r="BI458" i="1" s="1"/>
  <c r="AZ804" i="1"/>
  <c r="BI804" i="1" s="1"/>
  <c r="AZ950" i="1"/>
  <c r="BI950" i="1" s="1"/>
  <c r="AZ469" i="1"/>
  <c r="BI469" i="1" s="1"/>
  <c r="AZ642" i="1"/>
  <c r="BI642" i="1" s="1"/>
  <c r="AZ249" i="1"/>
  <c r="BI249" i="1" s="1"/>
  <c r="AZ535" i="1"/>
  <c r="BI535" i="1" s="1"/>
  <c r="AZ925" i="1"/>
  <c r="BI925" i="1" s="1"/>
  <c r="AZ256" i="1"/>
  <c r="BI256" i="1" s="1"/>
  <c r="AZ579" i="1"/>
  <c r="BI579" i="1" s="1"/>
  <c r="AZ496" i="1"/>
  <c r="BI496" i="1" s="1"/>
  <c r="AZ1035" i="1"/>
  <c r="BI1035" i="1" s="1"/>
  <c r="AZ903" i="1"/>
  <c r="BI903" i="1" s="1"/>
  <c r="AZ404" i="1"/>
  <c r="BI404" i="1" s="1"/>
  <c r="AZ352" i="1"/>
  <c r="BI352" i="1" s="1"/>
  <c r="AZ968" i="1"/>
  <c r="BI968" i="1" s="1"/>
  <c r="AZ843" i="1"/>
  <c r="BI843" i="1" s="1"/>
  <c r="AZ454" i="1"/>
  <c r="BI454" i="1" s="1"/>
  <c r="AZ750" i="1"/>
  <c r="BI750" i="1" s="1"/>
  <c r="AZ53" i="1"/>
  <c r="BI53" i="1" s="1"/>
  <c r="AZ644" i="1"/>
  <c r="BI644" i="1" s="1"/>
  <c r="AZ830" i="1"/>
  <c r="BI830" i="1" s="1"/>
  <c r="AZ313" i="1"/>
  <c r="BI313" i="1" s="1"/>
  <c r="AZ217" i="1"/>
  <c r="BI217" i="1" s="1"/>
  <c r="AZ425" i="1"/>
  <c r="BI425" i="1" s="1"/>
  <c r="AZ411" i="1"/>
  <c r="BI411" i="1" s="1"/>
  <c r="AZ662" i="1"/>
  <c r="BI662" i="1" s="1"/>
  <c r="AZ739" i="1"/>
  <c r="BI739" i="1" s="1"/>
  <c r="AZ851" i="1"/>
  <c r="BI851" i="1" s="1"/>
  <c r="AZ857" i="1"/>
  <c r="BI857" i="1" s="1"/>
  <c r="AZ781" i="1"/>
  <c r="BI781" i="1" s="1"/>
  <c r="AZ527" i="1"/>
  <c r="BI527" i="1" s="1"/>
  <c r="AZ971" i="1"/>
  <c r="BI971" i="1" s="1"/>
  <c r="AZ839" i="1"/>
  <c r="BI839" i="1" s="1"/>
  <c r="AZ128" i="1"/>
  <c r="BI128" i="1" s="1"/>
  <c r="AZ431" i="1"/>
  <c r="BI431" i="1" s="1"/>
  <c r="AZ1015" i="1"/>
  <c r="BI1015" i="1" s="1"/>
  <c r="AZ784" i="1"/>
  <c r="BI784" i="1" s="1"/>
  <c r="AZ26" i="1"/>
  <c r="BI26" i="1" s="1"/>
  <c r="AZ683" i="1"/>
  <c r="BI683" i="1" s="1"/>
  <c r="AZ802" i="1"/>
  <c r="BI802" i="1" s="1"/>
  <c r="AZ552" i="1"/>
  <c r="BI552" i="1" s="1"/>
  <c r="AZ627" i="1"/>
  <c r="BI627" i="1" s="1"/>
  <c r="AZ465" i="1"/>
  <c r="BI465" i="1" s="1"/>
  <c r="AZ497" i="1"/>
  <c r="BI497" i="1" s="1"/>
  <c r="AZ260" i="1"/>
  <c r="BI260" i="1" s="1"/>
  <c r="AZ259" i="1"/>
  <c r="BI259" i="1" s="1"/>
  <c r="AZ811" i="1"/>
  <c r="BI811" i="1" s="1"/>
  <c r="AZ339" i="1"/>
  <c r="BI339" i="1" s="1"/>
  <c r="AZ274" i="1"/>
  <c r="BI274" i="1" s="1"/>
  <c r="AZ529" i="1"/>
  <c r="BI529" i="1" s="1"/>
  <c r="AZ885" i="1"/>
  <c r="BI885" i="1" s="1"/>
  <c r="AZ1021" i="1"/>
  <c r="BI1021" i="1" s="1"/>
  <c r="AZ584" i="1"/>
  <c r="BI584" i="1" s="1"/>
  <c r="AZ630" i="1"/>
  <c r="BI630" i="1" s="1"/>
  <c r="AZ756" i="1"/>
  <c r="BI756" i="1" s="1"/>
  <c r="AZ29" i="1"/>
  <c r="BI29" i="1" s="1"/>
  <c r="W716" i="1"/>
  <c r="U668" i="1"/>
  <c r="V668" i="1" s="1"/>
  <c r="W998" i="1"/>
  <c r="U369" i="1"/>
  <c r="V369" i="1" s="1"/>
  <c r="U564" i="1"/>
  <c r="V564" i="1" s="1"/>
  <c r="U540" i="1"/>
  <c r="V540" i="1" s="1"/>
  <c r="U268" i="1"/>
  <c r="V268" i="1" s="1"/>
  <c r="W786" i="1"/>
  <c r="U390" i="1"/>
  <c r="V390" i="1" s="1"/>
  <c r="W304" i="1"/>
  <c r="U251" i="1"/>
  <c r="V251" i="1" s="1"/>
  <c r="U752" i="1"/>
  <c r="V752" i="1" s="1"/>
  <c r="U348" i="1"/>
  <c r="V348" i="1" s="1"/>
  <c r="U335" i="1"/>
  <c r="V335" i="1" s="1"/>
  <c r="U954" i="1"/>
  <c r="V954" i="1" s="1"/>
  <c r="U546" i="1"/>
  <c r="V546" i="1" s="1"/>
  <c r="U508" i="1"/>
  <c r="V508" i="1" s="1"/>
  <c r="U235" i="1"/>
  <c r="V235" i="1" s="1"/>
  <c r="U437" i="1"/>
  <c r="V437" i="1" s="1"/>
  <c r="U812" i="1"/>
  <c r="V812" i="1" s="1"/>
  <c r="U193" i="1"/>
  <c r="V193" i="1" s="1"/>
  <c r="U909" i="1"/>
  <c r="V909" i="1" s="1"/>
  <c r="U865" i="1"/>
  <c r="V865" i="1" s="1"/>
  <c r="U58" i="1"/>
  <c r="V58" i="1" s="1"/>
  <c r="U568" i="1"/>
  <c r="V568" i="1" s="1"/>
  <c r="U293" i="1"/>
  <c r="V293" i="1" s="1"/>
  <c r="U640" i="1"/>
  <c r="V640" i="1" s="1"/>
  <c r="U506" i="1"/>
  <c r="V506" i="1" s="1"/>
  <c r="U860" i="1"/>
  <c r="V860" i="1" s="1"/>
  <c r="W585" i="1"/>
  <c r="U797" i="1"/>
  <c r="V797" i="1" s="1"/>
  <c r="W770" i="1"/>
  <c r="U834" i="1"/>
  <c r="V834" i="1" s="1"/>
  <c r="U430" i="1"/>
  <c r="V430" i="1" s="1"/>
  <c r="AZ551" i="1"/>
  <c r="BI551" i="1" s="1"/>
  <c r="AZ899" i="1"/>
  <c r="BI899" i="1" s="1"/>
  <c r="AZ1024" i="1"/>
  <c r="BI1024" i="1" s="1"/>
  <c r="AZ835" i="1"/>
  <c r="BI835" i="1" s="1"/>
  <c r="AZ402" i="1"/>
  <c r="BI402" i="1" s="1"/>
  <c r="AZ378" i="1"/>
  <c r="BI378" i="1" s="1"/>
  <c r="AZ653" i="1"/>
  <c r="BI653" i="1" s="1"/>
  <c r="AZ148" i="1"/>
  <c r="BI148" i="1" s="1"/>
  <c r="AZ564" i="1"/>
  <c r="BI564" i="1" s="1"/>
  <c r="AZ522" i="1"/>
  <c r="BI522" i="1" s="1"/>
  <c r="AZ311" i="1"/>
  <c r="BI311" i="1" s="1"/>
  <c r="AZ570" i="1"/>
  <c r="BI570" i="1" s="1"/>
  <c r="AZ768" i="1"/>
  <c r="BI768" i="1" s="1"/>
  <c r="AZ345" i="1"/>
  <c r="BI345" i="1" s="1"/>
  <c r="AZ240" i="1"/>
  <c r="BI240" i="1" s="1"/>
  <c r="AZ427" i="1"/>
  <c r="BI427" i="1" s="1"/>
  <c r="AZ327" i="1"/>
  <c r="BI327" i="1" s="1"/>
  <c r="AZ484" i="1"/>
  <c r="BI484" i="1" s="1"/>
  <c r="AZ78" i="1"/>
  <c r="BI78" i="1" s="1"/>
  <c r="AZ136" i="1"/>
  <c r="BI136" i="1" s="1"/>
  <c r="AZ892" i="1"/>
  <c r="BI892" i="1" s="1"/>
  <c r="AZ1001" i="1"/>
  <c r="BI1001" i="1" s="1"/>
  <c r="AZ733" i="1"/>
  <c r="BI733" i="1" s="1"/>
  <c r="AZ495" i="1"/>
  <c r="BI495" i="1" s="1"/>
  <c r="AZ917" i="1"/>
  <c r="BI917" i="1" s="1"/>
  <c r="AZ108" i="1"/>
  <c r="BI108" i="1" s="1"/>
  <c r="AZ706" i="1"/>
  <c r="BI706" i="1" s="1"/>
  <c r="AZ466" i="1"/>
  <c r="BI466" i="1" s="1"/>
  <c r="AZ203" i="1"/>
  <c r="BI203" i="1" s="1"/>
  <c r="AZ608" i="1"/>
  <c r="BI608" i="1" s="1"/>
  <c r="AZ180" i="1"/>
  <c r="BI180" i="1" s="1"/>
  <c r="AZ545" i="1"/>
  <c r="BI545" i="1" s="1"/>
  <c r="AZ415" i="1"/>
  <c r="BI415" i="1" s="1"/>
  <c r="AZ1014" i="1"/>
  <c r="BI1014" i="1" s="1"/>
  <c r="AZ760" i="1"/>
  <c r="BI760" i="1" s="1"/>
  <c r="AZ343" i="1"/>
  <c r="BI343" i="1" s="1"/>
  <c r="AZ657" i="1"/>
  <c r="BI657" i="1" s="1"/>
  <c r="AZ629" i="1"/>
  <c r="BI629" i="1" s="1"/>
  <c r="AZ517" i="1"/>
  <c r="BI517" i="1" s="1"/>
  <c r="AZ543" i="1"/>
  <c r="BI543" i="1" s="1"/>
  <c r="AZ737" i="1"/>
  <c r="BI737" i="1" s="1"/>
  <c r="AZ68" i="1"/>
  <c r="BI68" i="1" s="1"/>
  <c r="AZ813" i="1"/>
  <c r="BI813" i="1" s="1"/>
  <c r="AZ969" i="1"/>
  <c r="BI969" i="1" s="1"/>
  <c r="AZ537" i="1"/>
  <c r="BI537" i="1" s="1"/>
  <c r="AZ1013" i="1"/>
  <c r="BI1013" i="1" s="1"/>
  <c r="AZ758" i="1"/>
  <c r="BI758" i="1" s="1"/>
  <c r="AZ767" i="1"/>
  <c r="BI767" i="1" s="1"/>
  <c r="AZ221" i="1"/>
  <c r="BI221" i="1" s="1"/>
  <c r="AZ474" i="1"/>
  <c r="BI474" i="1" s="1"/>
  <c r="AZ560" i="1"/>
  <c r="BI560" i="1" s="1"/>
  <c r="AZ393" i="1"/>
  <c r="BI393" i="1" s="1"/>
  <c r="AZ436" i="1"/>
  <c r="BI436" i="1" s="1"/>
  <c r="AZ405" i="1"/>
  <c r="BI405" i="1" s="1"/>
  <c r="AZ445" i="1"/>
  <c r="BI445" i="1" s="1"/>
  <c r="AZ204" i="1"/>
  <c r="BI204" i="1" s="1"/>
  <c r="AZ297" i="1"/>
  <c r="BI297" i="1" s="1"/>
  <c r="AZ145" i="1"/>
  <c r="BI145" i="1" s="1"/>
  <c r="AZ30" i="1"/>
  <c r="BI30" i="1" s="1"/>
  <c r="AZ173" i="1"/>
  <c r="BI173" i="1" s="1"/>
  <c r="AZ105" i="1"/>
  <c r="BI105" i="1" s="1"/>
  <c r="AZ72" i="1"/>
  <c r="BI72" i="1" s="1"/>
  <c r="AZ60" i="1"/>
  <c r="BI60" i="1" s="1"/>
  <c r="AZ500" i="1"/>
  <c r="BI500" i="1" s="1"/>
  <c r="AZ94" i="1"/>
  <c r="BI94" i="1" s="1"/>
  <c r="AZ178" i="1"/>
  <c r="BI178" i="1" s="1"/>
  <c r="AZ218" i="1"/>
  <c r="BI218" i="1" s="1"/>
  <c r="AZ48" i="1"/>
  <c r="BI48" i="1" s="1"/>
  <c r="AZ35" i="1"/>
  <c r="BI35" i="1" s="1"/>
  <c r="AZ44" i="1"/>
  <c r="BI44" i="1" s="1"/>
  <c r="AZ289" i="1"/>
  <c r="BI289" i="1" s="1"/>
  <c r="AZ93" i="1"/>
  <c r="BI93" i="1" s="1"/>
  <c r="AZ50" i="1"/>
  <c r="BI50" i="1" s="1"/>
  <c r="AZ915" i="1"/>
  <c r="BI915" i="1" s="1"/>
  <c r="AZ135" i="1"/>
  <c r="BI135" i="1" s="1"/>
  <c r="AZ599" i="1"/>
  <c r="BI599" i="1" s="1"/>
  <c r="AZ376" i="1"/>
  <c r="BI376" i="1" s="1"/>
  <c r="AZ449" i="1"/>
  <c r="BI449" i="1" s="1"/>
  <c r="AZ229" i="1"/>
  <c r="BI229" i="1" s="1"/>
  <c r="AZ486" i="1"/>
  <c r="BI486" i="1" s="1"/>
  <c r="AZ877" i="1"/>
  <c r="BI877" i="1" s="1"/>
  <c r="AZ605" i="1"/>
  <c r="BI605" i="1" s="1"/>
  <c r="AZ686" i="1"/>
  <c r="BI686" i="1" s="1"/>
  <c r="AZ349" i="1"/>
  <c r="BI349" i="1" s="1"/>
  <c r="AZ357" i="1"/>
  <c r="BI357" i="1" s="1"/>
  <c r="AZ370" i="1"/>
  <c r="BI370" i="1" s="1"/>
  <c r="AZ831" i="1"/>
  <c r="BI831" i="1" s="1"/>
  <c r="AZ748" i="1"/>
  <c r="BI748" i="1" s="1"/>
  <c r="AZ600" i="1"/>
  <c r="BI600" i="1" s="1"/>
  <c r="AZ708" i="1"/>
  <c r="BI708" i="1" s="1"/>
  <c r="AZ423" i="1"/>
  <c r="BI423" i="1" s="1"/>
  <c r="AZ499" i="1"/>
  <c r="BI499" i="1" s="1"/>
  <c r="AZ586" i="1"/>
  <c r="BI586" i="1" s="1"/>
  <c r="AZ266" i="1"/>
  <c r="BI266" i="1" s="1"/>
  <c r="AZ435" i="1"/>
  <c r="BI435" i="1" s="1"/>
  <c r="AZ463" i="1"/>
  <c r="BI463" i="1" s="1"/>
  <c r="AZ123" i="1"/>
  <c r="BI123" i="1" s="1"/>
  <c r="AZ333" i="1"/>
  <c r="BI333" i="1" s="1"/>
  <c r="AZ301" i="1"/>
  <c r="BI301" i="1" s="1"/>
  <c r="AZ275" i="1"/>
  <c r="BI275" i="1" s="1"/>
  <c r="AZ546" i="1"/>
  <c r="BI546" i="1" s="1"/>
  <c r="AZ954" i="1"/>
  <c r="BI954" i="1" s="1"/>
  <c r="AZ797" i="1"/>
  <c r="BI797" i="1" s="1"/>
  <c r="AZ115" i="1"/>
  <c r="BI115" i="1" s="1"/>
  <c r="AZ245" i="1"/>
  <c r="BI245" i="1" s="1"/>
  <c r="AZ33" i="1"/>
  <c r="BI33" i="1" s="1"/>
  <c r="AZ66" i="1"/>
  <c r="BI66" i="1" s="1"/>
  <c r="AZ704" i="1"/>
  <c r="BI704" i="1" s="1"/>
  <c r="AZ875" i="1"/>
  <c r="BI875" i="1" s="1"/>
  <c r="AZ728" i="1"/>
  <c r="BI728" i="1" s="1"/>
  <c r="AZ747" i="1"/>
  <c r="BI747" i="1" s="1"/>
  <c r="AZ224" i="1"/>
  <c r="BI224" i="1" s="1"/>
  <c r="AZ923" i="1"/>
  <c r="BI923" i="1" s="1"/>
  <c r="AZ873" i="1"/>
  <c r="BI873" i="1" s="1"/>
  <c r="AZ937" i="1"/>
  <c r="BI937" i="1" s="1"/>
  <c r="AZ577" i="1"/>
  <c r="BI577" i="1" s="1"/>
  <c r="AZ837" i="1"/>
  <c r="BI837" i="1" s="1"/>
  <c r="AZ645" i="1"/>
  <c r="BI645" i="1" s="1"/>
  <c r="AZ941" i="1"/>
  <c r="BI941" i="1" s="1"/>
  <c r="AZ749" i="1"/>
  <c r="BI749" i="1" s="1"/>
  <c r="AZ940" i="1"/>
  <c r="BI940" i="1" s="1"/>
  <c r="AZ617" i="1"/>
  <c r="BI617" i="1" s="1"/>
  <c r="AZ901" i="1"/>
  <c r="BI901" i="1" s="1"/>
  <c r="AZ540" i="1"/>
  <c r="BI540" i="1" s="1"/>
  <c r="AZ738" i="1"/>
  <c r="BI738" i="1" s="1"/>
  <c r="AZ844" i="1"/>
  <c r="BI844" i="1" s="1"/>
  <c r="AZ650" i="1"/>
  <c r="BI650" i="1" s="1"/>
  <c r="AZ707" i="1"/>
  <c r="BI707" i="1" s="1"/>
  <c r="AZ689" i="1"/>
  <c r="BI689" i="1" s="1"/>
  <c r="AZ437" i="1"/>
  <c r="BI437" i="1" s="1"/>
  <c r="AZ1042" i="1"/>
  <c r="BI1042" i="1" s="1"/>
  <c r="AZ188" i="1"/>
  <c r="BI188" i="1" s="1"/>
  <c r="AZ214" i="1"/>
  <c r="BI214" i="1" s="1"/>
  <c r="AZ189" i="1"/>
  <c r="BI189" i="1" s="1"/>
  <c r="AZ153" i="1"/>
  <c r="BI153" i="1" s="1"/>
  <c r="AZ146" i="1"/>
  <c r="BI146" i="1" s="1"/>
  <c r="AZ1041" i="1"/>
  <c r="BI1041" i="1" s="1"/>
  <c r="AZ75" i="1"/>
  <c r="BI75" i="1" s="1"/>
  <c r="AZ505" i="1"/>
  <c r="BI505" i="1" s="1"/>
  <c r="AZ652" i="1"/>
  <c r="BI652" i="1" s="1"/>
  <c r="AZ710" i="1"/>
  <c r="BI710" i="1" s="1"/>
  <c r="AZ366" i="1"/>
  <c r="BI366" i="1" s="1"/>
  <c r="AZ288" i="1"/>
  <c r="BI288" i="1" s="1"/>
  <c r="AZ170" i="1"/>
  <c r="BI170" i="1" s="1"/>
  <c r="AZ1037" i="1"/>
  <c r="BI1037" i="1" s="1"/>
  <c r="AZ163" i="1"/>
  <c r="BI163" i="1" s="1"/>
  <c r="AZ46" i="1"/>
  <c r="BI46" i="1" s="1"/>
  <c r="AZ132" i="1"/>
  <c r="BI132" i="1" s="1"/>
  <c r="AZ186" i="1"/>
  <c r="BI186" i="1" s="1"/>
  <c r="AZ702" i="1"/>
  <c r="BI702" i="1" s="1"/>
  <c r="AZ422" i="1"/>
  <c r="BI422" i="1" s="1"/>
  <c r="AZ947" i="1"/>
  <c r="BI947" i="1" s="1"/>
  <c r="AZ476" i="1"/>
  <c r="BI476" i="1" s="1"/>
  <c r="AZ886" i="1"/>
  <c r="BI886" i="1" s="1"/>
  <c r="AZ755" i="1"/>
  <c r="BI755" i="1" s="1"/>
  <c r="AZ788" i="1"/>
  <c r="BI788" i="1" s="1"/>
  <c r="AZ774" i="1"/>
  <c r="BI774" i="1" s="1"/>
  <c r="AZ963" i="1"/>
  <c r="BI963" i="1" s="1"/>
  <c r="AZ494" i="1"/>
  <c r="BI494" i="1" s="1"/>
  <c r="AZ471" i="1"/>
  <c r="BI471" i="1" s="1"/>
  <c r="AZ81" i="1"/>
  <c r="BI81" i="1" s="1"/>
  <c r="AZ65" i="1"/>
  <c r="BI65" i="1" s="1"/>
  <c r="AZ272" i="1"/>
  <c r="BI272" i="1" s="1"/>
  <c r="AZ974" i="1"/>
  <c r="BI974" i="1" s="1"/>
  <c r="AZ882" i="1"/>
  <c r="BI882" i="1" s="1"/>
  <c r="AZ786" i="1"/>
  <c r="BI786" i="1" s="1"/>
  <c r="AZ399" i="1"/>
  <c r="BI399" i="1" s="1"/>
  <c r="AZ572" i="1"/>
  <c r="BI572" i="1" s="1"/>
  <c r="AZ223" i="1"/>
  <c r="BI223" i="1" s="1"/>
  <c r="AZ103" i="1"/>
  <c r="BI103" i="1" s="1"/>
  <c r="AZ480" i="1"/>
  <c r="BI480" i="1" s="1"/>
  <c r="AZ801" i="1"/>
  <c r="BI801" i="1" s="1"/>
  <c r="AZ730" i="1"/>
  <c r="BI730" i="1" s="1"/>
  <c r="AZ243" i="1"/>
  <c r="BI243" i="1" s="1"/>
  <c r="AZ625" i="1"/>
  <c r="BI625" i="1" s="1"/>
  <c r="AZ513" i="1"/>
  <c r="BI513" i="1" s="1"/>
  <c r="AZ450" i="1"/>
  <c r="BI450" i="1" s="1"/>
  <c r="AZ594" i="1"/>
  <c r="BI594" i="1" s="1"/>
  <c r="AZ69" i="1"/>
  <c r="BI69" i="1" s="1"/>
  <c r="AZ336" i="1"/>
  <c r="BI336" i="1" s="1"/>
  <c r="AZ924" i="1"/>
  <c r="BI924" i="1" s="1"/>
  <c r="AZ199" i="1"/>
  <c r="BI199" i="1" s="1"/>
  <c r="AZ226" i="1"/>
  <c r="BI226" i="1" s="1"/>
  <c r="AZ673" i="1"/>
  <c r="BI673" i="1" s="1"/>
  <c r="AZ194" i="1"/>
  <c r="BI194" i="1" s="1"/>
  <c r="AZ891" i="1"/>
  <c r="BI891" i="1" s="1"/>
  <c r="AZ861" i="1"/>
  <c r="BI861" i="1" s="1"/>
  <c r="AZ565" i="1"/>
  <c r="BI565" i="1" s="1"/>
  <c r="AZ438" i="1"/>
  <c r="BI438" i="1" s="1"/>
  <c r="AZ414" i="1"/>
  <c r="BI414" i="1" s="1"/>
  <c r="AZ1017" i="1"/>
  <c r="BI1017" i="1" s="1"/>
  <c r="AZ676" i="1"/>
  <c r="BI676" i="1" s="1"/>
  <c r="AZ1025" i="1"/>
  <c r="BI1025" i="1" s="1"/>
  <c r="AZ777" i="1"/>
  <c r="BI777" i="1" s="1"/>
  <c r="AZ908" i="1"/>
  <c r="BI908" i="1" s="1"/>
  <c r="AZ754" i="1"/>
  <c r="BI754" i="1" s="1"/>
  <c r="AZ656" i="1"/>
  <c r="BI656" i="1" s="1"/>
  <c r="AZ720" i="1"/>
  <c r="BI720" i="1" s="1"/>
  <c r="AZ868" i="1"/>
  <c r="BI868" i="1" s="1"/>
  <c r="AZ631" i="1"/>
  <c r="BI631" i="1" s="1"/>
  <c r="AZ567" i="1"/>
  <c r="BI567" i="1" s="1"/>
  <c r="AZ637" i="1"/>
  <c r="BI637" i="1" s="1"/>
  <c r="AZ590" i="1"/>
  <c r="BI590" i="1" s="1"/>
  <c r="AZ464" i="1"/>
  <c r="BI464" i="1" s="1"/>
  <c r="AZ1033" i="1"/>
  <c r="BI1033" i="1" s="1"/>
  <c r="AZ684" i="1"/>
  <c r="BI684" i="1" s="1"/>
  <c r="AZ640" i="1"/>
  <c r="BI640" i="1" s="1"/>
  <c r="AZ36" i="1"/>
  <c r="BI36" i="1" s="1"/>
  <c r="AZ928" i="1"/>
  <c r="BI928" i="1" s="1"/>
  <c r="AZ866" i="1"/>
  <c r="BI866" i="1" s="1"/>
  <c r="AZ391" i="1"/>
  <c r="BI391" i="1" s="1"/>
  <c r="AZ242" i="1"/>
  <c r="BI242" i="1" s="1"/>
  <c r="AZ946" i="1"/>
  <c r="BI946" i="1" s="1"/>
  <c r="AZ568" i="1"/>
  <c r="BI568" i="1" s="1"/>
  <c r="AZ736" i="1"/>
  <c r="BI736" i="1" s="1"/>
  <c r="AZ396" i="1"/>
  <c r="BI396" i="1" s="1"/>
  <c r="AZ1032" i="1"/>
  <c r="BI1032" i="1" s="1"/>
  <c r="AZ1027" i="1"/>
  <c r="BI1027" i="1" s="1"/>
  <c r="AZ209" i="1"/>
  <c r="BI209" i="1" s="1"/>
  <c r="AZ854" i="1"/>
  <c r="BI854" i="1" s="1"/>
  <c r="AZ250" i="1"/>
  <c r="BI250" i="1" s="1"/>
  <c r="AZ406" i="1"/>
  <c r="BI406" i="1" s="1"/>
  <c r="AZ870" i="1"/>
  <c r="BI870" i="1" s="1"/>
  <c r="AZ671" i="1"/>
  <c r="BI671" i="1" s="1"/>
  <c r="AZ919" i="1"/>
  <c r="BI919" i="1" s="1"/>
  <c r="AZ970" i="1"/>
  <c r="BI970" i="1" s="1"/>
  <c r="AZ507" i="1"/>
  <c r="BI507" i="1" s="1"/>
  <c r="AZ429" i="1"/>
  <c r="BI429" i="1" s="1"/>
  <c r="AZ701" i="1"/>
  <c r="BI701" i="1" s="1"/>
  <c r="AZ287" i="1"/>
  <c r="BI287" i="1" s="1"/>
  <c r="AZ672" i="1"/>
  <c r="BI672" i="1" s="1"/>
  <c r="AZ990" i="1"/>
  <c r="BI990" i="1" s="1"/>
  <c r="AZ47" i="1"/>
  <c r="BI47" i="1" s="1"/>
  <c r="AZ798" i="1"/>
  <c r="BI798" i="1" s="1"/>
  <c r="AZ235" i="1"/>
  <c r="BI235" i="1" s="1"/>
  <c r="AZ907" i="1"/>
  <c r="BI907" i="1" s="1"/>
  <c r="AZ721" i="1"/>
  <c r="BI721" i="1" s="1"/>
  <c r="AZ880" i="1"/>
  <c r="BI880" i="1" s="1"/>
  <c r="AZ849" i="1"/>
  <c r="BI849" i="1" s="1"/>
  <c r="AZ1005" i="1"/>
  <c r="BI1005" i="1" s="1"/>
  <c r="AZ649" i="1"/>
  <c r="BI649" i="1" s="1"/>
  <c r="AZ785" i="1"/>
  <c r="BI785" i="1" s="1"/>
  <c r="AZ166" i="1"/>
  <c r="BI166" i="1" s="1"/>
  <c r="AZ117" i="1"/>
  <c r="BI117" i="1" s="1"/>
  <c r="AZ588" i="1"/>
  <c r="BI588" i="1" s="1"/>
  <c r="AZ812" i="1"/>
  <c r="BI812" i="1" s="1"/>
  <c r="AZ677" i="1"/>
  <c r="BI677" i="1" s="1"/>
  <c r="AZ444" i="1"/>
  <c r="BI444" i="1" s="1"/>
  <c r="AZ620" i="1"/>
  <c r="BI620" i="1" s="1"/>
  <c r="AZ384" i="1"/>
  <c r="BI384" i="1" s="1"/>
  <c r="AZ417" i="1"/>
  <c r="BI417" i="1" s="1"/>
  <c r="AZ227" i="1"/>
  <c r="BI227" i="1" s="1"/>
  <c r="AZ56" i="1"/>
  <c r="BI56" i="1" s="1"/>
  <c r="U601" i="1"/>
  <c r="V601" i="1" s="1"/>
  <c r="U270" i="1"/>
  <c r="V270" i="1" s="1"/>
  <c r="U432" i="1"/>
  <c r="V432" i="1" s="1"/>
  <c r="U714" i="1"/>
  <c r="V714" i="1" s="1"/>
  <c r="U999" i="1"/>
  <c r="V999" i="1" s="1"/>
  <c r="U803" i="1"/>
  <c r="V803" i="1" s="1"/>
  <c r="W877" i="1"/>
  <c r="W868" i="1"/>
  <c r="W774" i="1"/>
  <c r="U402" i="1"/>
  <c r="V402" i="1" s="1"/>
  <c r="U744" i="1"/>
  <c r="V744" i="1" s="1"/>
  <c r="U607" i="1"/>
  <c r="V607" i="1" s="1"/>
  <c r="U823" i="1"/>
  <c r="V823" i="1" s="1"/>
  <c r="U723" i="1"/>
  <c r="V723" i="1" s="1"/>
  <c r="AZ252" i="1"/>
  <c r="BI252" i="1" s="1"/>
  <c r="AZ622" i="1"/>
  <c r="BI622" i="1" s="1"/>
  <c r="AZ966" i="1"/>
  <c r="BI966" i="1" s="1"/>
  <c r="AZ525" i="1"/>
  <c r="BI525" i="1" s="1"/>
  <c r="AZ993" i="1"/>
  <c r="BI993" i="1" s="1"/>
  <c r="AZ863" i="1"/>
  <c r="BI863" i="1" s="1"/>
  <c r="AZ86" i="1"/>
  <c r="BI86" i="1" s="1"/>
  <c r="AZ110" i="1"/>
  <c r="BI110" i="1" s="1"/>
  <c r="AZ191" i="1"/>
  <c r="BI191" i="1" s="1"/>
  <c r="AZ152" i="1"/>
  <c r="BI152" i="1" s="1"/>
  <c r="AZ723" i="1"/>
  <c r="BI723" i="1" s="1"/>
  <c r="AZ623" i="1"/>
  <c r="BI623" i="1" s="1"/>
  <c r="AZ380" i="1"/>
  <c r="BI380" i="1" s="1"/>
  <c r="AZ155" i="1"/>
  <c r="BI155" i="1" s="1"/>
  <c r="AZ206" i="1"/>
  <c r="BI206" i="1" s="1"/>
  <c r="AZ616" i="1"/>
  <c r="BI616" i="1" s="1"/>
  <c r="AZ43" i="1"/>
  <c r="BI43" i="1" s="1"/>
  <c r="AZ761" i="1"/>
  <c r="BI761" i="1" s="1"/>
  <c r="AZ169" i="1"/>
  <c r="BI169" i="1" s="1"/>
  <c r="AZ410" i="1"/>
  <c r="BI410" i="1" s="1"/>
  <c r="AZ1031" i="1"/>
  <c r="BI1031" i="1" s="1"/>
  <c r="AZ179" i="1"/>
  <c r="BI179" i="1" s="1"/>
  <c r="AZ878" i="1"/>
  <c r="BI878" i="1" s="1"/>
  <c r="AZ904" i="1"/>
  <c r="BI904" i="1" s="1"/>
  <c r="AZ1008" i="1"/>
  <c r="BI1008" i="1" s="1"/>
  <c r="AZ779" i="1"/>
  <c r="BI779" i="1" s="1"/>
  <c r="AZ37" i="1"/>
  <c r="BI37" i="1" s="1"/>
  <c r="AZ98" i="1"/>
  <c r="BI98" i="1" s="1"/>
  <c r="AZ580" i="1"/>
  <c r="BI580" i="1" s="1"/>
  <c r="AZ634" i="1"/>
  <c r="BI634" i="1" s="1"/>
  <c r="AZ1043" i="1"/>
  <c r="BI1043" i="1" s="1"/>
  <c r="AZ286" i="1"/>
  <c r="BI286" i="1" s="1"/>
  <c r="AZ168" i="1"/>
  <c r="BI168" i="1" s="1"/>
  <c r="AZ172" i="1"/>
  <c r="BI172" i="1" s="1"/>
  <c r="AZ298" i="1"/>
  <c r="BI298" i="1" s="1"/>
  <c r="AZ190" i="1"/>
  <c r="BI190" i="1" s="1"/>
  <c r="AZ979" i="1"/>
  <c r="BI979" i="1" s="1"/>
  <c r="AZ992" i="1"/>
  <c r="BI992" i="1" s="1"/>
  <c r="AZ731" i="1"/>
  <c r="BI731" i="1" s="1"/>
  <c r="AZ942" i="1"/>
  <c r="BI942" i="1" s="1"/>
  <c r="AZ960" i="1"/>
  <c r="BI960" i="1" s="1"/>
  <c r="AZ912" i="1"/>
  <c r="BI912" i="1" s="1"/>
  <c r="AZ869" i="1"/>
  <c r="BI869" i="1" s="1"/>
  <c r="AZ794" i="1"/>
  <c r="BI794" i="1" s="1"/>
  <c r="AZ125" i="1"/>
  <c r="BI125" i="1" s="1"/>
  <c r="AZ251" i="1"/>
  <c r="BI251" i="1" s="1"/>
  <c r="AZ328" i="1"/>
  <c r="BI328" i="1" s="1"/>
  <c r="AZ49" i="1"/>
  <c r="BI49" i="1" s="1"/>
  <c r="AZ473" i="1"/>
  <c r="BI473" i="1" s="1"/>
  <c r="AZ280" i="1"/>
  <c r="BI280" i="1" s="1"/>
  <c r="AZ273" i="1"/>
  <c r="BI273" i="1" s="1"/>
  <c r="AZ74" i="1"/>
  <c r="BI74" i="1" s="1"/>
  <c r="AZ883" i="1"/>
  <c r="BI883" i="1" s="1"/>
  <c r="AZ585" i="1"/>
  <c r="BI585" i="1" s="1"/>
  <c r="AZ323" i="1"/>
  <c r="BI323" i="1" s="1"/>
  <c r="AZ139" i="1"/>
  <c r="BI139" i="1" s="1"/>
  <c r="AZ121" i="1"/>
  <c r="BI121" i="1" s="1"/>
  <c r="AZ419" i="1"/>
  <c r="BI419" i="1" s="1"/>
  <c r="AZ692" i="1"/>
  <c r="BI692" i="1" s="1"/>
  <c r="AZ1016" i="1"/>
  <c r="BI1016" i="1" s="1"/>
  <c r="AZ394" i="1"/>
  <c r="BI394" i="1" s="1"/>
  <c r="AZ916" i="1"/>
  <c r="BI916" i="1" s="1"/>
  <c r="AZ898" i="1"/>
  <c r="BI898" i="1" s="1"/>
  <c r="AZ789" i="1"/>
  <c r="BI789" i="1" s="1"/>
  <c r="AZ542" i="1"/>
  <c r="BI542" i="1" s="1"/>
  <c r="AZ263" i="1"/>
  <c r="BI263" i="1" s="1"/>
  <c r="AZ727" i="1"/>
  <c r="BI727" i="1" s="1"/>
  <c r="AZ980" i="1"/>
  <c r="BI980" i="1" s="1"/>
  <c r="AZ722" i="1"/>
  <c r="BI722" i="1" s="1"/>
  <c r="AZ207" i="1"/>
  <c r="BI207" i="1" s="1"/>
  <c r="AZ114" i="1"/>
  <c r="BI114" i="1" s="1"/>
  <c r="AZ271" i="1"/>
  <c r="BI271" i="1" s="1"/>
  <c r="AZ330" i="1"/>
  <c r="BI330" i="1" s="1"/>
  <c r="AZ833" i="1"/>
  <c r="BI833" i="1" s="1"/>
  <c r="AZ694" i="1"/>
  <c r="BI694" i="1" s="1"/>
  <c r="AZ921" i="1"/>
  <c r="BI921" i="1" s="1"/>
  <c r="AZ461" i="1"/>
  <c r="BI461" i="1" s="1"/>
  <c r="U302" i="1"/>
  <c r="V302" i="1" s="1"/>
  <c r="W758" i="1"/>
  <c r="W866" i="1"/>
  <c r="U368" i="1"/>
  <c r="V368" i="1" s="1"/>
  <c r="U445" i="1"/>
  <c r="V445" i="1" s="1"/>
  <c r="U851" i="1"/>
  <c r="V851" i="1" s="1"/>
  <c r="U428" i="1"/>
  <c r="V428" i="1" s="1"/>
  <c r="W791" i="1"/>
  <c r="U643" i="1"/>
  <c r="V643" i="1" s="1"/>
  <c r="U966" i="1"/>
  <c r="V966" i="1" s="1"/>
  <c r="U417" i="1"/>
  <c r="V417" i="1" s="1"/>
  <c r="U499" i="1"/>
  <c r="V499" i="1" s="1"/>
  <c r="W1009" i="1"/>
  <c r="W907" i="1"/>
  <c r="U79" i="1"/>
  <c r="V79" i="1" s="1"/>
  <c r="U483" i="1"/>
  <c r="V483" i="1" s="1"/>
  <c r="W204" i="1"/>
  <c r="U795" i="1"/>
  <c r="V795" i="1" s="1"/>
  <c r="W731" i="1"/>
  <c r="U1040" i="1"/>
  <c r="V1040" i="1" s="1"/>
  <c r="U493" i="1"/>
  <c r="V493" i="1" s="1"/>
  <c r="U984" i="1"/>
  <c r="V984" i="1" s="1"/>
  <c r="U908" i="1"/>
  <c r="V908" i="1" s="1"/>
  <c r="U867" i="1"/>
  <c r="V867" i="1" s="1"/>
  <c r="W678" i="1"/>
  <c r="U163" i="1"/>
  <c r="V163" i="1" s="1"/>
  <c r="U845" i="1"/>
  <c r="V845" i="1" s="1"/>
  <c r="U30" i="1"/>
  <c r="V30" i="1" s="1"/>
  <c r="U726" i="1"/>
  <c r="V726" i="1" s="1"/>
  <c r="U1022" i="1"/>
  <c r="V1022" i="1" s="1"/>
  <c r="U814" i="1"/>
  <c r="V814" i="1" s="1"/>
  <c r="U301" i="1"/>
  <c r="V301" i="1" s="1"/>
  <c r="U891" i="1"/>
  <c r="V891" i="1" s="1"/>
  <c r="U39" i="1"/>
  <c r="V39" i="1" s="1"/>
  <c r="W376" i="1"/>
  <c r="U962" i="1"/>
  <c r="V962" i="1" s="1"/>
  <c r="U223" i="1"/>
  <c r="V223" i="1" s="1"/>
  <c r="U596" i="1"/>
  <c r="V596" i="1" s="1"/>
  <c r="W271" i="1"/>
  <c r="W578" i="1"/>
  <c r="U529" i="1"/>
  <c r="V529" i="1" s="1"/>
  <c r="U650" i="1"/>
  <c r="V650" i="1" s="1"/>
  <c r="W536" i="1"/>
  <c r="U1015" i="1"/>
  <c r="V1015" i="1" s="1"/>
  <c r="U981" i="1"/>
  <c r="V981" i="1" s="1"/>
  <c r="W346" i="1"/>
  <c r="U105" i="1"/>
  <c r="V105" i="1" s="1"/>
  <c r="U455" i="1"/>
  <c r="V455" i="1" s="1"/>
  <c r="U736" i="1"/>
  <c r="V736" i="1" s="1"/>
  <c r="U69" i="1"/>
  <c r="V69" i="1" s="1"/>
  <c r="U1007" i="1"/>
  <c r="V1007" i="1" s="1"/>
  <c r="U930" i="1"/>
  <c r="V930" i="1" s="1"/>
  <c r="U306" i="1"/>
  <c r="V306" i="1" s="1"/>
  <c r="U883" i="1"/>
  <c r="V883" i="1" s="1"/>
  <c r="U237" i="1"/>
  <c r="V237" i="1" s="1"/>
  <c r="U652" i="1"/>
  <c r="V652" i="1" s="1"/>
  <c r="U431" i="1"/>
  <c r="V431" i="1" s="1"/>
  <c r="AZ913" i="1"/>
  <c r="BI913" i="1" s="1"/>
  <c r="AZ695" i="1"/>
  <c r="BI695" i="1" s="1"/>
  <c r="AZ1023" i="1"/>
  <c r="BI1023" i="1" s="1"/>
  <c r="AZ477" i="1"/>
  <c r="BI477" i="1" s="1"/>
  <c r="AZ347" i="1"/>
  <c r="BI347" i="1" s="1"/>
  <c r="AZ231" i="1"/>
  <c r="BI231" i="1" s="1"/>
  <c r="AZ428" i="1"/>
  <c r="BI428" i="1" s="1"/>
  <c r="AZ865" i="1"/>
  <c r="BI865" i="1" s="1"/>
  <c r="AZ493" i="1"/>
  <c r="BI493" i="1" s="1"/>
  <c r="AZ300" i="1"/>
  <c r="BI300" i="1" s="1"/>
  <c r="AZ356" i="1"/>
  <c r="BI356" i="1" s="1"/>
  <c r="AZ363" i="1"/>
  <c r="BI363" i="1" s="1"/>
  <c r="AZ407" i="1"/>
  <c r="BI407" i="1" s="1"/>
  <c r="AZ112" i="1"/>
  <c r="BI112" i="1" s="1"/>
  <c r="AZ362" i="1"/>
  <c r="BI362" i="1" s="1"/>
  <c r="AZ711" i="1"/>
  <c r="BI711" i="1" s="1"/>
  <c r="AZ699" i="1"/>
  <c r="BI699" i="1" s="1"/>
  <c r="AZ905" i="1"/>
  <c r="BI905" i="1" s="1"/>
  <c r="AZ613" i="1"/>
  <c r="BI613" i="1" s="1"/>
  <c r="AZ982" i="1"/>
  <c r="BI982" i="1" s="1"/>
  <c r="AZ498" i="1"/>
  <c r="BI498" i="1" s="1"/>
  <c r="AZ1036" i="1"/>
  <c r="BI1036" i="1" s="1"/>
  <c r="AZ888" i="1"/>
  <c r="BI888" i="1" s="1"/>
  <c r="AZ771" i="1"/>
  <c r="BI771" i="1" s="1"/>
  <c r="AZ603" i="1"/>
  <c r="BI603" i="1" s="1"/>
  <c r="AZ514" i="1"/>
  <c r="BI514" i="1" s="1"/>
  <c r="AZ807" i="1"/>
  <c r="BI807" i="1" s="1"/>
  <c r="AZ658" i="1"/>
  <c r="BI658" i="1" s="1"/>
  <c r="AZ382" i="1"/>
  <c r="BI382" i="1" s="1"/>
  <c r="AZ820" i="1"/>
  <c r="BI820" i="1" s="1"/>
  <c r="AZ162" i="1"/>
  <c r="BI162" i="1" s="1"/>
  <c r="AZ101" i="1"/>
  <c r="BI101" i="1" s="1"/>
  <c r="AZ510" i="1"/>
  <c r="BI510" i="1" s="1"/>
  <c r="AZ825" i="1"/>
  <c r="BI825" i="1" s="1"/>
  <c r="AZ575" i="1"/>
  <c r="BI575" i="1" s="1"/>
  <c r="AZ156" i="1"/>
  <c r="BI156" i="1" s="1"/>
  <c r="AZ573" i="1"/>
  <c r="BI573" i="1" s="1"/>
  <c r="AZ299" i="1"/>
  <c r="BI299" i="1" s="1"/>
  <c r="AZ663" i="1"/>
  <c r="BI663" i="1" s="1"/>
  <c r="AZ646" i="1"/>
  <c r="BI646" i="1" s="1"/>
  <c r="AZ693" i="1"/>
  <c r="BI693" i="1" s="1"/>
  <c r="AZ661" i="1"/>
  <c r="BI661" i="1" s="1"/>
  <c r="AZ533" i="1"/>
  <c r="BI533" i="1" s="1"/>
  <c r="AZ1000" i="1"/>
  <c r="BI1000" i="1" s="1"/>
  <c r="AZ665" i="1"/>
  <c r="BI665" i="1" s="1"/>
  <c r="AZ602" i="1"/>
  <c r="BI602" i="1" s="1"/>
  <c r="AZ254" i="1"/>
  <c r="BI254" i="1" s="1"/>
  <c r="AZ914" i="1"/>
  <c r="BI914" i="1" s="1"/>
  <c r="AZ446" i="1"/>
  <c r="BI446" i="1" s="1"/>
  <c r="AZ698" i="1"/>
  <c r="BI698" i="1" s="1"/>
  <c r="AZ824" i="1"/>
  <c r="BI824" i="1" s="1"/>
  <c r="AZ481" i="1"/>
  <c r="BI481" i="1" s="1"/>
  <c r="AZ157" i="1"/>
  <c r="BI157" i="1" s="1"/>
  <c r="AZ144" i="1"/>
  <c r="BI144" i="1" s="1"/>
  <c r="AZ215" i="1"/>
  <c r="BI215" i="1" s="1"/>
  <c r="AZ348" i="1"/>
  <c r="BI348" i="1" s="1"/>
  <c r="AZ241" i="1"/>
  <c r="BI241" i="1" s="1"/>
  <c r="AZ129" i="1"/>
  <c r="BI129" i="1" s="1"/>
  <c r="AZ104" i="1"/>
  <c r="BI104" i="1" s="1"/>
  <c r="AZ70" i="1"/>
  <c r="BI70" i="1" s="1"/>
  <c r="AZ122" i="1"/>
  <c r="BI122" i="1" s="1"/>
  <c r="AZ84" i="1"/>
  <c r="BI84" i="1" s="1"/>
  <c r="AZ569" i="1"/>
  <c r="BI569" i="1" s="1"/>
  <c r="AZ957" i="1"/>
  <c r="BI957" i="1" s="1"/>
  <c r="AZ398" i="1"/>
  <c r="BI398" i="1" s="1"/>
  <c r="AZ829" i="1"/>
  <c r="BI829" i="1" s="1"/>
  <c r="AZ814" i="1"/>
  <c r="BI814" i="1" s="1"/>
  <c r="AZ612" i="1"/>
  <c r="BI612" i="1" s="1"/>
  <c r="AZ468" i="1"/>
  <c r="BI468" i="1" s="1"/>
  <c r="AZ73" i="1"/>
  <c r="BI73" i="1" s="1"/>
  <c r="AZ248" i="1"/>
  <c r="BI248" i="1" s="1"/>
  <c r="AZ296" i="1"/>
  <c r="BI296" i="1" s="1"/>
  <c r="AZ284" i="1"/>
  <c r="BI284" i="1" s="1"/>
  <c r="AZ39" i="1"/>
  <c r="BI39" i="1" s="1"/>
  <c r="AZ126" i="1"/>
  <c r="BI126" i="1" s="1"/>
  <c r="AZ100" i="1"/>
  <c r="BI100" i="1" s="1"/>
  <c r="AZ320" i="1"/>
  <c r="BI320" i="1" s="1"/>
  <c r="AZ79" i="1"/>
  <c r="BI79" i="1" s="1"/>
  <c r="AZ140" i="1"/>
  <c r="BI140" i="1" s="1"/>
  <c r="AZ63" i="1"/>
  <c r="BI63" i="1" s="1"/>
  <c r="AZ141" i="1"/>
  <c r="BI141" i="1" s="1"/>
  <c r="AZ983" i="1"/>
  <c r="BI983" i="1" s="1"/>
  <c r="AZ666" i="1"/>
  <c r="BI666" i="1" s="1"/>
  <c r="AZ371" i="1"/>
  <c r="BI371" i="1" s="1"/>
  <c r="AZ1004" i="1"/>
  <c r="BI1004" i="1" s="1"/>
  <c r="AZ210" i="1"/>
  <c r="BI210" i="1" s="1"/>
  <c r="AZ374" i="1"/>
  <c r="BI374" i="1" s="1"/>
  <c r="AZ604" i="1"/>
  <c r="BI604" i="1" s="1"/>
  <c r="AZ558" i="1"/>
  <c r="BI558" i="1" s="1"/>
  <c r="AZ742" i="1"/>
  <c r="BI742" i="1" s="1"/>
  <c r="AZ547" i="1"/>
  <c r="BI547" i="1" s="1"/>
  <c r="AZ488" i="1"/>
  <c r="BI488" i="1" s="1"/>
  <c r="AZ55" i="1"/>
  <c r="BI55" i="1" s="1"/>
  <c r="AZ751" i="1"/>
  <c r="BI751" i="1" s="1"/>
  <c r="AZ208" i="1"/>
  <c r="BI208" i="1" s="1"/>
  <c r="AZ1034" i="1"/>
  <c r="BI1034" i="1" s="1"/>
  <c r="AZ354" i="1"/>
  <c r="BI354" i="1" s="1"/>
  <c r="AZ421" i="1"/>
  <c r="BI421" i="1" s="1"/>
  <c r="AZ161" i="1"/>
  <c r="BI161" i="1" s="1"/>
  <c r="AZ96" i="1"/>
  <c r="BI96" i="1" s="1"/>
  <c r="AZ200" i="1"/>
  <c r="BI200" i="1" s="1"/>
  <c r="AZ595" i="1"/>
  <c r="BI595" i="1" s="1"/>
  <c r="AZ938" i="1"/>
  <c r="BI938" i="1" s="1"/>
  <c r="AZ578" i="1"/>
  <c r="BI578" i="1" s="1"/>
  <c r="AZ858" i="1"/>
  <c r="BI858" i="1" s="1"/>
  <c r="AZ277" i="1"/>
  <c r="BI277" i="1" s="1"/>
  <c r="AZ160" i="1"/>
  <c r="BI160" i="1" s="1"/>
  <c r="AZ638" i="1"/>
  <c r="BI638" i="1" s="1"/>
  <c r="AZ346" i="1"/>
  <c r="BI346" i="1" s="1"/>
  <c r="AZ447" i="1"/>
  <c r="BI447" i="1" s="1"/>
  <c r="AZ659" i="1"/>
  <c r="BI659" i="1" s="1"/>
  <c r="AZ82" i="1"/>
  <c r="BI82" i="1" s="1"/>
  <c r="AZ856" i="1"/>
  <c r="BI856" i="1" s="1"/>
  <c r="AZ958" i="1"/>
  <c r="BI958" i="1" s="1"/>
  <c r="AZ795" i="1"/>
  <c r="BI795" i="1" s="1"/>
  <c r="AZ174" i="1"/>
  <c r="BI174" i="1" s="1"/>
  <c r="AZ1028" i="1"/>
  <c r="BI1028" i="1" s="1"/>
  <c r="AZ709" i="1"/>
  <c r="BI709" i="1" s="1"/>
  <c r="AZ944" i="1"/>
  <c r="BI944" i="1" s="1"/>
  <c r="AZ680" i="1"/>
  <c r="BI680" i="1" s="1"/>
  <c r="AZ909" i="1"/>
  <c r="BI909" i="1" s="1"/>
  <c r="AZ981" i="1"/>
  <c r="BI981" i="1" s="1"/>
  <c r="AZ636" i="1"/>
  <c r="BI636" i="1" s="1"/>
  <c r="AZ792" i="1"/>
  <c r="BI792" i="1" s="1"/>
  <c r="AZ532" i="1"/>
  <c r="BI532" i="1" s="1"/>
  <c r="AZ448" i="1"/>
  <c r="BI448" i="1" s="1"/>
  <c r="AZ302" i="1"/>
  <c r="BI302" i="1" s="1"/>
  <c r="AZ111" i="1"/>
  <c r="BI111" i="1" s="1"/>
  <c r="AZ344" i="1"/>
  <c r="BI344" i="1" s="1"/>
  <c r="AZ361" i="1"/>
  <c r="BI361" i="1" s="1"/>
  <c r="AZ233" i="1"/>
  <c r="BI233" i="1" s="1"/>
  <c r="AZ257" i="1"/>
  <c r="BI257" i="1" s="1"/>
  <c r="AZ196" i="1"/>
  <c r="BI196" i="1" s="1"/>
  <c r="AZ51" i="1"/>
  <c r="BI51" i="1" s="1"/>
  <c r="AZ697" i="1"/>
  <c r="BI697" i="1" s="1"/>
  <c r="AZ633" i="1"/>
  <c r="BI633" i="1" s="1"/>
  <c r="AZ848" i="1"/>
  <c r="BI848" i="1" s="1"/>
  <c r="AZ557" i="1"/>
  <c r="BI557" i="1" s="1"/>
  <c r="AZ368" i="1"/>
  <c r="BI368" i="1" s="1"/>
  <c r="AZ508" i="1"/>
  <c r="BI508" i="1" s="1"/>
  <c r="AZ416" i="1"/>
  <c r="BI416" i="1" s="1"/>
  <c r="AZ369" i="1"/>
  <c r="BI369" i="1" s="1"/>
  <c r="AZ59" i="1"/>
  <c r="BI59" i="1" s="1"/>
  <c r="AZ331" i="1"/>
  <c r="BI331" i="1" s="1"/>
  <c r="AZ315" i="1"/>
  <c r="BI315" i="1" s="1"/>
  <c r="AZ222" i="1"/>
  <c r="BI222" i="1" s="1"/>
  <c r="AZ936" i="1"/>
  <c r="BI936" i="1" s="1"/>
  <c r="AZ321" i="1"/>
  <c r="BI321" i="1" s="1"/>
  <c r="AZ113" i="1"/>
  <c r="BI113" i="1" s="1"/>
  <c r="AZ615" i="1"/>
  <c r="BI615" i="1" s="1"/>
  <c r="AZ385" i="1"/>
  <c r="BI385" i="1" s="1"/>
  <c r="AZ285" i="1"/>
  <c r="BI285" i="1" s="1"/>
  <c r="AZ838" i="1"/>
  <c r="BI838" i="1" s="1"/>
  <c r="AZ987" i="1"/>
  <c r="BI987" i="1" s="1"/>
  <c r="AZ403" i="1"/>
  <c r="BI403" i="1" s="1"/>
  <c r="AZ715" i="1"/>
  <c r="BI715" i="1" s="1"/>
  <c r="AZ823" i="1"/>
  <c r="BI823" i="1" s="1"/>
  <c r="AZ860" i="1"/>
  <c r="BI860" i="1" s="1"/>
  <c r="AZ681" i="1"/>
  <c r="BI681" i="1" s="1"/>
  <c r="AZ316" i="1"/>
  <c r="BI316" i="1" s="1"/>
  <c r="AZ765" i="1"/>
  <c r="BI765" i="1" s="1"/>
  <c r="AZ116" i="1"/>
  <c r="BI116" i="1" s="1"/>
  <c r="AZ276" i="1"/>
  <c r="BI276" i="1" s="1"/>
  <c r="AZ816" i="1"/>
  <c r="BI816" i="1" s="1"/>
  <c r="AZ244" i="1"/>
  <c r="BI244" i="1" s="1"/>
  <c r="AZ133" i="1"/>
  <c r="BI133" i="1" s="1"/>
  <c r="AZ452" i="1"/>
  <c r="BI452" i="1" s="1"/>
  <c r="AZ591" i="1"/>
  <c r="BI591" i="1" s="1"/>
  <c r="AZ836" i="1"/>
  <c r="BI836" i="1" s="1"/>
  <c r="AZ295" i="1"/>
  <c r="BI295" i="1" s="1"/>
  <c r="AZ151" i="1"/>
  <c r="BI151" i="1" s="1"/>
  <c r="AZ413" i="1"/>
  <c r="BI413" i="1" s="1"/>
  <c r="AZ324" i="1"/>
  <c r="BI324" i="1" s="1"/>
  <c r="AZ894" i="1"/>
  <c r="BI894" i="1" s="1"/>
  <c r="AZ934" i="1"/>
  <c r="BI934" i="1" s="1"/>
  <c r="AZ1011" i="1"/>
  <c r="BI1011" i="1" s="1"/>
  <c r="AZ365" i="1"/>
  <c r="BI365" i="1" s="1"/>
  <c r="AZ539" i="1"/>
  <c r="BI539" i="1" s="1"/>
  <c r="AZ381" i="1"/>
  <c r="BI381" i="1" s="1"/>
  <c r="AZ922" i="1"/>
  <c r="BI922" i="1" s="1"/>
  <c r="AZ198" i="1"/>
  <c r="BI198" i="1" s="1"/>
  <c r="AZ175" i="1"/>
  <c r="BI175" i="1" s="1"/>
  <c r="AZ501" i="1"/>
  <c r="BI501" i="1" s="1"/>
  <c r="AZ764" i="1"/>
  <c r="BI764" i="1" s="1"/>
  <c r="AZ931" i="1"/>
  <c r="BI931" i="1" s="1"/>
  <c r="AZ724" i="1"/>
  <c r="BI724" i="1" s="1"/>
  <c r="AZ526" i="1"/>
  <c r="BI526" i="1" s="1"/>
  <c r="AZ862" i="1"/>
  <c r="BI862" i="1" s="1"/>
  <c r="AZ986" i="1"/>
  <c r="BI986" i="1" s="1"/>
  <c r="AZ554" i="1"/>
  <c r="BI554" i="1" s="1"/>
  <c r="AZ524" i="1"/>
  <c r="BI524" i="1" s="1"/>
  <c r="AZ996" i="1"/>
  <c r="BI996" i="1" s="1"/>
  <c r="AZ700" i="1"/>
  <c r="BI700" i="1" s="1"/>
  <c r="AZ283" i="1"/>
  <c r="BI283" i="1" s="1"/>
  <c r="AZ185" i="1"/>
  <c r="BI185" i="1" s="1"/>
  <c r="AZ896" i="1"/>
  <c r="BI896" i="1" s="1"/>
  <c r="AZ213" i="1"/>
  <c r="BI213" i="1" s="1"/>
  <c r="AZ973" i="1"/>
  <c r="BI973" i="1" s="1"/>
  <c r="AZ685" i="1"/>
  <c r="BI685" i="1" s="1"/>
  <c r="AZ621" i="1"/>
  <c r="BI621" i="1" s="1"/>
  <c r="AZ470" i="1"/>
  <c r="BI470" i="1" s="1"/>
  <c r="AZ651" i="1"/>
  <c r="BI651" i="1" s="1"/>
  <c r="AZ530" i="1"/>
  <c r="BI530" i="1" s="1"/>
  <c r="AZ726" i="1"/>
  <c r="BI726" i="1" s="1"/>
  <c r="AZ544" i="1"/>
  <c r="BI544" i="1" s="1"/>
  <c r="AZ457" i="1"/>
  <c r="BI457" i="1" s="1"/>
  <c r="AZ491" i="1"/>
  <c r="BI491" i="1" s="1"/>
  <c r="AZ307" i="1"/>
  <c r="BI307" i="1" s="1"/>
  <c r="AZ364" i="1"/>
  <c r="BI364" i="1" s="1"/>
  <c r="AZ618" i="1"/>
  <c r="BI618" i="1" s="1"/>
  <c r="AZ675" i="1"/>
  <c r="BI675" i="1" s="1"/>
  <c r="AZ610" i="1"/>
  <c r="BI610" i="1" s="1"/>
  <c r="AZ253" i="1"/>
  <c r="BI253" i="1" s="1"/>
  <c r="AZ703" i="1"/>
  <c r="BI703" i="1" s="1"/>
  <c r="AZ109" i="1"/>
  <c r="BI109" i="1" s="1"/>
  <c r="AZ606" i="1"/>
  <c r="BI606" i="1" s="1"/>
  <c r="AZ939" i="1"/>
  <c r="BI939" i="1" s="1"/>
  <c r="AZ211" i="1"/>
  <c r="BI211" i="1" s="1"/>
  <c r="AZ679" i="1"/>
  <c r="BI679" i="1" s="1"/>
  <c r="AZ306" i="1"/>
  <c r="BI306" i="1" s="1"/>
  <c r="AZ926" i="1"/>
  <c r="BI926" i="1" s="1"/>
  <c r="AZ827" i="1"/>
  <c r="BI827" i="1" s="1"/>
  <c r="AZ780" i="1"/>
  <c r="BI780" i="1" s="1"/>
  <c r="AZ817" i="1"/>
  <c r="BI817" i="1" s="1"/>
  <c r="AZ379" i="1"/>
  <c r="BI379" i="1" s="1"/>
  <c r="AZ897" i="1"/>
  <c r="BI897" i="1" s="1"/>
  <c r="AZ713" i="1"/>
  <c r="BI713" i="1" s="1"/>
  <c r="AZ741" i="1"/>
  <c r="BI741" i="1" s="1"/>
  <c r="AZ832" i="1"/>
  <c r="BI832" i="1" s="1"/>
  <c r="AZ490" i="1"/>
  <c r="BI490" i="1" s="1"/>
  <c r="AZ840" i="1"/>
  <c r="BI840" i="1" s="1"/>
  <c r="AZ624" i="1"/>
  <c r="BI624" i="1" s="1"/>
  <c r="AZ518" i="1"/>
  <c r="BI518" i="1" s="1"/>
  <c r="AZ1002" i="1"/>
  <c r="BI1002" i="1" s="1"/>
  <c r="AZ696" i="1"/>
  <c r="BI696" i="1" s="1"/>
  <c r="AZ342" i="1"/>
  <c r="BI342" i="1" s="1"/>
  <c r="AZ64" i="1"/>
  <c r="BI64" i="1" s="1"/>
  <c r="AZ309" i="1"/>
  <c r="BI309" i="1" s="1"/>
  <c r="W120" i="1"/>
  <c r="W952" i="1"/>
  <c r="W121" i="1"/>
  <c r="W776" i="1"/>
  <c r="W948" i="1"/>
  <c r="U54" i="1"/>
  <c r="V54" i="1" s="1"/>
  <c r="W721" i="1"/>
  <c r="U469" i="1"/>
  <c r="V469" i="1" s="1"/>
  <c r="U555" i="1"/>
  <c r="V555" i="1" s="1"/>
  <c r="U885" i="1"/>
  <c r="V885" i="1" s="1"/>
  <c r="W143" i="1"/>
  <c r="W576" i="1"/>
  <c r="U819" i="1"/>
  <c r="V819" i="1" s="1"/>
  <c r="W458" i="1"/>
  <c r="W715" i="1"/>
  <c r="W168" i="1"/>
  <c r="U220" i="1"/>
  <c r="V220" i="1" s="1"/>
  <c r="W423" i="1"/>
  <c r="U155" i="1"/>
  <c r="V155" i="1" s="1"/>
  <c r="W939" i="1"/>
  <c r="W122" i="1"/>
  <c r="W504" i="1"/>
  <c r="W958" i="1"/>
  <c r="U1003" i="1"/>
  <c r="V1003" i="1" s="1"/>
  <c r="U239" i="1"/>
  <c r="V239" i="1" s="1"/>
  <c r="W171" i="1"/>
  <c r="U169" i="1"/>
  <c r="V169" i="1" s="1"/>
  <c r="W516" i="1"/>
  <c r="U548" i="1"/>
  <c r="V548" i="1" s="1"/>
  <c r="W371" i="1"/>
  <c r="AZ25" i="1"/>
  <c r="W617" i="1"/>
  <c r="W570" i="1"/>
  <c r="U150" i="1"/>
  <c r="V150" i="1" s="1"/>
  <c r="W332" i="1"/>
  <c r="W174" i="1"/>
  <c r="W864" i="1"/>
  <c r="W629" i="1"/>
  <c r="W84" i="1"/>
  <c r="U745" i="1"/>
  <c r="V745" i="1" s="1"/>
  <c r="U956" i="1"/>
  <c r="V956" i="1" s="1"/>
  <c r="W501" i="1"/>
  <c r="W416" i="1"/>
  <c r="W1036" i="1"/>
  <c r="W239" i="1"/>
  <c r="W90" i="1"/>
  <c r="W60" i="1"/>
  <c r="W918" i="1"/>
  <c r="W632" i="1"/>
  <c r="W341" i="1"/>
  <c r="W478" i="1"/>
  <c r="W420" i="1"/>
  <c r="W1020" i="1"/>
  <c r="U645" i="1"/>
  <c r="V645" i="1" s="1"/>
  <c r="W894" i="1"/>
  <c r="W407" i="1"/>
  <c r="W659" i="1"/>
  <c r="W31" i="1"/>
  <c r="W1008" i="1"/>
  <c r="U651" i="1"/>
  <c r="V651" i="1" s="1"/>
  <c r="W928" i="1"/>
  <c r="W587" i="1"/>
  <c r="U551" i="1"/>
  <c r="V551" i="1" s="1"/>
  <c r="W966" i="1"/>
  <c r="W148" i="1"/>
  <c r="U1038" i="1"/>
  <c r="V1038" i="1" s="1"/>
  <c r="W669" i="1"/>
  <c r="W98" i="1"/>
  <c r="W488" i="1"/>
  <c r="W936" i="1"/>
  <c r="W242" i="1"/>
  <c r="U1000" i="1"/>
  <c r="V1000" i="1" s="1"/>
  <c r="W450" i="1"/>
  <c r="W283" i="1"/>
  <c r="W688" i="1"/>
  <c r="W574" i="1"/>
  <c r="W230" i="1"/>
  <c r="W650" i="1"/>
  <c r="W323" i="1"/>
  <c r="W269" i="1"/>
  <c r="W825" i="1"/>
  <c r="W370" i="1"/>
  <c r="W364" i="1"/>
  <c r="U944" i="1"/>
  <c r="V944" i="1" s="1"/>
  <c r="U609" i="1"/>
  <c r="V609" i="1" s="1"/>
  <c r="W610" i="1"/>
  <c r="W631" i="1"/>
  <c r="U1024" i="1"/>
  <c r="V1024" i="1" s="1"/>
  <c r="W634" i="1"/>
  <c r="W519" i="1"/>
  <c r="W822" i="1"/>
  <c r="U895" i="1"/>
  <c r="V895" i="1" s="1"/>
  <c r="W895" i="1"/>
  <c r="W580" i="1"/>
  <c r="W571" i="1"/>
  <c r="W276" i="1"/>
  <c r="W356" i="1"/>
  <c r="W238" i="1"/>
  <c r="W849" i="1"/>
  <c r="W790" i="1"/>
  <c r="W87" i="1"/>
  <c r="W363" i="1"/>
  <c r="W738" i="1"/>
  <c r="W844" i="1"/>
  <c r="W334" i="1"/>
  <c r="U74" i="1"/>
  <c r="V74" i="1" s="1"/>
  <c r="W772" i="1"/>
  <c r="W719" i="1"/>
  <c r="W208" i="1"/>
  <c r="U461" i="1"/>
  <c r="V461" i="1" s="1"/>
  <c r="W461" i="1"/>
  <c r="U347" i="1"/>
  <c r="V347" i="1" s="1"/>
  <c r="W347" i="1"/>
  <c r="U566" i="1"/>
  <c r="V566" i="1" s="1"/>
  <c r="W349" i="1"/>
  <c r="W742" i="1"/>
  <c r="U106" i="1"/>
  <c r="V106" i="1" s="1"/>
  <c r="W218" i="1"/>
  <c r="W615" i="1"/>
  <c r="U167" i="1"/>
  <c r="V167" i="1" s="1"/>
  <c r="W755" i="1"/>
  <c r="W779" i="1"/>
  <c r="W474" i="1"/>
  <c r="W498" i="1"/>
  <c r="U997" i="1"/>
  <c r="V997" i="1" s="1"/>
  <c r="W538" i="1"/>
  <c r="W886" i="1"/>
  <c r="W850" i="1"/>
  <c r="W1023" i="1"/>
  <c r="W761" i="1"/>
  <c r="W873" i="1"/>
  <c r="W638" i="1"/>
  <c r="W838" i="1"/>
  <c r="W81" i="1"/>
  <c r="W554" i="1"/>
  <c r="W331" i="1"/>
  <c r="W1039" i="1"/>
  <c r="W927" i="1"/>
  <c r="U927" i="1"/>
  <c r="V927" i="1" s="1"/>
  <c r="W259" i="1"/>
  <c r="W968" i="1"/>
  <c r="U992" i="1"/>
  <c r="V992" i="1" s="1"/>
  <c r="W796" i="1"/>
  <c r="W818" i="1"/>
  <c r="U779" i="1"/>
  <c r="V779" i="1" s="1"/>
  <c r="W698" i="1"/>
  <c r="W319" i="1"/>
  <c r="W881" i="1"/>
  <c r="U202" i="1"/>
  <c r="V202" i="1" s="1"/>
  <c r="W512" i="1"/>
  <c r="U1012" i="1"/>
  <c r="V1012" i="1" s="1"/>
  <c r="U539" i="1"/>
  <c r="V539" i="1" s="1"/>
  <c r="U500" i="1"/>
  <c r="V500" i="1" s="1"/>
  <c r="W500" i="1"/>
  <c r="U683" i="1"/>
  <c r="V683" i="1" s="1"/>
  <c r="W683" i="1"/>
  <c r="W588" i="1"/>
  <c r="W1018" i="1"/>
  <c r="U82" i="1"/>
  <c r="V82" i="1" s="1"/>
  <c r="W72" i="1"/>
  <c r="W429" i="1"/>
  <c r="W382" i="1"/>
  <c r="W88" i="1"/>
  <c r="W700" i="1"/>
  <c r="W950" i="1"/>
  <c r="W434" i="1"/>
  <c r="U786" i="1"/>
  <c r="V786" i="1" s="1"/>
  <c r="W1007" i="1"/>
  <c r="U527" i="1"/>
  <c r="V527" i="1" s="1"/>
  <c r="W797" i="1"/>
  <c r="W598" i="1"/>
  <c r="W459" i="1"/>
  <c r="W528" i="1"/>
  <c r="U978" i="1"/>
  <c r="V978" i="1" s="1"/>
  <c r="W472" i="1"/>
  <c r="U825" i="1"/>
  <c r="V825" i="1" s="1"/>
  <c r="W375" i="1"/>
  <c r="W447" i="1"/>
  <c r="W256" i="1"/>
  <c r="W750" i="1"/>
  <c r="W187" i="1"/>
  <c r="W773" i="1"/>
  <c r="W270" i="1"/>
  <c r="U822" i="1"/>
  <c r="V822" i="1" s="1"/>
  <c r="W493" i="1"/>
  <c r="W273" i="1"/>
  <c r="U134" i="1"/>
  <c r="V134" i="1" s="1"/>
  <c r="U371" i="1"/>
  <c r="V371" i="1" s="1"/>
  <c r="U634" i="1"/>
  <c r="V634" i="1" s="1"/>
  <c r="U332" i="1"/>
  <c r="V332" i="1" s="1"/>
  <c r="W107" i="1"/>
  <c r="W607" i="1"/>
  <c r="U888" i="1"/>
  <c r="V888" i="1" s="1"/>
  <c r="W888" i="1"/>
  <c r="W762" i="1"/>
  <c r="W436" i="1"/>
  <c r="W740" i="1"/>
  <c r="U46" i="1"/>
  <c r="V46" i="1" s="1"/>
  <c r="W635" i="1"/>
  <c r="W717" i="1"/>
  <c r="W865" i="1"/>
  <c r="U423" i="1"/>
  <c r="V423" i="1" s="1"/>
  <c r="U684" i="1"/>
  <c r="V684" i="1" s="1"/>
  <c r="W714" i="1"/>
  <c r="W445" i="1"/>
  <c r="U50" i="1"/>
  <c r="V50" i="1" s="1"/>
  <c r="W361" i="1"/>
  <c r="U582" i="1"/>
  <c r="V582" i="1" s="1"/>
  <c r="U42" i="1"/>
  <c r="V42" i="1" s="1"/>
  <c r="W924" i="1"/>
  <c r="U980" i="1"/>
  <c r="V980" i="1" s="1"/>
  <c r="U262" i="1"/>
  <c r="V262" i="1" s="1"/>
  <c r="W262" i="1"/>
  <c r="W428" i="1"/>
  <c r="U440" i="1"/>
  <c r="V440" i="1" s="1"/>
  <c r="W383" i="1"/>
  <c r="U614" i="1"/>
  <c r="V614" i="1" s="1"/>
  <c r="W940" i="1"/>
  <c r="W203" i="1"/>
  <c r="U630" i="1"/>
  <c r="V630" i="1" s="1"/>
  <c r="W543" i="1"/>
  <c r="W976" i="1"/>
  <c r="W530" i="1"/>
  <c r="W932" i="1"/>
  <c r="W1002" i="1"/>
  <c r="W597" i="1"/>
  <c r="W817" i="1"/>
  <c r="W732" i="1"/>
  <c r="W401" i="1"/>
  <c r="W910" i="1"/>
  <c r="W839" i="1"/>
  <c r="U839" i="1"/>
  <c r="V839" i="1" s="1"/>
  <c r="U121" i="1"/>
  <c r="V121" i="1" s="1"/>
  <c r="U631" i="1"/>
  <c r="V631" i="1" s="1"/>
  <c r="W748" i="1"/>
  <c r="W540" i="1"/>
  <c r="W653" i="1"/>
  <c r="U1023" i="1"/>
  <c r="V1023" i="1" s="1"/>
  <c r="U70" i="1"/>
  <c r="V70" i="1" s="1"/>
  <c r="W197" i="1"/>
  <c r="U531" i="1"/>
  <c r="V531" i="1" s="1"/>
  <c r="U1002" i="1"/>
  <c r="V1002" i="1" s="1"/>
  <c r="U364" i="1"/>
  <c r="V364" i="1" s="1"/>
  <c r="U669" i="1"/>
  <c r="V669" i="1" s="1"/>
  <c r="U107" i="1"/>
  <c r="V107" i="1" s="1"/>
  <c r="U1032" i="1"/>
  <c r="V1032" i="1" s="1"/>
  <c r="U585" i="1"/>
  <c r="V585" i="1" s="1"/>
  <c r="W92" i="1"/>
  <c r="W930" i="1"/>
  <c r="W83" i="1"/>
  <c r="W955" i="1"/>
  <c r="W466" i="1"/>
  <c r="W475" i="1"/>
  <c r="U946" i="1"/>
  <c r="V946" i="1" s="1"/>
  <c r="W946" i="1"/>
  <c r="U964" i="1"/>
  <c r="V964" i="1" s="1"/>
  <c r="U236" i="1"/>
  <c r="V236" i="1" s="1"/>
  <c r="W235" i="1"/>
  <c r="U772" i="1"/>
  <c r="V772" i="1" s="1"/>
  <c r="W728" i="1"/>
  <c r="U877" i="1"/>
  <c r="V877" i="1" s="1"/>
  <c r="W994" i="1"/>
  <c r="W307" i="1"/>
  <c r="W505" i="1"/>
  <c r="W521" i="1"/>
  <c r="U331" i="1"/>
  <c r="V331" i="1" s="1"/>
  <c r="W223" i="1"/>
  <c r="U512" i="1"/>
  <c r="V512" i="1" s="1"/>
  <c r="W431" i="1"/>
  <c r="W962" i="1"/>
  <c r="W1006" i="1"/>
  <c r="W405" i="1"/>
  <c r="U802" i="1"/>
  <c r="V802" i="1" s="1"/>
  <c r="U488" i="1"/>
  <c r="V488" i="1" s="1"/>
  <c r="W564" i="1"/>
  <c r="W398" i="1"/>
  <c r="U102" i="1"/>
  <c r="V102" i="1" s="1"/>
  <c r="U559" i="1"/>
  <c r="V559" i="1" s="1"/>
  <c r="U256" i="1"/>
  <c r="V256" i="1" s="1"/>
  <c r="W713" i="1"/>
  <c r="W935" i="1"/>
  <c r="W789" i="1"/>
  <c r="U363" i="1"/>
  <c r="V363" i="1" s="1"/>
  <c r="U459" i="1"/>
  <c r="V459" i="1" s="1"/>
  <c r="W507" i="1"/>
  <c r="U187" i="1"/>
  <c r="V187" i="1" s="1"/>
  <c r="W696" i="1"/>
  <c r="W301" i="1"/>
  <c r="W752" i="1"/>
  <c r="U717" i="1"/>
  <c r="V717" i="1" s="1"/>
  <c r="W282" i="1"/>
  <c r="W525" i="1"/>
  <c r="U868" i="1"/>
  <c r="V868" i="1" s="1"/>
  <c r="W834" i="1"/>
  <c r="W244" i="1"/>
  <c r="U580" i="1"/>
  <c r="V580" i="1" s="1"/>
  <c r="W568" i="1"/>
  <c r="W354" i="1"/>
  <c r="U110" i="1"/>
  <c r="V110" i="1" s="1"/>
  <c r="W913" i="1"/>
  <c r="W859" i="1"/>
  <c r="U443" i="1"/>
  <c r="V443" i="1" s="1"/>
  <c r="W443" i="1"/>
  <c r="W237" i="1"/>
  <c r="W520" i="1"/>
  <c r="U924" i="1"/>
  <c r="V924" i="1" s="1"/>
  <c r="W417" i="1"/>
  <c r="W972" i="1"/>
  <c r="W981" i="1"/>
  <c r="W1028" i="1"/>
  <c r="U719" i="1"/>
  <c r="V719" i="1" s="1"/>
  <c r="U597" i="1"/>
  <c r="V597" i="1" s="1"/>
  <c r="W108" i="1"/>
  <c r="W860" i="1"/>
  <c r="U259" i="1"/>
  <c r="V259" i="1" s="1"/>
  <c r="W322" i="1"/>
  <c r="U322" i="1"/>
  <c r="V322" i="1" s="1"/>
  <c r="W869" i="1"/>
  <c r="U657" i="1"/>
  <c r="V657" i="1" s="1"/>
  <c r="W657" i="1"/>
  <c r="O566" i="1"/>
  <c r="U688" i="1"/>
  <c r="V688" i="1" s="1"/>
  <c r="U203" i="1"/>
  <c r="V203" i="1" s="1"/>
  <c r="W404" i="1"/>
  <c r="U855" i="1"/>
  <c r="V855" i="1" s="1"/>
  <c r="U587" i="1"/>
  <c r="V587" i="1" s="1"/>
  <c r="U524" i="1"/>
  <c r="V524" i="1" s="1"/>
  <c r="W996" i="1"/>
  <c r="U388" i="1"/>
  <c r="V388" i="1" s="1"/>
  <c r="U796" i="1"/>
  <c r="V796" i="1" s="1"/>
  <c r="U773" i="1"/>
  <c r="V773" i="1" s="1"/>
  <c r="W806" i="1"/>
  <c r="U436" i="1"/>
  <c r="V436" i="1" s="1"/>
  <c r="W546" i="1"/>
  <c r="U838" i="1"/>
  <c r="V838" i="1" s="1"/>
  <c r="W1016" i="1"/>
  <c r="W299" i="1"/>
  <c r="U519" i="1"/>
  <c r="V519" i="1" s="1"/>
  <c r="W394" i="1"/>
  <c r="W34" i="1"/>
  <c r="W908" i="1"/>
  <c r="W641" i="1"/>
  <c r="O130" i="1"/>
  <c r="W606" i="1"/>
  <c r="U114" i="1"/>
  <c r="V114" i="1" s="1"/>
  <c r="W781" i="1"/>
  <c r="U781" i="1"/>
  <c r="V781" i="1" s="1"/>
  <c r="U458" i="1"/>
  <c r="V458" i="1" s="1"/>
  <c r="W741" i="1"/>
  <c r="W315" i="1"/>
  <c r="U315" i="1"/>
  <c r="V315" i="1" s="1"/>
  <c r="U1028" i="1"/>
  <c r="V1028" i="1" s="1"/>
  <c r="W221" i="1"/>
  <c r="U422" i="1"/>
  <c r="V422" i="1" s="1"/>
  <c r="W988" i="1"/>
  <c r="U382" i="1"/>
  <c r="V382" i="1" s="1"/>
  <c r="W682" i="1"/>
  <c r="W467" i="1"/>
  <c r="W327" i="1"/>
  <c r="U38" i="1"/>
  <c r="V38" i="1" s="1"/>
  <c r="W339" i="1"/>
  <c r="U339" i="1"/>
  <c r="V339" i="1" s="1"/>
  <c r="U747" i="1"/>
  <c r="V747" i="1" s="1"/>
  <c r="W747" i="1"/>
  <c r="U466" i="1"/>
  <c r="V466" i="1" s="1"/>
  <c r="W1017" i="1"/>
  <c r="U571" i="1"/>
  <c r="V571" i="1" s="1"/>
  <c r="U700" i="1"/>
  <c r="V700" i="1" s="1"/>
  <c r="W647" i="1"/>
  <c r="W803" i="1"/>
  <c r="W712" i="1"/>
  <c r="W79" i="1"/>
  <c r="W867" i="1"/>
  <c r="U323" i="1"/>
  <c r="V323" i="1" s="1"/>
  <c r="W495" i="1"/>
  <c r="U507" i="1"/>
  <c r="V507" i="1" s="1"/>
  <c r="U376" i="1"/>
  <c r="V376" i="1" s="1"/>
  <c r="W66" i="1"/>
  <c r="W430" i="1"/>
  <c r="W633" i="1"/>
  <c r="W189" i="1"/>
  <c r="W891" i="1"/>
  <c r="W522" i="1"/>
  <c r="W177" i="1"/>
  <c r="U269" i="1"/>
  <c r="V269" i="1" s="1"/>
  <c r="W765" i="1"/>
  <c r="W193" i="1"/>
  <c r="U498" i="1"/>
  <c r="V498" i="1" s="1"/>
  <c r="U474" i="1"/>
  <c r="V474" i="1" s="1"/>
  <c r="U244" i="1"/>
  <c r="V244" i="1" s="1"/>
  <c r="U818" i="1"/>
  <c r="V818" i="1" s="1"/>
  <c r="U740" i="1"/>
  <c r="V740" i="1" s="1"/>
  <c r="W182" i="1"/>
  <c r="U258" i="1"/>
  <c r="V258" i="1" s="1"/>
  <c r="W258" i="1"/>
  <c r="W723" i="1"/>
  <c r="W506" i="1"/>
  <c r="U791" i="1"/>
  <c r="V791" i="1" s="1"/>
  <c r="U31" i="1"/>
  <c r="V31" i="1" s="1"/>
  <c r="U863" i="1"/>
  <c r="V863" i="1" s="1"/>
  <c r="U218" i="1"/>
  <c r="V218" i="1" s="1"/>
  <c r="U918" i="1"/>
  <c r="V918" i="1" s="1"/>
  <c r="W618" i="1"/>
  <c r="U88" i="1"/>
  <c r="V88" i="1" s="1"/>
  <c r="W909" i="1"/>
  <c r="W58" i="1"/>
  <c r="U844" i="1"/>
  <c r="V844" i="1" s="1"/>
  <c r="U341" i="1"/>
  <c r="V341" i="1" s="1"/>
  <c r="U859" i="1"/>
  <c r="V859" i="1" s="1"/>
  <c r="W726" i="1"/>
  <c r="W402" i="1"/>
  <c r="U913" i="1"/>
  <c r="V913" i="1" s="1"/>
  <c r="U770" i="1"/>
  <c r="V770" i="1" s="1"/>
  <c r="U817" i="1"/>
  <c r="V817" i="1" s="1"/>
  <c r="U738" i="1"/>
  <c r="V738" i="1" s="1"/>
  <c r="W411" i="1"/>
  <c r="W640" i="1"/>
  <c r="W652" i="1"/>
  <c r="W437" i="1"/>
  <c r="W141" i="1"/>
  <c r="O547" i="1"/>
  <c r="W547" i="1"/>
  <c r="W305" i="1"/>
  <c r="W1022" i="1"/>
  <c r="W100" i="1"/>
  <c r="W441" i="1"/>
  <c r="U60" i="1"/>
  <c r="V60" i="1" s="1"/>
  <c r="W1040" i="1"/>
  <c r="W123" i="1"/>
  <c r="W483" i="1"/>
  <c r="U615" i="1"/>
  <c r="V615" i="1" s="1"/>
  <c r="W920" i="1"/>
  <c r="W541" i="1"/>
  <c r="U850" i="1"/>
  <c r="V850" i="1" s="1"/>
  <c r="W293" i="1"/>
  <c r="W390" i="1"/>
  <c r="U238" i="1"/>
  <c r="V238" i="1" s="1"/>
  <c r="W78" i="1"/>
  <c r="U641" i="1"/>
  <c r="V641" i="1" s="1"/>
  <c r="W180" i="1"/>
  <c r="U998" i="1"/>
  <c r="V998" i="1" s="1"/>
  <c r="U334" i="1"/>
  <c r="V334" i="1" s="1"/>
  <c r="W367" i="1"/>
  <c r="W477" i="1"/>
  <c r="U774" i="1"/>
  <c r="V774" i="1" s="1"/>
  <c r="W37" i="1"/>
  <c r="W795" i="1"/>
  <c r="U742" i="1"/>
  <c r="V742" i="1" s="1"/>
  <c r="U447" i="1"/>
  <c r="V447" i="1" s="1"/>
  <c r="W840" i="1"/>
  <c r="U536" i="1"/>
  <c r="V536" i="1" s="1"/>
  <c r="U148" i="1"/>
  <c r="V148" i="1" s="1"/>
  <c r="U715" i="1"/>
  <c r="V715" i="1" s="1"/>
  <c r="W845" i="1"/>
  <c r="U467" i="1"/>
  <c r="V467" i="1" s="1"/>
  <c r="W39" i="1"/>
  <c r="W455" i="1"/>
  <c r="U420" i="1"/>
  <c r="V420" i="1" s="1"/>
  <c r="W1015" i="1"/>
  <c r="W601" i="1"/>
  <c r="U83" i="1"/>
  <c r="V83" i="1" s="1"/>
  <c r="W526" i="1"/>
  <c r="U370" i="1"/>
  <c r="V370" i="1" s="1"/>
  <c r="U208" i="1"/>
  <c r="V208" i="1" s="1"/>
  <c r="U516" i="1"/>
  <c r="V516" i="1" s="1"/>
  <c r="U730" i="1"/>
  <c r="V730" i="1" s="1"/>
  <c r="W393" i="1"/>
  <c r="U716" i="1"/>
  <c r="V716" i="1" s="1"/>
  <c r="W59" i="1"/>
  <c r="W730" i="1"/>
  <c r="U393" i="1"/>
  <c r="V393" i="1" s="1"/>
  <c r="W529" i="1"/>
  <c r="W903" i="1"/>
  <c r="U375" i="1"/>
  <c r="V375" i="1" s="1"/>
  <c r="W105" i="1"/>
  <c r="U94" i="1"/>
  <c r="V94" i="1" s="1"/>
  <c r="U276" i="1"/>
  <c r="V276" i="1" s="1"/>
  <c r="U349" i="1"/>
  <c r="V349" i="1" s="1"/>
  <c r="U947" i="1"/>
  <c r="V947" i="1" s="1"/>
  <c r="U570" i="1"/>
  <c r="V570" i="1" s="1"/>
  <c r="U72" i="1"/>
  <c r="V72" i="1" s="1"/>
  <c r="W94" i="1"/>
  <c r="U230" i="1"/>
  <c r="V230" i="1" s="1"/>
  <c r="O264" i="1"/>
  <c r="O296" i="1"/>
  <c r="U955" i="1"/>
  <c r="V955" i="1" s="1"/>
  <c r="O210" i="1"/>
  <c r="W995" i="1"/>
  <c r="U605" i="1"/>
  <c r="V605" i="1" s="1"/>
  <c r="U383" i="1"/>
  <c r="V383" i="1" s="1"/>
  <c r="W55" i="1"/>
  <c r="W153" i="1"/>
  <c r="U589" i="1"/>
  <c r="V589" i="1" s="1"/>
  <c r="W309" i="1"/>
  <c r="U869" i="1"/>
  <c r="V869" i="1" s="1"/>
  <c r="W321" i="1"/>
  <c r="U321" i="1"/>
  <c r="V321" i="1" s="1"/>
  <c r="U762" i="1"/>
  <c r="V762" i="1" s="1"/>
  <c r="W396" i="1"/>
  <c r="U327" i="1"/>
  <c r="V327" i="1" s="1"/>
  <c r="W335" i="1"/>
  <c r="W442" i="1"/>
  <c r="W914" i="1"/>
  <c r="U475" i="1"/>
  <c r="V475" i="1" s="1"/>
  <c r="U621" i="1"/>
  <c r="V621" i="1" s="1"/>
  <c r="W643" i="1"/>
  <c r="U750" i="1"/>
  <c r="V750" i="1" s="1"/>
  <c r="U741" i="1"/>
  <c r="V741" i="1" s="1"/>
  <c r="W823" i="1"/>
  <c r="U326" i="1"/>
  <c r="V326" i="1" s="1"/>
  <c r="U632" i="1"/>
  <c r="V632" i="1" s="1"/>
  <c r="W348" i="1"/>
  <c r="W841" i="1"/>
  <c r="U252" i="1"/>
  <c r="V252" i="1" s="1"/>
  <c r="W330" i="1"/>
  <c r="W268" i="1"/>
  <c r="U761" i="1"/>
  <c r="V761" i="1" s="1"/>
  <c r="W851" i="1"/>
  <c r="U234" i="1"/>
  <c r="V234" i="1" s="1"/>
  <c r="W902" i="1"/>
  <c r="W257" i="1"/>
  <c r="U257" i="1"/>
  <c r="V257" i="1" s="1"/>
  <c r="U521" i="1"/>
  <c r="V521" i="1" s="1"/>
  <c r="W736" i="1"/>
  <c r="W311" i="1"/>
  <c r="U81" i="1"/>
  <c r="V81" i="1" s="1"/>
  <c r="W358" i="1"/>
  <c r="U784" i="1"/>
  <c r="V784" i="1" s="1"/>
  <c r="U606" i="1"/>
  <c r="V606" i="1" s="1"/>
  <c r="W999" i="1"/>
  <c r="W326" i="1"/>
  <c r="W668" i="1"/>
  <c r="W1042" i="1"/>
  <c r="W369" i="1"/>
  <c r="W252" i="1"/>
  <c r="W621" i="1"/>
  <c r="W432" i="1"/>
  <c r="U141" i="1"/>
  <c r="V141" i="1" s="1"/>
  <c r="U261" i="1"/>
  <c r="V261" i="1" s="1"/>
  <c r="U120" i="1"/>
  <c r="V120" i="1" s="1"/>
  <c r="W532" i="1"/>
  <c r="W69" i="1"/>
  <c r="U358" i="1"/>
  <c r="V358" i="1" s="1"/>
  <c r="W820" i="1"/>
  <c r="U26" i="1"/>
  <c r="V26" i="1" s="1"/>
  <c r="W374" i="1"/>
  <c r="U504" i="1"/>
  <c r="V504" i="1" s="1"/>
  <c r="U635" i="1"/>
  <c r="V635" i="1" s="1"/>
  <c r="W508" i="1"/>
  <c r="U87" i="1"/>
  <c r="V87" i="1" s="1"/>
  <c r="U429" i="1"/>
  <c r="V429" i="1" s="1"/>
  <c r="W814" i="1"/>
  <c r="W166" i="1"/>
  <c r="U242" i="1"/>
  <c r="V242" i="1" s="1"/>
  <c r="W234" i="1"/>
  <c r="U290" i="1"/>
  <c r="V290" i="1" s="1"/>
  <c r="W290" i="1"/>
  <c r="W679" i="1"/>
  <c r="U679" i="1"/>
  <c r="V679" i="1" s="1"/>
  <c r="W138" i="1"/>
  <c r="U138" i="1"/>
  <c r="V138" i="1" s="1"/>
  <c r="W192" i="1"/>
  <c r="U192" i="1"/>
  <c r="V192" i="1" s="1"/>
  <c r="U538" i="1"/>
  <c r="V538" i="1" s="1"/>
  <c r="W471" i="1"/>
  <c r="W815" i="1"/>
  <c r="U815" i="1"/>
  <c r="V815" i="1" s="1"/>
  <c r="W515" i="1"/>
  <c r="W490" i="1"/>
  <c r="U490" i="1"/>
  <c r="V490" i="1" s="1"/>
  <c r="W254" i="1"/>
  <c r="U254" i="1"/>
  <c r="V254" i="1" s="1"/>
  <c r="W462" i="1"/>
  <c r="W984" i="1"/>
  <c r="U136" i="1"/>
  <c r="V136" i="1" s="1"/>
  <c r="W196" i="1"/>
  <c r="W625" i="1"/>
  <c r="U625" i="1"/>
  <c r="V625" i="1" s="1"/>
  <c r="U266" i="1"/>
  <c r="V266" i="1" s="1"/>
  <c r="W266" i="1"/>
  <c r="W875" i="1"/>
  <c r="W62" i="1"/>
  <c r="U462" i="1"/>
  <c r="V462" i="1" s="1"/>
  <c r="W302" i="1"/>
  <c r="U659" i="1"/>
  <c r="V659" i="1" s="1"/>
  <c r="U450" i="1"/>
  <c r="V450" i="1" s="1"/>
  <c r="U196" i="1"/>
  <c r="V196" i="1" s="1"/>
  <c r="W300" i="1"/>
  <c r="U300" i="1"/>
  <c r="V300" i="1" s="1"/>
  <c r="W368" i="1"/>
  <c r="W1026" i="1"/>
  <c r="U1026" i="1"/>
  <c r="V1026" i="1" s="1"/>
  <c r="O184" i="1"/>
  <c r="U704" i="1"/>
  <c r="V704" i="1" s="1"/>
  <c r="W704" i="1"/>
  <c r="W744" i="1"/>
  <c r="U535" i="1"/>
  <c r="V535" i="1" s="1"/>
  <c r="W535" i="1"/>
  <c r="U755" i="1"/>
  <c r="V755" i="1" s="1"/>
  <c r="U225" i="1"/>
  <c r="V225" i="1" s="1"/>
  <c r="W225" i="1"/>
  <c r="W116" i="1"/>
  <c r="U116" i="1"/>
  <c r="V116" i="1" s="1"/>
  <c r="W35" i="1"/>
  <c r="U35" i="1"/>
  <c r="V35" i="1" s="1"/>
  <c r="W648" i="1"/>
  <c r="U648" i="1"/>
  <c r="V648" i="1" s="1"/>
  <c r="W163" i="1"/>
  <c r="W473" i="1"/>
  <c r="U473" i="1"/>
  <c r="V473" i="1" s="1"/>
  <c r="W800" i="1"/>
  <c r="U800" i="1"/>
  <c r="V800" i="1" s="1"/>
  <c r="U554" i="1"/>
  <c r="V554" i="1" s="1"/>
  <c r="U319" i="1"/>
  <c r="V319" i="1" s="1"/>
  <c r="W185" i="1"/>
  <c r="U185" i="1"/>
  <c r="V185" i="1" s="1"/>
  <c r="U886" i="1"/>
  <c r="V886" i="1" s="1"/>
  <c r="U385" i="1"/>
  <c r="V385" i="1" s="1"/>
  <c r="W385" i="1"/>
  <c r="W812" i="1"/>
  <c r="U356" i="1"/>
  <c r="V356" i="1" s="1"/>
  <c r="U471" i="1"/>
  <c r="V471" i="1" s="1"/>
  <c r="W136" i="1"/>
  <c r="U881" i="1"/>
  <c r="V881" i="1" s="1"/>
  <c r="W883" i="1"/>
  <c r="U848" i="1"/>
  <c r="V848" i="1" s="1"/>
  <c r="U283" i="1"/>
  <c r="V283" i="1" s="1"/>
  <c r="W251" i="1"/>
  <c r="W827" i="1"/>
  <c r="W666" i="1"/>
  <c r="U866" i="1"/>
  <c r="V866" i="1" s="1"/>
  <c r="U78" i="1"/>
  <c r="V78" i="1" s="1"/>
  <c r="U355" i="1"/>
  <c r="V355" i="1" s="1"/>
  <c r="U55" i="1"/>
  <c r="V55" i="1" s="1"/>
  <c r="W701" i="1"/>
  <c r="W702" i="1"/>
  <c r="W427" i="1"/>
  <c r="W499" i="1"/>
  <c r="W318" i="1"/>
  <c r="U638" i="1"/>
  <c r="V638" i="1" s="1"/>
  <c r="U478" i="1"/>
  <c r="V478" i="1" s="1"/>
  <c r="U758" i="1"/>
  <c r="V758" i="1" s="1"/>
  <c r="U75" i="1"/>
  <c r="V75" i="1" s="1"/>
  <c r="U1006" i="1"/>
  <c r="V1006" i="1" s="1"/>
  <c r="U903" i="1"/>
  <c r="V903" i="1" s="1"/>
  <c r="U698" i="1"/>
  <c r="V698" i="1" s="1"/>
  <c r="W159" i="1"/>
  <c r="W858" i="1"/>
  <c r="U318" i="1"/>
  <c r="V318" i="1" s="1"/>
  <c r="W848" i="1"/>
  <c r="U159" i="1"/>
  <c r="V159" i="1" s="1"/>
  <c r="W144" i="1"/>
  <c r="U144" i="1"/>
  <c r="V144" i="1" s="1"/>
  <c r="U644" i="1"/>
  <c r="V644" i="1" s="1"/>
  <c r="W644" i="1"/>
  <c r="W656" i="1"/>
  <c r="U656" i="1"/>
  <c r="V656" i="1" s="1"/>
  <c r="W769" i="1"/>
  <c r="U769" i="1"/>
  <c r="V769" i="1" s="1"/>
  <c r="U1031" i="1"/>
  <c r="V1031" i="1" s="1"/>
  <c r="W1031" i="1"/>
  <c r="W464" i="1"/>
  <c r="U464" i="1"/>
  <c r="V464" i="1" s="1"/>
  <c r="U272" i="1"/>
  <c r="V272" i="1" s="1"/>
  <c r="W272" i="1"/>
  <c r="U942" i="1"/>
  <c r="V942" i="1" s="1"/>
  <c r="W942" i="1"/>
  <c r="U418" i="1"/>
  <c r="V418" i="1" s="1"/>
  <c r="W418" i="1"/>
  <c r="W724" i="1"/>
  <c r="U724" i="1"/>
  <c r="V724" i="1" s="1"/>
  <c r="W249" i="1"/>
  <c r="U249" i="1"/>
  <c r="V249" i="1" s="1"/>
  <c r="U494" i="1"/>
  <c r="V494" i="1" s="1"/>
  <c r="W494" i="1"/>
  <c r="W596" i="1"/>
  <c r="W425" i="1"/>
  <c r="U425" i="1"/>
  <c r="V425" i="1" s="1"/>
  <c r="U619" i="1"/>
  <c r="V619" i="1" s="1"/>
  <c r="W619" i="1"/>
  <c r="W973" i="1"/>
  <c r="U973" i="1"/>
  <c r="V973" i="1" s="1"/>
  <c r="W119" i="1"/>
  <c r="U119" i="1"/>
  <c r="V119" i="1" s="1"/>
  <c r="U357" i="1"/>
  <c r="V357" i="1" s="1"/>
  <c r="W357" i="1"/>
  <c r="W373" i="1"/>
  <c r="U373" i="1"/>
  <c r="V373" i="1" s="1"/>
  <c r="W957" i="1"/>
  <c r="U957" i="1"/>
  <c r="V957" i="1" s="1"/>
  <c r="W260" i="1"/>
  <c r="U260" i="1"/>
  <c r="V260" i="1" s="1"/>
  <c r="W692" i="1"/>
  <c r="U165" i="1"/>
  <c r="V165" i="1" s="1"/>
  <c r="W165" i="1"/>
  <c r="W226" i="1"/>
  <c r="U226" i="1"/>
  <c r="V226" i="1" s="1"/>
  <c r="U628" i="1"/>
  <c r="V628" i="1" s="1"/>
  <c r="W628" i="1"/>
  <c r="U360" i="1"/>
  <c r="V360" i="1" s="1"/>
  <c r="W360" i="1"/>
  <c r="U65" i="1"/>
  <c r="V65" i="1" s="1"/>
  <c r="W65" i="1"/>
  <c r="W558" i="1"/>
  <c r="U558" i="1"/>
  <c r="V558" i="1" s="1"/>
  <c r="W767" i="1"/>
  <c r="U767" i="1"/>
  <c r="V767" i="1" s="1"/>
  <c r="U297" i="1"/>
  <c r="V297" i="1" s="1"/>
  <c r="W297" i="1"/>
  <c r="W557" i="1"/>
  <c r="U557" i="1"/>
  <c r="V557" i="1" s="1"/>
  <c r="U686" i="1"/>
  <c r="V686" i="1" s="1"/>
  <c r="W686" i="1"/>
  <c r="U246" i="1"/>
  <c r="V246" i="1" s="1"/>
  <c r="W246" i="1"/>
  <c r="W627" i="1"/>
  <c r="U627" i="1"/>
  <c r="V627" i="1" s="1"/>
  <c r="U586" i="1"/>
  <c r="V586" i="1" s="1"/>
  <c r="W586" i="1"/>
  <c r="W637" i="1"/>
  <c r="U637" i="1"/>
  <c r="V637" i="1" s="1"/>
  <c r="W421" i="1"/>
  <c r="U421" i="1"/>
  <c r="V421" i="1" s="1"/>
  <c r="U456" i="1"/>
  <c r="V456" i="1" s="1"/>
  <c r="W456" i="1"/>
  <c r="W819" i="1"/>
  <c r="W852" i="1"/>
  <c r="U852" i="1"/>
  <c r="V852" i="1" s="1"/>
  <c r="U639" i="1"/>
  <c r="V639" i="1" s="1"/>
  <c r="W639" i="1"/>
  <c r="W956" i="1"/>
  <c r="U509" i="1"/>
  <c r="V509" i="1" s="1"/>
  <c r="W509" i="1"/>
  <c r="U622" i="1"/>
  <c r="V622" i="1" s="1"/>
  <c r="W622" i="1"/>
  <c r="U970" i="1"/>
  <c r="V970" i="1" s="1"/>
  <c r="W970" i="1"/>
  <c r="U898" i="1"/>
  <c r="V898" i="1" s="1"/>
  <c r="W898" i="1"/>
  <c r="U572" i="1"/>
  <c r="V572" i="1" s="1"/>
  <c r="W572" i="1"/>
  <c r="U191" i="1"/>
  <c r="V191" i="1" s="1"/>
  <c r="W191" i="1"/>
  <c r="W201" i="1"/>
  <c r="U201" i="1"/>
  <c r="V201" i="1" s="1"/>
  <c r="W469" i="1"/>
  <c r="W446" i="1"/>
  <c r="U446" i="1"/>
  <c r="V446" i="1" s="1"/>
  <c r="W636" i="1"/>
  <c r="U636" i="1"/>
  <c r="V636" i="1" s="1"/>
  <c r="W298" i="1"/>
  <c r="U298" i="1"/>
  <c r="V298" i="1" s="1"/>
  <c r="U486" i="1"/>
  <c r="V486" i="1" s="1"/>
  <c r="W486" i="1"/>
  <c r="W739" i="1"/>
  <c r="U739" i="1"/>
  <c r="V739" i="1" s="1"/>
  <c r="W785" i="1"/>
  <c r="U785" i="1"/>
  <c r="V785" i="1" s="1"/>
  <c r="W278" i="1"/>
  <c r="U278" i="1"/>
  <c r="V278" i="1" s="1"/>
  <c r="U720" i="1"/>
  <c r="V720" i="1" s="1"/>
  <c r="W720" i="1"/>
  <c r="W228" i="1"/>
  <c r="U228" i="1"/>
  <c r="V228" i="1" s="1"/>
  <c r="W183" i="1"/>
  <c r="U183" i="1"/>
  <c r="V183" i="1" s="1"/>
  <c r="W983" i="1"/>
  <c r="U983" i="1"/>
  <c r="V983" i="1" s="1"/>
  <c r="W677" i="1"/>
  <c r="U677" i="1"/>
  <c r="V677" i="1" s="1"/>
  <c r="W503" i="1"/>
  <c r="U503" i="1"/>
  <c r="V503" i="1" s="1"/>
  <c r="U194" i="1"/>
  <c r="V194" i="1" s="1"/>
  <c r="W241" i="1"/>
  <c r="U241" i="1"/>
  <c r="V241" i="1" s="1"/>
  <c r="W829" i="1"/>
  <c r="U829" i="1"/>
  <c r="V829" i="1" s="1"/>
  <c r="W592" i="1"/>
  <c r="U592" i="1"/>
  <c r="V592" i="1" s="1"/>
  <c r="W67" i="1"/>
  <c r="U67" i="1"/>
  <c r="V67" i="1" s="1"/>
  <c r="W135" i="1"/>
  <c r="U135" i="1"/>
  <c r="V135" i="1" s="1"/>
  <c r="W960" i="1"/>
  <c r="U960" i="1"/>
  <c r="V960" i="1" s="1"/>
  <c r="W139" i="1"/>
  <c r="U139" i="1"/>
  <c r="V139" i="1" s="1"/>
  <c r="U86" i="1"/>
  <c r="V86" i="1" s="1"/>
  <c r="W86" i="1"/>
  <c r="W654" i="1"/>
  <c r="U654" i="1"/>
  <c r="V654" i="1" s="1"/>
  <c r="W595" i="1"/>
  <c r="W352" i="1"/>
  <c r="U352" i="1"/>
  <c r="V352" i="1" s="1"/>
  <c r="W408" i="1"/>
  <c r="U408" i="1"/>
  <c r="V408" i="1" s="1"/>
  <c r="W937" i="1"/>
  <c r="U937" i="1"/>
  <c r="V937" i="1" s="1"/>
  <c r="U832" i="1"/>
  <c r="V832" i="1" s="1"/>
  <c r="W832" i="1"/>
  <c r="U542" i="1"/>
  <c r="V542" i="1" s="1"/>
  <c r="W542" i="1"/>
  <c r="U118" i="1"/>
  <c r="V118" i="1" s="1"/>
  <c r="W118" i="1"/>
  <c r="W294" i="1"/>
  <c r="U294" i="1"/>
  <c r="V294" i="1" s="1"/>
  <c r="W662" i="1"/>
  <c r="U662" i="1"/>
  <c r="V662" i="1" s="1"/>
  <c r="W590" i="1"/>
  <c r="U590" i="1"/>
  <c r="V590" i="1" s="1"/>
  <c r="U874" i="1"/>
  <c r="V874" i="1" s="1"/>
  <c r="W874" i="1"/>
  <c r="U788" i="1"/>
  <c r="V788" i="1" s="1"/>
  <c r="W788" i="1"/>
  <c r="U672" i="1"/>
  <c r="V672" i="1" s="1"/>
  <c r="W672" i="1"/>
  <c r="U176" i="1"/>
  <c r="V176" i="1" s="1"/>
  <c r="W176" i="1"/>
  <c r="U452" i="1"/>
  <c r="V452" i="1" s="1"/>
  <c r="W452" i="1"/>
  <c r="W313" i="1"/>
  <c r="U313" i="1"/>
  <c r="V313" i="1" s="1"/>
  <c r="U583" i="1"/>
  <c r="V583" i="1" s="1"/>
  <c r="W583" i="1"/>
  <c r="U377" i="1"/>
  <c r="V377" i="1" s="1"/>
  <c r="W377" i="1"/>
  <c r="U320" i="1"/>
  <c r="V320" i="1" s="1"/>
  <c r="W320" i="1"/>
  <c r="U325" i="1"/>
  <c r="V325" i="1" s="1"/>
  <c r="W325" i="1"/>
  <c r="U399" i="1"/>
  <c r="V399" i="1" s="1"/>
  <c r="W399" i="1"/>
  <c r="U993" i="1"/>
  <c r="V993" i="1" s="1"/>
  <c r="W993" i="1"/>
  <c r="W853" i="1"/>
  <c r="U853" i="1"/>
  <c r="V853" i="1" s="1"/>
  <c r="W476" i="1"/>
  <c r="U476" i="1"/>
  <c r="V476" i="1" s="1"/>
  <c r="W285" i="1"/>
  <c r="U285" i="1"/>
  <c r="V285" i="1" s="1"/>
  <c r="W931" i="1"/>
  <c r="U931" i="1"/>
  <c r="V931" i="1" s="1"/>
  <c r="W764" i="1"/>
  <c r="U764" i="1"/>
  <c r="V764" i="1" s="1"/>
  <c r="U835" i="1"/>
  <c r="V835" i="1" s="1"/>
  <c r="W835" i="1"/>
  <c r="U1043" i="1"/>
  <c r="V1043" i="1" s="1"/>
  <c r="W1043" i="1"/>
  <c r="W681" i="1"/>
  <c r="U681" i="1"/>
  <c r="V681" i="1" s="1"/>
  <c r="U1004" i="1"/>
  <c r="V1004" i="1" s="1"/>
  <c r="W1004" i="1"/>
  <c r="AQ172" i="1" l="1"/>
  <c r="AQ321" i="1"/>
  <c r="AQ444" i="1"/>
  <c r="AQ117" i="1"/>
  <c r="AQ389" i="1"/>
  <c r="AQ894" i="1"/>
  <c r="AQ58" i="1"/>
  <c r="AQ855" i="1"/>
  <c r="AQ385" i="1"/>
  <c r="AQ373" i="1"/>
  <c r="AQ953" i="1"/>
  <c r="AQ143" i="1"/>
  <c r="AQ954" i="1"/>
  <c r="AQ92" i="1"/>
  <c r="AQ266" i="1"/>
  <c r="AQ708" i="1"/>
  <c r="AQ686" i="1"/>
  <c r="AQ376" i="1"/>
  <c r="AQ164" i="1"/>
  <c r="AQ361" i="1"/>
  <c r="AQ532" i="1"/>
  <c r="AQ632" i="1"/>
  <c r="AQ842" i="1"/>
  <c r="AQ609" i="1"/>
  <c r="AQ958" i="1"/>
  <c r="AQ810" i="1"/>
  <c r="AQ746" i="1"/>
  <c r="AQ559" i="1"/>
  <c r="AQ601" i="1"/>
  <c r="AQ88" i="1"/>
  <c r="AQ695" i="1"/>
  <c r="AQ62" i="1"/>
  <c r="AQ145" i="1"/>
  <c r="AQ157" i="1"/>
  <c r="AQ914" i="1"/>
  <c r="AQ657" i="1"/>
  <c r="AQ156" i="1"/>
  <c r="AQ364" i="1"/>
  <c r="AQ977" i="1"/>
  <c r="AQ651" i="1"/>
  <c r="AQ866" i="1"/>
  <c r="AQ637" i="1"/>
  <c r="AQ720" i="1"/>
  <c r="AQ51" i="1"/>
  <c r="AQ79" i="1"/>
  <c r="AQ512" i="1"/>
  <c r="AQ217" i="1"/>
  <c r="AQ140" i="1"/>
  <c r="AQ76" i="1"/>
  <c r="AQ840" i="1"/>
  <c r="AQ849" i="1"/>
  <c r="AQ480" i="1"/>
  <c r="AQ572" i="1"/>
  <c r="AQ139" i="1"/>
  <c r="AQ585" i="1"/>
  <c r="AQ788" i="1"/>
  <c r="AQ369" i="1"/>
  <c r="AQ505" i="1"/>
  <c r="AQ175" i="1"/>
  <c r="AQ198" i="1"/>
  <c r="AQ181" i="1"/>
  <c r="AQ397" i="1"/>
  <c r="AQ161" i="1"/>
  <c r="AQ120" i="1"/>
  <c r="AQ176" i="1"/>
  <c r="AQ462" i="1"/>
  <c r="AQ485" i="1"/>
  <c r="AQ644" i="1"/>
  <c r="AQ53" i="1"/>
  <c r="AQ923" i="1"/>
  <c r="AQ731" i="1"/>
  <c r="AQ169" i="1"/>
  <c r="AQ555" i="1"/>
  <c r="AQ664" i="1"/>
  <c r="AQ1022" i="1"/>
  <c r="AQ392" i="1"/>
  <c r="AQ152" i="1"/>
  <c r="AQ483" i="1"/>
  <c r="AQ525" i="1"/>
  <c r="AQ551" i="1"/>
  <c r="AQ146" i="1"/>
  <c r="AQ482" i="1"/>
  <c r="AQ779" i="1"/>
  <c r="AQ729" i="1"/>
  <c r="AQ989" i="1"/>
  <c r="AQ279" i="1"/>
  <c r="AQ743" i="1"/>
  <c r="AQ822" i="1"/>
  <c r="AQ396" i="1"/>
  <c r="AQ627" i="1"/>
  <c r="AQ683" i="1"/>
  <c r="AQ519" i="1"/>
  <c r="AQ52" i="1"/>
  <c r="AQ342" i="1"/>
  <c r="AQ384" i="1"/>
  <c r="AQ490" i="1"/>
  <c r="AQ832" i="1"/>
  <c r="AQ897" i="1"/>
  <c r="AQ939" i="1"/>
  <c r="AQ69" i="1"/>
  <c r="AQ1011" i="1"/>
  <c r="AQ591" i="1"/>
  <c r="AQ974" i="1"/>
  <c r="AQ681" i="1"/>
  <c r="AQ715" i="1"/>
  <c r="AQ702" i="1"/>
  <c r="AQ416" i="1"/>
  <c r="AQ848" i="1"/>
  <c r="AQ948" i="1"/>
  <c r="AQ773" i="1"/>
  <c r="AQ826" i="1"/>
  <c r="AQ1035" i="1"/>
  <c r="AQ979" i="1"/>
  <c r="AQ945" i="1"/>
  <c r="AQ437" i="1"/>
  <c r="AQ650" i="1"/>
  <c r="AQ749" i="1"/>
  <c r="AQ577" i="1"/>
  <c r="AQ659" i="1"/>
  <c r="AQ382" i="1"/>
  <c r="AQ917" i="1"/>
  <c r="AQ78" i="1"/>
  <c r="AQ311" i="1"/>
  <c r="AQ493" i="1"/>
  <c r="AQ1024" i="1"/>
  <c r="AQ288" i="1"/>
  <c r="AQ98" i="1"/>
  <c r="AQ445" i="1"/>
  <c r="AQ767" i="1"/>
  <c r="AQ543" i="1"/>
  <c r="AQ343" i="1"/>
  <c r="AQ701" i="1"/>
  <c r="AQ406" i="1"/>
  <c r="AQ213" i="1"/>
  <c r="AQ242" i="1"/>
  <c r="AQ784" i="1"/>
  <c r="AQ694" i="1"/>
  <c r="AQ956" i="1"/>
  <c r="AQ531" i="1"/>
  <c r="AQ739" i="1"/>
  <c r="AQ787" i="1"/>
  <c r="AQ398" i="1"/>
  <c r="AQ414" i="1"/>
  <c r="AQ226" i="1"/>
  <c r="AQ546" i="1"/>
  <c r="AQ499" i="1"/>
  <c r="AQ135" i="1"/>
  <c r="AQ341" i="1"/>
  <c r="AQ353" i="1"/>
  <c r="AQ830" i="1"/>
  <c r="AQ1012" i="1"/>
  <c r="AQ845" i="1"/>
  <c r="AQ626" i="1"/>
  <c r="AQ475" i="1"/>
  <c r="AQ167" i="1"/>
  <c r="AQ110" i="1"/>
  <c r="AQ318" i="1"/>
  <c r="AQ442" i="1"/>
  <c r="AQ331" i="1"/>
  <c r="AQ598" i="1"/>
  <c r="AQ1026" i="1"/>
  <c r="AQ533" i="1"/>
  <c r="AQ299" i="1"/>
  <c r="AQ207" i="1"/>
  <c r="AQ759" i="1"/>
  <c r="AQ688" i="1"/>
  <c r="AQ552" i="1"/>
  <c r="AJ256" i="1"/>
  <c r="AQ256" i="1" s="1"/>
  <c r="AJ501" i="1"/>
  <c r="AQ501" i="1" s="1"/>
  <c r="AJ1038" i="1"/>
  <c r="AQ1038" i="1" s="1"/>
  <c r="AJ383" i="1"/>
  <c r="AQ383" i="1" s="1"/>
  <c r="AJ170" i="1"/>
  <c r="AQ170" i="1" s="1"/>
  <c r="AJ184" i="1"/>
  <c r="AQ184" i="1" s="1"/>
  <c r="AJ957" i="1"/>
  <c r="AQ957" i="1" s="1"/>
  <c r="AJ912" i="1"/>
  <c r="AQ912" i="1" s="1"/>
  <c r="AJ939" i="1"/>
  <c r="AJ885" i="1"/>
  <c r="AQ885" i="1" s="1"/>
  <c r="AJ1035" i="1"/>
  <c r="AJ79" i="1"/>
  <c r="AJ423" i="1"/>
  <c r="AQ423" i="1" s="1"/>
  <c r="AJ333" i="1"/>
  <c r="AQ333" i="1" s="1"/>
  <c r="AJ836" i="1"/>
  <c r="AQ836" i="1" s="1"/>
  <c r="AJ491" i="1"/>
  <c r="AQ491" i="1" s="1"/>
  <c r="AJ279" i="1"/>
  <c r="AJ548" i="1"/>
  <c r="AQ548" i="1" s="1"/>
  <c r="AJ488" i="1"/>
  <c r="AQ488" i="1" s="1"/>
  <c r="AJ789" i="1"/>
  <c r="AQ789" i="1" s="1"/>
  <c r="AJ966" i="1"/>
  <c r="AQ966" i="1" s="1"/>
  <c r="AJ698" i="1"/>
  <c r="AQ698" i="1" s="1"/>
  <c r="AJ52" i="1"/>
  <c r="AJ172" i="1"/>
  <c r="AJ595" i="1"/>
  <c r="AQ595" i="1" s="1"/>
  <c r="AJ828" i="1"/>
  <c r="AQ828" i="1" s="1"/>
  <c r="AJ552" i="1"/>
  <c r="AJ306" i="1"/>
  <c r="AQ306" i="1" s="1"/>
  <c r="AJ475" i="1"/>
  <c r="AJ36" i="1"/>
  <c r="AQ36" i="1" s="1"/>
  <c r="AJ208" i="1"/>
  <c r="AQ208" i="1" s="1"/>
  <c r="AJ499" i="1"/>
  <c r="AJ884" i="1"/>
  <c r="AQ884" i="1" s="1"/>
  <c r="AJ553" i="1"/>
  <c r="AQ553" i="1" s="1"/>
  <c r="AJ599" i="1"/>
  <c r="AQ599" i="1" s="1"/>
  <c r="AJ1024" i="1"/>
  <c r="AJ551" i="1"/>
  <c r="AJ114" i="1"/>
  <c r="AQ114" i="1" s="1"/>
  <c r="AJ344" i="1"/>
  <c r="AQ344" i="1" s="1"/>
  <c r="AJ51" i="1"/>
  <c r="AJ617" i="1"/>
  <c r="AQ617" i="1" s="1"/>
  <c r="AJ991" i="1"/>
  <c r="AQ991" i="1" s="1"/>
  <c r="AJ821" i="1"/>
  <c r="AQ821" i="1" s="1"/>
  <c r="AJ591" i="1"/>
  <c r="AJ593" i="1"/>
  <c r="AQ593" i="1" s="1"/>
  <c r="AJ263" i="1"/>
  <c r="AQ263" i="1" s="1"/>
  <c r="AJ42" i="1"/>
  <c r="AQ42" i="1" s="1"/>
  <c r="AJ830" i="1"/>
  <c r="AJ893" i="1"/>
  <c r="AQ893" i="1" s="1"/>
  <c r="AJ86" i="1"/>
  <c r="AQ86" i="1" s="1"/>
  <c r="AJ807" i="1"/>
  <c r="AQ807" i="1" s="1"/>
  <c r="AJ973" i="1"/>
  <c r="AQ973" i="1" s="1"/>
  <c r="AJ213" i="1"/>
  <c r="AJ277" i="1"/>
  <c r="AQ277" i="1" s="1"/>
  <c r="AJ664" i="1"/>
  <c r="AJ350" i="1"/>
  <c r="AQ350" i="1" s="1"/>
  <c r="AJ414" i="1"/>
  <c r="AJ862" i="1"/>
  <c r="AQ862" i="1" s="1"/>
  <c r="AJ308" i="1"/>
  <c r="AQ308" i="1" s="1"/>
  <c r="AJ490" i="1"/>
  <c r="AJ316" i="1"/>
  <c r="AQ316" i="1" s="1"/>
  <c r="AJ1006" i="1"/>
  <c r="AQ1006" i="1" s="1"/>
  <c r="AJ226" i="1"/>
  <c r="AJ881" i="1"/>
  <c r="AQ881" i="1" s="1"/>
  <c r="AJ683" i="1"/>
  <c r="AJ988" i="1"/>
  <c r="AQ988" i="1" s="1"/>
  <c r="AJ749" i="1"/>
  <c r="AJ974" i="1"/>
  <c r="AJ897" i="1"/>
  <c r="AJ873" i="1"/>
  <c r="AQ873" i="1" s="1"/>
  <c r="AJ926" i="1"/>
  <c r="AQ926" i="1" s="1"/>
  <c r="AJ174" i="1"/>
  <c r="AQ174" i="1" s="1"/>
  <c r="AJ109" i="1"/>
  <c r="AQ109" i="1" s="1"/>
  <c r="AJ407" i="1"/>
  <c r="AQ407" i="1" s="1"/>
  <c r="AJ671" i="1"/>
  <c r="AQ671" i="1" s="1"/>
  <c r="AJ250" i="1"/>
  <c r="AQ250" i="1" s="1"/>
  <c r="AJ387" i="1"/>
  <c r="AQ387" i="1" s="1"/>
  <c r="AJ497" i="1"/>
  <c r="AQ497" i="1" s="1"/>
  <c r="AJ513" i="1"/>
  <c r="AQ513" i="1" s="1"/>
  <c r="AJ448" i="1"/>
  <c r="AQ448" i="1" s="1"/>
  <c r="AJ492" i="1"/>
  <c r="AQ492" i="1" s="1"/>
  <c r="AJ999" i="1"/>
  <c r="AQ999" i="1" s="1"/>
  <c r="AJ852" i="1"/>
  <c r="AQ852" i="1" s="1"/>
  <c r="AJ181" i="1"/>
  <c r="AJ393" i="1"/>
  <c r="AQ393" i="1" s="1"/>
  <c r="AJ166" i="1"/>
  <c r="AQ166" i="1" s="1"/>
  <c r="AJ597" i="1"/>
  <c r="AQ597" i="1" s="1"/>
  <c r="AJ684" i="1"/>
  <c r="AQ684" i="1" s="1"/>
  <c r="AJ909" i="1"/>
  <c r="AQ909" i="1" s="1"/>
  <c r="AJ326" i="1"/>
  <c r="AQ326" i="1" s="1"/>
  <c r="AJ302" i="1"/>
  <c r="AQ302" i="1" s="1"/>
  <c r="AJ202" i="1"/>
  <c r="AQ202" i="1" s="1"/>
  <c r="AJ585" i="1"/>
  <c r="AJ716" i="1"/>
  <c r="AQ716" i="1" s="1"/>
  <c r="AJ494" i="1"/>
  <c r="AQ494" i="1" s="1"/>
  <c r="AJ767" i="1"/>
  <c r="AJ374" i="1"/>
  <c r="AQ374" i="1" s="1"/>
  <c r="AJ357" i="1"/>
  <c r="AQ357" i="1" s="1"/>
  <c r="AJ280" i="1"/>
  <c r="AQ280" i="1" s="1"/>
  <c r="AJ110" i="1"/>
  <c r="AJ32" i="1"/>
  <c r="AJ451" i="1"/>
  <c r="AQ451" i="1" s="1"/>
  <c r="AJ611" i="1"/>
  <c r="AQ611" i="1" s="1"/>
  <c r="AJ751" i="1"/>
  <c r="AQ751" i="1" s="1"/>
  <c r="AJ566" i="1"/>
  <c r="AQ566" i="1" s="1"/>
  <c r="AJ667" i="1"/>
  <c r="AQ667" i="1" s="1"/>
  <c r="AJ190" i="1"/>
  <c r="AQ190" i="1" s="1"/>
  <c r="AJ710" i="1"/>
  <c r="AQ710" i="1" s="1"/>
  <c r="AJ573" i="1"/>
  <c r="AQ573" i="1" s="1"/>
  <c r="AJ313" i="1"/>
  <c r="AQ313" i="1" s="1"/>
  <c r="AJ162" i="1"/>
  <c r="AQ162" i="1" s="1"/>
  <c r="AJ345" i="1"/>
  <c r="AQ345" i="1" s="1"/>
  <c r="AJ651" i="1"/>
  <c r="AJ239" i="1"/>
  <c r="AQ239" i="1" s="1"/>
  <c r="AJ445" i="1"/>
  <c r="AJ773" i="1"/>
  <c r="AJ196" i="1"/>
  <c r="AQ196" i="1" s="1"/>
  <c r="AJ578" i="1"/>
  <c r="AQ578" i="1" s="1"/>
  <c r="AJ342" i="1"/>
  <c r="AJ120" i="1"/>
  <c r="AJ382" i="1"/>
  <c r="AJ947" i="1"/>
  <c r="AQ947" i="1" s="1"/>
  <c r="AJ515" i="1"/>
  <c r="AQ515" i="1" s="1"/>
  <c r="AJ121" i="1"/>
  <c r="AQ121" i="1" s="1"/>
  <c r="AJ192" i="1"/>
  <c r="AQ192" i="1" s="1"/>
  <c r="AJ298" i="1"/>
  <c r="AQ298" i="1" s="1"/>
  <c r="AJ633" i="1"/>
  <c r="AQ633" i="1" s="1"/>
  <c r="AJ914" i="1"/>
  <c r="AJ311" i="1"/>
  <c r="AJ509" i="1"/>
  <c r="AQ509" i="1" s="1"/>
  <c r="AJ742" i="1"/>
  <c r="AQ742" i="1" s="1"/>
  <c r="AJ369" i="1"/>
  <c r="AJ993" i="1"/>
  <c r="AQ993" i="1" s="1"/>
  <c r="AJ724" i="1"/>
  <c r="AQ724" i="1" s="1"/>
  <c r="AJ788" i="1"/>
  <c r="AJ396" i="1"/>
  <c r="AJ358" i="1"/>
  <c r="AQ358" i="1" s="1"/>
  <c r="AJ368" i="1"/>
  <c r="AQ368" i="1" s="1"/>
  <c r="AJ898" i="1"/>
  <c r="AQ898" i="1" s="1"/>
  <c r="AJ738" i="1"/>
  <c r="AQ738" i="1" s="1"/>
  <c r="AJ628" i="1"/>
  <c r="AQ628" i="1" s="1"/>
  <c r="AJ159" i="1"/>
  <c r="AQ159" i="1" s="1"/>
  <c r="AJ437" i="1"/>
  <c r="AJ865" i="1"/>
  <c r="AQ865" i="1" s="1"/>
  <c r="AJ520" i="1"/>
  <c r="AQ520" i="1" s="1"/>
  <c r="AJ241" i="1"/>
  <c r="AQ241" i="1" s="1"/>
  <c r="AJ702" i="1"/>
  <c r="AJ656" i="1"/>
  <c r="AQ656" i="1" s="1"/>
  <c r="AJ886" i="1"/>
  <c r="AQ886" i="1" s="1"/>
  <c r="AJ273" i="1"/>
  <c r="AQ273" i="1" s="1"/>
  <c r="AJ636" i="1"/>
  <c r="AQ636" i="1" s="1"/>
  <c r="AJ1042" i="1"/>
  <c r="AQ1042" i="1" s="1"/>
  <c r="AJ135" i="1"/>
  <c r="AJ153" i="1"/>
  <c r="AQ153" i="1" s="1"/>
  <c r="AJ644" i="1"/>
  <c r="AJ401" i="1"/>
  <c r="AQ401" i="1" s="1"/>
  <c r="AJ812" i="1"/>
  <c r="AQ812" i="1" s="1"/>
  <c r="AJ268" i="1"/>
  <c r="AQ268" i="1" s="1"/>
  <c r="AJ637" i="1"/>
  <c r="AJ784" i="1"/>
  <c r="AJ305" i="1"/>
  <c r="AQ305" i="1" s="1"/>
  <c r="AJ466" i="1"/>
  <c r="AQ466" i="1" s="1"/>
  <c r="AJ888" i="1"/>
  <c r="AQ888" i="1" s="1"/>
  <c r="AJ589" i="1"/>
  <c r="AQ589" i="1" s="1"/>
  <c r="AJ31" i="1"/>
  <c r="AQ31" i="1" s="1"/>
  <c r="AJ282" i="1"/>
  <c r="AQ282" i="1" s="1"/>
  <c r="AJ498" i="1"/>
  <c r="AQ498" i="1" s="1"/>
  <c r="AJ657" i="1"/>
  <c r="AJ201" i="1"/>
  <c r="AQ201" i="1" s="1"/>
  <c r="AJ984" i="1"/>
  <c r="AQ984" i="1" s="1"/>
  <c r="AJ271" i="1"/>
  <c r="AQ271" i="1" s="1"/>
  <c r="AJ297" i="1"/>
  <c r="AQ297" i="1" s="1"/>
  <c r="AJ100" i="1"/>
  <c r="AQ100" i="1" s="1"/>
  <c r="AJ854" i="1"/>
  <c r="AQ854" i="1" s="1"/>
  <c r="AJ187" i="1"/>
  <c r="AQ187" i="1" s="1"/>
  <c r="AJ954" i="1"/>
  <c r="AJ596" i="1"/>
  <c r="AQ596" i="1" s="1"/>
  <c r="AJ180" i="1"/>
  <c r="AQ180" i="1" s="1"/>
  <c r="AJ731" i="1"/>
  <c r="AJ347" i="1"/>
  <c r="AQ347" i="1" s="1"/>
  <c r="AJ30" i="1"/>
  <c r="AQ30" i="1" s="1"/>
  <c r="AJ438" i="1"/>
  <c r="AQ438" i="1" s="1"/>
  <c r="AJ200" i="1"/>
  <c r="AQ200" i="1" s="1"/>
  <c r="AJ371" i="1"/>
  <c r="AQ371" i="1" s="1"/>
  <c r="AJ108" i="1"/>
  <c r="AQ108" i="1" s="1"/>
  <c r="AJ851" i="1"/>
  <c r="AQ851" i="1" s="1"/>
  <c r="AJ220" i="1"/>
  <c r="AQ220" i="1" s="1"/>
  <c r="AJ805" i="1"/>
  <c r="AQ805" i="1" s="1"/>
  <c r="AJ1007" i="1"/>
  <c r="AQ1007" i="1" s="1"/>
  <c r="AJ303" i="1"/>
  <c r="AQ303" i="1" s="1"/>
  <c r="AJ69" i="1"/>
  <c r="AJ923" i="1"/>
  <c r="AJ537" i="1"/>
  <c r="AQ537" i="1" s="1"/>
  <c r="AJ928" i="1"/>
  <c r="AQ928" i="1" s="1"/>
  <c r="AJ736" i="1"/>
  <c r="AQ736" i="1" s="1"/>
  <c r="AJ455" i="1"/>
  <c r="AQ455" i="1" s="1"/>
  <c r="AJ895" i="1"/>
  <c r="AQ895" i="1" s="1"/>
  <c r="AJ61" i="1"/>
  <c r="AQ61" i="1" s="1"/>
  <c r="AJ25" i="1"/>
  <c r="AQ25" i="1" s="1"/>
  <c r="AJ481" i="1"/>
  <c r="AQ481" i="1" s="1"/>
  <c r="AJ227" i="1"/>
  <c r="AQ227" i="1" s="1"/>
  <c r="AJ640" i="1"/>
  <c r="AQ640" i="1" s="1"/>
  <c r="AJ293" i="1"/>
  <c r="AQ293" i="1" s="1"/>
  <c r="AJ112" i="1"/>
  <c r="AQ112" i="1" s="1"/>
  <c r="AJ568" i="1"/>
  <c r="AQ568" i="1" s="1"/>
  <c r="AJ449" i="1"/>
  <c r="AQ449" i="1" s="1"/>
  <c r="AJ685" i="1"/>
  <c r="AQ685" i="1" s="1"/>
  <c r="AJ623" i="1"/>
  <c r="AQ623" i="1" s="1"/>
  <c r="AJ534" i="1"/>
  <c r="AQ534" i="1" s="1"/>
  <c r="AJ745" i="1"/>
  <c r="AQ745" i="1" s="1"/>
  <c r="AJ819" i="1"/>
  <c r="AQ819" i="1" s="1"/>
  <c r="AJ1033" i="1"/>
  <c r="AQ1033" i="1" s="1"/>
  <c r="AJ142" i="1"/>
  <c r="AQ142" i="1" s="1"/>
  <c r="AJ281" i="1"/>
  <c r="AQ281" i="1" s="1"/>
  <c r="AJ1002" i="1"/>
  <c r="AQ1002" i="1" s="1"/>
  <c r="AJ901" i="1"/>
  <c r="AQ901" i="1" s="1"/>
  <c r="AJ43" i="1"/>
  <c r="AQ43" i="1" s="1"/>
  <c r="AJ604" i="1"/>
  <c r="AQ604" i="1" s="1"/>
  <c r="AJ719" i="1"/>
  <c r="AQ719" i="1" s="1"/>
  <c r="AJ981" i="1"/>
  <c r="AQ981" i="1" s="1"/>
  <c r="AJ1015" i="1"/>
  <c r="AQ1015" i="1" s="1"/>
  <c r="AJ433" i="1"/>
  <c r="AQ433" i="1" s="1"/>
  <c r="AJ536" i="1"/>
  <c r="AQ536" i="1" s="1"/>
  <c r="AJ772" i="1"/>
  <c r="AQ772" i="1" s="1"/>
  <c r="AJ1014" i="1"/>
  <c r="AQ1014" i="1" s="1"/>
  <c r="AJ106" i="1"/>
  <c r="AQ106" i="1" s="1"/>
  <c r="AJ129" i="1"/>
  <c r="AQ129" i="1" s="1"/>
  <c r="AJ265" i="1"/>
  <c r="AQ265" i="1" s="1"/>
  <c r="AJ301" i="1"/>
  <c r="AQ301" i="1" s="1"/>
  <c r="AJ900" i="1"/>
  <c r="AQ900" i="1" s="1"/>
  <c r="AJ132" i="1"/>
  <c r="AQ132" i="1" s="1"/>
  <c r="AJ620" i="1"/>
  <c r="AQ620" i="1" s="1"/>
  <c r="AJ514" i="1"/>
  <c r="AQ514" i="1" s="1"/>
  <c r="AJ324" i="1"/>
  <c r="AQ324" i="1" s="1"/>
  <c r="AJ304" i="1"/>
  <c r="AQ304" i="1" s="1"/>
  <c r="AJ728" i="1"/>
  <c r="AQ728" i="1" s="1"/>
  <c r="AJ255" i="1"/>
  <c r="AQ255" i="1" s="1"/>
  <c r="AJ658" i="1"/>
  <c r="AQ658" i="1" s="1"/>
  <c r="AJ219" i="1"/>
  <c r="AQ219" i="1" s="1"/>
  <c r="AJ539" i="1"/>
  <c r="AQ539" i="1" s="1"/>
  <c r="AJ525" i="1"/>
  <c r="AJ418" i="1"/>
  <c r="AQ418" i="1" s="1"/>
  <c r="AJ33" i="1"/>
  <c r="AQ33" i="1" s="1"/>
  <c r="AJ753" i="1"/>
  <c r="AQ753" i="1" s="1"/>
  <c r="AJ705" i="1"/>
  <c r="AQ705" i="1" s="1"/>
  <c r="AJ179" i="1"/>
  <c r="AQ179" i="1" s="1"/>
  <c r="AJ782" i="1"/>
  <c r="AQ782" i="1" s="1"/>
  <c r="AJ249" i="1"/>
  <c r="AQ249" i="1" s="1"/>
  <c r="AJ146" i="1"/>
  <c r="AJ264" i="1"/>
  <c r="AQ264" i="1" s="1"/>
  <c r="AJ205" i="1"/>
  <c r="AQ205" i="1" s="1"/>
  <c r="AJ1041" i="1"/>
  <c r="AQ1041" i="1" s="1"/>
  <c r="AJ569" i="1"/>
  <c r="AQ569" i="1" s="1"/>
  <c r="AJ816" i="1"/>
  <c r="AQ816" i="1" s="1"/>
  <c r="AJ943" i="1"/>
  <c r="AQ943" i="1" s="1"/>
  <c r="AJ718" i="1"/>
  <c r="AQ718" i="1" s="1"/>
  <c r="AJ661" i="1"/>
  <c r="AQ661" i="1" s="1"/>
  <c r="AJ933" i="1"/>
  <c r="AQ933" i="1" s="1"/>
  <c r="AJ559" i="1"/>
  <c r="AJ147" i="1"/>
  <c r="AQ147" i="1" s="1"/>
  <c r="AJ875" i="1"/>
  <c r="AQ875" i="1" s="1"/>
  <c r="AJ240" i="1"/>
  <c r="AQ240" i="1" s="1"/>
  <c r="AJ614" i="1"/>
  <c r="AQ614" i="1" s="1"/>
  <c r="AJ747" i="1"/>
  <c r="AQ747" i="1" s="1"/>
  <c r="AJ485" i="1"/>
  <c r="AJ151" i="1"/>
  <c r="AQ151" i="1" s="1"/>
  <c r="AJ38" i="1"/>
  <c r="AQ38" i="1" s="1"/>
  <c r="AJ217" i="1"/>
  <c r="AJ777" i="1"/>
  <c r="AQ777" i="1" s="1"/>
  <c r="AJ495" i="1"/>
  <c r="AQ495" i="1" s="1"/>
  <c r="AJ711" i="1"/>
  <c r="AQ711" i="1" s="1"/>
  <c r="AJ1020" i="1"/>
  <c r="AQ1020" i="1" s="1"/>
  <c r="AJ469" i="1"/>
  <c r="AQ469" i="1" s="1"/>
  <c r="AJ744" i="1"/>
  <c r="AQ744" i="1" s="1"/>
  <c r="AJ71" i="1"/>
  <c r="AQ71" i="1" s="1"/>
  <c r="AJ314" i="1"/>
  <c r="AQ314" i="1" s="1"/>
  <c r="AJ386" i="1"/>
  <c r="AQ386" i="1" s="1"/>
  <c r="AJ639" i="1"/>
  <c r="AQ639" i="1" s="1"/>
  <c r="AJ512" i="1"/>
  <c r="AJ441" i="1"/>
  <c r="AQ441" i="1" s="1"/>
  <c r="AJ115" i="1"/>
  <c r="AQ115" i="1" s="1"/>
  <c r="AJ528" i="1"/>
  <c r="AQ528" i="1" s="1"/>
  <c r="AJ89" i="1"/>
  <c r="AQ89" i="1" s="1"/>
  <c r="AJ261" i="1"/>
  <c r="AQ261" i="1" s="1"/>
  <c r="AJ48" i="1"/>
  <c r="AQ48" i="1" s="1"/>
  <c r="AJ674" i="1"/>
  <c r="AQ674" i="1" s="1"/>
  <c r="AJ694" i="1"/>
  <c r="AJ833" i="1"/>
  <c r="AQ833" i="1" s="1"/>
  <c r="AJ550" i="1"/>
  <c r="AQ550" i="1" s="1"/>
  <c r="AJ63" i="1"/>
  <c r="AQ63" i="1" s="1"/>
  <c r="AJ746" i="1"/>
  <c r="AJ546" i="1"/>
  <c r="AJ626" i="1"/>
  <c r="AJ148" i="1"/>
  <c r="AQ148" i="1" s="1"/>
  <c r="AJ410" i="1"/>
  <c r="AQ410" i="1" s="1"/>
  <c r="AJ355" i="1"/>
  <c r="AQ355" i="1" s="1"/>
  <c r="AJ720" i="1"/>
  <c r="AJ542" i="1"/>
  <c r="AQ542" i="1" s="1"/>
  <c r="AJ246" i="1"/>
  <c r="AQ246" i="1" s="1"/>
  <c r="AJ161" i="1"/>
  <c r="AJ124" i="1"/>
  <c r="AQ124" i="1" s="1"/>
  <c r="AJ1029" i="1"/>
  <c r="AQ1029" i="1" s="1"/>
  <c r="AJ680" i="1"/>
  <c r="AQ680" i="1" s="1"/>
  <c r="AJ134" i="1"/>
  <c r="AQ134" i="1" s="1"/>
  <c r="AJ479" i="1"/>
  <c r="AQ479" i="1" s="1"/>
  <c r="AJ581" i="1"/>
  <c r="AQ581" i="1" s="1"/>
  <c r="AJ956" i="1"/>
  <c r="AJ175" i="1"/>
  <c r="AJ565" i="1"/>
  <c r="AQ565" i="1" s="1"/>
  <c r="AJ1034" i="1"/>
  <c r="AQ1034" i="1" s="1"/>
  <c r="AJ375" i="1"/>
  <c r="AQ375" i="1" s="1"/>
  <c r="AJ1001" i="1"/>
  <c r="AQ1001" i="1" s="1"/>
  <c r="AJ870" i="1"/>
  <c r="AQ870" i="1" s="1"/>
  <c r="AJ653" i="1"/>
  <c r="AQ653" i="1" s="1"/>
  <c r="AJ468" i="1"/>
  <c r="AQ468" i="1" s="1"/>
  <c r="AJ419" i="1"/>
  <c r="AQ419" i="1" s="1"/>
  <c r="AJ759" i="1"/>
  <c r="AJ971" i="1"/>
  <c r="AQ971" i="1" s="1"/>
  <c r="AJ510" i="1"/>
  <c r="AQ510" i="1" s="1"/>
  <c r="AJ945" i="1"/>
  <c r="AJ160" i="1"/>
  <c r="AQ160" i="1" s="1"/>
  <c r="AJ489" i="1"/>
  <c r="AQ489" i="1" s="1"/>
  <c r="AJ35" i="1"/>
  <c r="AQ35" i="1" s="1"/>
  <c r="AJ409" i="1"/>
  <c r="AQ409" i="1" s="1"/>
  <c r="AJ58" i="1"/>
  <c r="AJ987" i="1"/>
  <c r="AQ987" i="1" s="1"/>
  <c r="AJ210" i="1"/>
  <c r="AQ210" i="1" s="1"/>
  <c r="AJ904" i="1"/>
  <c r="AQ904" i="1" s="1"/>
  <c r="AJ979" i="1"/>
  <c r="AJ511" i="1"/>
  <c r="AQ511" i="1" s="1"/>
  <c r="AJ379" i="1"/>
  <c r="AQ379" i="1" s="1"/>
  <c r="AJ425" i="1"/>
  <c r="AQ425" i="1" s="1"/>
  <c r="AJ288" i="1"/>
  <c r="AJ560" i="1"/>
  <c r="AQ560" i="1" s="1"/>
  <c r="AJ319" i="1"/>
  <c r="AQ319" i="1" s="1"/>
  <c r="AJ1036" i="1"/>
  <c r="AQ1036" i="1" s="1"/>
  <c r="AJ406" i="1"/>
  <c r="AJ317" i="1"/>
  <c r="AQ317" i="1" s="1"/>
  <c r="AJ118" i="1"/>
  <c r="AQ118" i="1" s="1"/>
  <c r="AJ292" i="1"/>
  <c r="AQ292" i="1" s="1"/>
  <c r="AJ364" i="1"/>
  <c r="AJ775" i="1"/>
  <c r="AQ775" i="1" s="1"/>
  <c r="AJ384" i="1"/>
  <c r="AJ692" i="1"/>
  <c r="AQ692" i="1" s="1"/>
  <c r="AJ778" i="1"/>
  <c r="AQ778" i="1" s="1"/>
  <c r="AJ34" i="1"/>
  <c r="AQ34" i="1" s="1"/>
  <c r="AJ543" i="1"/>
  <c r="AJ72" i="1"/>
  <c r="AQ72" i="1" s="1"/>
  <c r="AJ467" i="1"/>
  <c r="AQ467" i="1" s="1"/>
  <c r="AJ300" i="1"/>
  <c r="AQ300" i="1" s="1"/>
  <c r="AJ259" i="1"/>
  <c r="AQ259" i="1" s="1"/>
  <c r="AJ443" i="1"/>
  <c r="AQ443" i="1" s="1"/>
  <c r="AJ341" i="1"/>
  <c r="AJ138" i="1"/>
  <c r="AQ138" i="1" s="1"/>
  <c r="AJ627" i="1"/>
  <c r="AJ476" i="1"/>
  <c r="AQ476" i="1" s="1"/>
  <c r="AJ605" i="1"/>
  <c r="AQ605" i="1" s="1"/>
  <c r="AJ998" i="1"/>
  <c r="AQ998" i="1" s="1"/>
  <c r="AJ964" i="1"/>
  <c r="AQ964" i="1" s="1"/>
  <c r="AJ373" i="1"/>
  <c r="AJ232" i="1"/>
  <c r="AQ232" i="1" s="1"/>
  <c r="AJ66" i="1"/>
  <c r="AQ66" i="1" s="1"/>
  <c r="AJ64" i="1"/>
  <c r="AQ64" i="1" s="1"/>
  <c r="AJ483" i="1"/>
  <c r="AJ521" i="1"/>
  <c r="AQ521" i="1" s="1"/>
  <c r="AJ911" i="1"/>
  <c r="AQ911" i="1" s="1"/>
  <c r="AJ1027" i="1"/>
  <c r="AQ1027" i="1" s="1"/>
  <c r="AJ996" i="1"/>
  <c r="AQ996" i="1" s="1"/>
  <c r="AJ343" i="1"/>
  <c r="AJ808" i="1"/>
  <c r="AQ808" i="1" s="1"/>
  <c r="AJ444" i="1"/>
  <c r="AJ98" i="1"/>
  <c r="AJ247" i="1"/>
  <c r="AQ247" i="1" s="1"/>
  <c r="AJ41" i="1"/>
  <c r="AQ41" i="1" s="1"/>
  <c r="AJ691" i="1"/>
  <c r="AQ691" i="1" s="1"/>
  <c r="AJ659" i="1"/>
  <c r="AJ435" i="1"/>
  <c r="AQ435" i="1" s="1"/>
  <c r="AJ450" i="1"/>
  <c r="AQ450" i="1" s="1"/>
  <c r="AJ577" i="1"/>
  <c r="AJ903" i="1"/>
  <c r="AQ903" i="1" s="1"/>
  <c r="AJ237" i="1"/>
  <c r="AQ237" i="1" s="1"/>
  <c r="AJ39" i="1"/>
  <c r="AQ39" i="1" s="1"/>
  <c r="AJ907" i="1"/>
  <c r="AQ907" i="1" s="1"/>
  <c r="AJ715" i="1"/>
  <c r="AJ786" i="1"/>
  <c r="AQ786" i="1" s="1"/>
  <c r="AJ1009" i="1"/>
  <c r="AQ1009" i="1" s="1"/>
  <c r="AJ770" i="1"/>
  <c r="AQ770" i="1" s="1"/>
  <c r="AJ81" i="1"/>
  <c r="AQ81" i="1" s="1"/>
  <c r="AJ119" i="1"/>
  <c r="AQ119" i="1" s="1"/>
  <c r="AJ619" i="1"/>
  <c r="AQ619" i="1" s="1"/>
  <c r="AJ55" i="1"/>
  <c r="AQ55" i="1" s="1"/>
  <c r="AJ285" i="1"/>
  <c r="AQ285" i="1" s="1"/>
  <c r="AJ806" i="1"/>
  <c r="AQ806" i="1" s="1"/>
  <c r="AJ932" i="1"/>
  <c r="AQ932" i="1" s="1"/>
  <c r="AJ493" i="1"/>
  <c r="AJ254" i="1"/>
  <c r="AQ254" i="1" s="1"/>
  <c r="AJ918" i="1"/>
  <c r="AQ918" i="1" s="1"/>
  <c r="AJ458" i="1"/>
  <c r="AQ458" i="1" s="1"/>
  <c r="AJ829" i="1"/>
  <c r="AQ829" i="1" s="1"/>
  <c r="AJ318" i="1"/>
  <c r="AJ388" i="1"/>
  <c r="AQ388" i="1" s="1"/>
  <c r="AJ234" i="1"/>
  <c r="AQ234" i="1" s="1"/>
  <c r="AJ860" i="1"/>
  <c r="AQ860" i="1" s="1"/>
  <c r="AJ446" i="1"/>
  <c r="AQ446" i="1" s="1"/>
  <c r="AJ182" i="1"/>
  <c r="AQ182" i="1" s="1"/>
  <c r="AJ557" i="1"/>
  <c r="AQ557" i="1" s="1"/>
  <c r="AJ622" i="1"/>
  <c r="AQ622" i="1" s="1"/>
  <c r="AJ983" i="1"/>
  <c r="AQ983" i="1" s="1"/>
  <c r="AJ607" i="1"/>
  <c r="AQ607" i="1" s="1"/>
  <c r="AJ238" i="1"/>
  <c r="AQ238" i="1" s="1"/>
  <c r="AJ315" i="1"/>
  <c r="AQ315" i="1" s="1"/>
  <c r="AJ398" i="1"/>
  <c r="AJ1043" i="1"/>
  <c r="AQ1043" i="1" s="1"/>
  <c r="AJ257" i="1"/>
  <c r="AQ257" i="1" s="1"/>
  <c r="AJ461" i="1"/>
  <c r="AQ461" i="1" s="1"/>
  <c r="AJ700" i="1"/>
  <c r="AQ700" i="1" s="1"/>
  <c r="AJ666" i="1"/>
  <c r="AQ666" i="1" s="1"/>
  <c r="AJ834" i="1"/>
  <c r="AQ834" i="1" s="1"/>
  <c r="AJ276" i="1"/>
  <c r="AQ276" i="1" s="1"/>
  <c r="AJ376" i="1"/>
  <c r="AJ913" i="1"/>
  <c r="AQ913" i="1" s="1"/>
  <c r="AJ94" i="1"/>
  <c r="AQ94" i="1" s="1"/>
  <c r="AJ262" i="1"/>
  <c r="AQ262" i="1" s="1"/>
  <c r="AJ65" i="1"/>
  <c r="AQ65" i="1" s="1"/>
  <c r="AJ193" i="1"/>
  <c r="AQ193" i="1" s="1"/>
  <c r="AJ634" i="1"/>
  <c r="AQ634" i="1" s="1"/>
  <c r="AJ75" i="1"/>
  <c r="AQ75" i="1" s="1"/>
  <c r="AJ428" i="1"/>
  <c r="AQ428" i="1" s="1"/>
  <c r="AJ1026" i="1"/>
  <c r="AJ402" i="1"/>
  <c r="AQ402" i="1" s="1"/>
  <c r="AJ417" i="1"/>
  <c r="AQ417" i="1" s="1"/>
  <c r="AJ924" i="1"/>
  <c r="AQ924" i="1" s="1"/>
  <c r="AJ564" i="1"/>
  <c r="AQ564" i="1" s="1"/>
  <c r="AJ970" i="1"/>
  <c r="AQ970" i="1" s="1"/>
  <c r="AJ946" i="1"/>
  <c r="AQ946" i="1" s="1"/>
  <c r="AJ848" i="1"/>
  <c r="AJ442" i="1"/>
  <c r="AJ360" i="1"/>
  <c r="AQ360" i="1" s="1"/>
  <c r="AJ654" i="1"/>
  <c r="AQ654" i="1" s="1"/>
  <c r="AJ26" i="1"/>
  <c r="AQ26" i="1" s="1"/>
  <c r="AJ982" i="1"/>
  <c r="AQ982" i="1" s="1"/>
  <c r="AJ776" i="1"/>
  <c r="AQ776" i="1" s="1"/>
  <c r="AJ791" i="1"/>
  <c r="AQ791" i="1" s="1"/>
  <c r="AJ307" i="1"/>
  <c r="AQ307" i="1" s="1"/>
  <c r="AJ165" i="1"/>
  <c r="AQ165" i="1" s="1"/>
  <c r="AJ399" i="1"/>
  <c r="AQ399" i="1" s="1"/>
  <c r="AJ436" i="1"/>
  <c r="AQ436" i="1" s="1"/>
  <c r="AJ472" i="1"/>
  <c r="AQ472" i="1" s="1"/>
  <c r="AJ810" i="1"/>
  <c r="AJ740" i="1"/>
  <c r="AQ740" i="1" s="1"/>
  <c r="AJ797" i="1"/>
  <c r="AQ797" i="1" s="1"/>
  <c r="AJ754" i="1"/>
  <c r="AQ754" i="1" s="1"/>
  <c r="AJ378" i="1"/>
  <c r="AQ378" i="1" s="1"/>
  <c r="AJ229" i="1"/>
  <c r="AQ229" i="1" s="1"/>
  <c r="AJ602" i="1"/>
  <c r="AQ602" i="1" s="1"/>
  <c r="AJ837" i="1"/>
  <c r="AQ837" i="1" s="1"/>
  <c r="AJ415" i="1"/>
  <c r="AQ415" i="1" s="1"/>
  <c r="AJ366" i="1"/>
  <c r="AQ366" i="1" s="1"/>
  <c r="AJ616" i="1"/>
  <c r="AQ616" i="1" s="1"/>
  <c r="AJ762" i="1"/>
  <c r="AQ762" i="1" s="1"/>
  <c r="AJ556" i="1"/>
  <c r="AQ556" i="1" s="1"/>
  <c r="AJ603" i="1"/>
  <c r="AQ603" i="1" s="1"/>
  <c r="AJ906" i="1"/>
  <c r="AQ906" i="1" s="1"/>
  <c r="AJ1039" i="1"/>
  <c r="AQ1039" i="1" s="1"/>
  <c r="AJ977" i="1"/>
  <c r="AJ891" i="1"/>
  <c r="AQ891" i="1" s="1"/>
  <c r="AJ484" i="1"/>
  <c r="AQ484" i="1" s="1"/>
  <c r="AJ99" i="1"/>
  <c r="AQ99" i="1" s="1"/>
  <c r="AJ722" i="1"/>
  <c r="AQ722" i="1" s="1"/>
  <c r="AJ381" i="1"/>
  <c r="AQ381" i="1" s="1"/>
  <c r="AJ717" i="1"/>
  <c r="AQ717" i="1" s="1"/>
  <c r="AJ340" i="1"/>
  <c r="AQ340" i="1" s="1"/>
  <c r="AJ635" i="1"/>
  <c r="AQ635" i="1" s="1"/>
  <c r="AJ295" i="1"/>
  <c r="AQ295" i="1" s="1"/>
  <c r="AJ642" i="1"/>
  <c r="AQ642" i="1" s="1"/>
  <c r="AJ245" i="1"/>
  <c r="AQ245" i="1" s="1"/>
  <c r="AJ186" i="1"/>
  <c r="AQ186" i="1" s="1"/>
  <c r="AJ1037" i="1"/>
  <c r="AQ1037" i="1" s="1"/>
  <c r="AJ1013" i="1"/>
  <c r="AQ1013" i="1" s="1"/>
  <c r="AJ768" i="1"/>
  <c r="AQ768" i="1" s="1"/>
  <c r="AJ831" i="1"/>
  <c r="AQ831" i="1" s="1"/>
  <c r="AJ813" i="1"/>
  <c r="AQ813" i="1" s="1"/>
  <c r="AJ46" i="1"/>
  <c r="AQ46" i="1" s="1"/>
  <c r="AJ880" i="1"/>
  <c r="AQ880" i="1" s="1"/>
  <c r="AJ613" i="1"/>
  <c r="AQ613" i="1" s="1"/>
  <c r="AJ359" i="1"/>
  <c r="AQ359" i="1" s="1"/>
  <c r="AJ545" i="1"/>
  <c r="AQ545" i="1" s="1"/>
  <c r="AJ454" i="1"/>
  <c r="AQ454" i="1" s="1"/>
  <c r="AJ518" i="1"/>
  <c r="AQ518" i="1" s="1"/>
  <c r="AJ630" i="1"/>
  <c r="AQ630" i="1" s="1"/>
  <c r="AJ760" i="1"/>
  <c r="AQ760" i="1" s="1"/>
  <c r="AJ267" i="1"/>
  <c r="AQ267" i="1" s="1"/>
  <c r="AJ130" i="1"/>
  <c r="AQ130" i="1" s="1"/>
  <c r="AJ362" i="1"/>
  <c r="AQ362" i="1" s="1"/>
  <c r="AJ291" i="1"/>
  <c r="AQ291" i="1" s="1"/>
  <c r="AJ125" i="1"/>
  <c r="AQ125" i="1" s="1"/>
  <c r="AJ50" i="1"/>
  <c r="AQ50" i="1" s="1"/>
  <c r="AJ351" i="1"/>
  <c r="AQ351" i="1" s="1"/>
  <c r="AJ73" i="1"/>
  <c r="AQ73" i="1" s="1"/>
  <c r="AJ93" i="1"/>
  <c r="AQ93" i="1" s="1"/>
  <c r="AJ70" i="1"/>
  <c r="AQ70" i="1" s="1"/>
  <c r="AJ896" i="1"/>
  <c r="AQ896" i="1" s="1"/>
  <c r="AJ1012" i="1"/>
  <c r="AJ842" i="1"/>
  <c r="AJ972" i="1"/>
  <c r="AQ972" i="1" s="1"/>
  <c r="AJ549" i="1"/>
  <c r="AQ549" i="1" s="1"/>
  <c r="AJ859" i="1"/>
  <c r="AQ859" i="1" s="1"/>
  <c r="AJ727" i="1"/>
  <c r="AQ727" i="1" s="1"/>
  <c r="AJ1011" i="1"/>
  <c r="AJ211" i="1"/>
  <c r="AQ211" i="1" s="1"/>
  <c r="AJ783" i="1"/>
  <c r="AQ783" i="1" s="1"/>
  <c r="AJ427" i="1"/>
  <c r="AQ427" i="1" s="1"/>
  <c r="AJ152" i="1"/>
  <c r="AJ74" i="1"/>
  <c r="AQ74" i="1" s="1"/>
  <c r="AJ77" i="1"/>
  <c r="AQ77" i="1" s="1"/>
  <c r="AJ78" i="1"/>
  <c r="AJ1031" i="1"/>
  <c r="AQ1031" i="1" s="1"/>
  <c r="AJ843" i="1"/>
  <c r="AQ843" i="1" s="1"/>
  <c r="AJ1005" i="1"/>
  <c r="AQ1005" i="1" s="1"/>
  <c r="AJ327" i="1"/>
  <c r="AQ327" i="1" s="1"/>
  <c r="AJ191" i="1"/>
  <c r="AQ191" i="1" s="1"/>
  <c r="AJ194" i="1"/>
  <c r="AQ194" i="1" s="1"/>
  <c r="AJ938" i="1"/>
  <c r="AQ938" i="1" s="1"/>
  <c r="AJ150" i="1"/>
  <c r="AQ150" i="1" s="1"/>
  <c r="AJ1018" i="1"/>
  <c r="AQ1018" i="1" s="1"/>
  <c r="AJ83" i="1"/>
  <c r="AQ83" i="1" s="1"/>
  <c r="AJ876" i="1"/>
  <c r="AQ876" i="1" s="1"/>
  <c r="AJ176" i="1"/>
  <c r="AJ967" i="1"/>
  <c r="AQ967" i="1" s="1"/>
  <c r="AJ769" i="1"/>
  <c r="AQ769" i="1" s="1"/>
  <c r="AJ583" i="1"/>
  <c r="AQ583" i="1" s="1"/>
  <c r="AJ950" i="1"/>
  <c r="AQ950" i="1" s="1"/>
  <c r="AJ178" i="1"/>
  <c r="AQ178" i="1" s="1"/>
  <c r="AJ463" i="1"/>
  <c r="AQ463" i="1" s="1"/>
  <c r="AJ948" i="1"/>
  <c r="AJ942" i="1"/>
  <c r="AQ942" i="1" s="1"/>
  <c r="AJ958" i="1"/>
  <c r="AJ171" i="1"/>
  <c r="AQ171" i="1" s="1"/>
  <c r="AJ149" i="1"/>
  <c r="AQ149" i="1" s="1"/>
  <c r="AJ889" i="1"/>
  <c r="AQ889" i="1" s="1"/>
  <c r="AJ275" i="1"/>
  <c r="AQ275" i="1" s="1"/>
  <c r="AJ846" i="1"/>
  <c r="AQ846" i="1" s="1"/>
  <c r="AJ882" i="1"/>
  <c r="AQ882" i="1" s="1"/>
  <c r="AJ541" i="1"/>
  <c r="AQ541" i="1" s="1"/>
  <c r="AJ464" i="1"/>
  <c r="AQ464" i="1" s="1"/>
  <c r="AJ600" i="1"/>
  <c r="AQ600" i="1" s="1"/>
  <c r="AJ712" i="1"/>
  <c r="AQ712" i="1" s="1"/>
  <c r="AJ214" i="1"/>
  <c r="AQ214" i="1" s="1"/>
  <c r="AJ126" i="1"/>
  <c r="AQ126" i="1" s="1"/>
  <c r="AJ563" i="1"/>
  <c r="AQ563" i="1" s="1"/>
  <c r="AJ959" i="1"/>
  <c r="AQ959" i="1" s="1"/>
  <c r="AJ1032" i="1"/>
  <c r="AQ1032" i="1" s="1"/>
  <c r="AJ575" i="1"/>
  <c r="AQ575" i="1" s="1"/>
  <c r="AJ916" i="1"/>
  <c r="AQ916" i="1" s="1"/>
  <c r="AJ968" i="1"/>
  <c r="AQ968" i="1" s="1"/>
  <c r="AJ910" i="1"/>
  <c r="AQ910" i="1" s="1"/>
  <c r="AJ750" i="1"/>
  <c r="AQ750" i="1" s="1"/>
  <c r="AJ496" i="1"/>
  <c r="AQ496" i="1" s="1"/>
  <c r="AJ131" i="1"/>
  <c r="AQ131" i="1" s="1"/>
  <c r="AJ743" i="1"/>
  <c r="AJ887" i="1"/>
  <c r="AQ887" i="1" s="1"/>
  <c r="AJ85" i="1"/>
  <c r="AQ85" i="1" s="1"/>
  <c r="AJ459" i="1"/>
  <c r="AQ459" i="1" s="1"/>
  <c r="AJ756" i="1"/>
  <c r="AQ756" i="1" s="1"/>
  <c r="AJ771" i="1"/>
  <c r="AQ771" i="1" s="1"/>
  <c r="AJ645" i="1"/>
  <c r="AQ645" i="1" s="1"/>
  <c r="AJ986" i="1"/>
  <c r="AQ986" i="1" s="1"/>
  <c r="AJ243" i="1"/>
  <c r="AQ243" i="1" s="1"/>
  <c r="AJ554" i="1"/>
  <c r="AQ554" i="1" s="1"/>
  <c r="AJ400" i="1"/>
  <c r="AQ400" i="1" s="1"/>
  <c r="AJ878" i="1"/>
  <c r="AQ878" i="1" s="1"/>
  <c r="AJ869" i="1"/>
  <c r="AQ869" i="1" s="1"/>
  <c r="AJ558" i="1"/>
  <c r="AQ558" i="1" s="1"/>
  <c r="AJ405" i="1"/>
  <c r="AQ405" i="1" s="1"/>
  <c r="AJ76" i="1"/>
  <c r="AJ969" i="1"/>
  <c r="AQ969" i="1" s="1"/>
  <c r="AJ101" i="1"/>
  <c r="AQ101" i="1" s="1"/>
  <c r="AJ1025" i="1"/>
  <c r="AQ1025" i="1" s="1"/>
  <c r="AJ937" i="1"/>
  <c r="AQ937" i="1" s="1"/>
  <c r="AJ646" i="1"/>
  <c r="AQ646" i="1" s="1"/>
  <c r="AJ990" i="1"/>
  <c r="AQ990" i="1" s="1"/>
  <c r="AJ391" i="1"/>
  <c r="AQ391" i="1" s="1"/>
  <c r="AJ1030" i="1"/>
  <c r="AQ1030" i="1" s="1"/>
  <c r="AJ1019" i="1"/>
  <c r="AQ1019" i="1" s="1"/>
  <c r="AJ223" i="1"/>
  <c r="AQ223" i="1" s="1"/>
  <c r="AJ899" i="1"/>
  <c r="AQ899" i="1" s="1"/>
  <c r="AJ212" i="1"/>
  <c r="AQ212" i="1" s="1"/>
  <c r="AJ416" i="1"/>
  <c r="AJ594" i="1"/>
  <c r="AQ594" i="1" s="1"/>
  <c r="AJ985" i="1"/>
  <c r="AQ985" i="1" s="1"/>
  <c r="AJ894" i="1"/>
  <c r="AJ787" i="1"/>
  <c r="AJ707" i="1"/>
  <c r="AQ707" i="1" s="1"/>
  <c r="AJ726" i="1"/>
  <c r="AQ726" i="1" s="1"/>
  <c r="AJ931" i="1"/>
  <c r="AQ931" i="1" s="1"/>
  <c r="AJ228" i="1"/>
  <c r="AQ228" i="1" s="1"/>
  <c r="AJ136" i="1"/>
  <c r="AQ136" i="1" s="1"/>
  <c r="AJ116" i="1"/>
  <c r="AQ116" i="1" s="1"/>
  <c r="AJ677" i="1"/>
  <c r="AQ677" i="1" s="1"/>
  <c r="AJ802" i="1"/>
  <c r="AQ802" i="1" s="1"/>
  <c r="AJ785" i="1"/>
  <c r="AQ785" i="1" s="1"/>
  <c r="AJ185" i="1"/>
  <c r="AQ185" i="1" s="1"/>
  <c r="AJ1016" i="1"/>
  <c r="AQ1016" i="1" s="1"/>
  <c r="AJ927" i="1"/>
  <c r="AQ927" i="1" s="1"/>
  <c r="AJ486" i="1"/>
  <c r="AQ486" i="1" s="1"/>
  <c r="AJ755" i="1"/>
  <c r="AQ755" i="1" s="1"/>
  <c r="AJ408" i="1"/>
  <c r="AQ408" i="1" s="1"/>
  <c r="AJ312" i="1"/>
  <c r="AQ312" i="1" s="1"/>
  <c r="AJ144" i="1"/>
  <c r="AQ144" i="1" s="1"/>
  <c r="AJ95" i="1"/>
  <c r="AQ95" i="1" s="1"/>
  <c r="AJ949" i="1"/>
  <c r="AQ949" i="1" s="1"/>
  <c r="AJ579" i="1"/>
  <c r="AQ579" i="1" s="1"/>
  <c r="AJ713" i="1"/>
  <c r="AQ713" i="1" s="1"/>
  <c r="AJ102" i="1"/>
  <c r="AQ102" i="1" s="1"/>
  <c r="AJ811" i="1"/>
  <c r="AQ811" i="1" s="1"/>
  <c r="AJ867" i="1"/>
  <c r="AQ867" i="1" s="1"/>
  <c r="AJ487" i="1"/>
  <c r="AQ487" i="1" s="1"/>
  <c r="AJ45" i="1"/>
  <c r="AQ45" i="1" s="1"/>
  <c r="AJ389" i="1"/>
  <c r="AJ198" i="1"/>
  <c r="AJ156" i="1"/>
  <c r="AJ199" i="1"/>
  <c r="AQ199" i="1" s="1"/>
  <c r="AJ730" i="1"/>
  <c r="AQ730" i="1" s="1"/>
  <c r="AJ346" i="1"/>
  <c r="AQ346" i="1" s="1"/>
  <c r="AJ269" i="1"/>
  <c r="AQ269" i="1" s="1"/>
  <c r="AJ348" i="1"/>
  <c r="AQ348" i="1" s="1"/>
  <c r="AJ920" i="1"/>
  <c r="AQ920" i="1" s="1"/>
  <c r="AJ874" i="1"/>
  <c r="AQ874" i="1" s="1"/>
  <c r="AJ335" i="1"/>
  <c r="AQ335" i="1" s="1"/>
  <c r="AJ672" i="1"/>
  <c r="AQ672" i="1" s="1"/>
  <c r="AJ883" i="1"/>
  <c r="AQ883" i="1" s="1"/>
  <c r="AJ203" i="1"/>
  <c r="AQ203" i="1" s="1"/>
  <c r="AJ456" i="1"/>
  <c r="AQ456" i="1" s="1"/>
  <c r="AJ235" i="1"/>
  <c r="AQ235" i="1" s="1"/>
  <c r="AJ434" i="1"/>
  <c r="AQ434" i="1" s="1"/>
  <c r="AJ505" i="1"/>
  <c r="AJ67" i="1"/>
  <c r="AQ67" i="1" s="1"/>
  <c r="AJ962" i="1"/>
  <c r="AQ962" i="1" s="1"/>
  <c r="AJ739" i="1"/>
  <c r="AJ503" i="1"/>
  <c r="AQ503" i="1" s="1"/>
  <c r="AJ278" i="1"/>
  <c r="AQ278" i="1" s="1"/>
  <c r="AJ270" i="1"/>
  <c r="AQ270" i="1" s="1"/>
  <c r="AJ516" i="1"/>
  <c r="AQ516" i="1" s="1"/>
  <c r="AJ647" i="1"/>
  <c r="AQ647" i="1" s="1"/>
  <c r="AJ648" i="1"/>
  <c r="AQ648" i="1" s="1"/>
  <c r="AJ363" i="1"/>
  <c r="AQ363" i="1" s="1"/>
  <c r="AJ681" i="1"/>
  <c r="AJ473" i="1"/>
  <c r="AQ473" i="1" s="1"/>
  <c r="AJ139" i="1"/>
  <c r="AJ411" i="1"/>
  <c r="AQ411" i="1" s="1"/>
  <c r="AJ266" i="1"/>
  <c r="AJ866" i="1"/>
  <c r="AJ309" i="1"/>
  <c r="AQ309" i="1" s="1"/>
  <c r="AJ230" i="1"/>
  <c r="AQ230" i="1" s="1"/>
  <c r="AJ252" i="1"/>
  <c r="AQ252" i="1" s="1"/>
  <c r="AJ662" i="1"/>
  <c r="AQ662" i="1" s="1"/>
  <c r="AJ803" i="1"/>
  <c r="AQ803" i="1" s="1"/>
  <c r="AJ850" i="1"/>
  <c r="AQ850" i="1" s="1"/>
  <c r="AJ902" i="1"/>
  <c r="AQ902" i="1" s="1"/>
  <c r="AJ385" i="1"/>
  <c r="AJ225" i="1"/>
  <c r="AQ225" i="1" s="1"/>
  <c r="AJ704" i="1"/>
  <c r="AQ704" i="1" s="1"/>
  <c r="AJ325" i="1"/>
  <c r="AQ325" i="1" s="1"/>
  <c r="AJ823" i="1"/>
  <c r="AQ823" i="1" s="1"/>
  <c r="AJ500" i="1"/>
  <c r="AQ500" i="1" s="1"/>
  <c r="AJ356" i="1"/>
  <c r="AQ356" i="1" s="1"/>
  <c r="AJ853" i="1"/>
  <c r="AQ853" i="1" s="1"/>
  <c r="AJ835" i="1"/>
  <c r="AQ835" i="1" s="1"/>
  <c r="AJ251" i="1"/>
  <c r="AQ251" i="1" s="1"/>
  <c r="AJ107" i="1"/>
  <c r="AQ107" i="1" s="1"/>
  <c r="AJ221" i="1"/>
  <c r="AQ221" i="1" s="1"/>
  <c r="AJ377" i="1"/>
  <c r="AQ377" i="1" s="1"/>
  <c r="AJ92" i="1"/>
  <c r="AJ774" i="1"/>
  <c r="AQ774" i="1" s="1"/>
  <c r="AJ855" i="1"/>
  <c r="AJ935" i="1"/>
  <c r="AQ935" i="1" s="1"/>
  <c r="AJ332" i="1"/>
  <c r="AQ332" i="1" s="1"/>
  <c r="AJ540" i="1"/>
  <c r="AQ540" i="1" s="1"/>
  <c r="AJ331" i="1"/>
  <c r="AJ447" i="1"/>
  <c r="AQ447" i="1" s="1"/>
  <c r="AJ748" i="1"/>
  <c r="AQ748" i="1" s="1"/>
  <c r="AJ741" i="1"/>
  <c r="AQ741" i="1" s="1"/>
  <c r="AJ323" i="1"/>
  <c r="AQ323" i="1" s="1"/>
  <c r="AJ590" i="1"/>
  <c r="AQ590" i="1" s="1"/>
  <c r="AJ995" i="1"/>
  <c r="AQ995" i="1" s="1"/>
  <c r="AJ825" i="1"/>
  <c r="AQ825" i="1" s="1"/>
  <c r="AJ832" i="1"/>
  <c r="AJ978" i="1"/>
  <c r="AQ978" i="1" s="1"/>
  <c r="AJ143" i="1"/>
  <c r="AJ576" i="1"/>
  <c r="AQ576" i="1" s="1"/>
  <c r="AJ960" i="1"/>
  <c r="AQ960" i="1" s="1"/>
  <c r="AJ678" i="1"/>
  <c r="AQ678" i="1" s="1"/>
  <c r="AJ394" i="1"/>
  <c r="AQ394" i="1" s="1"/>
  <c r="AJ1003" i="1"/>
  <c r="AQ1003" i="1" s="1"/>
  <c r="AJ919" i="1"/>
  <c r="AQ919" i="1" s="1"/>
  <c r="AJ892" i="1"/>
  <c r="AQ892" i="1" s="1"/>
  <c r="AJ397" i="1"/>
  <c r="AJ286" i="1"/>
  <c r="AQ286" i="1" s="1"/>
  <c r="AJ197" i="1"/>
  <c r="AQ197" i="1" s="1"/>
  <c r="AJ380" i="1"/>
  <c r="AQ380" i="1" s="1"/>
  <c r="AJ695" i="1"/>
  <c r="AJ818" i="1"/>
  <c r="AQ818" i="1" s="1"/>
  <c r="AJ354" i="1"/>
  <c r="AQ354" i="1" s="1"/>
  <c r="AJ612" i="1"/>
  <c r="AQ612" i="1" s="1"/>
  <c r="AJ1004" i="1"/>
  <c r="AQ1004" i="1" s="1"/>
  <c r="AJ567" i="1"/>
  <c r="AQ567" i="1" s="1"/>
  <c r="AJ871" i="1"/>
  <c r="AQ871" i="1" s="1"/>
  <c r="AJ934" i="1"/>
  <c r="AQ934" i="1" s="1"/>
  <c r="AJ336" i="1"/>
  <c r="AQ336" i="1" s="1"/>
  <c r="AJ610" i="1"/>
  <c r="AQ610" i="1" s="1"/>
  <c r="AJ696" i="1"/>
  <c r="AQ696" i="1" s="1"/>
  <c r="AJ404" i="1"/>
  <c r="AQ404" i="1" s="1"/>
  <c r="AJ465" i="1"/>
  <c r="AQ465" i="1" s="1"/>
  <c r="AJ128" i="1"/>
  <c r="AQ128" i="1" s="1"/>
  <c r="AJ905" i="1"/>
  <c r="AQ905" i="1" s="1"/>
  <c r="AJ562" i="1"/>
  <c r="AQ562" i="1" s="1"/>
  <c r="AJ338" i="1"/>
  <c r="AQ338" i="1" s="1"/>
  <c r="AJ91" i="1"/>
  <c r="AQ91" i="1" s="1"/>
  <c r="AJ367" i="1"/>
  <c r="AQ367" i="1" s="1"/>
  <c r="AJ207" i="1"/>
  <c r="AJ733" i="1"/>
  <c r="AQ733" i="1" s="1"/>
  <c r="AJ90" i="1"/>
  <c r="AQ90" i="1" s="1"/>
  <c r="AJ482" i="1"/>
  <c r="AJ532" i="1"/>
  <c r="AJ689" i="1"/>
  <c r="AQ689" i="1" s="1"/>
  <c r="AJ57" i="1"/>
  <c r="AQ57" i="1" s="1"/>
  <c r="AJ158" i="1"/>
  <c r="AQ158" i="1" s="1"/>
  <c r="AJ56" i="1"/>
  <c r="AQ56" i="1" s="1"/>
  <c r="AJ665" i="1"/>
  <c r="AQ665" i="1" s="1"/>
  <c r="AJ799" i="1"/>
  <c r="AQ799" i="1" s="1"/>
  <c r="AJ864" i="1"/>
  <c r="AQ864" i="1" s="1"/>
  <c r="AJ117" i="1"/>
  <c r="AJ849" i="1"/>
  <c r="AJ655" i="1"/>
  <c r="AQ655" i="1" s="1"/>
  <c r="AJ857" i="1"/>
  <c r="AQ857" i="1" s="1"/>
  <c r="AJ965" i="1"/>
  <c r="AQ965" i="1" s="1"/>
  <c r="AJ845" i="1"/>
  <c r="AJ470" i="1"/>
  <c r="AQ470" i="1" s="1"/>
  <c r="AJ598" i="1"/>
  <c r="AJ453" i="1"/>
  <c r="AQ453" i="1" s="1"/>
  <c r="AJ856" i="1"/>
  <c r="AQ856" i="1" s="1"/>
  <c r="AJ233" i="1"/>
  <c r="AQ233" i="1" s="1"/>
  <c r="AJ47" i="1"/>
  <c r="AQ47" i="1" s="1"/>
  <c r="AJ163" i="1"/>
  <c r="AQ163" i="1" s="1"/>
  <c r="AJ140" i="1"/>
  <c r="AJ80" i="1"/>
  <c r="AQ80" i="1" s="1"/>
  <c r="AJ40" i="1"/>
  <c r="AQ40" i="1" s="1"/>
  <c r="AJ216" i="1"/>
  <c r="AQ216" i="1" s="1"/>
  <c r="AJ111" i="1"/>
  <c r="AQ111" i="1" s="1"/>
  <c r="AJ173" i="1"/>
  <c r="AQ173" i="1" s="1"/>
  <c r="AJ37" i="1"/>
  <c r="AQ37" i="1" s="1"/>
  <c r="AJ59" i="1"/>
  <c r="AQ59" i="1" s="1"/>
  <c r="AJ687" i="1"/>
  <c r="AQ687" i="1" s="1"/>
  <c r="AJ940" i="1"/>
  <c r="AQ940" i="1" s="1"/>
  <c r="AJ872" i="1"/>
  <c r="AQ872" i="1" s="1"/>
  <c r="AJ517" i="1"/>
  <c r="AQ517" i="1" s="1"/>
  <c r="AJ676" i="1"/>
  <c r="AQ676" i="1" s="1"/>
  <c r="AJ955" i="1"/>
  <c r="AQ955" i="1" s="1"/>
  <c r="AJ793" i="1"/>
  <c r="AQ793" i="1" s="1"/>
  <c r="AJ809" i="1"/>
  <c r="AQ809" i="1" s="1"/>
  <c r="AJ765" i="1"/>
  <c r="AQ765" i="1" s="1"/>
  <c r="AJ296" i="1"/>
  <c r="AQ296" i="1" s="1"/>
  <c r="AJ529" i="1"/>
  <c r="AQ529" i="1" s="1"/>
  <c r="AJ231" i="1"/>
  <c r="AQ231" i="1" s="1"/>
  <c r="AJ183" i="1"/>
  <c r="AQ183" i="1" s="1"/>
  <c r="AJ800" i="1"/>
  <c r="AQ800" i="1" s="1"/>
  <c r="AJ817" i="1"/>
  <c r="AQ817" i="1" s="1"/>
  <c r="AJ608" i="1"/>
  <c r="AQ608" i="1" s="1"/>
  <c r="AJ669" i="1"/>
  <c r="AQ669" i="1" s="1"/>
  <c r="AJ97" i="1"/>
  <c r="AQ97" i="1" s="1"/>
  <c r="AJ737" i="1"/>
  <c r="AQ737" i="1" s="1"/>
  <c r="AJ82" i="1"/>
  <c r="AQ82" i="1" s="1"/>
  <c r="AJ826" i="1"/>
  <c r="AJ206" i="1"/>
  <c r="AQ206" i="1" s="1"/>
  <c r="AJ922" i="1"/>
  <c r="AQ922" i="1" s="1"/>
  <c r="AJ209" i="1"/>
  <c r="AQ209" i="1" s="1"/>
  <c r="AJ729" i="1"/>
  <c r="AJ673" i="1"/>
  <c r="AQ673" i="1" s="1"/>
  <c r="AJ154" i="1"/>
  <c r="AQ154" i="1" s="1"/>
  <c r="AJ310" i="1"/>
  <c r="AQ310" i="1" s="1"/>
  <c r="AJ544" i="1"/>
  <c r="AQ544" i="1" s="1"/>
  <c r="AJ504" i="1"/>
  <c r="AQ504" i="1" s="1"/>
  <c r="AJ141" i="1"/>
  <c r="AQ141" i="1" s="1"/>
  <c r="AJ60" i="1"/>
  <c r="AQ60" i="1" s="1"/>
  <c r="AJ643" i="1"/>
  <c r="AQ643" i="1" s="1"/>
  <c r="AJ547" i="1"/>
  <c r="AQ547" i="1" s="1"/>
  <c r="AJ929" i="1"/>
  <c r="AQ929" i="1" s="1"/>
  <c r="AJ792" i="1"/>
  <c r="AQ792" i="1" s="1"/>
  <c r="AJ841" i="1"/>
  <c r="AQ841" i="1" s="1"/>
  <c r="AJ820" i="1"/>
  <c r="AQ820" i="1" s="1"/>
  <c r="AJ429" i="1"/>
  <c r="AQ429" i="1" s="1"/>
  <c r="AJ632" i="1"/>
  <c r="AJ462" i="1"/>
  <c r="AJ478" i="1"/>
  <c r="AQ478" i="1" s="1"/>
  <c r="AJ390" i="1"/>
  <c r="AQ390" i="1" s="1"/>
  <c r="AJ796" i="1"/>
  <c r="AQ796" i="1" s="1"/>
  <c r="AJ471" i="1"/>
  <c r="AQ471" i="1" s="1"/>
  <c r="AJ432" i="1"/>
  <c r="AQ432" i="1" s="1"/>
  <c r="AJ352" i="1"/>
  <c r="AQ352" i="1" s="1"/>
  <c r="AJ123" i="1"/>
  <c r="AQ123" i="1" s="1"/>
  <c r="AJ839" i="1"/>
  <c r="AQ839" i="1" s="1"/>
  <c r="AJ334" i="1"/>
  <c r="AQ334" i="1" s="1"/>
  <c r="AJ709" i="1"/>
  <c r="AQ709" i="1" s="1"/>
  <c r="AJ361" i="1"/>
  <c r="AJ204" i="1"/>
  <c r="AQ204" i="1" s="1"/>
  <c r="AJ113" i="1"/>
  <c r="AQ113" i="1" s="1"/>
  <c r="AJ844" i="1"/>
  <c r="AQ844" i="1" s="1"/>
  <c r="AJ287" i="1"/>
  <c r="AQ287" i="1" s="1"/>
  <c r="AJ779" i="1"/>
  <c r="AJ699" i="1"/>
  <c r="AQ699" i="1" s="1"/>
  <c r="AJ824" i="1"/>
  <c r="AQ824" i="1" s="1"/>
  <c r="AJ188" i="1"/>
  <c r="AQ188" i="1" s="1"/>
  <c r="AJ574" i="1"/>
  <c r="AQ574" i="1" s="1"/>
  <c r="AJ723" i="1"/>
  <c r="AQ723" i="1" s="1"/>
  <c r="AJ838" i="1"/>
  <c r="AQ838" i="1" s="1"/>
  <c r="AJ44" i="1"/>
  <c r="AQ44" i="1" s="1"/>
  <c r="AJ457" i="1"/>
  <c r="AQ457" i="1" s="1"/>
  <c r="AJ814" i="1"/>
  <c r="AQ814" i="1" s="1"/>
  <c r="AJ274" i="1"/>
  <c r="AQ274" i="1" s="1"/>
  <c r="AJ284" i="1"/>
  <c r="AQ284" i="1" s="1"/>
  <c r="AJ980" i="1"/>
  <c r="AQ980" i="1" s="1"/>
  <c r="AJ328" i="1"/>
  <c r="AQ328" i="1" s="1"/>
  <c r="AJ649" i="1"/>
  <c r="AQ649" i="1" s="1"/>
  <c r="AJ395" i="1"/>
  <c r="AQ395" i="1" s="1"/>
  <c r="AJ660" i="1"/>
  <c r="AQ660" i="1" s="1"/>
  <c r="AJ725" i="1"/>
  <c r="AQ725" i="1" s="1"/>
  <c r="AJ526" i="1"/>
  <c r="AQ526" i="1" s="1"/>
  <c r="AJ624" i="1"/>
  <c r="AQ624" i="1" s="1"/>
  <c r="AJ531" i="1"/>
  <c r="AJ372" i="1"/>
  <c r="AQ372" i="1" s="1"/>
  <c r="AJ533" i="1"/>
  <c r="AJ621" i="1"/>
  <c r="AQ621" i="1" s="1"/>
  <c r="AJ571" i="1"/>
  <c r="AQ571" i="1" s="1"/>
  <c r="AJ668" i="1"/>
  <c r="AQ668" i="1" s="1"/>
  <c r="AJ861" i="1"/>
  <c r="AQ861" i="1" s="1"/>
  <c r="AJ88" i="1"/>
  <c r="AJ650" i="1"/>
  <c r="AJ997" i="1"/>
  <c r="AQ997" i="1" s="1"/>
  <c r="AJ299" i="1"/>
  <c r="AJ62" i="1"/>
  <c r="AJ1028" i="1"/>
  <c r="AQ1028" i="1" s="1"/>
  <c r="AJ952" i="1"/>
  <c r="AQ952" i="1" s="1"/>
  <c r="AJ294" i="1"/>
  <c r="AQ294" i="1" s="1"/>
  <c r="AJ474" i="1"/>
  <c r="AQ474" i="1" s="1"/>
  <c r="AJ790" i="1"/>
  <c r="AQ790" i="1" s="1"/>
  <c r="AJ582" i="1"/>
  <c r="AQ582" i="1" s="1"/>
  <c r="AJ248" i="1"/>
  <c r="AQ248" i="1" s="1"/>
  <c r="AJ242" i="1"/>
  <c r="AJ53" i="1"/>
  <c r="AJ795" i="1"/>
  <c r="AQ795" i="1" s="1"/>
  <c r="AJ480" i="1"/>
  <c r="AJ105" i="1"/>
  <c r="AQ105" i="1" s="1"/>
  <c r="AJ290" i="1"/>
  <c r="AQ290" i="1" s="1"/>
  <c r="AJ430" i="1"/>
  <c r="AQ430" i="1" s="1"/>
  <c r="AJ629" i="1"/>
  <c r="AQ629" i="1" s="1"/>
  <c r="AJ877" i="1"/>
  <c r="AQ877" i="1" s="1"/>
  <c r="AJ222" i="1"/>
  <c r="AQ222" i="1" s="1"/>
  <c r="AJ527" i="1"/>
  <c r="AQ527" i="1" s="1"/>
  <c r="AJ693" i="1"/>
  <c r="AQ693" i="1" s="1"/>
  <c r="AJ721" i="1"/>
  <c r="AQ721" i="1" s="1"/>
  <c r="AJ822" i="1"/>
  <c r="AJ27" i="1"/>
  <c r="AQ27" i="1" s="1"/>
  <c r="AJ519" i="1"/>
  <c r="AJ890" i="1"/>
  <c r="AQ890" i="1" s="1"/>
  <c r="AJ766" i="1"/>
  <c r="AQ766" i="1" s="1"/>
  <c r="AJ413" i="1"/>
  <c r="AQ413" i="1" s="1"/>
  <c r="AJ561" i="1"/>
  <c r="AQ561" i="1" s="1"/>
  <c r="AJ1022" i="1"/>
  <c r="AJ538" i="1"/>
  <c r="AQ538" i="1" s="1"/>
  <c r="AJ420" i="1"/>
  <c r="AQ420" i="1" s="1"/>
  <c r="AJ535" i="1"/>
  <c r="AQ535" i="1" s="1"/>
  <c r="AJ289" i="1"/>
  <c r="AQ289" i="1" s="1"/>
  <c r="AJ584" i="1"/>
  <c r="AQ584" i="1" s="1"/>
  <c r="AJ424" i="1"/>
  <c r="AQ424" i="1" s="1"/>
  <c r="AJ127" i="1"/>
  <c r="AQ127" i="1" s="1"/>
  <c r="AJ155" i="1"/>
  <c r="AQ155" i="1" s="1"/>
  <c r="AJ244" i="1"/>
  <c r="AQ244" i="1" s="1"/>
  <c r="AJ586" i="1"/>
  <c r="AQ586" i="1" s="1"/>
  <c r="AJ189" i="1"/>
  <c r="AQ189" i="1" s="1"/>
  <c r="AJ686" i="1"/>
  <c r="AJ758" i="1"/>
  <c r="AQ758" i="1" s="1"/>
  <c r="AJ732" i="1"/>
  <c r="AQ732" i="1" s="1"/>
  <c r="AJ631" i="1"/>
  <c r="AQ631" i="1" s="1"/>
  <c r="AJ572" i="1"/>
  <c r="AJ452" i="1"/>
  <c r="AQ452" i="1" s="1"/>
  <c r="AJ272" i="1"/>
  <c r="AQ272" i="1" s="1"/>
  <c r="AJ321" i="1"/>
  <c r="AJ994" i="1"/>
  <c r="AQ994" i="1" s="1"/>
  <c r="AJ714" i="1"/>
  <c r="AQ714" i="1" s="1"/>
  <c r="AJ1023" i="1"/>
  <c r="AQ1023" i="1" s="1"/>
  <c r="AJ54" i="1"/>
  <c r="AQ54" i="1" s="1"/>
  <c r="AJ168" i="1"/>
  <c r="AQ168" i="1" s="1"/>
  <c r="AJ555" i="1"/>
  <c r="AJ652" i="1"/>
  <c r="AQ652" i="1" s="1"/>
  <c r="AJ524" i="1"/>
  <c r="AQ524" i="1" s="1"/>
  <c r="AJ989" i="1"/>
  <c r="AJ1000" i="1"/>
  <c r="AQ1000" i="1" s="1"/>
  <c r="AJ863" i="1"/>
  <c r="AQ863" i="1" s="1"/>
  <c r="AJ690" i="1"/>
  <c r="AQ690" i="1" s="1"/>
  <c r="AJ763" i="1"/>
  <c r="AQ763" i="1" s="1"/>
  <c r="AJ164" i="1"/>
  <c r="AJ638" i="1"/>
  <c r="AQ638" i="1" s="1"/>
  <c r="AJ84" i="1"/>
  <c r="AQ84" i="1" s="1"/>
  <c r="AJ663" i="1"/>
  <c r="AQ663" i="1" s="1"/>
  <c r="AJ794" i="1"/>
  <c r="AQ794" i="1" s="1"/>
  <c r="AJ992" i="1"/>
  <c r="AQ992" i="1" s="1"/>
  <c r="AJ804" i="1"/>
  <c r="AQ804" i="1" s="1"/>
  <c r="AJ953" i="1"/>
  <c r="AJ921" i="1"/>
  <c r="AQ921" i="1" s="1"/>
  <c r="AJ963" i="1"/>
  <c r="AQ963" i="1" s="1"/>
  <c r="AJ682" i="1"/>
  <c r="AQ682" i="1" s="1"/>
  <c r="AJ133" i="1"/>
  <c r="AQ133" i="1" s="1"/>
  <c r="AJ815" i="1"/>
  <c r="AQ815" i="1" s="1"/>
  <c r="AJ951" i="1"/>
  <c r="AQ951" i="1" s="1"/>
  <c r="AJ422" i="1"/>
  <c r="AQ422" i="1" s="1"/>
  <c r="AJ1021" i="1"/>
  <c r="AQ1021" i="1" s="1"/>
  <c r="AJ260" i="1"/>
  <c r="AQ260" i="1" s="1"/>
  <c r="AJ236" i="1"/>
  <c r="AQ236" i="1" s="1"/>
  <c r="AJ761" i="1"/>
  <c r="AQ761" i="1" s="1"/>
  <c r="AJ440" i="1"/>
  <c r="AQ440" i="1" s="1"/>
  <c r="AJ752" i="1"/>
  <c r="AQ752" i="1" s="1"/>
  <c r="AJ431" i="1"/>
  <c r="AQ431" i="1" s="1"/>
  <c r="AJ169" i="1"/>
  <c r="AJ580" i="1"/>
  <c r="AQ580" i="1" s="1"/>
  <c r="AJ460" i="1"/>
  <c r="AQ460" i="1" s="1"/>
  <c r="AJ28" i="1"/>
  <c r="AQ28" i="1" s="1"/>
  <c r="AJ412" i="1"/>
  <c r="AQ412" i="1" s="1"/>
  <c r="AJ708" i="1"/>
  <c r="AJ145" i="1"/>
  <c r="AJ1017" i="1"/>
  <c r="AQ1017" i="1" s="1"/>
  <c r="AJ103" i="1"/>
  <c r="AQ103" i="1" s="1"/>
  <c r="AJ936" i="1"/>
  <c r="AQ936" i="1" s="1"/>
  <c r="AJ961" i="1"/>
  <c r="AQ961" i="1" s="1"/>
  <c r="AJ780" i="1"/>
  <c r="AQ780" i="1" s="1"/>
  <c r="AJ253" i="1"/>
  <c r="AQ253" i="1" s="1"/>
  <c r="AJ167" i="1"/>
  <c r="AJ283" i="1"/>
  <c r="AQ283" i="1" s="1"/>
  <c r="AJ734" i="1"/>
  <c r="AQ734" i="1" s="1"/>
  <c r="AJ781" i="1"/>
  <c r="AQ781" i="1" s="1"/>
  <c r="AJ439" i="1"/>
  <c r="AQ439" i="1" s="1"/>
  <c r="AJ530" i="1"/>
  <c r="AQ530" i="1" s="1"/>
  <c r="AJ915" i="1"/>
  <c r="AQ915" i="1" s="1"/>
  <c r="AJ1044" i="1"/>
  <c r="AQ1044" i="1" s="1"/>
  <c r="AJ195" i="1"/>
  <c r="AQ195" i="1" s="1"/>
  <c r="AJ609" i="1"/>
  <c r="AJ1010" i="1"/>
  <c r="AQ1010" i="1" s="1"/>
  <c r="AJ122" i="1"/>
  <c r="AQ122" i="1" s="1"/>
  <c r="AJ801" i="1"/>
  <c r="AQ801" i="1" s="1"/>
  <c r="AJ339" i="1"/>
  <c r="AQ339" i="1" s="1"/>
  <c r="AJ679" i="1"/>
  <c r="AQ679" i="1" s="1"/>
  <c r="AJ908" i="1"/>
  <c r="AQ908" i="1" s="1"/>
  <c r="AJ601" i="1"/>
  <c r="AJ29" i="1"/>
  <c r="AQ29" i="1" s="1"/>
  <c r="AJ757" i="1"/>
  <c r="AQ757" i="1" s="1"/>
  <c r="AJ137" i="1"/>
  <c r="AQ137" i="1" s="1"/>
  <c r="AJ703" i="1"/>
  <c r="AQ703" i="1" s="1"/>
  <c r="AJ858" i="1"/>
  <c r="AQ858" i="1" s="1"/>
  <c r="AJ670" i="1"/>
  <c r="AQ670" i="1" s="1"/>
  <c r="AJ570" i="1"/>
  <c r="AQ570" i="1" s="1"/>
  <c r="AJ976" i="1"/>
  <c r="AQ976" i="1" s="1"/>
  <c r="AJ592" i="1"/>
  <c r="AQ592" i="1" s="1"/>
  <c r="AJ506" i="1"/>
  <c r="AQ506" i="1" s="1"/>
  <c r="AJ930" i="1"/>
  <c r="AQ930" i="1" s="1"/>
  <c r="AJ688" i="1"/>
  <c r="AJ868" i="1"/>
  <c r="AQ868" i="1" s="1"/>
  <c r="AJ177" i="1"/>
  <c r="AQ177" i="1" s="1"/>
  <c r="AJ218" i="1"/>
  <c r="AQ218" i="1" s="1"/>
  <c r="AJ701" i="1"/>
  <c r="AJ606" i="1"/>
  <c r="AQ606" i="1" s="1"/>
  <c r="AJ330" i="1"/>
  <c r="AQ330" i="1" s="1"/>
  <c r="AJ625" i="1"/>
  <c r="AQ625" i="1" s="1"/>
  <c r="AJ944" i="1"/>
  <c r="AQ944" i="1" s="1"/>
  <c r="AJ224" i="1"/>
  <c r="AQ224" i="1" s="1"/>
  <c r="AJ522" i="1"/>
  <c r="AQ522" i="1" s="1"/>
  <c r="AJ477" i="1"/>
  <c r="AQ477" i="1" s="1"/>
  <c r="AJ975" i="1"/>
  <c r="AQ975" i="1" s="1"/>
  <c r="AJ615" i="1"/>
  <c r="AQ615" i="1" s="1"/>
  <c r="AJ365" i="1"/>
  <c r="AQ365" i="1" s="1"/>
  <c r="AJ523" i="1"/>
  <c r="AQ523" i="1" s="1"/>
  <c r="AJ403" i="1"/>
  <c r="AQ403" i="1" s="1"/>
  <c r="AJ675" i="1"/>
  <c r="AQ675" i="1" s="1"/>
  <c r="AJ641" i="1"/>
  <c r="AQ641" i="1" s="1"/>
  <c r="AJ925" i="1"/>
  <c r="AQ925" i="1" s="1"/>
  <c r="AJ104" i="1"/>
  <c r="AQ104" i="1" s="1"/>
  <c r="AJ215" i="1"/>
  <c r="AQ215" i="1" s="1"/>
  <c r="AJ706" i="1"/>
  <c r="AQ706" i="1" s="1"/>
  <c r="AJ587" i="1"/>
  <c r="AQ587" i="1" s="1"/>
  <c r="AJ392" i="1"/>
  <c r="AJ337" i="1"/>
  <c r="AQ337" i="1" s="1"/>
  <c r="AJ879" i="1"/>
  <c r="AQ879" i="1" s="1"/>
  <c r="AJ941" i="1"/>
  <c r="AQ941" i="1" s="1"/>
  <c r="AJ502" i="1"/>
  <c r="AQ502" i="1" s="1"/>
  <c r="AJ847" i="1"/>
  <c r="AQ847" i="1" s="1"/>
  <c r="AJ49" i="1"/>
  <c r="AQ49" i="1" s="1"/>
  <c r="AJ840" i="1"/>
  <c r="AJ917" i="1"/>
  <c r="AJ1008" i="1"/>
  <c r="AQ1008" i="1" s="1"/>
  <c r="AJ827" i="1"/>
  <c r="AQ827" i="1" s="1"/>
  <c r="AJ353" i="1"/>
  <c r="AJ421" i="1"/>
  <c r="AQ421" i="1" s="1"/>
  <c r="AJ320" i="1"/>
  <c r="AQ320" i="1" s="1"/>
  <c r="AJ764" i="1"/>
  <c r="AQ764" i="1" s="1"/>
  <c r="AJ157" i="1"/>
  <c r="AJ507" i="1"/>
  <c r="AQ507" i="1" s="1"/>
  <c r="AJ508" i="1"/>
  <c r="AQ508" i="1" s="1"/>
  <c r="AJ370" i="1"/>
  <c r="AQ370" i="1" s="1"/>
  <c r="AJ87" i="1"/>
  <c r="AQ87" i="1" s="1"/>
  <c r="AJ322" i="1"/>
  <c r="AQ322" i="1" s="1"/>
  <c r="AJ258" i="1"/>
  <c r="AQ258" i="1" s="1"/>
  <c r="AJ1040" i="1"/>
  <c r="AQ1040" i="1" s="1"/>
  <c r="AJ697" i="1"/>
  <c r="AQ697" i="1" s="1"/>
  <c r="AJ349" i="1"/>
  <c r="AQ349" i="1" s="1"/>
  <c r="AJ618" i="1"/>
  <c r="AQ618" i="1" s="1"/>
  <c r="AJ588" i="1"/>
  <c r="AQ588" i="1" s="1"/>
  <c r="AJ68" i="1"/>
  <c r="AQ68" i="1" s="1"/>
  <c r="AJ329" i="1"/>
  <c r="AQ329" i="1" s="1"/>
  <c r="AJ96" i="1"/>
  <c r="AQ96" i="1" s="1"/>
  <c r="AJ798" i="1"/>
  <c r="AQ798" i="1" s="1"/>
  <c r="AJ426" i="1"/>
  <c r="AQ426" i="1" s="1"/>
  <c r="AJ735" i="1"/>
  <c r="AQ735" i="1" s="1"/>
  <c r="AE261" i="1"/>
  <c r="AF261" i="1" s="1"/>
  <c r="AE296" i="1"/>
  <c r="AF296" i="1" s="1"/>
  <c r="AE217" i="1"/>
  <c r="AF217" i="1" s="1"/>
  <c r="AE50" i="1"/>
  <c r="AF50" i="1" s="1"/>
  <c r="AE138" i="1"/>
  <c r="AF138" i="1" s="1"/>
  <c r="AE193" i="1"/>
  <c r="AF193" i="1" s="1"/>
  <c r="AE140" i="1"/>
  <c r="AF140" i="1" s="1"/>
  <c r="AE309" i="1"/>
  <c r="AF309" i="1" s="1"/>
  <c r="AE317" i="1"/>
  <c r="AF317" i="1" s="1"/>
  <c r="AE227" i="1"/>
  <c r="AF227" i="1" s="1"/>
  <c r="AE76" i="1"/>
  <c r="AF76" i="1" s="1"/>
  <c r="AE390" i="1"/>
  <c r="AF390" i="1" s="1"/>
  <c r="AE696" i="1"/>
  <c r="AF696" i="1" s="1"/>
  <c r="AE518" i="1"/>
  <c r="AF518" i="1" s="1"/>
  <c r="AE840" i="1"/>
  <c r="AF840" i="1" s="1"/>
  <c r="BI776" i="1"/>
  <c r="BI853" i="1"/>
  <c r="W954" i="1"/>
  <c r="U200" i="1"/>
  <c r="V200" i="1" s="1"/>
  <c r="U489" i="1"/>
  <c r="V489" i="1" s="1"/>
  <c r="W451" i="1"/>
  <c r="W438" i="1"/>
  <c r="W1035" i="1"/>
  <c r="W220" i="1"/>
  <c r="W667" i="1"/>
  <c r="W342" i="1"/>
  <c r="U776" i="1"/>
  <c r="V776" i="1" s="1"/>
  <c r="W810" i="1"/>
  <c r="W885" i="1"/>
  <c r="AE495" i="1"/>
  <c r="AF495" i="1" s="1"/>
  <c r="AE613" i="1"/>
  <c r="AF613" i="1" s="1"/>
  <c r="AE733" i="1"/>
  <c r="AF733" i="1" s="1"/>
  <c r="AE892" i="1"/>
  <c r="AF892" i="1" s="1"/>
  <c r="AE136" i="1"/>
  <c r="AF136" i="1" s="1"/>
  <c r="AE78" i="1"/>
  <c r="AF78" i="1" s="1"/>
  <c r="AE699" i="1"/>
  <c r="AF699" i="1" s="1"/>
  <c r="AE427" i="1"/>
  <c r="AF427" i="1" s="1"/>
  <c r="AE345" i="1"/>
  <c r="AF345" i="1" s="1"/>
  <c r="AE112" i="1"/>
  <c r="AF112" i="1" s="1"/>
  <c r="AE407" i="1"/>
  <c r="AF407" i="1" s="1"/>
  <c r="AE311" i="1"/>
  <c r="AF311" i="1" s="1"/>
  <c r="AE564" i="1"/>
  <c r="AF564" i="1" s="1"/>
  <c r="AE356" i="1"/>
  <c r="AF356" i="1" s="1"/>
  <c r="U907" i="1"/>
  <c r="V907" i="1" s="1"/>
  <c r="BI25" i="1"/>
  <c r="AZ23" i="1"/>
  <c r="AE322" i="1"/>
  <c r="AF322" i="1" s="1"/>
  <c r="AE1040" i="1"/>
  <c r="AF1040" i="1" s="1"/>
  <c r="AE341" i="1"/>
  <c r="AF341" i="1" s="1"/>
  <c r="AE308" i="1"/>
  <c r="AF308" i="1" s="1"/>
  <c r="AE251" i="1"/>
  <c r="AF251" i="1" s="1"/>
  <c r="AE124" i="1"/>
  <c r="AF124" i="1" s="1"/>
  <c r="AE125" i="1"/>
  <c r="AF125" i="1" s="1"/>
  <c r="AE353" i="1"/>
  <c r="AF353" i="1" s="1"/>
  <c r="AE852" i="1"/>
  <c r="AF852" i="1" s="1"/>
  <c r="AE262" i="1"/>
  <c r="AF262" i="1" s="1"/>
  <c r="AE830" i="1"/>
  <c r="AF830" i="1" s="1"/>
  <c r="AE732" i="1"/>
  <c r="AF732" i="1" s="1"/>
  <c r="AE669" i="1"/>
  <c r="AF669" i="1" s="1"/>
  <c r="AE520" i="1"/>
  <c r="AF520" i="1" s="1"/>
  <c r="AE869" i="1"/>
  <c r="AF869" i="1" s="1"/>
  <c r="AE1012" i="1"/>
  <c r="AF1012" i="1" s="1"/>
  <c r="AE134" i="1"/>
  <c r="AF134" i="1" s="1"/>
  <c r="AE912" i="1"/>
  <c r="AF912" i="1" s="1"/>
  <c r="AE984" i="1"/>
  <c r="AF984" i="1" s="1"/>
  <c r="AE965" i="1"/>
  <c r="AF965" i="1" s="1"/>
  <c r="AE845" i="1"/>
  <c r="AF845" i="1" s="1"/>
  <c r="AE750" i="1"/>
  <c r="AF750" i="1" s="1"/>
  <c r="AE454" i="1"/>
  <c r="AF454" i="1" s="1"/>
  <c r="AE843" i="1"/>
  <c r="AF843" i="1" s="1"/>
  <c r="AE763" i="1"/>
  <c r="AF763" i="1" s="1"/>
  <c r="AE54" i="1"/>
  <c r="AF54" i="1" s="1"/>
  <c r="AE291" i="1"/>
  <c r="AF291" i="1" s="1"/>
  <c r="AE626" i="1"/>
  <c r="AF626" i="1" s="1"/>
  <c r="AE690" i="1"/>
  <c r="AF690" i="1" s="1"/>
  <c r="AE187" i="1"/>
  <c r="AF187" i="1" s="1"/>
  <c r="AE761" i="1"/>
  <c r="AF761" i="1" s="1"/>
  <c r="AE43" i="1"/>
  <c r="AF43" i="1" s="1"/>
  <c r="AE887" i="1"/>
  <c r="AF887" i="1" s="1"/>
  <c r="AE206" i="1"/>
  <c r="AF206" i="1" s="1"/>
  <c r="AE475" i="1"/>
  <c r="AF475" i="1" s="1"/>
  <c r="AE386" i="1"/>
  <c r="AF386" i="1" s="1"/>
  <c r="AE635" i="1"/>
  <c r="AF635" i="1" s="1"/>
  <c r="AE841" i="1"/>
  <c r="AF841" i="1" s="1"/>
  <c r="AE660" i="1"/>
  <c r="AF660" i="1" s="1"/>
  <c r="AE587" i="1"/>
  <c r="AF587" i="1" s="1"/>
  <c r="AE753" i="1"/>
  <c r="AF753" i="1" s="1"/>
  <c r="AE623" i="1"/>
  <c r="AF623" i="1" s="1"/>
  <c r="AE723" i="1"/>
  <c r="AF723" i="1" s="1"/>
  <c r="AE165" i="1"/>
  <c r="AF165" i="1" s="1"/>
  <c r="AE167" i="1"/>
  <c r="AF167" i="1" s="1"/>
  <c r="AE611" i="1"/>
  <c r="AF611" i="1" s="1"/>
  <c r="AE332" i="1"/>
  <c r="AF332" i="1" s="1"/>
  <c r="AE191" i="1"/>
  <c r="AF191" i="1" s="1"/>
  <c r="AE304" i="1"/>
  <c r="AF304" i="1" s="1"/>
  <c r="AE110" i="1"/>
  <c r="AF110" i="1" s="1"/>
  <c r="AE41" i="1"/>
  <c r="AF41" i="1" s="1"/>
  <c r="AE796" i="1"/>
  <c r="AF796" i="1" s="1"/>
  <c r="AE86" i="1"/>
  <c r="AF86" i="1" s="1"/>
  <c r="AE318" i="1"/>
  <c r="AF318" i="1" s="1"/>
  <c r="AE716" i="1"/>
  <c r="AF716" i="1" s="1"/>
  <c r="AE863" i="1"/>
  <c r="AF863" i="1" s="1"/>
  <c r="AE993" i="1"/>
  <c r="AF993" i="1" s="1"/>
  <c r="W30" i="1"/>
  <c r="AE378" i="1"/>
  <c r="AF378" i="1" s="1"/>
  <c r="AE772" i="1"/>
  <c r="AF772" i="1" s="1"/>
  <c r="AE303" i="1"/>
  <c r="AF303" i="1" s="1"/>
  <c r="AE442" i="1"/>
  <c r="AF442" i="1" s="1"/>
  <c r="AE622" i="1"/>
  <c r="AF622" i="1" s="1"/>
  <c r="AE252" i="1"/>
  <c r="AF252" i="1" s="1"/>
  <c r="AE44" i="1"/>
  <c r="AF44" i="1" s="1"/>
  <c r="AE218" i="1"/>
  <c r="AF218" i="1" s="1"/>
  <c r="AE331" i="1"/>
  <c r="AF331" i="1" s="1"/>
  <c r="AE1041" i="1"/>
  <c r="AF1041" i="1" s="1"/>
  <c r="AE84" i="1"/>
  <c r="AF84" i="1" s="1"/>
  <c r="AE122" i="1"/>
  <c r="AF122" i="1" s="1"/>
  <c r="AE70" i="1"/>
  <c r="AF70" i="1" s="1"/>
  <c r="AE129" i="1"/>
  <c r="AF129" i="1" s="1"/>
  <c r="AE325" i="1"/>
  <c r="AF325" i="1" s="1"/>
  <c r="AE348" i="1"/>
  <c r="AF348" i="1" s="1"/>
  <c r="AE493" i="1"/>
  <c r="AF493" i="1" s="1"/>
  <c r="AE428" i="1"/>
  <c r="AF428" i="1" s="1"/>
  <c r="AE231" i="1"/>
  <c r="AF231" i="1" s="1"/>
  <c r="AE835" i="1"/>
  <c r="AF835" i="1" s="1"/>
  <c r="AE1024" i="1"/>
  <c r="AF1024" i="1" s="1"/>
  <c r="AE899" i="1"/>
  <c r="AF899" i="1" s="1"/>
  <c r="AE913" i="1"/>
  <c r="AF913" i="1" s="1"/>
  <c r="AE48" i="1"/>
  <c r="AF48" i="1" s="1"/>
  <c r="AE288" i="1"/>
  <c r="AF288" i="1" s="1"/>
  <c r="AE1043" i="1"/>
  <c r="AF1043" i="1" s="1"/>
  <c r="AE95" i="1"/>
  <c r="AF95" i="1" s="1"/>
  <c r="AE60" i="1"/>
  <c r="AF60" i="1" s="1"/>
  <c r="AE98" i="1"/>
  <c r="AF98" i="1" s="1"/>
  <c r="AE173" i="1"/>
  <c r="AF173" i="1" s="1"/>
  <c r="AE30" i="1"/>
  <c r="AF30" i="1" s="1"/>
  <c r="AE305" i="1"/>
  <c r="AF305" i="1" s="1"/>
  <c r="AE297" i="1"/>
  <c r="AF297" i="1" s="1"/>
  <c r="AE195" i="1"/>
  <c r="AF195" i="1" s="1"/>
  <c r="AE37" i="1"/>
  <c r="AF37" i="1" s="1"/>
  <c r="AE445" i="1"/>
  <c r="AF445" i="1" s="1"/>
  <c r="AE436" i="1"/>
  <c r="AF436" i="1" s="1"/>
  <c r="AE889" i="1"/>
  <c r="AF889" i="1" s="1"/>
  <c r="AE560" i="1"/>
  <c r="AF560" i="1" s="1"/>
  <c r="AE474" i="1"/>
  <c r="AF474" i="1" s="1"/>
  <c r="AE221" i="1"/>
  <c r="AF221" i="1" s="1"/>
  <c r="AE767" i="1"/>
  <c r="AF767" i="1" s="1"/>
  <c r="AE1008" i="1"/>
  <c r="AF1008" i="1" s="1"/>
  <c r="AE537" i="1"/>
  <c r="AF537" i="1" s="1"/>
  <c r="AE969" i="1"/>
  <c r="AF969" i="1" s="1"/>
  <c r="AE68" i="1"/>
  <c r="AF68" i="1" s="1"/>
  <c r="AE543" i="1"/>
  <c r="AF543" i="1" s="1"/>
  <c r="AE629" i="1"/>
  <c r="AF629" i="1" s="1"/>
  <c r="AE561" i="1"/>
  <c r="AF561" i="1" s="1"/>
  <c r="AE878" i="1"/>
  <c r="AF878" i="1" s="1"/>
  <c r="AE343" i="1"/>
  <c r="AF343" i="1" s="1"/>
  <c r="AE179" i="1"/>
  <c r="AF179" i="1" s="1"/>
  <c r="AE1031" i="1"/>
  <c r="AF1031" i="1" s="1"/>
  <c r="AE265" i="1"/>
  <c r="AF265" i="1" s="1"/>
  <c r="AE258" i="1"/>
  <c r="AF258" i="1" s="1"/>
  <c r="AE144" i="1"/>
  <c r="AF144" i="1" s="1"/>
  <c r="AE360" i="1"/>
  <c r="AF360" i="1" s="1"/>
  <c r="AE740" i="1"/>
  <c r="AF740" i="1" s="1"/>
  <c r="AE598" i="1"/>
  <c r="AF598" i="1" s="1"/>
  <c r="AE735" i="1"/>
  <c r="AF735" i="1" s="1"/>
  <c r="AE446" i="1"/>
  <c r="AF446" i="1" s="1"/>
  <c r="AE254" i="1"/>
  <c r="AF254" i="1" s="1"/>
  <c r="AE1026" i="1"/>
  <c r="AF1026" i="1" s="1"/>
  <c r="AE988" i="1"/>
  <c r="AF988" i="1" s="1"/>
  <c r="AE665" i="1"/>
  <c r="AF665" i="1" s="1"/>
  <c r="AE1000" i="1"/>
  <c r="AF1000" i="1" s="1"/>
  <c r="AE972" i="1"/>
  <c r="AF972" i="1" s="1"/>
  <c r="AE533" i="1"/>
  <c r="AF533" i="1" s="1"/>
  <c r="AE884" i="1"/>
  <c r="AF884" i="1" s="1"/>
  <c r="AE127" i="1"/>
  <c r="AF127" i="1" s="1"/>
  <c r="AE667" i="1"/>
  <c r="AF667" i="1" s="1"/>
  <c r="AE663" i="1"/>
  <c r="AF663" i="1" s="1"/>
  <c r="AE299" i="1"/>
  <c r="AF299" i="1" s="1"/>
  <c r="AE573" i="1"/>
  <c r="AF573" i="1" s="1"/>
  <c r="AE575" i="1"/>
  <c r="AF575" i="1" s="1"/>
  <c r="AE985" i="1"/>
  <c r="AF985" i="1" s="1"/>
  <c r="AE207" i="1"/>
  <c r="AF207" i="1" s="1"/>
  <c r="AE762" i="1"/>
  <c r="AF762" i="1" s="1"/>
  <c r="AE459" i="1"/>
  <c r="AF459" i="1" s="1"/>
  <c r="AE260" i="1"/>
  <c r="AF260" i="1" s="1"/>
  <c r="AE497" i="1"/>
  <c r="AF497" i="1" s="1"/>
  <c r="AE504" i="1"/>
  <c r="AF504" i="1" s="1"/>
  <c r="AE212" i="1"/>
  <c r="AF212" i="1" s="1"/>
  <c r="AE571" i="1"/>
  <c r="AF571" i="1" s="1"/>
  <c r="AE759" i="1"/>
  <c r="AF759" i="1" s="1"/>
  <c r="AE906" i="1"/>
  <c r="AF906" i="1" s="1"/>
  <c r="AE192" i="1"/>
  <c r="AF192" i="1" s="1"/>
  <c r="AE596" i="1"/>
  <c r="AF596" i="1" s="1"/>
  <c r="AE426" i="1"/>
  <c r="AF426" i="1" s="1"/>
  <c r="AE688" i="1"/>
  <c r="AF688" i="1" s="1"/>
  <c r="AE980" i="1"/>
  <c r="AF980" i="1" s="1"/>
  <c r="AE182" i="1"/>
  <c r="AF182" i="1" s="1"/>
  <c r="AE930" i="1"/>
  <c r="AF930" i="1" s="1"/>
  <c r="AE236" i="1"/>
  <c r="AF236" i="1" s="1"/>
  <c r="AE552" i="1"/>
  <c r="AF552" i="1" s="1"/>
  <c r="AE34" i="1"/>
  <c r="AF34" i="1" s="1"/>
  <c r="AE524" i="1"/>
  <c r="AF524" i="1" s="1"/>
  <c r="AE554" i="1"/>
  <c r="AF554" i="1" s="1"/>
  <c r="AE388" i="1"/>
  <c r="AF388" i="1" s="1"/>
  <c r="AE542" i="1"/>
  <c r="AF542" i="1" s="1"/>
  <c r="AE719" i="1"/>
  <c r="AF719" i="1" s="1"/>
  <c r="AE647" i="1"/>
  <c r="AF647" i="1" s="1"/>
  <c r="AE862" i="1"/>
  <c r="AF862" i="1" s="1"/>
  <c r="AE868" i="1"/>
  <c r="AF868" i="1" s="1"/>
  <c r="AE724" i="1"/>
  <c r="AF724" i="1" s="1"/>
  <c r="AE656" i="1"/>
  <c r="AF656" i="1" s="1"/>
  <c r="AE754" i="1"/>
  <c r="AF754" i="1" s="1"/>
  <c r="AE432" i="1"/>
  <c r="AF432" i="1" s="1"/>
  <c r="AE962" i="1"/>
  <c r="AF962" i="1" s="1"/>
  <c r="AE806" i="1"/>
  <c r="AF806" i="1" s="1"/>
  <c r="AE85" i="1"/>
  <c r="AF85" i="1" s="1"/>
  <c r="AE936" i="1"/>
  <c r="AF936" i="1" s="1"/>
  <c r="AE649" i="1"/>
  <c r="AF649" i="1" s="1"/>
  <c r="AE921" i="1"/>
  <c r="AF921" i="1" s="1"/>
  <c r="AE849" i="1"/>
  <c r="AF849" i="1" s="1"/>
  <c r="AE872" i="1"/>
  <c r="AF872" i="1" s="1"/>
  <c r="AE833" i="1"/>
  <c r="AF833" i="1" s="1"/>
  <c r="AE721" i="1"/>
  <c r="AF721" i="1" s="1"/>
  <c r="AE330" i="1"/>
  <c r="AF330" i="1" s="1"/>
  <c r="AE339" i="1"/>
  <c r="AF339" i="1" s="1"/>
  <c r="AE798" i="1"/>
  <c r="AF798" i="1" s="1"/>
  <c r="AE47" i="1"/>
  <c r="AF47" i="1" s="1"/>
  <c r="AE776" i="1"/>
  <c r="AF776" i="1" s="1"/>
  <c r="AE271" i="1"/>
  <c r="AF271" i="1" s="1"/>
  <c r="AE114" i="1"/>
  <c r="AF114" i="1" s="1"/>
  <c r="AE672" i="1"/>
  <c r="AF672" i="1" s="1"/>
  <c r="AE431" i="1"/>
  <c r="AF431" i="1" s="1"/>
  <c r="AE924" i="1"/>
  <c r="AF924" i="1" s="1"/>
  <c r="AE1016" i="1"/>
  <c r="AF1016" i="1" s="1"/>
  <c r="AE128" i="1"/>
  <c r="AF128" i="1" s="1"/>
  <c r="AE450" i="1"/>
  <c r="AF450" i="1" s="1"/>
  <c r="AE625" i="1"/>
  <c r="AF625" i="1" s="1"/>
  <c r="AE839" i="1"/>
  <c r="AF839" i="1" s="1"/>
  <c r="AE730" i="1"/>
  <c r="AF730" i="1" s="1"/>
  <c r="AE480" i="1"/>
  <c r="AF480" i="1" s="1"/>
  <c r="AE103" i="1"/>
  <c r="AF103" i="1" s="1"/>
  <c r="AE419" i="1"/>
  <c r="AF419" i="1" s="1"/>
  <c r="AE527" i="1"/>
  <c r="AF527" i="1" s="1"/>
  <c r="AE572" i="1"/>
  <c r="AF572" i="1" s="1"/>
  <c r="AE781" i="1"/>
  <c r="AF781" i="1" s="1"/>
  <c r="AE786" i="1"/>
  <c r="AF786" i="1" s="1"/>
  <c r="AE121" i="1"/>
  <c r="AF121" i="1" s="1"/>
  <c r="AE139" i="1"/>
  <c r="AF139" i="1" s="1"/>
  <c r="AE395" i="1"/>
  <c r="AF395" i="1" s="1"/>
  <c r="AE323" i="1"/>
  <c r="AF323" i="1" s="1"/>
  <c r="AE65" i="1"/>
  <c r="AF65" i="1" s="1"/>
  <c r="AE585" i="1"/>
  <c r="AF585" i="1" s="1"/>
  <c r="AE471" i="1"/>
  <c r="AF471" i="1" s="1"/>
  <c r="AE853" i="1"/>
  <c r="AF853" i="1" s="1"/>
  <c r="AE963" i="1"/>
  <c r="AF963" i="1" s="1"/>
  <c r="AE788" i="1"/>
  <c r="AF788" i="1" s="1"/>
  <c r="AE755" i="1"/>
  <c r="AF755" i="1" s="1"/>
  <c r="AE476" i="1"/>
  <c r="AF476" i="1" s="1"/>
  <c r="AE947" i="1"/>
  <c r="AF947" i="1" s="1"/>
  <c r="AE411" i="1"/>
  <c r="AF411" i="1" s="1"/>
  <c r="AE422" i="1"/>
  <c r="AF422" i="1" s="1"/>
  <c r="AE97" i="1"/>
  <c r="AF97" i="1" s="1"/>
  <c r="AE340" i="1"/>
  <c r="AF340" i="1" s="1"/>
  <c r="AE369" i="1"/>
  <c r="AF369" i="1" s="1"/>
  <c r="AE642" i="1"/>
  <c r="AF642" i="1" s="1"/>
  <c r="AE778" i="1"/>
  <c r="AF778" i="1" s="1"/>
  <c r="AE469" i="1"/>
  <c r="AF469" i="1" s="1"/>
  <c r="AE368" i="1"/>
  <c r="AF368" i="1" s="1"/>
  <c r="AE829" i="1"/>
  <c r="AF829" i="1" s="1"/>
  <c r="AE580" i="1"/>
  <c r="AF580" i="1" s="1"/>
  <c r="AE83" i="1"/>
  <c r="AF83" i="1" s="1"/>
  <c r="AE505" i="1"/>
  <c r="AF505" i="1" s="1"/>
  <c r="AE908" i="1"/>
  <c r="AF908" i="1" s="1"/>
  <c r="AE1025" i="1"/>
  <c r="AF1025" i="1" s="1"/>
  <c r="AE1017" i="1"/>
  <c r="AF1017" i="1" s="1"/>
  <c r="AE175" i="1"/>
  <c r="AF175" i="1" s="1"/>
  <c r="AE438" i="1"/>
  <c r="AF438" i="1" s="1"/>
  <c r="AE565" i="1"/>
  <c r="AF565" i="1" s="1"/>
  <c r="AE891" i="1"/>
  <c r="AF891" i="1" s="1"/>
  <c r="AE194" i="1"/>
  <c r="AF194" i="1" s="1"/>
  <c r="AE198" i="1"/>
  <c r="AF198" i="1" s="1"/>
  <c r="AE922" i="1"/>
  <c r="AF922" i="1" s="1"/>
  <c r="AE245" i="1"/>
  <c r="AF245" i="1" s="1"/>
  <c r="AE797" i="1"/>
  <c r="AF797" i="1" s="1"/>
  <c r="AE181" i="1"/>
  <c r="AF181" i="1" s="1"/>
  <c r="AE269" i="1"/>
  <c r="AF269" i="1" s="1"/>
  <c r="AE228" i="1"/>
  <c r="AF228" i="1" s="1"/>
  <c r="AE858" i="1"/>
  <c r="AF858" i="1" s="1"/>
  <c r="AE397" i="1"/>
  <c r="AF397" i="1" s="1"/>
  <c r="AE791" i="1"/>
  <c r="AF791" i="1" s="1"/>
  <c r="AE239" i="1"/>
  <c r="AF239" i="1" s="1"/>
  <c r="AE1018" i="1"/>
  <c r="AF1018" i="1" s="1"/>
  <c r="AE595" i="1"/>
  <c r="AF595" i="1" s="1"/>
  <c r="AE200" i="1"/>
  <c r="AF200" i="1" s="1"/>
  <c r="AE161" i="1"/>
  <c r="AF161" i="1" s="1"/>
  <c r="AE421" i="1"/>
  <c r="AF421" i="1" s="1"/>
  <c r="AE354" i="1"/>
  <c r="AF354" i="1" s="1"/>
  <c r="AE793" i="1"/>
  <c r="AF793" i="1" s="1"/>
  <c r="AE120" i="1"/>
  <c r="AF120" i="1" s="1"/>
  <c r="AE55" i="1"/>
  <c r="AF55" i="1" s="1"/>
  <c r="AE488" i="1"/>
  <c r="AF488" i="1" s="1"/>
  <c r="AE547" i="1"/>
  <c r="AF547" i="1" s="1"/>
  <c r="AE176" i="1"/>
  <c r="AF176" i="1" s="1"/>
  <c r="AE742" i="1"/>
  <c r="AF742" i="1" s="1"/>
  <c r="AE604" i="1"/>
  <c r="AF604" i="1" s="1"/>
  <c r="AE210" i="1"/>
  <c r="AF210" i="1" s="1"/>
  <c r="AE462" i="1"/>
  <c r="AF462" i="1" s="1"/>
  <c r="AE895" i="1"/>
  <c r="AF895" i="1" s="1"/>
  <c r="AE371" i="1"/>
  <c r="AF371" i="1" s="1"/>
  <c r="AE983" i="1"/>
  <c r="AF983" i="1" s="1"/>
  <c r="AE273" i="1"/>
  <c r="AF273" i="1" s="1"/>
  <c r="AE280" i="1"/>
  <c r="AF280" i="1" s="1"/>
  <c r="AE137" i="1"/>
  <c r="AF137" i="1" s="1"/>
  <c r="AE328" i="1"/>
  <c r="AF328" i="1" s="1"/>
  <c r="AE313" i="1"/>
  <c r="AF313" i="1" s="1"/>
  <c r="AE290" i="1"/>
  <c r="AF290" i="1" s="1"/>
  <c r="AE163" i="1"/>
  <c r="AF163" i="1" s="1"/>
  <c r="AE315" i="1"/>
  <c r="AF315" i="1" s="1"/>
  <c r="AE153" i="1"/>
  <c r="AF153" i="1" s="1"/>
  <c r="AE237" i="1"/>
  <c r="AF237" i="1" s="1"/>
  <c r="AE56" i="1"/>
  <c r="AF56" i="1" s="1"/>
  <c r="AE77" i="1"/>
  <c r="AF77" i="1" s="1"/>
  <c r="AE172" i="1"/>
  <c r="AF172" i="1" s="1"/>
  <c r="AE186" i="1"/>
  <c r="AF186" i="1" s="1"/>
  <c r="AE289" i="1"/>
  <c r="AF289" i="1" s="1"/>
  <c r="AE281" i="1"/>
  <c r="AF281" i="1" s="1"/>
  <c r="AE321" i="1"/>
  <c r="AF321" i="1" s="1"/>
  <c r="AE417" i="1"/>
  <c r="AF417" i="1" s="1"/>
  <c r="AE562" i="1"/>
  <c r="AF562" i="1" s="1"/>
  <c r="AE620" i="1"/>
  <c r="AF620" i="1" s="1"/>
  <c r="AE444" i="1"/>
  <c r="AF444" i="1" s="1"/>
  <c r="AE677" i="1"/>
  <c r="AF677" i="1" s="1"/>
  <c r="AE812" i="1"/>
  <c r="AF812" i="1" s="1"/>
  <c r="AE461" i="1"/>
  <c r="AF461" i="1" s="1"/>
  <c r="AE117" i="1"/>
  <c r="AF117" i="1" s="1"/>
  <c r="AE785" i="1"/>
  <c r="AF785" i="1" s="1"/>
  <c r="AE521" i="1"/>
  <c r="AF521" i="1" s="1"/>
  <c r="AE876" i="1"/>
  <c r="AF876" i="1" s="1"/>
  <c r="AE581" i="1"/>
  <c r="AF581" i="1" s="1"/>
  <c r="AE757" i="1"/>
  <c r="AF757" i="1" s="1"/>
  <c r="AE379" i="1"/>
  <c r="AF379" i="1" s="1"/>
  <c r="AE1020" i="1"/>
  <c r="AF1020" i="1" s="1"/>
  <c r="AE389" i="1"/>
  <c r="AF389" i="1" s="1"/>
  <c r="AE487" i="1"/>
  <c r="AF487" i="1" s="1"/>
  <c r="AE827" i="1"/>
  <c r="AF827" i="1" s="1"/>
  <c r="AE359" i="1"/>
  <c r="AF359" i="1" s="1"/>
  <c r="AE679" i="1"/>
  <c r="AF679" i="1" s="1"/>
  <c r="AE211" i="1"/>
  <c r="AF211" i="1" s="1"/>
  <c r="AE606" i="1"/>
  <c r="AF606" i="1" s="1"/>
  <c r="AE202" i="1"/>
  <c r="AF202" i="1" s="1"/>
  <c r="AE282" i="1"/>
  <c r="AF282" i="1" s="1"/>
  <c r="AE539" i="1"/>
  <c r="AF539" i="1" s="1"/>
  <c r="AE334" i="1"/>
  <c r="AF334" i="1" s="1"/>
  <c r="AE67" i="1"/>
  <c r="AF67" i="1" s="1"/>
  <c r="AE27" i="1"/>
  <c r="AF27" i="1" s="1"/>
  <c r="AE365" i="1"/>
  <c r="AF365" i="1" s="1"/>
  <c r="AE593" i="1"/>
  <c r="AF593" i="1" s="1"/>
  <c r="AE934" i="1"/>
  <c r="AF934" i="1" s="1"/>
  <c r="AE894" i="1"/>
  <c r="AF894" i="1" s="1"/>
  <c r="AE413" i="1"/>
  <c r="AF413" i="1" s="1"/>
  <c r="AE151" i="1"/>
  <c r="AF151" i="1" s="1"/>
  <c r="AE836" i="1"/>
  <c r="AF836" i="1" s="1"/>
  <c r="AE655" i="1"/>
  <c r="AF655" i="1" s="1"/>
  <c r="AE133" i="1"/>
  <c r="AF133" i="1" s="1"/>
  <c r="AE244" i="1"/>
  <c r="AF244" i="1" s="1"/>
  <c r="AE816" i="1"/>
  <c r="AF816" i="1" s="1"/>
  <c r="AE116" i="1"/>
  <c r="AF116" i="1" s="1"/>
  <c r="AE765" i="1"/>
  <c r="AF765" i="1" s="1"/>
  <c r="AE994" i="1"/>
  <c r="AF994" i="1" s="1"/>
  <c r="AE268" i="1"/>
  <c r="AF268" i="1" s="1"/>
  <c r="AE58" i="1"/>
  <c r="AF58" i="1" s="1"/>
  <c r="AE860" i="1"/>
  <c r="AF860" i="1" s="1"/>
  <c r="AE752" i="1"/>
  <c r="AF752" i="1" s="1"/>
  <c r="AE455" i="1"/>
  <c r="AF455" i="1" s="1"/>
  <c r="AE855" i="1"/>
  <c r="AF855" i="1" s="1"/>
  <c r="AE800" i="1"/>
  <c r="AF800" i="1" s="1"/>
  <c r="AE403" i="1"/>
  <c r="AF403" i="1" s="1"/>
  <c r="AE961" i="1"/>
  <c r="AF961" i="1" s="1"/>
  <c r="AE536" i="1"/>
  <c r="AF536" i="1" s="1"/>
  <c r="AE385" i="1"/>
  <c r="AF385" i="1" s="1"/>
  <c r="AE615" i="1"/>
  <c r="AF615" i="1" s="1"/>
  <c r="AE74" i="1"/>
  <c r="AF74" i="1" s="1"/>
  <c r="AE147" i="1"/>
  <c r="AF147" i="1" s="1"/>
  <c r="AE373" i="1"/>
  <c r="AF373" i="1" s="1"/>
  <c r="AE468" i="1"/>
  <c r="AF468" i="1" s="1"/>
  <c r="AE534" i="1"/>
  <c r="AF534" i="1" s="1"/>
  <c r="AE508" i="1"/>
  <c r="AF508" i="1" s="1"/>
  <c r="AE473" i="1"/>
  <c r="AF473" i="1" s="1"/>
  <c r="AE1010" i="1"/>
  <c r="AF1010" i="1" s="1"/>
  <c r="AE950" i="1"/>
  <c r="AF950" i="1" s="1"/>
  <c r="AE1029" i="1"/>
  <c r="AF1029" i="1" s="1"/>
  <c r="AE633" i="1"/>
  <c r="AF633" i="1" s="1"/>
  <c r="AE953" i="1"/>
  <c r="AF953" i="1" s="1"/>
  <c r="AE549" i="1"/>
  <c r="AF549" i="1" s="1"/>
  <c r="AE916" i="1"/>
  <c r="AF916" i="1" s="1"/>
  <c r="AE1006" i="1"/>
  <c r="AF1006" i="1" s="1"/>
  <c r="AE424" i="1"/>
  <c r="AF424" i="1" s="1"/>
  <c r="AE782" i="1"/>
  <c r="AF782" i="1" s="1"/>
  <c r="AE744" i="1"/>
  <c r="AF744" i="1" s="1"/>
  <c r="AE846" i="1"/>
  <c r="AF846" i="1" s="1"/>
  <c r="AE71" i="1"/>
  <c r="AF71" i="1" s="1"/>
  <c r="AE143" i="1"/>
  <c r="AF143" i="1" s="1"/>
  <c r="AE346" i="1"/>
  <c r="AF346" i="1" s="1"/>
  <c r="AE964" i="1"/>
  <c r="AF964" i="1" s="1"/>
  <c r="AE352" i="1"/>
  <c r="AF352" i="1" s="1"/>
  <c r="AE954" i="1"/>
  <c r="AF954" i="1" s="1"/>
  <c r="AE952" i="1"/>
  <c r="AF952" i="1" s="1"/>
  <c r="AE275" i="1"/>
  <c r="AF275" i="1" s="1"/>
  <c r="AE472" i="1"/>
  <c r="AF472" i="1" s="1"/>
  <c r="AE333" i="1"/>
  <c r="AF333" i="1" s="1"/>
  <c r="AE92" i="1"/>
  <c r="AF92" i="1" s="1"/>
  <c r="AE992" i="1"/>
  <c r="AF992" i="1" s="1"/>
  <c r="AE668" i="1"/>
  <c r="AF668" i="1" s="1"/>
  <c r="AE292" i="1"/>
  <c r="AF292" i="1" s="1"/>
  <c r="AE266" i="1"/>
  <c r="AF266" i="1" s="1"/>
  <c r="AE967" i="1"/>
  <c r="AF967" i="1" s="1"/>
  <c r="AE423" i="1"/>
  <c r="AF423" i="1" s="1"/>
  <c r="AE256" i="1"/>
  <c r="AF256" i="1" s="1"/>
  <c r="AE708" i="1"/>
  <c r="AF708" i="1" s="1"/>
  <c r="AE600" i="1"/>
  <c r="AF600" i="1" s="1"/>
  <c r="AE831" i="1"/>
  <c r="AF831" i="1" s="1"/>
  <c r="AE357" i="1"/>
  <c r="AF357" i="1" s="1"/>
  <c r="AE686" i="1"/>
  <c r="AF686" i="1" s="1"/>
  <c r="AE877" i="1"/>
  <c r="AF877" i="1" s="1"/>
  <c r="AE486" i="1"/>
  <c r="AF486" i="1" s="1"/>
  <c r="AE229" i="1"/>
  <c r="AF229" i="1" s="1"/>
  <c r="AE376" i="1"/>
  <c r="AF376" i="1" s="1"/>
  <c r="AE599" i="1"/>
  <c r="AF599" i="1" s="1"/>
  <c r="AE915" i="1"/>
  <c r="AF915" i="1" s="1"/>
  <c r="AE222" i="1"/>
  <c r="AF222" i="1" s="1"/>
  <c r="AE164" i="1"/>
  <c r="AF164" i="1" s="1"/>
  <c r="AE38" i="1"/>
  <c r="AF38" i="1" s="1"/>
  <c r="AE196" i="1"/>
  <c r="AF196" i="1" s="1"/>
  <c r="AE257" i="1"/>
  <c r="AF257" i="1" s="1"/>
  <c r="AE361" i="1"/>
  <c r="AF361" i="1" s="1"/>
  <c r="AE344" i="1"/>
  <c r="AF344" i="1" s="1"/>
  <c r="AE205" i="1"/>
  <c r="AF205" i="1" s="1"/>
  <c r="AE302" i="1"/>
  <c r="AF302" i="1" s="1"/>
  <c r="AE532" i="1"/>
  <c r="AF532" i="1" s="1"/>
  <c r="AE550" i="1"/>
  <c r="AF550" i="1" s="1"/>
  <c r="AE636" i="1"/>
  <c r="AF636" i="1" s="1"/>
  <c r="AE489" i="1"/>
  <c r="AF489" i="1" s="1"/>
  <c r="AE632" i="1"/>
  <c r="AF632" i="1" s="1"/>
  <c r="AE981" i="1"/>
  <c r="AF981" i="1" s="1"/>
  <c r="AE909" i="1"/>
  <c r="AF909" i="1" s="1"/>
  <c r="AE680" i="1"/>
  <c r="AF680" i="1" s="1"/>
  <c r="AE842" i="1"/>
  <c r="AF842" i="1" s="1"/>
  <c r="AE944" i="1"/>
  <c r="AF944" i="1" s="1"/>
  <c r="AE725" i="1"/>
  <c r="AF725" i="1" s="1"/>
  <c r="AE183" i="1"/>
  <c r="AF183" i="1" s="1"/>
  <c r="AE609" i="1"/>
  <c r="AF609" i="1" s="1"/>
  <c r="AE745" i="1"/>
  <c r="AF745" i="1" s="1"/>
  <c r="AE174" i="1"/>
  <c r="AF174" i="1" s="1"/>
  <c r="AE795" i="1"/>
  <c r="AF795" i="1" s="1"/>
  <c r="AE409" i="1"/>
  <c r="AF409" i="1" s="1"/>
  <c r="AE958" i="1"/>
  <c r="AF958" i="1" s="1"/>
  <c r="AE441" i="1"/>
  <c r="AF441" i="1" s="1"/>
  <c r="AE82" i="1"/>
  <c r="AF82" i="1" s="1"/>
  <c r="AE447" i="1"/>
  <c r="AF447" i="1" s="1"/>
  <c r="AE810" i="1"/>
  <c r="AF810" i="1" s="1"/>
  <c r="AE510" i="1"/>
  <c r="AF510" i="1" s="1"/>
  <c r="AE162" i="1"/>
  <c r="AF162" i="1" s="1"/>
  <c r="AE372" i="1"/>
  <c r="AF372" i="1" s="1"/>
  <c r="AE658" i="1"/>
  <c r="AF658" i="1" s="1"/>
  <c r="AE807" i="1"/>
  <c r="AF807" i="1" s="1"/>
  <c r="AE1003" i="1"/>
  <c r="AF1003" i="1" s="1"/>
  <c r="AE603" i="1"/>
  <c r="AF603" i="1" s="1"/>
  <c r="AE746" i="1"/>
  <c r="AF746" i="1" s="1"/>
  <c r="AE888" i="1"/>
  <c r="AF888" i="1" s="1"/>
  <c r="AE498" i="1"/>
  <c r="AF498" i="1" s="1"/>
  <c r="AE982" i="1"/>
  <c r="AF982" i="1" s="1"/>
  <c r="AE559" i="1"/>
  <c r="AF559" i="1" s="1"/>
  <c r="AE592" i="1"/>
  <c r="AF592" i="1" s="1"/>
  <c r="AE184" i="1"/>
  <c r="AF184" i="1" s="1"/>
  <c r="AE905" i="1"/>
  <c r="AF905" i="1" s="1"/>
  <c r="AE601" i="1"/>
  <c r="AF601" i="1" s="1"/>
  <c r="AE375" i="1"/>
  <c r="AF375" i="1" s="1"/>
  <c r="AE711" i="1"/>
  <c r="AF711" i="1" s="1"/>
  <c r="AE362" i="1"/>
  <c r="AF362" i="1" s="1"/>
  <c r="AE88" i="1"/>
  <c r="AF88" i="1" s="1"/>
  <c r="AE864" i="1"/>
  <c r="AF864" i="1" s="1"/>
  <c r="AE648" i="1"/>
  <c r="AF648" i="1" s="1"/>
  <c r="AE515" i="1"/>
  <c r="AF515" i="1" s="1"/>
  <c r="AE363" i="1"/>
  <c r="AF363" i="1" s="1"/>
  <c r="AE300" i="1"/>
  <c r="AF300" i="1" s="1"/>
  <c r="AE159" i="1"/>
  <c r="AF159" i="1" s="1"/>
  <c r="AE865" i="1"/>
  <c r="AF865" i="1" s="1"/>
  <c r="AE528" i="1"/>
  <c r="AF528" i="1" s="1"/>
  <c r="AE347" i="1"/>
  <c r="AF347" i="1" s="1"/>
  <c r="AE477" i="1"/>
  <c r="AF477" i="1" s="1"/>
  <c r="AE1023" i="1"/>
  <c r="AF1023" i="1" s="1"/>
  <c r="AE695" i="1"/>
  <c r="AF695" i="1" s="1"/>
  <c r="AE460" i="1"/>
  <c r="AF460" i="1" s="1"/>
  <c r="AE1037" i="1"/>
  <c r="AF1037" i="1" s="1"/>
  <c r="AE284" i="1"/>
  <c r="AF284" i="1" s="1"/>
  <c r="AE75" i="1"/>
  <c r="AF75" i="1" s="1"/>
  <c r="AE62" i="1"/>
  <c r="AF62" i="1" s="1"/>
  <c r="AE72" i="1"/>
  <c r="AF72" i="1" s="1"/>
  <c r="AE105" i="1"/>
  <c r="AF105" i="1" s="1"/>
  <c r="AE104" i="1"/>
  <c r="AF104" i="1" s="1"/>
  <c r="AE145" i="1"/>
  <c r="AF145" i="1" s="1"/>
  <c r="AE241" i="1"/>
  <c r="AF241" i="1" s="1"/>
  <c r="AE215" i="1"/>
  <c r="AF215" i="1" s="1"/>
  <c r="AE204" i="1"/>
  <c r="AF204" i="1" s="1"/>
  <c r="AE157" i="1"/>
  <c r="AF157" i="1" s="1"/>
  <c r="AE405" i="1"/>
  <c r="AF405" i="1" s="1"/>
  <c r="AE481" i="1"/>
  <c r="AF481" i="1" s="1"/>
  <c r="AE393" i="1"/>
  <c r="AF393" i="1" s="1"/>
  <c r="AE824" i="1"/>
  <c r="AF824" i="1" s="1"/>
  <c r="AE698" i="1"/>
  <c r="AF698" i="1" s="1"/>
  <c r="AE914" i="1"/>
  <c r="AF914" i="1" s="1"/>
  <c r="AE758" i="1"/>
  <c r="AF758" i="1" s="1"/>
  <c r="AE1013" i="1"/>
  <c r="AF1013" i="1" s="1"/>
  <c r="AE602" i="1"/>
  <c r="AF602" i="1" s="1"/>
  <c r="AE813" i="1"/>
  <c r="AF813" i="1" s="1"/>
  <c r="AE737" i="1"/>
  <c r="AF737" i="1" s="1"/>
  <c r="AE517" i="1"/>
  <c r="AF517" i="1" s="1"/>
  <c r="AE661" i="1"/>
  <c r="AF661" i="1" s="1"/>
  <c r="AE657" i="1"/>
  <c r="AF657" i="1" s="1"/>
  <c r="AE693" i="1"/>
  <c r="AF693" i="1" s="1"/>
  <c r="AE646" i="1"/>
  <c r="AF646" i="1" s="1"/>
  <c r="AE760" i="1"/>
  <c r="AF760" i="1" s="1"/>
  <c r="AE1014" i="1"/>
  <c r="AF1014" i="1" s="1"/>
  <c r="AE156" i="1"/>
  <c r="AF156" i="1" s="1"/>
  <c r="AE415" i="1"/>
  <c r="AF415" i="1" s="1"/>
  <c r="AE874" i="1"/>
  <c r="AF874" i="1" s="1"/>
  <c r="AE131" i="1"/>
  <c r="AF131" i="1" s="1"/>
  <c r="AE675" i="1"/>
  <c r="AF675" i="1" s="1"/>
  <c r="AE364" i="1"/>
  <c r="AF364" i="1" s="1"/>
  <c r="AE491" i="1"/>
  <c r="AF491" i="1" s="1"/>
  <c r="AE691" i="1"/>
  <c r="AF691" i="1" s="1"/>
  <c r="AE805" i="1"/>
  <c r="AF805" i="1" s="1"/>
  <c r="AE977" i="1"/>
  <c r="AF977" i="1" s="1"/>
  <c r="AE726" i="1"/>
  <c r="AF726" i="1" s="1"/>
  <c r="AE492" i="1"/>
  <c r="AF492" i="1" s="1"/>
  <c r="AE350" i="1"/>
  <c r="AF350" i="1" s="1"/>
  <c r="AE651" i="1"/>
  <c r="AF651" i="1" s="1"/>
  <c r="AE470" i="1"/>
  <c r="AF470" i="1" s="1"/>
  <c r="AE685" i="1"/>
  <c r="AF685" i="1" s="1"/>
  <c r="AE973" i="1"/>
  <c r="AF973" i="1" s="1"/>
  <c r="AE818" i="1"/>
  <c r="AF818" i="1" s="1"/>
  <c r="AE185" i="1"/>
  <c r="AF185" i="1" s="1"/>
  <c r="AE700" i="1"/>
  <c r="AF700" i="1" s="1"/>
  <c r="AE929" i="1"/>
  <c r="AF929" i="1" s="1"/>
  <c r="AE329" i="1"/>
  <c r="AF329" i="1" s="1"/>
  <c r="AE866" i="1"/>
  <c r="AF866" i="1" s="1"/>
  <c r="AE36" i="1"/>
  <c r="AF36" i="1" s="1"/>
  <c r="AE684" i="1"/>
  <c r="AF684" i="1" s="1"/>
  <c r="AE871" i="1"/>
  <c r="AF871" i="1" s="1"/>
  <c r="AE637" i="1"/>
  <c r="AF637" i="1" s="1"/>
  <c r="AE567" i="1"/>
  <c r="AF567" i="1" s="1"/>
  <c r="AE986" i="1"/>
  <c r="AF986" i="1" s="1"/>
  <c r="AE631" i="1"/>
  <c r="AF631" i="1" s="1"/>
  <c r="AE789" i="1"/>
  <c r="AF789" i="1" s="1"/>
  <c r="AE720" i="1"/>
  <c r="AF720" i="1" s="1"/>
  <c r="AE898" i="1"/>
  <c r="AF898" i="1" s="1"/>
  <c r="AE188" i="1"/>
  <c r="AF188" i="1" s="1"/>
  <c r="AE1042" i="1"/>
  <c r="AF1042" i="1" s="1"/>
  <c r="AE689" i="1"/>
  <c r="AF689" i="1" s="1"/>
  <c r="AE794" i="1"/>
  <c r="AF794" i="1" s="1"/>
  <c r="AE485" i="1"/>
  <c r="AF485" i="1" s="1"/>
  <c r="AE401" i="1"/>
  <c r="AF401" i="1" s="1"/>
  <c r="AE844" i="1"/>
  <c r="AF844" i="1" s="1"/>
  <c r="AE644" i="1"/>
  <c r="AF644" i="1" s="1"/>
  <c r="AE53" i="1"/>
  <c r="AF53" i="1" s="1"/>
  <c r="AE553" i="1"/>
  <c r="AF553" i="1" s="1"/>
  <c r="AE940" i="1"/>
  <c r="AF940" i="1" s="1"/>
  <c r="AE828" i="1"/>
  <c r="AF828" i="1" s="1"/>
  <c r="AE645" i="1"/>
  <c r="AF645" i="1" s="1"/>
  <c r="AE960" i="1"/>
  <c r="AF960" i="1" s="1"/>
  <c r="AE837" i="1"/>
  <c r="AF837" i="1" s="1"/>
  <c r="AE937" i="1"/>
  <c r="AF937" i="1" s="1"/>
  <c r="AE923" i="1"/>
  <c r="AF923" i="1" s="1"/>
  <c r="AE479" i="1"/>
  <c r="AF479" i="1" s="1"/>
  <c r="AE942" i="1"/>
  <c r="AF942" i="1" s="1"/>
  <c r="AE731" i="1"/>
  <c r="AF731" i="1" s="1"/>
  <c r="AE704" i="1"/>
  <c r="AF704" i="1" s="1"/>
  <c r="AE66" i="1"/>
  <c r="AF66" i="1" s="1"/>
  <c r="AE968" i="1"/>
  <c r="AF968" i="1" s="1"/>
  <c r="AE219" i="1"/>
  <c r="AF219" i="1" s="1"/>
  <c r="AE169" i="1"/>
  <c r="AF169" i="1" s="1"/>
  <c r="AE607" i="1"/>
  <c r="AF607" i="1" s="1"/>
  <c r="AE180" i="1"/>
  <c r="AF180" i="1" s="1"/>
  <c r="AE616" i="1"/>
  <c r="AF616" i="1" s="1"/>
  <c r="AE555" i="1"/>
  <c r="AF555" i="1" s="1"/>
  <c r="AE203" i="1"/>
  <c r="AF203" i="1" s="1"/>
  <c r="AE466" i="1"/>
  <c r="AF466" i="1" s="1"/>
  <c r="AE664" i="1"/>
  <c r="AF664" i="1" s="1"/>
  <c r="AE1022" i="1"/>
  <c r="AF1022" i="1" s="1"/>
  <c r="AE155" i="1"/>
  <c r="AF155" i="1" s="1"/>
  <c r="AE951" i="1"/>
  <c r="AF951" i="1" s="1"/>
  <c r="AE380" i="1"/>
  <c r="AF380" i="1" s="1"/>
  <c r="AE392" i="1"/>
  <c r="AF392" i="1" s="1"/>
  <c r="AE932" i="1"/>
  <c r="AF932" i="1" s="1"/>
  <c r="AE1001" i="1"/>
  <c r="AF1001" i="1" s="1"/>
  <c r="AE458" i="1"/>
  <c r="AF458" i="1" s="1"/>
  <c r="AE152" i="1"/>
  <c r="AF152" i="1" s="1"/>
  <c r="AE484" i="1"/>
  <c r="AF484" i="1" s="1"/>
  <c r="AE327" i="1"/>
  <c r="AF327" i="1" s="1"/>
  <c r="AE240" i="1"/>
  <c r="AF240" i="1" s="1"/>
  <c r="AE483" i="1"/>
  <c r="AF483" i="1" s="1"/>
  <c r="AE768" i="1"/>
  <c r="AF768" i="1" s="1"/>
  <c r="AE570" i="1"/>
  <c r="AF570" i="1" s="1"/>
  <c r="AE522" i="1"/>
  <c r="AF522" i="1" s="1"/>
  <c r="AE148" i="1"/>
  <c r="AF148" i="1" s="1"/>
  <c r="AE653" i="1"/>
  <c r="AF653" i="1" s="1"/>
  <c r="AE402" i="1"/>
  <c r="AF402" i="1" s="1"/>
  <c r="AE355" i="1"/>
  <c r="AF355" i="1" s="1"/>
  <c r="AE525" i="1"/>
  <c r="AF525" i="1" s="1"/>
  <c r="AE769" i="1"/>
  <c r="AF769" i="1" s="1"/>
  <c r="AE966" i="1"/>
  <c r="AF966" i="1" s="1"/>
  <c r="AE717" i="1"/>
  <c r="AF717" i="1" s="1"/>
  <c r="AE551" i="1"/>
  <c r="AF551" i="1" s="1"/>
  <c r="AE118" i="1"/>
  <c r="AF118" i="1" s="1"/>
  <c r="AE178" i="1"/>
  <c r="AF178" i="1" s="1"/>
  <c r="AE312" i="1"/>
  <c r="AF312" i="1" s="1"/>
  <c r="AE146" i="1"/>
  <c r="AF146" i="1" s="1"/>
  <c r="AE80" i="1"/>
  <c r="AF80" i="1" s="1"/>
  <c r="AE158" i="1"/>
  <c r="AF158" i="1" s="1"/>
  <c r="AE220" i="1"/>
  <c r="AF220" i="1" s="1"/>
  <c r="AE201" i="1"/>
  <c r="AF201" i="1" s="1"/>
  <c r="AE264" i="1"/>
  <c r="AF264" i="1" s="1"/>
  <c r="AE335" i="1"/>
  <c r="AF335" i="1" s="1"/>
  <c r="AE338" i="1"/>
  <c r="AF338" i="1" s="1"/>
  <c r="AE142" i="1"/>
  <c r="AF142" i="1" s="1"/>
  <c r="AE433" i="1"/>
  <c r="AF433" i="1" s="1"/>
  <c r="AE482" i="1"/>
  <c r="AF482" i="1" s="1"/>
  <c r="AE556" i="1"/>
  <c r="AF556" i="1" s="1"/>
  <c r="AE412" i="1"/>
  <c r="AF412" i="1" s="1"/>
  <c r="AE893" i="1"/>
  <c r="AF893" i="1" s="1"/>
  <c r="AE779" i="1"/>
  <c r="AF779" i="1" s="1"/>
  <c r="AE440" i="1"/>
  <c r="AF440" i="1" s="1"/>
  <c r="AE150" i="1"/>
  <c r="AF150" i="1" s="1"/>
  <c r="AE904" i="1"/>
  <c r="AF904" i="1" s="1"/>
  <c r="AE729" i="1"/>
  <c r="AF729" i="1" s="1"/>
  <c r="AE890" i="1"/>
  <c r="AF890" i="1" s="1"/>
  <c r="AE821" i="1"/>
  <c r="AF821" i="1" s="1"/>
  <c r="AE566" i="1"/>
  <c r="AF566" i="1" s="1"/>
  <c r="AE989" i="1"/>
  <c r="AF989" i="1" s="1"/>
  <c r="AE955" i="1"/>
  <c r="AF955" i="1" s="1"/>
  <c r="AE511" i="1"/>
  <c r="AF511" i="1" s="1"/>
  <c r="AE130" i="1"/>
  <c r="AF130" i="1" s="1"/>
  <c r="AE57" i="1"/>
  <c r="AF57" i="1" s="1"/>
  <c r="AE410" i="1"/>
  <c r="AF410" i="1" s="1"/>
  <c r="AE991" i="1"/>
  <c r="AF991" i="1" s="1"/>
  <c r="AE287" i="1"/>
  <c r="AF287" i="1" s="1"/>
  <c r="AE279" i="1"/>
  <c r="AF279" i="1" s="1"/>
  <c r="AE429" i="1"/>
  <c r="AF429" i="1" s="1"/>
  <c r="AE507" i="1"/>
  <c r="AF507" i="1" s="1"/>
  <c r="AE970" i="1"/>
  <c r="AF970" i="1" s="1"/>
  <c r="AE743" i="1"/>
  <c r="AF743" i="1" s="1"/>
  <c r="AE671" i="1"/>
  <c r="AF671" i="1" s="1"/>
  <c r="AE722" i="1"/>
  <c r="AF722" i="1" s="1"/>
  <c r="AE465" i="1"/>
  <c r="AF465" i="1" s="1"/>
  <c r="AE822" i="1"/>
  <c r="AF822" i="1" s="1"/>
  <c r="AE250" i="1"/>
  <c r="AF250" i="1" s="1"/>
  <c r="AE209" i="1"/>
  <c r="AF209" i="1" s="1"/>
  <c r="AE1027" i="1"/>
  <c r="AF1027" i="1" s="1"/>
  <c r="AE396" i="1"/>
  <c r="AF396" i="1" s="1"/>
  <c r="AE736" i="1"/>
  <c r="AF736" i="1" s="1"/>
  <c r="AE809" i="1"/>
  <c r="AF809" i="1" s="1"/>
  <c r="AE946" i="1"/>
  <c r="AF946" i="1" s="1"/>
  <c r="AE627" i="1"/>
  <c r="AF627" i="1" s="1"/>
  <c r="AE727" i="1"/>
  <c r="AF727" i="1" s="1"/>
  <c r="AE263" i="1"/>
  <c r="AF263" i="1" s="1"/>
  <c r="AE802" i="1"/>
  <c r="AF802" i="1" s="1"/>
  <c r="AE683" i="1"/>
  <c r="AF683" i="1" s="1"/>
  <c r="AE434" i="1"/>
  <c r="AF434" i="1" s="1"/>
  <c r="AE26" i="1"/>
  <c r="AF26" i="1" s="1"/>
  <c r="AE464" i="1"/>
  <c r="AF464" i="1" s="1"/>
  <c r="AE519" i="1"/>
  <c r="AF519" i="1" s="1"/>
  <c r="AE815" i="1"/>
  <c r="AF815" i="1" s="1"/>
  <c r="AE850" i="1"/>
  <c r="AF850" i="1" s="1"/>
  <c r="AE526" i="1"/>
  <c r="AF526" i="1" s="1"/>
  <c r="AE509" i="1"/>
  <c r="AF509" i="1" s="1"/>
  <c r="AE931" i="1"/>
  <c r="AF931" i="1" s="1"/>
  <c r="AE764" i="1"/>
  <c r="AF764" i="1" s="1"/>
  <c r="U1009" i="1"/>
  <c r="V1009" i="1" s="1"/>
  <c r="U346" i="1"/>
  <c r="V346" i="1" s="1"/>
  <c r="W134" i="1"/>
  <c r="U304" i="1"/>
  <c r="V304" i="1" s="1"/>
  <c r="W919" i="1"/>
  <c r="U143" i="1"/>
  <c r="V143" i="1" s="1"/>
  <c r="AE1038" i="1"/>
  <c r="AF1038" i="1" s="1"/>
  <c r="AE253" i="1"/>
  <c r="AF253" i="1" s="1"/>
  <c r="AE701" i="1"/>
  <c r="AF701" i="1" s="1"/>
  <c r="AE610" i="1"/>
  <c r="AF610" i="1" s="1"/>
  <c r="AE618" i="1"/>
  <c r="AF618" i="1" s="1"/>
  <c r="AE307" i="1"/>
  <c r="AF307" i="1" s="1"/>
  <c r="AE919" i="1"/>
  <c r="AF919" i="1" s="1"/>
  <c r="AE870" i="1"/>
  <c r="AF870" i="1" s="1"/>
  <c r="AE457" i="1"/>
  <c r="AF457" i="1" s="1"/>
  <c r="AE544" i="1"/>
  <c r="AF544" i="1" s="1"/>
  <c r="AE406" i="1"/>
  <c r="AF406" i="1" s="1"/>
  <c r="AE854" i="1"/>
  <c r="AF854" i="1" s="1"/>
  <c r="AE530" i="1"/>
  <c r="AF530" i="1" s="1"/>
  <c r="AE1032" i="1"/>
  <c r="AF1032" i="1" s="1"/>
  <c r="AE621" i="1"/>
  <c r="AF621" i="1" s="1"/>
  <c r="AE568" i="1"/>
  <c r="AF568" i="1" s="1"/>
  <c r="AE213" i="1"/>
  <c r="AF213" i="1" s="1"/>
  <c r="AE896" i="1"/>
  <c r="AF896" i="1" s="1"/>
  <c r="AE283" i="1"/>
  <c r="AF283" i="1" s="1"/>
  <c r="AE996" i="1"/>
  <c r="AF996" i="1" s="1"/>
  <c r="AE242" i="1"/>
  <c r="AF242" i="1" s="1"/>
  <c r="AE391" i="1"/>
  <c r="AF391" i="1" s="1"/>
  <c r="AE928" i="1"/>
  <c r="AF928" i="1" s="1"/>
  <c r="AE640" i="1"/>
  <c r="AF640" i="1" s="1"/>
  <c r="AE1033" i="1"/>
  <c r="AF1033" i="1" s="1"/>
  <c r="AE590" i="1"/>
  <c r="AF590" i="1" s="1"/>
  <c r="AE784" i="1"/>
  <c r="AF784" i="1" s="1"/>
  <c r="AE1015" i="1"/>
  <c r="AF1015" i="1" s="1"/>
  <c r="AE902" i="1"/>
  <c r="AF902" i="1" s="1"/>
  <c r="AE997" i="1"/>
  <c r="AF997" i="1" s="1"/>
  <c r="AE278" i="1"/>
  <c r="AF278" i="1" s="1"/>
  <c r="AE819" i="1"/>
  <c r="AF819" i="1" s="1"/>
  <c r="AE687" i="1"/>
  <c r="AF687" i="1" s="1"/>
  <c r="W146" i="1"/>
  <c r="W854" i="1"/>
  <c r="U617" i="1"/>
  <c r="V617" i="1" s="1"/>
  <c r="W306" i="1"/>
  <c r="AE32" i="1"/>
  <c r="AF32" i="1" s="1"/>
  <c r="AQ32" i="1"/>
  <c r="W555" i="1"/>
  <c r="W145" i="1"/>
  <c r="U145" i="1"/>
  <c r="V145" i="1" s="1"/>
  <c r="W1003" i="1"/>
  <c r="U336" i="1"/>
  <c r="V336" i="1" s="1"/>
  <c r="W103" i="1"/>
  <c r="W54" i="1"/>
  <c r="U576" i="1"/>
  <c r="V576" i="1" s="1"/>
  <c r="U577" i="1"/>
  <c r="V577" i="1" s="1"/>
  <c r="W336" i="1"/>
  <c r="U103" i="1"/>
  <c r="V103" i="1" s="1"/>
  <c r="W577" i="1"/>
  <c r="U670" i="1"/>
  <c r="V670" i="1" s="1"/>
  <c r="W435" i="1"/>
  <c r="U152" i="1"/>
  <c r="V152" i="1" s="1"/>
  <c r="W152" i="1"/>
  <c r="W670" i="1"/>
  <c r="U435" i="1"/>
  <c r="V435" i="1" s="1"/>
  <c r="W289" i="1"/>
  <c r="U734" i="1"/>
  <c r="V734" i="1" s="1"/>
  <c r="W47" i="1"/>
  <c r="U799" i="1"/>
  <c r="V799" i="1" s="1"/>
  <c r="W492" i="1"/>
  <c r="U40" i="1"/>
  <c r="V40" i="1" s="1"/>
  <c r="U646" i="1"/>
  <c r="V646" i="1" s="1"/>
  <c r="U93" i="1"/>
  <c r="V93" i="1" s="1"/>
  <c r="U545" i="1"/>
  <c r="V545" i="1" s="1"/>
  <c r="U389" i="1"/>
  <c r="V389" i="1" s="1"/>
  <c r="W149" i="1"/>
  <c r="U735" i="1"/>
  <c r="V735" i="1" s="1"/>
  <c r="U484" i="1"/>
  <c r="V484" i="1" s="1"/>
  <c r="U514" i="1"/>
  <c r="V514" i="1" s="1"/>
  <c r="U611" i="1"/>
  <c r="V611" i="1" s="1"/>
  <c r="W905" i="1"/>
  <c r="U794" i="1"/>
  <c r="V794" i="1" s="1"/>
  <c r="U210" i="1"/>
  <c r="V210" i="1" s="1"/>
  <c r="U214" i="1"/>
  <c r="V214" i="1" s="1"/>
  <c r="U232" i="1"/>
  <c r="V232" i="1" s="1"/>
  <c r="U1021" i="1"/>
  <c r="V1021" i="1" s="1"/>
  <c r="W424" i="1"/>
  <c r="U172" i="1"/>
  <c r="V172" i="1" s="1"/>
  <c r="U170" i="1"/>
  <c r="V170" i="1" s="1"/>
  <c r="W991" i="1"/>
  <c r="U511" i="1"/>
  <c r="V511" i="1" s="1"/>
  <c r="U708" i="1"/>
  <c r="V708" i="1" s="1"/>
  <c r="U660" i="1"/>
  <c r="V660" i="1" s="1"/>
  <c r="U117" i="1"/>
  <c r="V117" i="1" s="1"/>
  <c r="W157" i="1"/>
  <c r="U513" i="1"/>
  <c r="V513" i="1" s="1"/>
  <c r="W263" i="1"/>
  <c r="U186" i="1"/>
  <c r="V186" i="1" s="1"/>
  <c r="U1011" i="1"/>
  <c r="V1011" i="1" s="1"/>
  <c r="U842" i="1"/>
  <c r="V842" i="1" s="1"/>
  <c r="U896" i="1"/>
  <c r="V896" i="1" s="1"/>
  <c r="U274" i="1"/>
  <c r="V274" i="1" s="1"/>
  <c r="U933" i="1"/>
  <c r="V933" i="1" s="1"/>
  <c r="W1019" i="1"/>
  <c r="U454" i="1"/>
  <c r="V454" i="1" s="1"/>
  <c r="U974" i="1"/>
  <c r="V974" i="1" s="1"/>
  <c r="W807" i="1"/>
  <c r="U265" i="1"/>
  <c r="V265" i="1" s="1"/>
  <c r="W565" i="1"/>
  <c r="W343" i="1"/>
  <c r="U584" i="1"/>
  <c r="V584" i="1" s="1"/>
  <c r="U44" i="1"/>
  <c r="V44" i="1" s="1"/>
  <c r="W340" i="1"/>
  <c r="U345" i="1"/>
  <c r="V345" i="1" s="1"/>
  <c r="U813" i="1"/>
  <c r="V813" i="1" s="1"/>
  <c r="W889" i="1"/>
  <c r="W284" i="1"/>
  <c r="W101" i="1"/>
  <c r="W1013" i="1"/>
  <c r="U620" i="1"/>
  <c r="V620" i="1" s="1"/>
  <c r="W581" i="1"/>
  <c r="U665" i="1"/>
  <c r="V665" i="1" s="1"/>
  <c r="W216" i="1"/>
  <c r="W816" i="1"/>
  <c r="U137" i="1"/>
  <c r="V137" i="1" s="1"/>
  <c r="U292" i="1"/>
  <c r="V292" i="1" s="1"/>
  <c r="U1044" i="1"/>
  <c r="V1044" i="1" s="1"/>
  <c r="W729" i="1"/>
  <c r="W893" i="1"/>
  <c r="U778" i="1"/>
  <c r="V778" i="1" s="1"/>
  <c r="W777" i="1"/>
  <c r="U804" i="1"/>
  <c r="V804" i="1" s="1"/>
  <c r="W836" i="1"/>
  <c r="U949" i="1"/>
  <c r="V949" i="1" s="1"/>
  <c r="U934" i="1"/>
  <c r="V934" i="1" s="1"/>
  <c r="U178" i="1"/>
  <c r="V178" i="1" s="1"/>
  <c r="U142" i="1"/>
  <c r="V142" i="1" s="1"/>
  <c r="U685" i="1"/>
  <c r="V685" i="1" s="1"/>
  <c r="U350" i="1"/>
  <c r="V350" i="1" s="1"/>
  <c r="U245" i="1"/>
  <c r="V245" i="1" s="1"/>
  <c r="U281" i="1"/>
  <c r="V281" i="1" s="1"/>
  <c r="U969" i="1"/>
  <c r="V969" i="1" s="1"/>
  <c r="W604" i="1"/>
  <c r="W365" i="1"/>
  <c r="W1030" i="1"/>
  <c r="W967" i="1"/>
  <c r="W181" i="1"/>
  <c r="U275" i="1"/>
  <c r="V275" i="1" s="1"/>
  <c r="W439" i="1"/>
  <c r="U449" i="1"/>
  <c r="V449" i="1" s="1"/>
  <c r="U403" i="1"/>
  <c r="V403" i="1" s="1"/>
  <c r="U612" i="1"/>
  <c r="V612" i="1" s="1"/>
  <c r="U328" i="1"/>
  <c r="V328" i="1" s="1"/>
  <c r="U213" i="1"/>
  <c r="V213" i="1" s="1"/>
  <c r="U876" i="1"/>
  <c r="V876" i="1" s="1"/>
  <c r="W151" i="1"/>
  <c r="W415" i="1"/>
  <c r="W229" i="1"/>
  <c r="U89" i="1"/>
  <c r="V89" i="1" s="1"/>
  <c r="U391" i="1"/>
  <c r="V391" i="1" s="1"/>
  <c r="W277" i="1"/>
  <c r="U906" i="1"/>
  <c r="V906" i="1" s="1"/>
  <c r="U184" i="1"/>
  <c r="V184" i="1" s="1"/>
  <c r="U989" i="1"/>
  <c r="V989" i="1" s="1"/>
  <c r="U409" i="1"/>
  <c r="V409" i="1" s="1"/>
  <c r="U897" i="1"/>
  <c r="V897" i="1" s="1"/>
  <c r="W316" i="1"/>
  <c r="U602" i="1"/>
  <c r="V602" i="1" s="1"/>
  <c r="U912" i="1"/>
  <c r="V912" i="1" s="1"/>
  <c r="U938" i="1"/>
  <c r="V938" i="1" s="1"/>
  <c r="W821" i="1"/>
  <c r="U255" i="1"/>
  <c r="V255" i="1" s="1"/>
  <c r="U253" i="1"/>
  <c r="V253" i="1" s="1"/>
  <c r="U457" i="1"/>
  <c r="V457" i="1" s="1"/>
  <c r="U975" i="1"/>
  <c r="V975" i="1" s="1"/>
  <c r="U706" i="1"/>
  <c r="V706" i="1" s="1"/>
  <c r="U1025" i="1"/>
  <c r="V1025" i="1" s="1"/>
  <c r="U710" i="1"/>
  <c r="V710" i="1" s="1"/>
  <c r="W900" i="1"/>
  <c r="W925" i="1"/>
  <c r="U707" i="1"/>
  <c r="V707" i="1" s="1"/>
  <c r="W759" i="1"/>
  <c r="W68" i="1"/>
  <c r="W132" i="1"/>
  <c r="U133" i="1"/>
  <c r="V133" i="1" s="1"/>
  <c r="U766" i="1"/>
  <c r="V766" i="1" s="1"/>
  <c r="U595" i="1"/>
  <c r="V595" i="1" s="1"/>
  <c r="U197" i="1"/>
  <c r="V197" i="1" s="1"/>
  <c r="W380" i="1"/>
  <c r="U694" i="1"/>
  <c r="V694" i="1" s="1"/>
  <c r="U496" i="1"/>
  <c r="V496" i="1" s="1"/>
  <c r="U939" i="1"/>
  <c r="V939" i="1" s="1"/>
  <c r="U721" i="1"/>
  <c r="V721" i="1" s="1"/>
  <c r="U578" i="1"/>
  <c r="V578" i="1" s="1"/>
  <c r="U731" i="1"/>
  <c r="V731" i="1" s="1"/>
  <c r="U705" i="1"/>
  <c r="V705" i="1" s="1"/>
  <c r="U870" i="1"/>
  <c r="V870" i="1" s="1"/>
  <c r="W771" i="1"/>
  <c r="U575" i="1"/>
  <c r="V575" i="1" s="1"/>
  <c r="U1018" i="1"/>
  <c r="V1018" i="1" s="1"/>
  <c r="U567" i="1"/>
  <c r="V567" i="1" s="1"/>
  <c r="U61" i="1"/>
  <c r="V61" i="1" s="1"/>
  <c r="U753" i="1"/>
  <c r="V753" i="1" s="1"/>
  <c r="U25" i="1"/>
  <c r="V25" i="1" s="1"/>
  <c r="W240" i="1"/>
  <c r="U749" i="1"/>
  <c r="V749" i="1" s="1"/>
  <c r="U533" i="1"/>
  <c r="V533" i="1" s="1"/>
  <c r="U314" i="1"/>
  <c r="V314" i="1" s="1"/>
  <c r="W160" i="1"/>
  <c r="W808" i="1"/>
  <c r="U790" i="1"/>
  <c r="V790" i="1" s="1"/>
  <c r="U849" i="1"/>
  <c r="V849" i="1" s="1"/>
  <c r="U154" i="1"/>
  <c r="V154" i="1" s="1"/>
  <c r="W594" i="1"/>
  <c r="W247" i="1"/>
  <c r="U510" i="1"/>
  <c r="V510" i="1" s="1"/>
  <c r="U372" i="1"/>
  <c r="V372" i="1" s="1"/>
  <c r="W600" i="1"/>
  <c r="W951" i="1"/>
  <c r="U664" i="1"/>
  <c r="V664" i="1" s="1"/>
  <c r="U941" i="1"/>
  <c r="V941" i="1" s="1"/>
  <c r="U1027" i="1"/>
  <c r="V1027" i="1" s="1"/>
  <c r="W561" i="1"/>
  <c r="U113" i="1"/>
  <c r="V113" i="1" s="1"/>
  <c r="W400" i="1"/>
  <c r="U673" i="1"/>
  <c r="V673" i="1" s="1"/>
  <c r="U460" i="1"/>
  <c r="V460" i="1" s="1"/>
  <c r="U603" i="1"/>
  <c r="V603" i="1" s="1"/>
  <c r="U215" i="1"/>
  <c r="V215" i="1" s="1"/>
  <c r="U491" i="1"/>
  <c r="V491" i="1" s="1"/>
  <c r="U243" i="1"/>
  <c r="V243" i="1" s="1"/>
  <c r="U287" i="1"/>
  <c r="V287" i="1" s="1"/>
  <c r="U480" i="1"/>
  <c r="V480" i="1" s="1"/>
  <c r="W651" i="1"/>
  <c r="U862" i="1"/>
  <c r="V862" i="1" s="1"/>
  <c r="U894" i="1"/>
  <c r="V894" i="1" s="1"/>
  <c r="W479" i="1"/>
  <c r="U552" i="1"/>
  <c r="V552" i="1" s="1"/>
  <c r="U416" i="1"/>
  <c r="V416" i="1" s="1"/>
  <c r="W745" i="1"/>
  <c r="U629" i="1"/>
  <c r="V629" i="1" s="1"/>
  <c r="W366" i="1"/>
  <c r="U986" i="1"/>
  <c r="V986" i="1" s="1"/>
  <c r="W917" i="1"/>
  <c r="U958" i="1"/>
  <c r="V958" i="1" s="1"/>
  <c r="U168" i="1"/>
  <c r="V168" i="1" s="1"/>
  <c r="U271" i="1"/>
  <c r="V271" i="1" s="1"/>
  <c r="U929" i="1"/>
  <c r="V929" i="1" s="1"/>
  <c r="U140" i="1"/>
  <c r="V140" i="1" s="1"/>
  <c r="W49" i="1"/>
  <c r="U33" i="1"/>
  <c r="V33" i="1" s="1"/>
  <c r="U344" i="1"/>
  <c r="V344" i="1" s="1"/>
  <c r="W861" i="1"/>
  <c r="W406" i="1"/>
  <c r="U453" i="1"/>
  <c r="V453" i="1" s="1"/>
  <c r="W76" i="1"/>
  <c r="W45" i="1"/>
  <c r="U173" i="1"/>
  <c r="V173" i="1" s="1"/>
  <c r="U128" i="1"/>
  <c r="V128" i="1" s="1"/>
  <c r="W824" i="1"/>
  <c r="W977" i="1"/>
  <c r="U27" i="1"/>
  <c r="V27" i="1" s="1"/>
  <c r="W915" i="1"/>
  <c r="U109" i="1"/>
  <c r="V109" i="1" s="1"/>
  <c r="W279" i="1"/>
  <c r="W195" i="1"/>
  <c r="U751" i="1"/>
  <c r="V751" i="1" s="1"/>
  <c r="U125" i="1"/>
  <c r="V125" i="1" s="1"/>
  <c r="W487" i="1"/>
  <c r="U124" i="1"/>
  <c r="V124" i="1" s="1"/>
  <c r="W190" i="1"/>
  <c r="W280" i="1"/>
  <c r="U879" i="1"/>
  <c r="V879" i="1" s="1"/>
  <c r="U296" i="1"/>
  <c r="V296" i="1" s="1"/>
  <c r="W395" i="1"/>
  <c r="U798" i="1"/>
  <c r="V798" i="1" s="1"/>
  <c r="U264" i="1"/>
  <c r="V264" i="1" s="1"/>
  <c r="U426" i="1"/>
  <c r="V426" i="1" s="1"/>
  <c r="U317" i="1"/>
  <c r="V317" i="1" s="1"/>
  <c r="U943" i="1"/>
  <c r="V943" i="1" s="1"/>
  <c r="U51" i="1"/>
  <c r="V51" i="1" s="1"/>
  <c r="W147" i="1"/>
  <c r="W792" i="1"/>
  <c r="U351" i="1"/>
  <c r="V351" i="1" s="1"/>
  <c r="U1037" i="1"/>
  <c r="V1037" i="1" s="1"/>
  <c r="W826" i="1"/>
  <c r="U211" i="1"/>
  <c r="V211" i="1" s="1"/>
  <c r="W830" i="1"/>
  <c r="U448" i="1"/>
  <c r="V448" i="1" s="1"/>
  <c r="W775" i="1"/>
  <c r="U718" i="1"/>
  <c r="V718" i="1" s="1"/>
  <c r="U658" i="1"/>
  <c r="V658" i="1" s="1"/>
  <c r="W569" i="1"/>
  <c r="U687" i="1"/>
  <c r="V687" i="1" s="1"/>
  <c r="W359" i="1"/>
  <c r="W693" i="1"/>
  <c r="W381" i="1"/>
  <c r="U1034" i="1"/>
  <c r="V1034" i="1" s="1"/>
  <c r="U593" i="1"/>
  <c r="V593" i="1" s="1"/>
  <c r="U549" i="1"/>
  <c r="V549" i="1" s="1"/>
  <c r="U129" i="1"/>
  <c r="V129" i="1" s="1"/>
  <c r="W1029" i="1"/>
  <c r="W787" i="1"/>
  <c r="U310" i="1"/>
  <c r="V310" i="1" s="1"/>
  <c r="W97" i="1"/>
  <c r="W295" i="1"/>
  <c r="U517" i="1"/>
  <c r="V517" i="1" s="1"/>
  <c r="U872" i="1"/>
  <c r="V872" i="1" s="1"/>
  <c r="U57" i="1"/>
  <c r="V57" i="1" s="1"/>
  <c r="U414" i="1"/>
  <c r="V414" i="1" s="1"/>
  <c r="U444" i="1"/>
  <c r="V444" i="1" s="1"/>
  <c r="W250" i="1"/>
  <c r="U811" i="1"/>
  <c r="V811" i="1" s="1"/>
  <c r="U324" i="1"/>
  <c r="V324" i="1" s="1"/>
  <c r="U680" i="1"/>
  <c r="V680" i="1" s="1"/>
  <c r="U911" i="1"/>
  <c r="V911" i="1" s="1"/>
  <c r="W675" i="1"/>
  <c r="U410" i="1"/>
  <c r="V410" i="1" s="1"/>
  <c r="U642" i="1"/>
  <c r="V642" i="1" s="1"/>
  <c r="U387" i="1"/>
  <c r="V387" i="1" s="1"/>
  <c r="U468" i="1"/>
  <c r="V468" i="1" s="1"/>
  <c r="W207" i="1"/>
  <c r="W219" i="1"/>
  <c r="W699" i="1"/>
  <c r="W104" i="1"/>
  <c r="W544" i="1"/>
  <c r="U945" i="1"/>
  <c r="V945" i="1" s="1"/>
  <c r="U873" i="1"/>
  <c r="V873" i="1" s="1"/>
  <c r="W43" i="1"/>
  <c r="W671" i="1"/>
  <c r="U884" i="1"/>
  <c r="V884" i="1" s="1"/>
  <c r="W573" i="1"/>
  <c r="W206" i="1"/>
  <c r="U901" i="1"/>
  <c r="V901" i="1" s="1"/>
  <c r="U164" i="1"/>
  <c r="V164" i="1" s="1"/>
  <c r="U412" i="1"/>
  <c r="V412" i="1" s="1"/>
  <c r="U985" i="1"/>
  <c r="V985" i="1" s="1"/>
  <c r="W1014" i="1"/>
  <c r="U378" i="1"/>
  <c r="V378" i="1" s="1"/>
  <c r="W308" i="1"/>
  <c r="W386" i="1"/>
  <c r="U303" i="1"/>
  <c r="V303" i="1" s="1"/>
  <c r="U231" i="1"/>
  <c r="V231" i="1" s="1"/>
  <c r="U923" i="1"/>
  <c r="V923" i="1" s="1"/>
  <c r="U481" i="1"/>
  <c r="V481" i="1" s="1"/>
  <c r="W926" i="1"/>
  <c r="U179" i="1"/>
  <c r="V179" i="1" s="1"/>
  <c r="U362" i="1"/>
  <c r="V362" i="1" s="1"/>
  <c r="W757" i="1"/>
  <c r="U28" i="1"/>
  <c r="V28" i="1" s="1"/>
  <c r="U112" i="1"/>
  <c r="V112" i="1" s="1"/>
  <c r="U616" i="1"/>
  <c r="V616" i="1" s="1"/>
  <c r="W52" i="1"/>
  <c r="W115" i="1"/>
  <c r="U899" i="1"/>
  <c r="V899" i="1" s="1"/>
  <c r="U846" i="1"/>
  <c r="V846" i="1" s="1"/>
  <c r="U754" i="1"/>
  <c r="V754" i="1" s="1"/>
  <c r="W697" i="1"/>
  <c r="U979" i="1"/>
  <c r="V979" i="1" s="1"/>
  <c r="W209" i="1"/>
  <c r="U96" i="1"/>
  <c r="V96" i="1" s="1"/>
  <c r="W379" i="1"/>
  <c r="U904" i="1"/>
  <c r="V904" i="1" s="1"/>
  <c r="U763" i="1"/>
  <c r="V763" i="1" s="1"/>
  <c r="U556" i="1"/>
  <c r="V556" i="1" s="1"/>
  <c r="W56" i="1"/>
  <c r="U407" i="1"/>
  <c r="V407" i="1" s="1"/>
  <c r="W645" i="1"/>
  <c r="U610" i="1"/>
  <c r="V610" i="1" s="1"/>
  <c r="W780" i="1"/>
  <c r="W833" i="1"/>
  <c r="U623" i="1"/>
  <c r="V623" i="1" s="1"/>
  <c r="U727" i="1"/>
  <c r="V727" i="1" s="1"/>
  <c r="U329" i="1"/>
  <c r="V329" i="1" s="1"/>
  <c r="U864" i="1"/>
  <c r="V864" i="1" s="1"/>
  <c r="U174" i="1"/>
  <c r="V174" i="1" s="1"/>
  <c r="U550" i="1"/>
  <c r="V550" i="1" s="1"/>
  <c r="W150" i="1"/>
  <c r="W674" i="1"/>
  <c r="U63" i="1"/>
  <c r="V63" i="1" s="1"/>
  <c r="W169" i="1"/>
  <c r="U624" i="1"/>
  <c r="V624" i="1" s="1"/>
  <c r="U291" i="1"/>
  <c r="V291" i="1" s="1"/>
  <c r="U397" i="1"/>
  <c r="V397" i="1" s="1"/>
  <c r="U465" i="1"/>
  <c r="V465" i="1" s="1"/>
  <c r="U828" i="1"/>
  <c r="V828" i="1" s="1"/>
  <c r="W71" i="1"/>
  <c r="W709" i="1"/>
  <c r="W982" i="1"/>
  <c r="U843" i="1"/>
  <c r="V843" i="1" s="1"/>
  <c r="U678" i="1"/>
  <c r="V678" i="1" s="1"/>
  <c r="U522" i="1"/>
  <c r="V522" i="1" s="1"/>
  <c r="U100" i="1"/>
  <c r="V100" i="1" s="1"/>
  <c r="U127" i="1"/>
  <c r="V127" i="1" s="1"/>
  <c r="U953" i="1"/>
  <c r="V953" i="1" s="1"/>
  <c r="U857" i="1"/>
  <c r="V857" i="1" s="1"/>
  <c r="U760" i="1"/>
  <c r="V760" i="1" s="1"/>
  <c r="U41" i="1"/>
  <c r="V41" i="1" s="1"/>
  <c r="W608" i="1"/>
  <c r="U502" i="1"/>
  <c r="V502" i="1" s="1"/>
  <c r="U661" i="1"/>
  <c r="V661" i="1" s="1"/>
  <c r="W801" i="1"/>
  <c r="W337" i="1"/>
  <c r="W131" i="1"/>
  <c r="U158" i="1"/>
  <c r="V158" i="1" s="1"/>
  <c r="U890" i="1"/>
  <c r="V890" i="1" s="1"/>
  <c r="U562" i="1"/>
  <c r="V562" i="1" s="1"/>
  <c r="W534" i="1"/>
  <c r="W733" i="1"/>
  <c r="W217" i="1"/>
  <c r="W95" i="1"/>
  <c r="U32" i="1"/>
  <c r="V32" i="1" s="1"/>
  <c r="U783" i="1"/>
  <c r="V783" i="1" s="1"/>
  <c r="W591" i="1"/>
  <c r="W312" i="1"/>
  <c r="U737" i="1"/>
  <c r="V737" i="1" s="1"/>
  <c r="W175" i="1"/>
  <c r="W126" i="1"/>
  <c r="W53" i="1"/>
  <c r="W463" i="1"/>
  <c r="W80" i="1"/>
  <c r="U856" i="1"/>
  <c r="V856" i="1" s="1"/>
  <c r="W248" i="1"/>
  <c r="U655" i="1"/>
  <c r="V655" i="1" s="1"/>
  <c r="U205" i="1"/>
  <c r="V205" i="1" s="1"/>
  <c r="W921" i="1"/>
  <c r="U199" i="1"/>
  <c r="V199" i="1" s="1"/>
  <c r="U916" i="1"/>
  <c r="V916" i="1" s="1"/>
  <c r="U959" i="1"/>
  <c r="V959" i="1" s="1"/>
  <c r="W768" i="1"/>
  <c r="W831" i="1"/>
  <c r="W48" i="1"/>
  <c r="W613" i="1"/>
  <c r="U156" i="1"/>
  <c r="V156" i="1" s="1"/>
  <c r="U73" i="1"/>
  <c r="V73" i="1" s="1"/>
  <c r="W793" i="1"/>
  <c r="W880" i="1"/>
  <c r="W111" i="1"/>
  <c r="U333" i="1"/>
  <c r="V333" i="1" s="1"/>
  <c r="U518" i="1"/>
  <c r="V518" i="1" s="1"/>
  <c r="W267" i="1"/>
  <c r="W663" i="1"/>
  <c r="U198" i="1"/>
  <c r="V198" i="1" s="1"/>
  <c r="U130" i="1"/>
  <c r="V130" i="1" s="1"/>
  <c r="U847" i="1"/>
  <c r="V847" i="1" s="1"/>
  <c r="W233" i="1"/>
  <c r="W99" i="1"/>
  <c r="U746" i="1"/>
  <c r="V746" i="1" s="1"/>
  <c r="U1001" i="1"/>
  <c r="V1001" i="1" s="1"/>
  <c r="W649" i="1"/>
  <c r="W64" i="1"/>
  <c r="W676" i="1"/>
  <c r="U689" i="1"/>
  <c r="V689" i="1" s="1"/>
  <c r="U384" i="1"/>
  <c r="V384" i="1" s="1"/>
  <c r="W212" i="1"/>
  <c r="U1041" i="1"/>
  <c r="V1041" i="1" s="1"/>
  <c r="W703" i="1"/>
  <c r="W413" i="1"/>
  <c r="U36" i="1"/>
  <c r="V36" i="1" s="1"/>
  <c r="U990" i="1"/>
  <c r="V990" i="1" s="1"/>
  <c r="W560" i="1"/>
  <c r="U523" i="1"/>
  <c r="V523" i="1" s="1"/>
  <c r="U690" i="1"/>
  <c r="V690" i="1" s="1"/>
  <c r="W355" i="1"/>
  <c r="U588" i="1"/>
  <c r="V588" i="1" s="1"/>
  <c r="U433" i="1"/>
  <c r="V433" i="1" s="1"/>
  <c r="U971" i="1"/>
  <c r="V971" i="1" s="1"/>
  <c r="W392" i="1"/>
  <c r="U29" i="1"/>
  <c r="V29" i="1" s="1"/>
  <c r="U887" i="1"/>
  <c r="V887" i="1" s="1"/>
  <c r="W691" i="1"/>
  <c r="U85" i="1"/>
  <c r="V85" i="1" s="1"/>
  <c r="W167" i="1"/>
  <c r="U809" i="1"/>
  <c r="V809" i="1" s="1"/>
  <c r="W878" i="1"/>
  <c r="U743" i="1"/>
  <c r="V743" i="1" s="1"/>
  <c r="W162" i="1"/>
  <c r="U882" i="1"/>
  <c r="V882" i="1" s="1"/>
  <c r="U419" i="1"/>
  <c r="V419" i="1" s="1"/>
  <c r="U563" i="1"/>
  <c r="V563" i="1" s="1"/>
  <c r="U695" i="1"/>
  <c r="V695" i="1" s="1"/>
  <c r="U805" i="1"/>
  <c r="V805" i="1" s="1"/>
  <c r="U227" i="1"/>
  <c r="V227" i="1" s="1"/>
  <c r="U161" i="1"/>
  <c r="V161" i="1" s="1"/>
  <c r="U537" i="1"/>
  <c r="V537" i="1" s="1"/>
  <c r="U961" i="1"/>
  <c r="V961" i="1" s="1"/>
  <c r="U871" i="1"/>
  <c r="V871" i="1" s="1"/>
  <c r="U837" i="1"/>
  <c r="V837" i="1" s="1"/>
  <c r="W609" i="1"/>
  <c r="U599" i="1"/>
  <c r="V599" i="1" s="1"/>
  <c r="W963" i="1"/>
  <c r="U224" i="1"/>
  <c r="V224" i="1" s="1"/>
  <c r="U722" i="1"/>
  <c r="V722" i="1" s="1"/>
  <c r="W553" i="1"/>
  <c r="U470" i="1"/>
  <c r="V470" i="1" s="1"/>
  <c r="U987" i="1"/>
  <c r="V987" i="1" s="1"/>
  <c r="U782" i="1"/>
  <c r="V782" i="1" s="1"/>
  <c r="W922" i="1"/>
  <c r="U188" i="1"/>
  <c r="V188" i="1" s="1"/>
  <c r="U626" i="1"/>
  <c r="V626" i="1" s="1"/>
  <c r="W756" i="1"/>
  <c r="U965" i="1"/>
  <c r="V965" i="1" s="1"/>
  <c r="W497" i="1"/>
  <c r="U353" i="1"/>
  <c r="V353" i="1" s="1"/>
  <c r="W1010" i="1"/>
  <c r="W1033" i="1"/>
  <c r="W338" i="1"/>
  <c r="U482" i="1"/>
  <c r="V482" i="1" s="1"/>
  <c r="U77" i="1"/>
  <c r="V77" i="1" s="1"/>
  <c r="U501" i="1"/>
  <c r="V501" i="1" s="1"/>
  <c r="U84" i="1"/>
  <c r="V84" i="1" s="1"/>
  <c r="U288" i="1"/>
  <c r="V288" i="1" s="1"/>
  <c r="U711" i="1"/>
  <c r="V711" i="1" s="1"/>
  <c r="W485" i="1"/>
  <c r="W548" i="1"/>
  <c r="U286" i="1"/>
  <c r="V286" i="1" s="1"/>
  <c r="U171" i="1"/>
  <c r="V171" i="1" s="1"/>
  <c r="U892" i="1"/>
  <c r="V892" i="1" s="1"/>
  <c r="U91" i="1"/>
  <c r="V91" i="1" s="1"/>
  <c r="U1005" i="1"/>
  <c r="V1005" i="1" s="1"/>
  <c r="W155" i="1"/>
  <c r="W194" i="1"/>
  <c r="U579" i="1"/>
  <c r="V579" i="1" s="1"/>
  <c r="W725" i="1"/>
  <c r="U204" i="1"/>
  <c r="V204" i="1" s="1"/>
  <c r="U922" i="1"/>
  <c r="V922" i="1" s="1"/>
  <c r="U725" i="1"/>
  <c r="V725" i="1" s="1"/>
  <c r="W551" i="1"/>
  <c r="W514" i="1"/>
  <c r="W77" i="1"/>
  <c r="U338" i="1"/>
  <c r="V338" i="1" s="1"/>
  <c r="U45" i="1"/>
  <c r="V45" i="1" s="1"/>
  <c r="W224" i="1"/>
  <c r="W91" i="1"/>
  <c r="W579" i="1"/>
  <c r="U948" i="1"/>
  <c r="V948" i="1" s="1"/>
  <c r="W188" i="1"/>
  <c r="W711" i="1"/>
  <c r="U952" i="1"/>
  <c r="V952" i="1" s="1"/>
  <c r="W1005" i="1"/>
  <c r="U1010" i="1"/>
  <c r="V1010" i="1" s="1"/>
  <c r="U967" i="1"/>
  <c r="V967" i="1" s="1"/>
  <c r="W286" i="1"/>
  <c r="W892" i="1"/>
  <c r="W843" i="1"/>
  <c r="U71" i="1"/>
  <c r="V71" i="1" s="1"/>
  <c r="W624" i="1"/>
  <c r="W727" i="1"/>
  <c r="U122" i="1"/>
  <c r="V122" i="1" s="1"/>
  <c r="W106" i="1"/>
  <c r="U830" i="1"/>
  <c r="V830" i="1" s="1"/>
  <c r="W397" i="1"/>
  <c r="W291" i="1"/>
  <c r="W73" i="1"/>
  <c r="U674" i="1"/>
  <c r="V674" i="1" s="1"/>
  <c r="U1014" i="1"/>
  <c r="V1014" i="1" s="1"/>
  <c r="W465" i="1"/>
  <c r="W828" i="1"/>
  <c r="W550" i="1"/>
  <c r="W231" i="1"/>
  <c r="W985" i="1"/>
  <c r="U709" i="1"/>
  <c r="V709" i="1" s="1"/>
  <c r="W1041" i="1"/>
  <c r="U982" i="1"/>
  <c r="V982" i="1" s="1"/>
  <c r="W63" i="1"/>
  <c r="W694" i="1"/>
  <c r="W766" i="1"/>
  <c r="U132" i="1"/>
  <c r="V132" i="1" s="1"/>
  <c r="W496" i="1"/>
  <c r="U380" i="1"/>
  <c r="V380" i="1" s="1"/>
  <c r="U925" i="1"/>
  <c r="V925" i="1" s="1"/>
  <c r="W871" i="1"/>
  <c r="W626" i="1"/>
  <c r="W142" i="1"/>
  <c r="U1033" i="1"/>
  <c r="V1033" i="1" s="1"/>
  <c r="U963" i="1"/>
  <c r="V963" i="1" s="1"/>
  <c r="U771" i="1"/>
  <c r="V771" i="1" s="1"/>
  <c r="W961" i="1"/>
  <c r="W599" i="1"/>
  <c r="W288" i="1"/>
  <c r="W870" i="1"/>
  <c r="W133" i="1"/>
  <c r="U756" i="1"/>
  <c r="V756" i="1" s="1"/>
  <c r="W89" i="1"/>
  <c r="U316" i="1"/>
  <c r="V316" i="1" s="1"/>
  <c r="W482" i="1"/>
  <c r="U131" i="1"/>
  <c r="V131" i="1" s="1"/>
  <c r="W575" i="1"/>
  <c r="U485" i="1"/>
  <c r="V485" i="1" s="1"/>
  <c r="W173" i="1"/>
  <c r="W705" i="1"/>
  <c r="U98" i="1"/>
  <c r="V98" i="1" s="1"/>
  <c r="W890" i="1"/>
  <c r="W938" i="1"/>
  <c r="U229" i="1"/>
  <c r="V229" i="1" s="1"/>
  <c r="W281" i="1"/>
  <c r="W876" i="1"/>
  <c r="W944" i="1"/>
  <c r="U968" i="1"/>
  <c r="V968" i="1" s="1"/>
  <c r="W975" i="1"/>
  <c r="U917" i="1"/>
  <c r="V917" i="1" s="1"/>
  <c r="W243" i="1"/>
  <c r="U366" i="1"/>
  <c r="V366" i="1" s="1"/>
  <c r="W154" i="1"/>
  <c r="W986" i="1"/>
  <c r="U1036" i="1"/>
  <c r="V1036" i="1" s="1"/>
  <c r="W862" i="1"/>
  <c r="W533" i="1"/>
  <c r="U479" i="1"/>
  <c r="V479" i="1" s="1"/>
  <c r="U808" i="1"/>
  <c r="V808" i="1" s="1"/>
  <c r="U1020" i="1"/>
  <c r="V1020" i="1" s="1"/>
  <c r="W552" i="1"/>
  <c r="W566" i="1"/>
  <c r="U561" i="1"/>
  <c r="V561" i="1" s="1"/>
  <c r="W314" i="1"/>
  <c r="U831" i="1"/>
  <c r="V831" i="1" s="1"/>
  <c r="U247" i="1"/>
  <c r="V247" i="1" s="1"/>
  <c r="U48" i="1"/>
  <c r="V48" i="1" s="1"/>
  <c r="U160" i="1"/>
  <c r="V160" i="1" s="1"/>
  <c r="U43" i="1"/>
  <c r="V43" i="1" s="1"/>
  <c r="W480" i="1"/>
  <c r="W287" i="1"/>
  <c r="W460" i="1"/>
  <c r="W1025" i="1"/>
  <c r="U68" i="1"/>
  <c r="V68" i="1" s="1"/>
  <c r="W707" i="1"/>
  <c r="W602" i="1"/>
  <c r="U90" i="1"/>
  <c r="V90" i="1" s="1"/>
  <c r="U759" i="1"/>
  <c r="V759" i="1" s="1"/>
  <c r="W710" i="1"/>
  <c r="W213" i="1"/>
  <c r="U277" i="1"/>
  <c r="V277" i="1" s="1"/>
  <c r="U151" i="1"/>
  <c r="V151" i="1" s="1"/>
  <c r="W387" i="1"/>
  <c r="U699" i="1"/>
  <c r="V699" i="1" s="1"/>
  <c r="W623" i="1"/>
  <c r="U780" i="1"/>
  <c r="V780" i="1" s="1"/>
  <c r="W556" i="1"/>
  <c r="U1008" i="1"/>
  <c r="V1008" i="1" s="1"/>
  <c r="W96" i="1"/>
  <c r="U757" i="1"/>
  <c r="V757" i="1" s="1"/>
  <c r="U56" i="1"/>
  <c r="V56" i="1" s="1"/>
  <c r="U115" i="1"/>
  <c r="V115" i="1" s="1"/>
  <c r="U910" i="1"/>
  <c r="V910" i="1" s="1"/>
  <c r="U777" i="1"/>
  <c r="V777" i="1" s="1"/>
  <c r="W329" i="1"/>
  <c r="U833" i="1"/>
  <c r="V833" i="1" s="1"/>
  <c r="U379" i="1"/>
  <c r="V379" i="1" s="1"/>
  <c r="W616" i="1"/>
  <c r="W979" i="1"/>
  <c r="W754" i="1"/>
  <c r="W410" i="1"/>
  <c r="U207" i="1"/>
  <c r="V207" i="1" s="1"/>
  <c r="W904" i="1"/>
  <c r="W642" i="1"/>
  <c r="W353" i="1"/>
  <c r="U553" i="1"/>
  <c r="V553" i="1" s="1"/>
  <c r="U439" i="1"/>
  <c r="V439" i="1" s="1"/>
  <c r="W470" i="1"/>
  <c r="U497" i="1"/>
  <c r="V497" i="1" s="1"/>
  <c r="W61" i="1"/>
  <c r="W567" i="1"/>
  <c r="W722" i="1"/>
  <c r="W965" i="1"/>
  <c r="U544" i="1"/>
  <c r="V544" i="1" s="1"/>
  <c r="W782" i="1"/>
  <c r="W837" i="1"/>
  <c r="W987" i="1"/>
  <c r="U729" i="1"/>
  <c r="V729" i="1" s="1"/>
  <c r="U594" i="1"/>
  <c r="V594" i="1" s="1"/>
  <c r="U219" i="1"/>
  <c r="V219" i="1" s="1"/>
  <c r="W562" i="1"/>
  <c r="W923" i="1"/>
  <c r="W1000" i="1"/>
  <c r="U1039" i="1"/>
  <c r="V1039" i="1" s="1"/>
  <c r="W409" i="1"/>
  <c r="W303" i="1"/>
  <c r="U900" i="1"/>
  <c r="V900" i="1" s="1"/>
  <c r="W685" i="1"/>
  <c r="U574" i="1"/>
  <c r="V574" i="1" s="1"/>
  <c r="W912" i="1"/>
  <c r="W611" i="1"/>
  <c r="W706" i="1"/>
  <c r="W255" i="1"/>
  <c r="W457" i="1"/>
  <c r="W253" i="1"/>
  <c r="W391" i="1"/>
  <c r="U893" i="1"/>
  <c r="V893" i="1" s="1"/>
  <c r="U821" i="1"/>
  <c r="V821" i="1" s="1"/>
  <c r="U878" i="1"/>
  <c r="V878" i="1" s="1"/>
  <c r="W184" i="1"/>
  <c r="U415" i="1"/>
  <c r="V415" i="1" s="1"/>
  <c r="W481" i="1"/>
  <c r="U181" i="1"/>
  <c r="V181" i="1" s="1"/>
  <c r="U308" i="1"/>
  <c r="V308" i="1" s="1"/>
  <c r="W897" i="1"/>
  <c r="W109" i="1"/>
  <c r="U675" i="1"/>
  <c r="V675" i="1" s="1"/>
  <c r="W989" i="1"/>
  <c r="U671" i="1"/>
  <c r="V671" i="1" s="1"/>
  <c r="W906" i="1"/>
  <c r="W468" i="1"/>
  <c r="W778" i="1"/>
  <c r="U209" i="1"/>
  <c r="V209" i="1" s="1"/>
  <c r="U52" i="1"/>
  <c r="V52" i="1" s="1"/>
  <c r="U928" i="1"/>
  <c r="V928" i="1" s="1"/>
  <c r="W328" i="1"/>
  <c r="W85" i="1"/>
  <c r="W749" i="1"/>
  <c r="W412" i="1"/>
  <c r="W28" i="1"/>
  <c r="W537" i="1"/>
  <c r="W112" i="1"/>
  <c r="W74" i="1"/>
  <c r="U250" i="1"/>
  <c r="V250" i="1" s="1"/>
  <c r="U775" i="1"/>
  <c r="V775" i="1" s="1"/>
  <c r="W612" i="1"/>
  <c r="W969" i="1"/>
  <c r="U365" i="1"/>
  <c r="V365" i="1" s="1"/>
  <c r="U604" i="1"/>
  <c r="V604" i="1" s="1"/>
  <c r="W161" i="1"/>
  <c r="W227" i="1"/>
  <c r="U733" i="1"/>
  <c r="V733" i="1" s="1"/>
  <c r="U697" i="1"/>
  <c r="V697" i="1" s="1"/>
  <c r="W403" i="1"/>
  <c r="W449" i="1"/>
  <c r="W899" i="1"/>
  <c r="U1030" i="1"/>
  <c r="V1030" i="1" s="1"/>
  <c r="W763" i="1"/>
  <c r="W846" i="1"/>
  <c r="U560" i="1"/>
  <c r="V560" i="1" s="1"/>
  <c r="W414" i="1"/>
  <c r="W41" i="1"/>
  <c r="U413" i="1"/>
  <c r="V413" i="1" s="1"/>
  <c r="W158" i="1"/>
  <c r="W265" i="1"/>
  <c r="W1001" i="1"/>
  <c r="W215" i="1"/>
  <c r="W372" i="1"/>
  <c r="U267" i="1"/>
  <c r="V267" i="1" s="1"/>
  <c r="W603" i="1"/>
  <c r="W523" i="1"/>
  <c r="W491" i="1"/>
  <c r="U936" i="1"/>
  <c r="V936" i="1" s="1"/>
  <c r="W882" i="1"/>
  <c r="W1024" i="1"/>
  <c r="W673" i="1"/>
  <c r="W350" i="1"/>
  <c r="W941" i="1"/>
  <c r="U600" i="1"/>
  <c r="V600" i="1" s="1"/>
  <c r="W113" i="1"/>
  <c r="W333" i="1"/>
  <c r="U400" i="1"/>
  <c r="V400" i="1" s="1"/>
  <c r="W1027" i="1"/>
  <c r="U951" i="1"/>
  <c r="V951" i="1" s="1"/>
  <c r="W362" i="1"/>
  <c r="W664" i="1"/>
  <c r="W661" i="1"/>
  <c r="W1034" i="1"/>
  <c r="U279" i="1"/>
  <c r="V279" i="1" s="1"/>
  <c r="U691" i="1"/>
  <c r="V691" i="1" s="1"/>
  <c r="W137" i="1"/>
  <c r="U76" i="1"/>
  <c r="V76" i="1" s="1"/>
  <c r="U608" i="1"/>
  <c r="V608" i="1" s="1"/>
  <c r="W539" i="1"/>
  <c r="W389" i="1"/>
  <c r="W179" i="1"/>
  <c r="U381" i="1"/>
  <c r="V381" i="1" s="1"/>
  <c r="W743" i="1"/>
  <c r="W934" i="1"/>
  <c r="U343" i="1"/>
  <c r="V343" i="1" s="1"/>
  <c r="W510" i="1"/>
  <c r="W949" i="1"/>
  <c r="U1029" i="1"/>
  <c r="V1029" i="1" s="1"/>
  <c r="W444" i="1"/>
  <c r="U104" i="1"/>
  <c r="V104" i="1" s="1"/>
  <c r="W324" i="1"/>
  <c r="W582" i="1"/>
  <c r="U787" i="1"/>
  <c r="V787" i="1" s="1"/>
  <c r="U212" i="1"/>
  <c r="V212" i="1" s="1"/>
  <c r="W804" i="1"/>
  <c r="U565" i="1"/>
  <c r="V565" i="1" s="1"/>
  <c r="W680" i="1"/>
  <c r="W563" i="1"/>
  <c r="W275" i="1"/>
  <c r="U64" i="1"/>
  <c r="V64" i="1" s="1"/>
  <c r="U649" i="1"/>
  <c r="V649" i="1" s="1"/>
  <c r="U162" i="1"/>
  <c r="V162" i="1" s="1"/>
  <c r="W695" i="1"/>
  <c r="W117" i="1"/>
  <c r="U147" i="1"/>
  <c r="V147" i="1" s="1"/>
  <c r="U676" i="1"/>
  <c r="V676" i="1" s="1"/>
  <c r="W687" i="1"/>
  <c r="W805" i="1"/>
  <c r="U534" i="1"/>
  <c r="V534" i="1" s="1"/>
  <c r="W945" i="1"/>
  <c r="W419" i="1"/>
  <c r="W794" i="1"/>
  <c r="U392" i="1"/>
  <c r="V392" i="1" s="1"/>
  <c r="U926" i="1"/>
  <c r="V926" i="1" s="1"/>
  <c r="W130" i="1"/>
  <c r="W971" i="1"/>
  <c r="U836" i="1"/>
  <c r="V836" i="1" s="1"/>
  <c r="U206" i="1"/>
  <c r="V206" i="1" s="1"/>
  <c r="W44" i="1"/>
  <c r="U801" i="1"/>
  <c r="V801" i="1" s="1"/>
  <c r="W746" i="1"/>
  <c r="W884" i="1"/>
  <c r="W911" i="1"/>
  <c r="W378" i="1"/>
  <c r="U573" i="1"/>
  <c r="V573" i="1" s="1"/>
  <c r="W274" i="1"/>
  <c r="U49" i="1"/>
  <c r="V49" i="1" s="1"/>
  <c r="W42" i="1"/>
  <c r="W584" i="1"/>
  <c r="W809" i="1"/>
  <c r="W811" i="1"/>
  <c r="W93" i="1"/>
  <c r="W690" i="1"/>
  <c r="W753" i="1"/>
  <c r="U340" i="1"/>
  <c r="V340" i="1" s="1"/>
  <c r="W689" i="1"/>
  <c r="W735" i="1"/>
  <c r="W25" i="1"/>
  <c r="W433" i="1"/>
  <c r="W502" i="1"/>
  <c r="W384" i="1"/>
  <c r="W345" i="1"/>
  <c r="U386" i="1"/>
  <c r="V386" i="1" s="1"/>
  <c r="W27" i="1"/>
  <c r="W1044" i="1"/>
  <c r="W164" i="1"/>
  <c r="W887" i="1"/>
  <c r="W953" i="1"/>
  <c r="W33" i="1"/>
  <c r="U915" i="1"/>
  <c r="V915" i="1" s="1"/>
  <c r="W484" i="1"/>
  <c r="W40" i="1"/>
  <c r="W178" i="1"/>
  <c r="W1012" i="1"/>
  <c r="W901" i="1"/>
  <c r="U216" i="1"/>
  <c r="V216" i="1" s="1"/>
  <c r="W245" i="1"/>
  <c r="W29" i="1"/>
  <c r="U101" i="1"/>
  <c r="V101" i="1" s="1"/>
  <c r="U824" i="1"/>
  <c r="V824" i="1" s="1"/>
  <c r="U826" i="1"/>
  <c r="V826" i="1" s="1"/>
  <c r="U240" i="1"/>
  <c r="V240" i="1" s="1"/>
  <c r="U492" i="1"/>
  <c r="V492" i="1" s="1"/>
  <c r="W140" i="1"/>
  <c r="W992" i="1"/>
  <c r="U977" i="1"/>
  <c r="V977" i="1" s="1"/>
  <c r="W453" i="1"/>
  <c r="W990" i="1"/>
  <c r="W128" i="1"/>
  <c r="U905" i="1"/>
  <c r="V905" i="1" s="1"/>
  <c r="U190" i="1"/>
  <c r="V190" i="1" s="1"/>
  <c r="W125" i="1"/>
  <c r="W36" i="1"/>
  <c r="U703" i="1"/>
  <c r="V703" i="1" s="1"/>
  <c r="W620" i="1"/>
  <c r="W527" i="1"/>
  <c r="U889" i="1"/>
  <c r="V889" i="1" s="1"/>
  <c r="W751" i="1"/>
  <c r="W513" i="1"/>
  <c r="U284" i="1"/>
  <c r="V284" i="1" s="1"/>
  <c r="W82" i="1"/>
  <c r="W665" i="1"/>
  <c r="U816" i="1"/>
  <c r="V816" i="1" s="1"/>
  <c r="W545" i="1"/>
  <c r="W292" i="1"/>
  <c r="U1013" i="1"/>
  <c r="V1013" i="1" s="1"/>
  <c r="U126" i="1"/>
  <c r="V126" i="1" s="1"/>
  <c r="W517" i="1"/>
  <c r="W549" i="1"/>
  <c r="U991" i="1"/>
  <c r="V991" i="1" s="1"/>
  <c r="U598" i="1"/>
  <c r="V598" i="1" s="1"/>
  <c r="W872" i="1"/>
  <c r="W57" i="1"/>
  <c r="W211" i="1"/>
  <c r="U263" i="1"/>
  <c r="V263" i="1" s="1"/>
  <c r="U295" i="1"/>
  <c r="V295" i="1" s="1"/>
  <c r="W186" i="1"/>
  <c r="U693" i="1"/>
  <c r="V693" i="1" s="1"/>
  <c r="W296" i="1"/>
  <c r="W51" i="1"/>
  <c r="W813" i="1"/>
  <c r="W46" i="1"/>
  <c r="U768" i="1"/>
  <c r="V768" i="1" s="1"/>
  <c r="U581" i="1"/>
  <c r="V581" i="1" s="1"/>
  <c r="W129" i="1"/>
  <c r="U97" i="1"/>
  <c r="V97" i="1" s="1"/>
  <c r="W310" i="1"/>
  <c r="W70" i="1"/>
  <c r="U157" i="1"/>
  <c r="V157" i="1" s="1"/>
  <c r="U807" i="1"/>
  <c r="V807" i="1" s="1"/>
  <c r="W199" i="1"/>
  <c r="U233" i="1"/>
  <c r="V233" i="1" s="1"/>
  <c r="U1019" i="1"/>
  <c r="V1019" i="1" s="1"/>
  <c r="U337" i="1"/>
  <c r="V337" i="1" s="1"/>
  <c r="W630" i="1"/>
  <c r="W511" i="1"/>
  <c r="U793" i="1"/>
  <c r="V793" i="1" s="1"/>
  <c r="W593" i="1"/>
  <c r="U99" i="1"/>
  <c r="V99" i="1" s="1"/>
  <c r="U940" i="1"/>
  <c r="V940" i="1" s="1"/>
  <c r="W718" i="1"/>
  <c r="U663" i="1"/>
  <c r="V663" i="1" s="1"/>
  <c r="U111" i="1"/>
  <c r="V111" i="1" s="1"/>
  <c r="U880" i="1"/>
  <c r="V880" i="1" s="1"/>
  <c r="W847" i="1"/>
  <c r="W879" i="1"/>
  <c r="W351" i="1"/>
  <c r="W50" i="1"/>
  <c r="W943" i="1"/>
  <c r="U613" i="1"/>
  <c r="V613" i="1" s="1"/>
  <c r="W896" i="1"/>
  <c r="U792" i="1"/>
  <c r="V792" i="1" s="1"/>
  <c r="W198" i="1"/>
  <c r="U591" i="1"/>
  <c r="V591" i="1" s="1"/>
  <c r="W980" i="1"/>
  <c r="U359" i="1"/>
  <c r="V359" i="1" s="1"/>
  <c r="U463" i="1"/>
  <c r="V463" i="1" s="1"/>
  <c r="W127" i="1"/>
  <c r="W959" i="1"/>
  <c r="W156" i="1"/>
  <c r="W974" i="1"/>
  <c r="W760" i="1"/>
  <c r="W658" i="1"/>
  <c r="W426" i="1"/>
  <c r="W38" i="1"/>
  <c r="W344" i="1"/>
  <c r="U149" i="1"/>
  <c r="V149" i="1" s="1"/>
  <c r="W518" i="1"/>
  <c r="W317" i="1"/>
  <c r="W842" i="1"/>
  <c r="W857" i="1"/>
  <c r="W614" i="1"/>
  <c r="W448" i="1"/>
  <c r="U861" i="1"/>
  <c r="V861" i="1" s="1"/>
  <c r="W660" i="1"/>
  <c r="W1037" i="1"/>
  <c r="W933" i="1"/>
  <c r="U406" i="1"/>
  <c r="V406" i="1" s="1"/>
  <c r="W531" i="1"/>
  <c r="U569" i="1"/>
  <c r="V569" i="1" s="1"/>
  <c r="W454" i="1"/>
  <c r="U80" i="1"/>
  <c r="V80" i="1" s="1"/>
  <c r="W170" i="1"/>
  <c r="W559" i="1"/>
  <c r="W1032" i="1"/>
  <c r="W1011" i="1"/>
  <c r="W264" i="1"/>
  <c r="U921" i="1"/>
  <c r="V921" i="1" s="1"/>
  <c r="W1021" i="1"/>
  <c r="W799" i="1"/>
  <c r="W708" i="1"/>
  <c r="W205" i="1"/>
  <c r="W124" i="1"/>
  <c r="U280" i="1"/>
  <c r="V280" i="1" s="1"/>
  <c r="W798" i="1"/>
  <c r="U395" i="1"/>
  <c r="V395" i="1" s="1"/>
  <c r="W655" i="1"/>
  <c r="U47" i="1"/>
  <c r="V47" i="1" s="1"/>
  <c r="W102" i="1"/>
  <c r="U175" i="1"/>
  <c r="V175" i="1" s="1"/>
  <c r="U996" i="1"/>
  <c r="V996" i="1" s="1"/>
  <c r="W646" i="1"/>
  <c r="W916" i="1"/>
  <c r="W856" i="1"/>
  <c r="W110" i="1"/>
  <c r="U248" i="1"/>
  <c r="V248" i="1" s="1"/>
  <c r="U424" i="1"/>
  <c r="V424" i="1" s="1"/>
  <c r="U53" i="1"/>
  <c r="V53" i="1" s="1"/>
  <c r="W232" i="1"/>
  <c r="W737" i="1"/>
  <c r="W172" i="1"/>
  <c r="U217" i="1"/>
  <c r="V217" i="1" s="1"/>
  <c r="U487" i="1"/>
  <c r="V487" i="1" s="1"/>
  <c r="W734" i="1"/>
  <c r="U312" i="1"/>
  <c r="V312" i="1" s="1"/>
  <c r="W114" i="1"/>
  <c r="W214" i="1"/>
  <c r="W222" i="1"/>
  <c r="U222" i="1"/>
  <c r="V222" i="1" s="1"/>
  <c r="W783" i="1"/>
  <c r="W32" i="1"/>
  <c r="U66" i="1"/>
  <c r="V66" i="1" s="1"/>
  <c r="W210" i="1"/>
  <c r="U988" i="1"/>
  <c r="V988" i="1" s="1"/>
  <c r="W929" i="1"/>
  <c r="U95" i="1"/>
  <c r="V95" i="1" s="1"/>
  <c r="U289" i="1"/>
  <c r="V289" i="1" s="1"/>
  <c r="U195" i="1"/>
  <c r="V195" i="1" s="1"/>
  <c r="W23" i="1" l="1"/>
  <c r="AI550" i="1"/>
  <c r="AI987" i="1"/>
  <c r="AI543" i="1"/>
  <c r="AI870" i="1"/>
  <c r="AI591" i="1"/>
  <c r="AI635" i="1"/>
  <c r="AI703" i="1"/>
  <c r="AI297" i="1"/>
  <c r="AI639" i="1"/>
  <c r="AI123" i="1"/>
  <c r="AI843" i="1"/>
  <c r="AI532" i="1"/>
  <c r="AI892" i="1"/>
  <c r="AI730" i="1"/>
  <c r="AI885" i="1"/>
  <c r="AI321" i="1"/>
  <c r="AI381" i="1"/>
  <c r="AI369" i="1"/>
  <c r="AI874" i="1"/>
  <c r="AI890" i="1"/>
  <c r="AI250" i="1"/>
  <c r="AI205" i="1"/>
  <c r="AI181" i="1"/>
  <c r="AI856" i="1"/>
  <c r="AI948" i="1"/>
  <c r="AI211" i="1"/>
  <c r="AI159" i="1"/>
  <c r="AI868" i="1"/>
  <c r="AI101" i="1"/>
  <c r="AI848" i="1"/>
  <c r="AI849" i="1"/>
  <c r="AI811" i="1"/>
  <c r="AI477" i="1"/>
  <c r="AI73" i="1"/>
  <c r="AI860" i="1"/>
  <c r="AI1038" i="1"/>
  <c r="AI107" i="1"/>
  <c r="AI547" i="1"/>
  <c r="AI365" i="1"/>
  <c r="AI201" i="1"/>
  <c r="AI872" i="1"/>
  <c r="AI946" i="1"/>
  <c r="AI165" i="1"/>
  <c r="AI784" i="1"/>
  <c r="AI841" i="1"/>
  <c r="AI855" i="1"/>
  <c r="AI393" i="1"/>
  <c r="AI877" i="1"/>
  <c r="AI278" i="1"/>
  <c r="AI82" i="1"/>
  <c r="AI226" i="1"/>
  <c r="AI388" i="1"/>
  <c r="AI745" i="1"/>
  <c r="AI681" i="1"/>
  <c r="AI228" i="1"/>
  <c r="AI467" i="1"/>
  <c r="AI39" i="1"/>
  <c r="AY978" i="1"/>
  <c r="AI814" i="1"/>
  <c r="AI333" i="1"/>
  <c r="AY516" i="1"/>
  <c r="AI918" i="1"/>
  <c r="AI816" i="1"/>
  <c r="AI111" i="1"/>
  <c r="AI942" i="1"/>
  <c r="AI121" i="1"/>
  <c r="AY102" i="1"/>
  <c r="AY103" i="1"/>
  <c r="AY572" i="1"/>
  <c r="AY954" i="1"/>
  <c r="AY275" i="1"/>
  <c r="AY973" i="1"/>
  <c r="AY996" i="1"/>
  <c r="AY1033" i="1"/>
  <c r="AY868" i="1"/>
  <c r="AY1009" i="1"/>
  <c r="AY359" i="1"/>
  <c r="AY989" i="1"/>
  <c r="AY747" i="1"/>
  <c r="AY757" i="1"/>
  <c r="AY98" i="1"/>
  <c r="AY779" i="1"/>
  <c r="AY568" i="1"/>
  <c r="AY242" i="1"/>
  <c r="AY437" i="1"/>
  <c r="AY707" i="1"/>
  <c r="AY898" i="1"/>
  <c r="AY121" i="1"/>
  <c r="AY762" i="1"/>
  <c r="AY232" i="1"/>
  <c r="AY453" i="1"/>
  <c r="AY688" i="1"/>
  <c r="AY1014" i="1"/>
  <c r="AY921" i="1"/>
  <c r="AY833" i="1"/>
  <c r="AY110" i="1"/>
  <c r="AY863" i="1"/>
  <c r="AY594" i="1"/>
  <c r="AY513" i="1"/>
  <c r="AY825" i="1"/>
  <c r="AY658" i="1"/>
  <c r="AY972" i="1"/>
  <c r="AY776" i="1"/>
  <c r="AY596" i="1"/>
  <c r="AY279" i="1"/>
  <c r="AY87" i="1"/>
  <c r="AY254" i="1"/>
  <c r="AY665" i="1"/>
  <c r="AY139" i="1"/>
  <c r="AY585" i="1"/>
  <c r="AY970" i="1"/>
  <c r="AY671" i="1"/>
  <c r="AY983" i="1"/>
  <c r="AY100" i="1"/>
  <c r="AY228" i="1"/>
  <c r="AY1026" i="1"/>
  <c r="AY469" i="1"/>
  <c r="AY574" i="1"/>
  <c r="AY889" i="1"/>
  <c r="AY1015" i="1"/>
  <c r="AY826" i="1"/>
  <c r="AY964" i="1"/>
  <c r="AY739" i="1"/>
  <c r="AY876" i="1"/>
  <c r="AY305" i="1"/>
  <c r="AY729" i="1"/>
  <c r="AY852" i="1"/>
  <c r="AI662" i="1"/>
  <c r="AI891" i="1"/>
  <c r="AI1015" i="1"/>
  <c r="AI789" i="1"/>
  <c r="AI625" i="1"/>
  <c r="AI620" i="1"/>
  <c r="AI501" i="1"/>
  <c r="AI70" i="1"/>
  <c r="AI940" i="1"/>
  <c r="AI586" i="1"/>
  <c r="AI65" i="1"/>
  <c r="AI680" i="1"/>
  <c r="AI404" i="1"/>
  <c r="AI836" i="1"/>
  <c r="AI481" i="1"/>
  <c r="AI941" i="1"/>
  <c r="AI529" i="1"/>
  <c r="AI149" i="1"/>
  <c r="AI406" i="1"/>
  <c r="AI923" i="1"/>
  <c r="AI613" i="1"/>
  <c r="AI508" i="1"/>
  <c r="AI599" i="1"/>
  <c r="AI975" i="1"/>
  <c r="AI629" i="1"/>
  <c r="AI66" i="1"/>
  <c r="AI119" i="1"/>
  <c r="AI881" i="1"/>
  <c r="AI1036" i="1"/>
  <c r="AI403" i="1"/>
  <c r="AI899" i="1"/>
  <c r="AI352" i="1"/>
  <c r="AI229" i="1"/>
  <c r="AI397" i="1"/>
  <c r="AI391" i="1"/>
  <c r="AI215" i="1"/>
  <c r="AI153" i="1"/>
  <c r="AI317" i="1"/>
  <c r="AI1040" i="1"/>
  <c r="AI203" i="1"/>
  <c r="AI548" i="1"/>
  <c r="AY935" i="1"/>
  <c r="AI894" i="1"/>
  <c r="AI231" i="1"/>
  <c r="AI482" i="1"/>
  <c r="AI214" i="1"/>
  <c r="AI815" i="1"/>
  <c r="AI328" i="1"/>
  <c r="AI653" i="1"/>
  <c r="AI346" i="1"/>
  <c r="AI144" i="1"/>
  <c r="AI169" i="1"/>
  <c r="AI106" i="1"/>
  <c r="AI30" i="1"/>
  <c r="AI431" i="1"/>
  <c r="AI889" i="1"/>
  <c r="AI356" i="1"/>
  <c r="AI78" i="1"/>
  <c r="AI95" i="1"/>
  <c r="AY400" i="1"/>
  <c r="AI718" i="1"/>
  <c r="AI974" i="1"/>
  <c r="AI218" i="1"/>
  <c r="AI710" i="1"/>
  <c r="AI770" i="1"/>
  <c r="AI316" i="1"/>
  <c r="AI409" i="1"/>
  <c r="AY576" i="1"/>
  <c r="AY245" i="1"/>
  <c r="AY679" i="1"/>
  <c r="AY939" i="1"/>
  <c r="AY697" i="1"/>
  <c r="AY196" i="1"/>
  <c r="AY366" i="1"/>
  <c r="AY652" i="1"/>
  <c r="AY180" i="1"/>
  <c r="AY552" i="1"/>
  <c r="AY506" i="1"/>
  <c r="AY967" i="1"/>
  <c r="AI386" i="1"/>
  <c r="AI164" i="1"/>
  <c r="AI372" i="1"/>
  <c r="AI305" i="1"/>
  <c r="AI823" i="1"/>
  <c r="AI257" i="1"/>
  <c r="AI803" i="1"/>
  <c r="AI260" i="1"/>
  <c r="AI86" i="1"/>
  <c r="AI180" i="1"/>
  <c r="AI413" i="1"/>
  <c r="AI146" i="1"/>
  <c r="AI950" i="1"/>
  <c r="AI961" i="1"/>
  <c r="AI913" i="1"/>
  <c r="AI605" i="1"/>
  <c r="AI555" i="1"/>
  <c r="AI1032" i="1"/>
  <c r="AI496" i="1"/>
  <c r="AI600" i="1"/>
  <c r="AI167" i="1"/>
  <c r="AI569" i="1"/>
  <c r="AI35" i="1"/>
  <c r="AI779" i="1"/>
  <c r="AI474" i="1"/>
  <c r="AI831" i="1"/>
  <c r="AI286" i="1"/>
  <c r="AI384" i="1"/>
  <c r="AI737" i="1"/>
  <c r="AI382" i="1"/>
  <c r="AI454" i="1"/>
  <c r="AI608" i="1"/>
  <c r="AI794" i="1"/>
  <c r="AI623" i="1"/>
  <c r="AI840" i="1"/>
  <c r="AI669" i="1"/>
  <c r="AI910" i="1"/>
  <c r="AI540" i="1"/>
  <c r="AI984" i="1"/>
  <c r="AI716" i="1"/>
  <c r="AI33" i="1"/>
  <c r="AI172" i="1"/>
  <c r="AI515" i="1"/>
  <c r="AI672" i="1"/>
  <c r="AI42" i="1"/>
  <c r="AI887" i="1"/>
  <c r="AI952" i="1"/>
  <c r="AI934" i="1"/>
  <c r="AI1001" i="1"/>
  <c r="AI378" i="1"/>
  <c r="AI846" i="1"/>
  <c r="AI516" i="1"/>
  <c r="AI677" i="1"/>
  <c r="AI238" i="1"/>
  <c r="AI377" i="1"/>
  <c r="AI306" i="1"/>
  <c r="AI898" i="1"/>
  <c r="AI341" i="1"/>
  <c r="AI460" i="1"/>
  <c r="AI61" i="1"/>
  <c r="AI830" i="1"/>
  <c r="AY976" i="1"/>
  <c r="AI410" i="1"/>
  <c r="AI799" i="1"/>
  <c r="AI926" i="1"/>
  <c r="AI319" i="1"/>
  <c r="AY619" i="1"/>
  <c r="AI537" i="1"/>
  <c r="AY751" i="1"/>
  <c r="AY604" i="1"/>
  <c r="AY514" i="1"/>
  <c r="AY982" i="1"/>
  <c r="AY169" i="1"/>
  <c r="AY233" i="1"/>
  <c r="AY344" i="1"/>
  <c r="AY148" i="1"/>
  <c r="AY550" i="1"/>
  <c r="AY380" i="1"/>
  <c r="AY781" i="1"/>
  <c r="AY775" i="1"/>
  <c r="AY401" i="1"/>
  <c r="AY457" i="1"/>
  <c r="AY621" i="1"/>
  <c r="AY557" i="1"/>
  <c r="AY257" i="1"/>
  <c r="AY144" i="1"/>
  <c r="AY914" i="1"/>
  <c r="AY105" i="1"/>
  <c r="AY941" i="1"/>
  <c r="AY806" i="1"/>
  <c r="AY41" i="1"/>
  <c r="AY809" i="1"/>
  <c r="AY425" i="1"/>
  <c r="AY879" i="1"/>
  <c r="AY915" i="1"/>
  <c r="AY93" i="1"/>
  <c r="AY724" i="1"/>
  <c r="AY922" i="1"/>
  <c r="AY595" i="1"/>
  <c r="AY1034" i="1"/>
  <c r="AY875" i="1"/>
  <c r="AY580" i="1"/>
  <c r="AY128" i="1"/>
  <c r="AY566" i="1"/>
  <c r="AY335" i="1"/>
  <c r="AY427" i="1"/>
  <c r="AY137" i="1"/>
  <c r="AY617" i="1"/>
  <c r="AY749" i="1"/>
  <c r="AY1002" i="1"/>
  <c r="AY741" i="1"/>
  <c r="AY615" i="1"/>
  <c r="AY331" i="1"/>
  <c r="AY774" i="1"/>
  <c r="AY422" i="1"/>
  <c r="AY108" i="1"/>
  <c r="AY900" i="1"/>
  <c r="AY192" i="1"/>
  <c r="AY60" i="1"/>
  <c r="AY424" i="1"/>
  <c r="AY773" i="1"/>
  <c r="AY892" i="1"/>
  <c r="AY220" i="1"/>
  <c r="AY304" i="1"/>
  <c r="AY290" i="1"/>
  <c r="AY173" i="1"/>
  <c r="AY744" i="1"/>
  <c r="AY560" i="1"/>
  <c r="AI49" i="1"/>
  <c r="AI594" i="1"/>
  <c r="AI786" i="1"/>
  <c r="AI587" i="1"/>
  <c r="AI572" i="1"/>
  <c r="AI995" i="1"/>
  <c r="AI720" i="1"/>
  <c r="AI447" i="1"/>
  <c r="AI449" i="1"/>
  <c r="AI219" i="1"/>
  <c r="AI53" i="1"/>
  <c r="AI1037" i="1"/>
  <c r="AI701" i="1"/>
  <c r="AI862" i="1"/>
  <c r="AI915" i="1"/>
  <c r="AI895" i="1"/>
  <c r="AI963" i="1"/>
  <c r="AI676" i="1"/>
  <c r="AI210" i="1"/>
  <c r="AI56" i="1"/>
  <c r="AI62" i="1"/>
  <c r="AI619" i="1"/>
  <c r="AI826" i="1"/>
  <c r="AI697" i="1"/>
  <c r="AI162" i="1"/>
  <c r="AI364" i="1"/>
  <c r="AI442" i="1"/>
  <c r="AI762" i="1"/>
  <c r="AI428" i="1"/>
  <c r="AI660" i="1"/>
  <c r="AI131" i="1"/>
  <c r="AI419" i="1"/>
  <c r="AI854" i="1"/>
  <c r="AI765" i="1"/>
  <c r="AI208" i="1"/>
  <c r="AI394" i="1"/>
  <c r="AI37" i="1"/>
  <c r="AI198" i="1"/>
  <c r="AI988" i="1"/>
  <c r="AI712" i="1"/>
  <c r="AI25" i="1"/>
  <c r="AI636" i="1"/>
  <c r="AI702" i="1"/>
  <c r="AI912" i="1"/>
  <c r="AI408" i="1"/>
  <c r="AI630" i="1"/>
  <c r="AI48" i="1"/>
  <c r="AI689" i="1"/>
  <c r="AI771" i="1"/>
  <c r="AI191" i="1"/>
  <c r="AI125" i="1"/>
  <c r="AI338" i="1"/>
  <c r="AI949" i="1"/>
  <c r="AI156" i="1"/>
  <c r="AI643" i="1"/>
  <c r="AI148" i="1"/>
  <c r="AY119" i="1"/>
  <c r="AI741" i="1"/>
  <c r="AI136" i="1"/>
  <c r="AI40" i="1"/>
  <c r="AI173" i="1"/>
  <c r="AI1012" i="1"/>
  <c r="AI666" i="1"/>
  <c r="AI235" i="1"/>
  <c r="AY943" i="1"/>
  <c r="AI640" i="1"/>
  <c r="AI267" i="1"/>
  <c r="AY162" i="1"/>
  <c r="AY382" i="1"/>
  <c r="AY942" i="1"/>
  <c r="AY992" i="1"/>
  <c r="AY866" i="1"/>
  <c r="AY36" i="1"/>
  <c r="AY829" i="1"/>
  <c r="AY70" i="1"/>
  <c r="AY408" i="1"/>
  <c r="AY475" i="1"/>
  <c r="AY962" i="1"/>
  <c r="AY746" i="1"/>
  <c r="AY664" i="1"/>
  <c r="AY59" i="1"/>
  <c r="AY416" i="1"/>
  <c r="AY126" i="1"/>
  <c r="AY284" i="1"/>
  <c r="AY980" i="1"/>
  <c r="AY263" i="1"/>
  <c r="AI631" i="1"/>
  <c r="AI565" i="1"/>
  <c r="AI685" i="1"/>
  <c r="AI559" i="1"/>
  <c r="AI804" i="1"/>
  <c r="AI618" i="1"/>
  <c r="AI1035" i="1"/>
  <c r="AI330" i="1"/>
  <c r="AI76" i="1"/>
  <c r="AI256" i="1"/>
  <c r="AI499" i="1"/>
  <c r="AI176" i="1"/>
  <c r="AI713" i="1"/>
  <c r="AI523" i="1"/>
  <c r="AI423" i="1"/>
  <c r="AI577" i="1"/>
  <c r="AI132" i="1"/>
  <c r="AI301" i="1"/>
  <c r="AI761" i="1"/>
  <c r="AI171" i="1"/>
  <c r="AI590" i="1"/>
  <c r="AI385" i="1"/>
  <c r="AI348" i="1"/>
  <c r="AI84" i="1"/>
  <c r="AI1044" i="1"/>
  <c r="AI175" i="1"/>
  <c r="AI850" i="1"/>
  <c r="AI832" i="1"/>
  <c r="AI374" i="1"/>
  <c r="AI186" i="1"/>
  <c r="AI72" i="1"/>
  <c r="AI956" i="1"/>
  <c r="AI77" i="1"/>
  <c r="AY847" i="1"/>
  <c r="AI767" i="1"/>
  <c r="AI838" i="1"/>
  <c r="AI886" i="1"/>
  <c r="AI102" i="1"/>
  <c r="AI1019" i="1"/>
  <c r="AI616" i="1"/>
  <c r="AI686" i="1"/>
  <c r="AI576" i="1"/>
  <c r="AY995" i="1"/>
  <c r="AI929" i="1"/>
  <c r="AI914" i="1"/>
  <c r="AI59" i="1"/>
  <c r="AY90" i="1"/>
  <c r="AY272" i="1"/>
  <c r="AY685" i="1"/>
  <c r="AY684" i="1"/>
  <c r="AY360" i="1"/>
  <c r="AY691" i="1"/>
  <c r="AY52" i="1"/>
  <c r="AY37" i="1"/>
  <c r="AY946" i="1"/>
  <c r="AY689" i="1"/>
  <c r="AY916" i="1"/>
  <c r="AY358" i="1"/>
  <c r="AY38" i="1"/>
  <c r="AY564" i="1"/>
  <c r="AY722" i="1"/>
  <c r="AY252" i="1"/>
  <c r="AY575" i="1"/>
  <c r="AY314" i="1"/>
  <c r="AY218" i="1"/>
  <c r="AY80" i="1"/>
  <c r="AY602" i="1"/>
  <c r="AY323" i="1"/>
  <c r="AY919" i="1"/>
  <c r="AY141" i="1"/>
  <c r="AY28" i="1"/>
  <c r="AY521" i="1"/>
  <c r="AY932" i="1"/>
  <c r="AY322" i="1"/>
  <c r="AY535" i="1"/>
  <c r="AY845" i="1"/>
  <c r="AY515" i="1"/>
  <c r="AI541" i="1"/>
  <c r="AI598" i="1"/>
  <c r="AI671" i="1"/>
  <c r="AI597" i="1"/>
  <c r="AI879" i="1"/>
  <c r="AI262" i="1"/>
  <c r="AI453" i="1"/>
  <c r="AI707" i="1"/>
  <c r="AI977" i="1"/>
  <c r="AI990" i="1"/>
  <c r="AI793" i="1"/>
  <c r="AI379" i="1"/>
  <c r="AI505" i="1"/>
  <c r="AI825" i="1"/>
  <c r="AI387" i="1"/>
  <c r="AI647" i="1"/>
  <c r="AI422" i="1"/>
  <c r="AI632" i="1"/>
  <c r="AI309" i="1"/>
  <c r="AI368" i="1"/>
  <c r="AI714" i="1"/>
  <c r="AI1042" i="1"/>
  <c r="AI135" i="1"/>
  <c r="AI638" i="1"/>
  <c r="AI1010" i="1"/>
  <c r="AI300" i="1"/>
  <c r="AI75" i="1"/>
  <c r="AI734" i="1"/>
  <c r="AY456" i="1"/>
  <c r="AI607" i="1"/>
  <c r="AI417" i="1"/>
  <c r="AI151" i="1"/>
  <c r="AY548" i="1"/>
  <c r="AY33" i="1"/>
  <c r="AY211" i="1"/>
  <c r="AY51" i="1"/>
  <c r="AY710" i="1"/>
  <c r="AY522" i="1"/>
  <c r="AY238" i="1"/>
  <c r="AY1044" i="1"/>
  <c r="AY1027" i="1"/>
  <c r="AY633" i="1"/>
  <c r="AY186" i="1"/>
  <c r="AY178" i="1"/>
  <c r="AY381" i="1"/>
  <c r="AY365" i="1"/>
  <c r="AY204" i="1"/>
  <c r="AY71" i="1"/>
  <c r="AY225" i="1"/>
  <c r="AY1001" i="1"/>
  <c r="AY977" i="1"/>
  <c r="AY88" i="1"/>
  <c r="AY554" i="1"/>
  <c r="AY764" i="1"/>
  <c r="AY981" i="1"/>
  <c r="AY174" i="1"/>
  <c r="AY299" i="1"/>
  <c r="AY713" i="1"/>
  <c r="AY379" i="1"/>
  <c r="AY797" i="1"/>
  <c r="AY202" i="1"/>
  <c r="AY61" i="1"/>
  <c r="AY150" i="1"/>
  <c r="AY256" i="1"/>
  <c r="AY534" i="1"/>
  <c r="AY309" i="1"/>
  <c r="AY624" i="1"/>
  <c r="AY295" i="1"/>
  <c r="AY816" i="1"/>
  <c r="AY210" i="1"/>
  <c r="AY63" i="1"/>
  <c r="AY586" i="1"/>
  <c r="AY209" i="1"/>
  <c r="AY750" i="1"/>
  <c r="AY571" i="1"/>
  <c r="AY219" i="1"/>
  <c r="AY29" i="1"/>
  <c r="AY134" i="1"/>
  <c r="AY1024" i="1"/>
  <c r="AY404" i="1"/>
  <c r="AY953" i="1"/>
  <c r="AY149" i="1"/>
  <c r="AY511" i="1"/>
  <c r="AY1021" i="1"/>
  <c r="AY965" i="1"/>
  <c r="AY27" i="1"/>
  <c r="AI351" i="1"/>
  <c r="AI461" i="1"/>
  <c r="AI178" i="1"/>
  <c r="AI592" i="1"/>
  <c r="AI951" i="1"/>
  <c r="AI339" i="1"/>
  <c r="AI557" i="1"/>
  <c r="AI818" i="1"/>
  <c r="AI483" i="1"/>
  <c r="AI182" i="1"/>
  <c r="AI768" i="1"/>
  <c r="AI1039" i="1"/>
  <c r="AI740" i="1"/>
  <c r="AI575" i="1"/>
  <c r="AI1027" i="1"/>
  <c r="AI475" i="1"/>
  <c r="AI982" i="1"/>
  <c r="AI971" i="1"/>
  <c r="AI568" i="1"/>
  <c r="AI353" i="1"/>
  <c r="AI817" i="1"/>
  <c r="AI271" i="1"/>
  <c r="AI791" i="1"/>
  <c r="AI240" i="1"/>
  <c r="AI580" i="1"/>
  <c r="AI796" i="1"/>
  <c r="AI603" i="1"/>
  <c r="AI168" i="1"/>
  <c r="AI657" i="1"/>
  <c r="AI134" i="1"/>
  <c r="AI668" i="1"/>
  <c r="AI85" i="1"/>
  <c r="AI723" i="1"/>
  <c r="AI161" i="1"/>
  <c r="AI275" i="1"/>
  <c r="AI63" i="1"/>
  <c r="AI27" i="1"/>
  <c r="AI137" i="1"/>
  <c r="AI829" i="1"/>
  <c r="AI105" i="1"/>
  <c r="AI425" i="1"/>
  <c r="AY799" i="1"/>
  <c r="AI593" i="1"/>
  <c r="AI83" i="1"/>
  <c r="AI807" i="1"/>
  <c r="AI922" i="1"/>
  <c r="AI418" i="1"/>
  <c r="AI970" i="1"/>
  <c r="AI981" i="1"/>
  <c r="AI52" i="1"/>
  <c r="AI96" i="1"/>
  <c r="AI698" i="1"/>
  <c r="AI458" i="1"/>
  <c r="AI350" i="1"/>
  <c r="AI331" i="1"/>
  <c r="AI936" i="1"/>
  <c r="AY589" i="1"/>
  <c r="AI427" i="1"/>
  <c r="AY503" i="1"/>
  <c r="AI329" i="1"/>
  <c r="AI978" i="1"/>
  <c r="AI293" i="1"/>
  <c r="AI185" i="1"/>
  <c r="AI280" i="1"/>
  <c r="AI962" i="1"/>
  <c r="AY718" i="1"/>
  <c r="AI813" i="1"/>
  <c r="AY780" i="1"/>
  <c r="AY926" i="1"/>
  <c r="AY403" i="1"/>
  <c r="AY838" i="1"/>
  <c r="AY248" i="1"/>
  <c r="AY468" i="1"/>
  <c r="AY449" i="1"/>
  <c r="AY599" i="1"/>
  <c r="AY217" i="1"/>
  <c r="AY1020" i="1"/>
  <c r="AY120" i="1"/>
  <c r="AY40" i="1"/>
  <c r="AY732" i="1"/>
  <c r="AY235" i="1"/>
  <c r="AY476" i="1"/>
  <c r="AY46" i="1"/>
  <c r="AY357" i="1"/>
  <c r="AY501" i="1"/>
  <c r="AY198" i="1"/>
  <c r="AY414" i="1"/>
  <c r="AY565" i="1"/>
  <c r="AY1003" i="1"/>
  <c r="AY415" i="1"/>
  <c r="AY34" i="1"/>
  <c r="AY766" i="1"/>
  <c r="AY949" i="1"/>
  <c r="AY509" i="1"/>
  <c r="AY567" i="1"/>
  <c r="AY908" i="1"/>
  <c r="AY214" i="1"/>
  <c r="AY840" i="1"/>
  <c r="AY832" i="1"/>
  <c r="AY880" i="1"/>
  <c r="AY907" i="1"/>
  <c r="AY1018" i="1"/>
  <c r="AY549" i="1"/>
  <c r="AY138" i="1"/>
  <c r="AY740" i="1"/>
  <c r="AY527" i="1"/>
  <c r="AY430" i="1"/>
  <c r="AY620" i="1"/>
  <c r="AY166" i="1"/>
  <c r="AY924" i="1"/>
  <c r="AY625" i="1"/>
  <c r="AY123" i="1"/>
  <c r="AY286" i="1"/>
  <c r="AY634" i="1"/>
  <c r="AY787" i="1"/>
  <c r="AY195" i="1"/>
  <c r="AY497" i="1"/>
  <c r="AY291" i="1"/>
  <c r="AY733" i="1"/>
  <c r="AY839" i="1"/>
  <c r="AY443" i="1"/>
  <c r="AY893" i="1"/>
  <c r="AY570" i="1"/>
  <c r="AY237" i="1"/>
  <c r="AY895" i="1"/>
  <c r="AY78" i="1"/>
  <c r="AY857" i="1"/>
  <c r="AY556" i="1"/>
  <c r="AI805" i="1"/>
  <c r="AI739" i="1"/>
  <c r="AI466" i="1"/>
  <c r="AI217" i="1"/>
  <c r="AI143" i="1"/>
  <c r="AI1008" i="1"/>
  <c r="AI1016" i="1"/>
  <c r="AI545" i="1"/>
  <c r="AI138" i="1"/>
  <c r="AI456" i="1"/>
  <c r="AI402" i="1"/>
  <c r="AI664" i="1"/>
  <c r="AI585" i="1"/>
  <c r="AI896" i="1"/>
  <c r="AI192" i="1"/>
  <c r="AI326" i="1"/>
  <c r="AI112" i="1"/>
  <c r="AY974" i="1"/>
  <c r="AY191" i="1"/>
  <c r="AY394" i="1"/>
  <c r="AY904" i="1"/>
  <c r="AY698" i="1"/>
  <c r="AY91" i="1"/>
  <c r="AY122" i="1"/>
  <c r="AY1005" i="1"/>
  <c r="AY1010" i="1"/>
  <c r="AY659" i="1"/>
  <c r="AY190" i="1"/>
  <c r="AY523" i="1"/>
  <c r="AY562" i="1"/>
  <c r="AY760" i="1"/>
  <c r="AY945" i="1"/>
  <c r="AY736" i="1"/>
  <c r="AY872" i="1"/>
  <c r="AI999" i="1"/>
  <c r="AY1030" i="1"/>
  <c r="AY283" i="1"/>
  <c r="AY1028" i="1"/>
  <c r="AY35" i="1"/>
  <c r="AY194" i="1"/>
  <c r="AY282" i="1"/>
  <c r="AI344" i="1"/>
  <c r="AI478" i="1"/>
  <c r="AI991" i="1"/>
  <c r="AI835" i="1"/>
  <c r="AI880" i="1"/>
  <c r="AI512" i="1"/>
  <c r="AI674" i="1"/>
  <c r="AI726" i="1"/>
  <c r="AI47" i="1"/>
  <c r="AI325" i="1"/>
  <c r="AY911" i="1"/>
  <c r="AI468" i="1"/>
  <c r="AI959" i="1"/>
  <c r="AI699" i="1"/>
  <c r="AY643" i="1"/>
  <c r="AI113" i="1"/>
  <c r="AY628" i="1"/>
  <c r="AY742" i="1"/>
  <c r="AY700" i="1"/>
  <c r="AY629" i="1"/>
  <c r="AY748" i="1"/>
  <c r="AY82" i="1"/>
  <c r="AY397" i="1"/>
  <c r="AY75" i="1"/>
  <c r="AY133" i="1"/>
  <c r="AY68" i="1"/>
  <c r="AY388" i="1"/>
  <c r="AY307" i="1"/>
  <c r="AY373" i="1"/>
  <c r="AI727" i="1"/>
  <c r="AI573" i="1"/>
  <c r="AY862" i="1"/>
  <c r="AY944" i="1"/>
  <c r="AY452" i="1"/>
  <c r="AY837" i="1"/>
  <c r="AY392" i="1"/>
  <c r="AI1004" i="1"/>
  <c r="AI448" i="1"/>
  <c r="AI345" i="1"/>
  <c r="AI213" i="1"/>
  <c r="AI435" i="1"/>
  <c r="AI744" i="1"/>
  <c r="AI335" i="1"/>
  <c r="AI517" i="1"/>
  <c r="AI687" i="1"/>
  <c r="AI36" i="1"/>
  <c r="AI194" i="1"/>
  <c r="AI560" i="1"/>
  <c r="AI421" i="1"/>
  <c r="AI684" i="1"/>
  <c r="AI152" i="1"/>
  <c r="AI405" i="1"/>
  <c r="AI522" i="1"/>
  <c r="AY882" i="1"/>
  <c r="AY155" i="1"/>
  <c r="AY1039" i="1"/>
  <c r="AY824" i="1"/>
  <c r="AY686" i="1"/>
  <c r="AY239" i="1"/>
  <c r="AY156" i="1"/>
  <c r="AY782" i="1"/>
  <c r="AI900" i="1"/>
  <c r="AI588" i="1"/>
  <c r="AI209" i="1"/>
  <c r="AI245" i="1"/>
  <c r="AI196" i="1"/>
  <c r="AI269" i="1"/>
  <c r="AY347" i="1"/>
  <c r="AY244" i="1"/>
  <c r="AI174" i="1"/>
  <c r="AY653" i="1"/>
  <c r="AY446" i="1"/>
  <c r="AY161" i="1"/>
  <c r="AY298" i="1"/>
  <c r="AY345" i="1"/>
  <c r="AI980" i="1"/>
  <c r="AI581" i="1"/>
  <c r="AI290" i="1"/>
  <c r="AI150" i="1"/>
  <c r="AI253" i="1"/>
  <c r="AY555" i="1"/>
  <c r="AI1024" i="1"/>
  <c r="AI833" i="1"/>
  <c r="AI296" i="1"/>
  <c r="AI827" i="1"/>
  <c r="AI812" i="1"/>
  <c r="AI371" i="1"/>
  <c r="AI400" i="1"/>
  <c r="AI1041" i="1"/>
  <c r="AI91" i="1"/>
  <c r="AY223" i="1"/>
  <c r="AY464" i="1"/>
  <c r="AY182" i="1"/>
  <c r="AY789" i="1"/>
  <c r="AY445" i="1"/>
  <c r="AY450" i="1"/>
  <c r="AY948" i="1"/>
  <c r="AY473" i="1"/>
  <c r="AY937" i="1"/>
  <c r="AY325" i="1"/>
  <c r="AI875" i="1"/>
  <c r="AI396" i="1"/>
  <c r="AI742" i="1"/>
  <c r="AI145" i="1"/>
  <c r="AI760" i="1"/>
  <c r="AI399" i="1"/>
  <c r="AI212" i="1"/>
  <c r="AI828" i="1"/>
  <c r="AI747" i="1"/>
  <c r="AI700" i="1"/>
  <c r="AI488" i="1"/>
  <c r="AI179" i="1"/>
  <c r="AY610" i="1"/>
  <c r="AY153" i="1"/>
  <c r="AY648" i="1"/>
  <c r="AY612" i="1"/>
  <c r="AY413" i="1"/>
  <c r="AY813" i="1"/>
  <c r="AY524" i="1"/>
  <c r="AY909" i="1"/>
  <c r="AY306" i="1"/>
  <c r="AY598" i="1"/>
  <c r="AY64" i="1"/>
  <c r="AY374" i="1"/>
  <c r="AY499" i="1"/>
  <c r="AY867" i="1"/>
  <c r="AY83" i="1"/>
  <c r="AY442" i="1"/>
  <c r="AY485" i="1"/>
  <c r="AI774" i="1"/>
  <c r="AI528" i="1"/>
  <c r="AI392" i="1"/>
  <c r="AI195" i="1"/>
  <c r="AI993" i="1"/>
  <c r="AI933" i="1"/>
  <c r="AI705" i="1"/>
  <c r="AI1005" i="1"/>
  <c r="AI109" i="1"/>
  <c r="AI160" i="1"/>
  <c r="AI310" i="1"/>
  <c r="AI284" i="1"/>
  <c r="AI612" i="1"/>
  <c r="AI307" i="1"/>
  <c r="AI265" i="1"/>
  <c r="AI837" i="1"/>
  <c r="AI583" i="1"/>
  <c r="AI117" i="1"/>
  <c r="AI128" i="1"/>
  <c r="AI732" i="1"/>
  <c r="AI781" i="1"/>
  <c r="AI43" i="1"/>
  <c r="AY246" i="1"/>
  <c r="AY606" i="1"/>
  <c r="AY73" i="1"/>
  <c r="AY755" i="1"/>
  <c r="AY355" i="1"/>
  <c r="AY181" i="1"/>
  <c r="AY370" i="1"/>
  <c r="AY1011" i="1"/>
  <c r="AY145" i="1"/>
  <c r="AY435" i="1"/>
  <c r="AI289" i="1"/>
  <c r="AI266" i="1"/>
  <c r="AI222" i="1"/>
  <c r="AI527" i="1"/>
  <c r="AI1014" i="1"/>
  <c r="AI751" i="1"/>
  <c r="AI851" i="1"/>
  <c r="AI291" i="1"/>
  <c r="AI81" i="1"/>
  <c r="AI416" i="1"/>
  <c r="AI480" i="1"/>
  <c r="AI44" i="1"/>
  <c r="AI259" i="1"/>
  <c r="AI667" i="1"/>
  <c r="AI766" i="1"/>
  <c r="AI34" i="1"/>
  <c r="AY154" i="1"/>
  <c r="AI690" i="1"/>
  <c r="AI903" i="1"/>
  <c r="AI554" i="1"/>
  <c r="AI389" i="1"/>
  <c r="AI679" i="1"/>
  <c r="AI1034" i="1"/>
  <c r="AI141" i="1"/>
  <c r="AI221" i="1"/>
  <c r="AY734" i="1"/>
  <c r="AY918" i="1"/>
  <c r="AI650" i="1"/>
  <c r="AI88" i="1"/>
  <c r="AY208" i="1"/>
  <c r="AY807" i="1"/>
  <c r="AY410" i="1"/>
  <c r="AY361" i="1"/>
  <c r="AY855" i="1"/>
  <c r="AY885" i="1"/>
  <c r="AY819" i="1"/>
  <c r="AY544" i="1"/>
  <c r="AY848" i="1"/>
  <c r="AY157" i="1"/>
  <c r="AY342" i="1"/>
  <c r="AY212" i="1"/>
  <c r="AY318" i="1"/>
  <c r="AY480" i="1"/>
  <c r="AY526" i="1"/>
  <c r="AY938" i="1"/>
  <c r="AY728" i="1"/>
  <c r="AY756" i="1"/>
  <c r="AY520" i="1"/>
  <c r="AY268" i="1"/>
  <c r="AY940" i="1"/>
  <c r="AY518" i="1"/>
  <c r="AY113" i="1"/>
  <c r="AY788" i="1"/>
  <c r="AY551" i="1"/>
  <c r="AY337" i="1"/>
  <c r="AY763" i="1"/>
  <c r="AY265" i="1"/>
  <c r="AY743" i="1"/>
  <c r="AY434" i="1"/>
  <c r="AI743" i="1"/>
  <c r="AI722" i="1"/>
  <c r="AI251" i="1"/>
  <c r="AI973" i="1"/>
  <c r="AI358" i="1"/>
  <c r="AI373" i="1"/>
  <c r="AI264" i="1"/>
  <c r="AI184" i="1"/>
  <c r="AI867" i="1"/>
  <c r="AI486" i="1"/>
  <c r="AI446" i="1"/>
  <c r="AI754" i="1"/>
  <c r="AI133" i="1"/>
  <c r="AI955" i="1"/>
  <c r="AI566" i="1"/>
  <c r="AI465" i="1"/>
  <c r="AI450" i="1"/>
  <c r="AI395" i="1"/>
  <c r="AI304" i="1"/>
  <c r="AI45" i="1"/>
  <c r="AI953" i="1"/>
  <c r="AY770" i="1"/>
  <c r="AI704" i="1"/>
  <c r="AI721" i="1"/>
  <c r="AI706" i="1"/>
  <c r="AI183" i="1"/>
  <c r="AI233" i="1"/>
  <c r="AI142" i="1"/>
  <c r="AI810" i="1"/>
  <c r="AY171" i="1"/>
  <c r="AI785" i="1"/>
  <c r="AI524" i="1"/>
  <c r="AI490" i="1"/>
  <c r="AI90" i="1"/>
  <c r="AY820" i="1"/>
  <c r="AY731" i="1"/>
  <c r="AY928" i="1"/>
  <c r="AY398" i="1"/>
  <c r="AY338" i="1"/>
  <c r="AY131" i="1"/>
  <c r="AY310" i="1"/>
  <c r="AY369" i="1"/>
  <c r="AY391" i="1"/>
  <c r="AY132" i="1"/>
  <c r="AY727" i="1"/>
  <c r="AY25" i="1"/>
  <c r="AY227" i="1"/>
  <c r="AY54" i="1"/>
  <c r="AY772" i="1"/>
  <c r="AY903" i="1"/>
  <c r="AY164" i="1"/>
  <c r="AY811" i="1"/>
  <c r="AY804" i="1"/>
  <c r="AY723" i="1"/>
  <c r="AY993" i="1"/>
  <c r="AY656" i="1"/>
  <c r="AY1017" i="1"/>
  <c r="AY923" i="1"/>
  <c r="AY49" i="1"/>
  <c r="AY251" i="1"/>
  <c r="AY994" i="1"/>
  <c r="AY472" i="1"/>
  <c r="AY835" i="1"/>
  <c r="AY632" i="1"/>
  <c r="AY517" i="1"/>
  <c r="AY274" i="1"/>
  <c r="AY692" i="1"/>
  <c r="AY883" i="1"/>
  <c r="AY588" i="1"/>
  <c r="AY849" i="1"/>
  <c r="AY81" i="1"/>
  <c r="AY613" i="1"/>
  <c r="AY699" i="1"/>
  <c r="AY930" i="1"/>
  <c r="AY303" i="1"/>
  <c r="AY393" i="1"/>
  <c r="AY670" i="1"/>
  <c r="AY988" i="1"/>
  <c r="AY737" i="1"/>
  <c r="AY735" i="1"/>
  <c r="AY478" i="1"/>
  <c r="AY135" i="1"/>
  <c r="AY647" i="1"/>
  <c r="AY350" i="1"/>
  <c r="AY884" i="1"/>
  <c r="AY657" i="1"/>
  <c r="AY402" i="1"/>
  <c r="AI498" i="1"/>
  <c r="AI919" i="1"/>
  <c r="AI491" i="1"/>
  <c r="AI492" i="1"/>
  <c r="AI539" i="1"/>
  <c r="AI94" i="1"/>
  <c r="AI571" i="1"/>
  <c r="AI255" i="1"/>
  <c r="AI1031" i="1"/>
  <c r="AI484" i="1"/>
  <c r="AI763" i="1"/>
  <c r="AI711" i="1"/>
  <c r="AI1026" i="1"/>
  <c r="AI273" i="1"/>
  <c r="AI398" i="1"/>
  <c r="AI464" i="1"/>
  <c r="AI270" i="1"/>
  <c r="AI355" i="1"/>
  <c r="AI1011" i="1"/>
  <c r="AI882" i="1"/>
  <c r="AI279" i="1"/>
  <c r="AI26" i="1"/>
  <c r="AI243" i="1"/>
  <c r="AI921" i="1"/>
  <c r="AI336" i="1"/>
  <c r="AI283" i="1"/>
  <c r="AI772" i="1"/>
  <c r="AI485" i="1"/>
  <c r="AI752" i="1"/>
  <c r="AI673" i="1"/>
  <c r="AI965" i="1"/>
  <c r="AI759" i="1"/>
  <c r="AI582" i="1"/>
  <c r="AI249" i="1"/>
  <c r="AI633" i="1"/>
  <c r="AI158" i="1"/>
  <c r="AI844" i="1"/>
  <c r="AI29" i="1"/>
  <c r="AI354" i="1"/>
  <c r="AI31" i="1"/>
  <c r="AI908" i="1"/>
  <c r="AI361" i="1"/>
  <c r="AI644" i="1"/>
  <c r="AI414" i="1"/>
  <c r="AI758" i="1"/>
  <c r="AI976" i="1"/>
  <c r="AI692" i="1"/>
  <c r="AI596" i="1"/>
  <c r="AI511" i="1"/>
  <c r="AI155" i="1"/>
  <c r="AI708" i="1"/>
  <c r="AI50" i="1"/>
  <c r="AI842" i="1"/>
  <c r="AI420" i="1"/>
  <c r="AI220" i="1"/>
  <c r="AI429" i="1"/>
  <c r="AY294" i="1"/>
  <c r="AI311" i="1"/>
  <c r="AY714" i="1"/>
  <c r="AI334" i="1"/>
  <c r="AI1013" i="1"/>
  <c r="AI939" i="1"/>
  <c r="AI652" i="1"/>
  <c r="AI302" i="1"/>
  <c r="AY89" i="1"/>
  <c r="AI71" i="1"/>
  <c r="AI901" i="1"/>
  <c r="AY794" i="1"/>
  <c r="AY912" i="1"/>
  <c r="AY287" i="1"/>
  <c r="AY429" i="1"/>
  <c r="AY163" i="1"/>
  <c r="AY170" i="1"/>
  <c r="AY695" i="1"/>
  <c r="AY330" i="1"/>
  <c r="AY796" i="1"/>
  <c r="AY553" i="1"/>
  <c r="AY439" i="1"/>
  <c r="AY32" i="1"/>
  <c r="AY474" i="1"/>
  <c r="AY140" i="1"/>
  <c r="AY320" i="1"/>
  <c r="AY356" i="1"/>
  <c r="AY493" i="1"/>
  <c r="AY525" i="1"/>
  <c r="AY622" i="1"/>
  <c r="AY958" i="1"/>
  <c r="AY638" i="1"/>
  <c r="AY308" i="1"/>
  <c r="AY230" i="1"/>
  <c r="AY431" i="1"/>
  <c r="AY614" i="1"/>
  <c r="AY1019" i="1"/>
  <c r="AY302" i="1"/>
  <c r="AY532" i="1"/>
  <c r="AY104" i="1"/>
  <c r="AY241" i="1"/>
  <c r="AY74" i="1"/>
  <c r="AY280" i="1"/>
  <c r="AY116" i="1"/>
  <c r="AY715" i="1"/>
  <c r="AY639" i="1"/>
  <c r="AY62" i="1"/>
  <c r="AY706" i="1"/>
  <c r="AY830" i="1"/>
  <c r="AY184" i="1"/>
  <c r="AY934" i="1"/>
  <c r="AY324" i="1"/>
  <c r="AY160" i="1"/>
  <c r="AY858" i="1"/>
  <c r="AY888" i="1"/>
  <c r="AY498" i="1"/>
  <c r="AY618" i="1"/>
  <c r="AY726" i="1"/>
  <c r="AY487" i="1"/>
  <c r="AY582" i="1"/>
  <c r="AY332" i="1"/>
  <c r="AY203" i="1"/>
  <c r="AY340" i="1"/>
  <c r="AY66" i="1"/>
  <c r="AY808" i="1"/>
  <c r="AY644" i="1"/>
  <c r="AY264" i="1"/>
  <c r="AY436" i="1"/>
  <c r="AY313" i="1"/>
  <c r="AY778" i="1"/>
  <c r="AY375" i="1"/>
  <c r="AI795" i="1"/>
  <c r="AI546" i="1"/>
  <c r="AI916" i="1"/>
  <c r="AI675" i="1"/>
  <c r="AI964" i="1"/>
  <c r="AI937" i="1"/>
  <c r="AI163" i="1"/>
  <c r="AI542" i="1"/>
  <c r="AI487" i="1"/>
  <c r="AI500" i="1"/>
  <c r="AI834" i="1"/>
  <c r="AI471" i="1"/>
  <c r="AI380" i="1"/>
  <c r="AI994" i="1"/>
  <c r="AI1017" i="1"/>
  <c r="AI783" i="1"/>
  <c r="AI188" i="1"/>
  <c r="AY798" i="1"/>
  <c r="AY605" i="1"/>
  <c r="AY351" i="1"/>
  <c r="AY627" i="1"/>
  <c r="AY179" i="1"/>
  <c r="AY1000" i="1"/>
  <c r="AY705" i="1"/>
  <c r="AY271" i="1"/>
  <c r="AY421" i="1"/>
  <c r="AY53" i="1"/>
  <c r="AY346" i="1"/>
  <c r="AY172" i="1"/>
  <c r="AY725" i="1"/>
  <c r="AY969" i="1"/>
  <c r="AY260" i="1"/>
  <c r="AY645" i="1"/>
  <c r="AY249" i="1"/>
  <c r="AY451" i="1"/>
  <c r="AI798" i="1"/>
  <c r="AY319" i="1"/>
  <c r="AY759" i="1"/>
  <c r="AY240" i="1"/>
  <c r="AY243" i="1"/>
  <c r="AY109" i="1"/>
  <c r="AY642" i="1"/>
  <c r="AI932" i="1"/>
  <c r="AI954" i="1"/>
  <c r="AI415" i="1"/>
  <c r="AI549" i="1"/>
  <c r="AI320" i="1"/>
  <c r="AI93" i="1"/>
  <c r="AI437" i="1"/>
  <c r="AI773" i="1"/>
  <c r="AI801" i="1"/>
  <c r="AI206" i="1"/>
  <c r="AI1020" i="1"/>
  <c r="AI610" i="1"/>
  <c r="AI561" i="1"/>
  <c r="AI691" i="1"/>
  <c r="AY255" i="1"/>
  <c r="AI749" i="1"/>
  <c r="AI777" i="1"/>
  <c r="AY371" i="1"/>
  <c r="AY289" i="1"/>
  <c r="AY389" i="1"/>
  <c r="AY651" i="1"/>
  <c r="AY738" i="1"/>
  <c r="AY952" i="1"/>
  <c r="AY146" i="1"/>
  <c r="AY316" i="1"/>
  <c r="AY326" i="1"/>
  <c r="AY891" i="1"/>
  <c r="AY460" i="1"/>
  <c r="AY690" i="1"/>
  <c r="AI370" i="1"/>
  <c r="AI728" i="1"/>
  <c r="AY30" i="1"/>
  <c r="AY540" i="1"/>
  <c r="AY801" i="1"/>
  <c r="AY253" i="1"/>
  <c r="AY201" i="1"/>
  <c r="AI820" i="1"/>
  <c r="AI438" i="1"/>
  <c r="AI897" i="1"/>
  <c r="AI1003" i="1"/>
  <c r="AI147" i="1"/>
  <c r="AI1028" i="1"/>
  <c r="AI526" i="1"/>
  <c r="AI567" i="1"/>
  <c r="AI1033" i="1"/>
  <c r="AI342" i="1"/>
  <c r="AI455" i="1"/>
  <c r="AI558" i="1"/>
  <c r="AI87" i="1"/>
  <c r="AI902" i="1"/>
  <c r="AI272" i="1"/>
  <c r="AI531" i="1"/>
  <c r="AY489" i="1"/>
  <c r="AY929" i="1"/>
  <c r="AY447" i="1"/>
  <c r="AY502" i="1"/>
  <c r="AI678" i="1"/>
  <c r="AI104" i="1"/>
  <c r="AI792" i="1"/>
  <c r="AY593" i="1"/>
  <c r="AY1038" i="1"/>
  <c r="AI983" i="1"/>
  <c r="AI733" i="1"/>
  <c r="AI472" i="1"/>
  <c r="AI360" i="1"/>
  <c r="AI401" i="1"/>
  <c r="AI187" i="1"/>
  <c r="AI503" i="1"/>
  <c r="AI564" i="1"/>
  <c r="AI383" i="1"/>
  <c r="AI362" i="1"/>
  <c r="AY546" i="1"/>
  <c r="AY601" i="1"/>
  <c r="AY640" i="1"/>
  <c r="AY136" i="1"/>
  <c r="AY86" i="1"/>
  <c r="AY753" i="1"/>
  <c r="AY646" i="1"/>
  <c r="AY843" i="1"/>
  <c r="AY842" i="1"/>
  <c r="AY955" i="1"/>
  <c r="AI853" i="1"/>
  <c r="AI755" i="1"/>
  <c r="AI497" i="1"/>
  <c r="AI139" i="1"/>
  <c r="AI873" i="1"/>
  <c r="AI806" i="1"/>
  <c r="AI985" i="1"/>
  <c r="AI199" i="1"/>
  <c r="AI38" i="1"/>
  <c r="AI298" i="1"/>
  <c r="AY927" i="1"/>
  <c r="AY115" i="1"/>
  <c r="AY609" i="1"/>
  <c r="AY1032" i="1"/>
  <c r="AY94" i="1"/>
  <c r="AY519" i="1"/>
  <c r="AY784" i="1"/>
  <c r="AY986" i="1"/>
  <c r="AY663" i="1"/>
  <c r="AY897" i="1"/>
  <c r="AY871" i="1"/>
  <c r="AY383" i="1"/>
  <c r="AY151" i="1"/>
  <c r="AY1004" i="1"/>
  <c r="AY683" i="1"/>
  <c r="AY125" i="1"/>
  <c r="AY205" i="1"/>
  <c r="AY106" i="1"/>
  <c r="AI440" i="1"/>
  <c r="AI997" i="1"/>
  <c r="AI347" i="1"/>
  <c r="AI67" i="1"/>
  <c r="AI756" i="1"/>
  <c r="AI237" i="1"/>
  <c r="AI893" i="1"/>
  <c r="AI120" i="1"/>
  <c r="AI563" i="1"/>
  <c r="AI1018" i="1"/>
  <c r="AI654" i="1"/>
  <c r="AI28" i="1"/>
  <c r="AI476" i="1"/>
  <c r="AI782" i="1"/>
  <c r="AI74" i="1"/>
  <c r="AI658" i="1"/>
  <c r="AI337" i="1"/>
  <c r="AI223" i="1"/>
  <c r="AI589" i="1"/>
  <c r="AY790" i="1"/>
  <c r="AI627" i="1"/>
  <c r="AI60" i="1"/>
  <c r="AY827" i="1"/>
  <c r="AY321" i="1"/>
  <c r="AY376" i="1"/>
  <c r="AY1029" i="1"/>
  <c r="AY886" i="1"/>
  <c r="AY349" i="1"/>
  <c r="AY438" i="1"/>
  <c r="AY906" i="1"/>
  <c r="AY805" i="1"/>
  <c r="AI315" i="1"/>
  <c r="AI788" i="1"/>
  <c r="AI154" i="1"/>
  <c r="AI656" i="1"/>
  <c r="AI637" i="1"/>
  <c r="AI670" i="1"/>
  <c r="AI604" i="1"/>
  <c r="AI945" i="1"/>
  <c r="AI239" i="1"/>
  <c r="AI655" i="1"/>
  <c r="AI709" i="1"/>
  <c r="AI445" i="1"/>
  <c r="AI530" i="1"/>
  <c r="AI960" i="1"/>
  <c r="AI443" i="1"/>
  <c r="AI54" i="1"/>
  <c r="AI911" i="1"/>
  <c r="AI645" i="1"/>
  <c r="AI859" i="1"/>
  <c r="AI287" i="1"/>
  <c r="AI459" i="1"/>
  <c r="AI359" i="1"/>
  <c r="AI299" i="1"/>
  <c r="AI281" i="1"/>
  <c r="AY959" i="1"/>
  <c r="AY998" i="1"/>
  <c r="AI808" i="1"/>
  <c r="AI80" i="1"/>
  <c r="AY597" i="1"/>
  <c r="AI748" i="1"/>
  <c r="AY55" i="1"/>
  <c r="AY603" i="1"/>
  <c r="AY761" i="1"/>
  <c r="AY792" i="1"/>
  <c r="AY99" i="1"/>
  <c r="AY815" i="1"/>
  <c r="AY491" i="1"/>
  <c r="AY368" i="1"/>
  <c r="AY215" i="1"/>
  <c r="AY72" i="1"/>
  <c r="AY925" i="1"/>
  <c r="AY147" i="1"/>
  <c r="AY441" i="1"/>
  <c r="AY50" i="1"/>
  <c r="AY931" i="1"/>
  <c r="AY200" i="1"/>
  <c r="AY704" i="1"/>
  <c r="AY579" i="1"/>
  <c r="AY1022" i="1"/>
  <c r="AY101" i="1"/>
  <c r="AY696" i="1"/>
  <c r="AY385" i="1"/>
  <c r="AY963" i="1"/>
  <c r="AY758" i="1"/>
  <c r="AY197" i="1"/>
  <c r="AY236" i="1"/>
  <c r="AY1013" i="1"/>
  <c r="AY850" i="1"/>
  <c r="AY187" i="1"/>
  <c r="AY58" i="1"/>
  <c r="AI858" i="1"/>
  <c r="AI504" i="1"/>
  <c r="AI989" i="1"/>
  <c r="AI506" i="1"/>
  <c r="AI845" i="1"/>
  <c r="AI340" i="1"/>
  <c r="AI717" i="1"/>
  <c r="AI931" i="1"/>
  <c r="AI661" i="1"/>
  <c r="AI407" i="1"/>
  <c r="AI89" i="1"/>
  <c r="AI1029" i="1"/>
  <c r="AI41" i="1"/>
  <c r="AI746" i="1"/>
  <c r="AI757" i="1"/>
  <c r="AI343" i="1"/>
  <c r="AI225" i="1"/>
  <c r="AI641" i="1"/>
  <c r="AI518" i="1"/>
  <c r="AI935" i="1"/>
  <c r="AI928" i="1"/>
  <c r="AI944" i="1"/>
  <c r="AI614" i="1"/>
  <c r="AI663" i="1"/>
  <c r="AI651" i="1"/>
  <c r="AI992" i="1"/>
  <c r="AI426" i="1"/>
  <c r="AI252" i="1"/>
  <c r="AI247" i="1"/>
  <c r="AY910" i="1"/>
  <c r="AY783" i="1"/>
  <c r="AY881" i="1"/>
  <c r="AY563" i="1"/>
  <c r="AY1007" i="1"/>
  <c r="AY771" i="1"/>
  <c r="AY168" i="1"/>
  <c r="AY814" i="1"/>
  <c r="AY458" i="1"/>
  <c r="AY301" i="1"/>
  <c r="AY269" i="1"/>
  <c r="AY559" i="1"/>
  <c r="AY396" i="1"/>
  <c r="AY39" i="1"/>
  <c r="AY288" i="1"/>
  <c r="AY500" i="1"/>
  <c r="AY56" i="1"/>
  <c r="AY677" i="1"/>
  <c r="AY130" i="1"/>
  <c r="AY583" i="1"/>
  <c r="AY791" i="1"/>
  <c r="AY417" i="1"/>
  <c r="AY662" i="1"/>
  <c r="AY623" i="1"/>
  <c r="AY152" i="1"/>
  <c r="AY720" i="1"/>
  <c r="AY754" i="1"/>
  <c r="AY873" i="1"/>
  <c r="AY224" i="1"/>
  <c r="AY328" i="1"/>
  <c r="AY960" i="1"/>
  <c r="AY234" i="1"/>
  <c r="AY561" i="1"/>
  <c r="AY536" i="1"/>
  <c r="AY142" i="1"/>
  <c r="AY484" i="1"/>
  <c r="AY1016" i="1"/>
  <c r="AY419" i="1"/>
  <c r="AY812" i="1"/>
  <c r="AY117" i="1"/>
  <c r="AY65" i="1"/>
  <c r="AY471" i="1"/>
  <c r="AY905" i="1"/>
  <c r="AY363" i="1"/>
  <c r="AY386" i="1"/>
  <c r="AY641" i="1"/>
  <c r="AY902" i="1"/>
  <c r="AY262" i="1"/>
  <c r="AY951" i="1"/>
  <c r="AY975" i="1"/>
  <c r="AY635" i="1"/>
  <c r="AY608" i="1"/>
  <c r="AY504" i="1"/>
  <c r="AY67" i="1"/>
  <c r="AY45" i="1"/>
  <c r="AY717" i="1"/>
  <c r="AY853" i="1"/>
  <c r="AI470" i="1"/>
  <c r="AI514" i="1"/>
  <c r="AI463" i="1"/>
  <c r="AI507" i="1"/>
  <c r="AI906" i="1"/>
  <c r="AI69" i="1"/>
  <c r="AI216" i="1"/>
  <c r="AI98" i="1"/>
  <c r="AI735" i="1"/>
  <c r="AI876" i="1"/>
  <c r="AI996" i="1"/>
  <c r="AI204" i="1"/>
  <c r="AI1022" i="1"/>
  <c r="AI1007" i="1"/>
  <c r="AI366" i="1"/>
  <c r="AI285" i="1"/>
  <c r="AI606" i="1"/>
  <c r="AI719" i="1"/>
  <c r="AI800" i="1"/>
  <c r="AI521" i="1"/>
  <c r="AI282" i="1"/>
  <c r="AI764" i="1"/>
  <c r="AI197" i="1"/>
  <c r="AI323" i="1"/>
  <c r="AI312" i="1"/>
  <c r="AI99" i="1"/>
  <c r="AI878" i="1"/>
  <c r="AI469" i="1"/>
  <c r="AI622" i="1"/>
  <c r="AI624" i="1"/>
  <c r="AI917" i="1"/>
  <c r="AI731" i="1"/>
  <c r="AI775" i="1"/>
  <c r="AI694" i="1"/>
  <c r="AI126" i="1"/>
  <c r="AI411" i="1"/>
  <c r="AI434" i="1"/>
  <c r="AI376" i="1"/>
  <c r="AI602" i="1"/>
  <c r="AI166" i="1"/>
  <c r="AI579" i="1"/>
  <c r="AI122" i="1"/>
  <c r="AI1006" i="1"/>
  <c r="AI725" i="1"/>
  <c r="AI551" i="1"/>
  <c r="AI769" i="1"/>
  <c r="AI821" i="1"/>
  <c r="AI865" i="1"/>
  <c r="AI659" i="1"/>
  <c r="AI1023" i="1"/>
  <c r="AI648" i="1"/>
  <c r="AI615" i="1"/>
  <c r="AI473" i="1"/>
  <c r="AI819" i="1"/>
  <c r="AI628" i="1"/>
  <c r="AI193" i="1"/>
  <c r="AI130" i="1"/>
  <c r="AI242" i="1"/>
  <c r="AI729" i="1"/>
  <c r="AY377" i="1"/>
  <c r="AI116" i="1"/>
  <c r="AI601" i="1"/>
  <c r="AI439" i="1"/>
  <c r="AI451" i="1"/>
  <c r="AI584" i="1"/>
  <c r="AY107" i="1"/>
  <c r="AY654" i="1"/>
  <c r="AI110" i="1"/>
  <c r="AY869" i="1"/>
  <c r="AY979" i="1"/>
  <c r="AY701" i="1"/>
  <c r="AY870" i="1"/>
  <c r="AY1037" i="1"/>
  <c r="AY1023" i="1"/>
  <c r="AY913" i="1"/>
  <c r="AY278" i="1"/>
  <c r="AY426" i="1"/>
  <c r="AY343" i="1"/>
  <c r="AY834" i="1"/>
  <c r="AY822" i="1"/>
  <c r="AY917" i="1"/>
  <c r="AY79" i="1"/>
  <c r="AY296" i="1"/>
  <c r="AY300" i="1"/>
  <c r="AY477" i="1"/>
  <c r="AY966" i="1"/>
  <c r="AY795" i="1"/>
  <c r="AY856" i="1"/>
  <c r="AY339" i="1"/>
  <c r="AY409" i="1"/>
  <c r="AY590" i="1"/>
  <c r="AY352" i="1"/>
  <c r="AY455" i="1"/>
  <c r="AY216" i="1"/>
  <c r="AY448" i="1"/>
  <c r="AY680" i="1"/>
  <c r="AY129" i="1"/>
  <c r="AY481" i="1"/>
  <c r="AY273" i="1"/>
  <c r="AY276" i="1"/>
  <c r="AY765" i="1"/>
  <c r="AY543" i="1"/>
  <c r="AY531" i="1"/>
  <c r="AY769" i="1"/>
  <c r="AY378" i="1"/>
  <c r="AY719" i="1"/>
  <c r="AY267" i="1"/>
  <c r="AY894" i="1"/>
  <c r="AY591" i="1"/>
  <c r="AY277" i="1"/>
  <c r="AY96" i="1"/>
  <c r="AY1036" i="1"/>
  <c r="AY675" i="1"/>
  <c r="AY364" i="1"/>
  <c r="AY831" i="1"/>
  <c r="AY818" i="1"/>
  <c r="AY859" i="1"/>
  <c r="AY405" i="1"/>
  <c r="AY76" i="1"/>
  <c r="AY440" i="1"/>
  <c r="AY77" i="1"/>
  <c r="AY329" i="1"/>
  <c r="AY92" i="1"/>
  <c r="AY1012" i="1"/>
  <c r="AY716" i="1"/>
  <c r="AY512" i="1"/>
  <c r="AY821" i="1"/>
  <c r="AY592" i="1"/>
  <c r="AI646" i="1"/>
  <c r="AI809" i="1"/>
  <c r="AI441" i="1"/>
  <c r="AI295" i="1"/>
  <c r="AI715" i="1"/>
  <c r="AI277" i="1"/>
  <c r="AI430" i="1"/>
  <c r="AI535" i="1"/>
  <c r="AI432" i="1"/>
  <c r="AI1021" i="1"/>
  <c r="AI64" i="1"/>
  <c r="AI525" i="1"/>
  <c r="AI847" i="1"/>
  <c r="AI268" i="1"/>
  <c r="AY541" i="1"/>
  <c r="AI46" i="1"/>
  <c r="AI802" i="1"/>
  <c r="AY786" i="1"/>
  <c r="AY206" i="1"/>
  <c r="AY745" i="1"/>
  <c r="AY407" i="1"/>
  <c r="AY676" i="1"/>
  <c r="AY864" i="1"/>
  <c r="AY569" i="1"/>
  <c r="AY785" i="1"/>
  <c r="AY183" i="1"/>
  <c r="AY292" i="1"/>
  <c r="AY693" i="1"/>
  <c r="AY508" i="1"/>
  <c r="AY432" i="1"/>
  <c r="AY465" i="1"/>
  <c r="AY678" i="1"/>
  <c r="AY250" i="1"/>
  <c r="AY920" i="1"/>
  <c r="AY466" i="1"/>
  <c r="AY674" i="1"/>
  <c r="AY558" i="1"/>
  <c r="AY600" i="1"/>
  <c r="AY887" i="1"/>
  <c r="AY143" i="1"/>
  <c r="AY581" i="1"/>
  <c r="AI822" i="1"/>
  <c r="AI797" i="1"/>
  <c r="AI905" i="1"/>
  <c r="AI495" i="1"/>
  <c r="AI609" i="1"/>
  <c r="AI127" i="1"/>
  <c r="AI246" i="1"/>
  <c r="AI920" i="1"/>
  <c r="AI241" i="1"/>
  <c r="AI696" i="1"/>
  <c r="AI363" i="1"/>
  <c r="AI562" i="1"/>
  <c r="AI968" i="1"/>
  <c r="AI424" i="1"/>
  <c r="AY682" i="1"/>
  <c r="AY420" i="1"/>
  <c r="AI617" i="1"/>
  <c r="AY285" i="1"/>
  <c r="AY185" i="1"/>
  <c r="AY667" i="1"/>
  <c r="AY708" i="1"/>
  <c r="AY709" i="1"/>
  <c r="AY529" i="1"/>
  <c r="AY752" i="1"/>
  <c r="AY48" i="1"/>
  <c r="AY399" i="1"/>
  <c r="AY229" i="1"/>
  <c r="AY577" i="1"/>
  <c r="AY317" i="1"/>
  <c r="AI534" i="1"/>
  <c r="AI55" i="1"/>
  <c r="AY428" i="1"/>
  <c r="AY530" i="1"/>
  <c r="AY1041" i="1"/>
  <c r="AY874" i="1"/>
  <c r="AY985" i="1"/>
  <c r="AI839" i="1"/>
  <c r="AI979" i="1"/>
  <c r="AI958" i="1"/>
  <c r="AI1043" i="1"/>
  <c r="AI682" i="1"/>
  <c r="AI390" i="1"/>
  <c r="AI776" i="1"/>
  <c r="AI519" i="1"/>
  <c r="AI736" i="1"/>
  <c r="AI258" i="1"/>
  <c r="AY247" i="1"/>
  <c r="AI510" i="1"/>
  <c r="AI998" i="1"/>
  <c r="AI200" i="1"/>
  <c r="AI649" i="1"/>
  <c r="AI58" i="1"/>
  <c r="AI327" i="1"/>
  <c r="AY507" i="1"/>
  <c r="AY616" i="1"/>
  <c r="AY851" i="1"/>
  <c r="AY112" i="1"/>
  <c r="AY1025" i="1"/>
  <c r="AY127" i="1"/>
  <c r="AY668" i="1"/>
  <c r="AY542" i="1"/>
  <c r="AY971" i="1"/>
  <c r="AY341" i="1"/>
  <c r="AY661" i="1"/>
  <c r="AY315" i="1"/>
  <c r="AY259" i="1"/>
  <c r="AY1040" i="1"/>
  <c r="AY846" i="1"/>
  <c r="AI924" i="1"/>
  <c r="AI883" i="1"/>
  <c r="AI103" i="1"/>
  <c r="AI533" i="1"/>
  <c r="AI444" i="1"/>
  <c r="AI494" i="1"/>
  <c r="AI556" i="1"/>
  <c r="AI57" i="1"/>
  <c r="AI261" i="1"/>
  <c r="AI861" i="1"/>
  <c r="AI753" i="1"/>
  <c r="AI232" i="1"/>
  <c r="AI157" i="1"/>
  <c r="AY547" i="1"/>
  <c r="AY470" i="1"/>
  <c r="AY1042" i="1"/>
  <c r="AY69" i="1"/>
  <c r="AY167" i="1"/>
  <c r="AK9" i="1"/>
  <c r="AY865" i="1"/>
  <c r="AY84" i="1"/>
  <c r="AY649" i="1"/>
  <c r="AY890" i="1"/>
  <c r="AY495" i="1"/>
  <c r="AY961" i="1"/>
  <c r="AY395" i="1"/>
  <c r="AI570" i="1"/>
  <c r="AI787" i="1"/>
  <c r="AI634" i="1"/>
  <c r="AI314" i="1"/>
  <c r="AI552" i="1"/>
  <c r="AI578" i="1"/>
  <c r="AI288" i="1"/>
  <c r="AY844" i="1"/>
  <c r="AY406" i="1"/>
  <c r="AY933" i="1"/>
  <c r="AY494" i="1"/>
  <c r="AY878" i="1"/>
  <c r="AY348" i="1"/>
  <c r="AY505" i="1"/>
  <c r="AY261" i="1"/>
  <c r="AY492" i="1"/>
  <c r="AI479" i="1"/>
  <c r="AI780" i="1"/>
  <c r="AI972" i="1"/>
  <c r="AI92" i="1"/>
  <c r="AI79" i="1"/>
  <c r="AY411" i="1"/>
  <c r="AY433" i="1"/>
  <c r="AI969" i="1"/>
  <c r="AI140" i="1"/>
  <c r="AI869" i="1"/>
  <c r="AI574" i="1"/>
  <c r="AI553" i="1"/>
  <c r="AI318" i="1"/>
  <c r="AI520" i="1"/>
  <c r="AI1000" i="1"/>
  <c r="AI857" i="1"/>
  <c r="AY31" i="1"/>
  <c r="AY213" i="1"/>
  <c r="AY221" i="1"/>
  <c r="AY1031" i="1"/>
  <c r="AY367" i="1"/>
  <c r="AY694" i="1"/>
  <c r="AY510" i="1"/>
  <c r="AY297" i="1"/>
  <c r="AY666" i="1"/>
  <c r="AY984" i="1"/>
  <c r="AY483" i="1"/>
  <c r="AI536" i="1"/>
  <c r="AI436" i="1"/>
  <c r="AI866" i="1"/>
  <c r="AI313" i="1"/>
  <c r="AI595" i="1"/>
  <c r="AI909" i="1"/>
  <c r="AI207" i="1"/>
  <c r="AI986" i="1"/>
  <c r="AI642" i="1"/>
  <c r="AI230" i="1"/>
  <c r="AY293" i="1"/>
  <c r="AY111" i="1"/>
  <c r="AY767" i="1"/>
  <c r="AY702" i="1"/>
  <c r="AY539" i="1"/>
  <c r="AY387" i="1"/>
  <c r="AY991" i="1"/>
  <c r="AY636" i="1"/>
  <c r="AY573" i="1"/>
  <c r="AY390" i="1"/>
  <c r="AY537" i="1"/>
  <c r="AY901" i="1"/>
  <c r="AY836" i="1"/>
  <c r="AY266" i="1"/>
  <c r="AY281" i="1"/>
  <c r="AY841" i="1"/>
  <c r="AY26" i="1"/>
  <c r="AY57" i="1"/>
  <c r="AY793" i="1"/>
  <c r="AI871" i="1"/>
  <c r="AI688" i="1"/>
  <c r="AI202" i="1"/>
  <c r="AI118" i="1"/>
  <c r="AI509" i="1"/>
  <c r="AI457" i="1"/>
  <c r="AI224" i="1"/>
  <c r="AI263" i="1"/>
  <c r="AI115" i="1"/>
  <c r="AI129" i="1"/>
  <c r="AI695" i="1"/>
  <c r="AI938" i="1"/>
  <c r="AI925" i="1"/>
  <c r="AI349" i="1"/>
  <c r="AI957" i="1"/>
  <c r="AI966" i="1"/>
  <c r="AI452" i="1"/>
  <c r="AI303" i="1"/>
  <c r="AI68" i="1"/>
  <c r="AY418" i="1"/>
  <c r="AI324" i="1"/>
  <c r="AI943" i="1"/>
  <c r="AI489" i="1"/>
  <c r="AY987" i="1"/>
  <c r="AY957" i="1"/>
  <c r="AY950" i="1"/>
  <c r="AY802" i="1"/>
  <c r="AY947" i="1"/>
  <c r="AY175" i="1"/>
  <c r="AY226" i="1"/>
  <c r="AY587" i="1"/>
  <c r="AY188" i="1"/>
  <c r="AY672" i="1"/>
  <c r="AY861" i="1"/>
  <c r="AY199" i="1"/>
  <c r="AY1043" i="1"/>
  <c r="AY353" i="1"/>
  <c r="AY479" i="1"/>
  <c r="AY669" i="1"/>
  <c r="AI852" i="1"/>
  <c r="AI97" i="1"/>
  <c r="AI904" i="1"/>
  <c r="AI611" i="1"/>
  <c r="AY990" i="1"/>
  <c r="AY777" i="1"/>
  <c r="AY488" i="1"/>
  <c r="AY311" i="1"/>
  <c r="AY650" i="1"/>
  <c r="AY768" i="1"/>
  <c r="AY459" i="1"/>
  <c r="AI1030" i="1"/>
  <c r="AI322" i="1"/>
  <c r="AI248" i="1"/>
  <c r="AI1002" i="1"/>
  <c r="AY372" i="1"/>
  <c r="AY44" i="1"/>
  <c r="AY258" i="1"/>
  <c r="AY423" i="1"/>
  <c r="AY1035" i="1"/>
  <c r="AI254" i="1"/>
  <c r="AI502" i="1"/>
  <c r="AI412" i="1"/>
  <c r="AI234" i="1"/>
  <c r="AY454" i="1"/>
  <c r="AY114" i="1"/>
  <c r="AI790" i="1"/>
  <c r="AI367" i="1"/>
  <c r="AY490" i="1"/>
  <c r="AY336" i="1"/>
  <c r="AY1008" i="1"/>
  <c r="AY630" i="1"/>
  <c r="AI114" i="1"/>
  <c r="AY486" i="1"/>
  <c r="AY999" i="1"/>
  <c r="AY95" i="1"/>
  <c r="AI930" i="1"/>
  <c r="AY860" i="1"/>
  <c r="AY270" i="1"/>
  <c r="AI308" i="1"/>
  <c r="AI189" i="1"/>
  <c r="AY43" i="1"/>
  <c r="AI462" i="1"/>
  <c r="AI1009" i="1"/>
  <c r="AY631" i="1"/>
  <c r="AY384" i="1"/>
  <c r="AY828" i="1"/>
  <c r="AY118" i="1"/>
  <c r="AI227" i="1"/>
  <c r="AY533" i="1"/>
  <c r="AY327" i="1"/>
  <c r="AI738" i="1"/>
  <c r="AY711" i="1"/>
  <c r="AY1006" i="1"/>
  <c r="AI693" i="1"/>
  <c r="AY877" i="1"/>
  <c r="AY42" i="1"/>
  <c r="AY712" i="1"/>
  <c r="AY637" i="1"/>
  <c r="AY496" i="1"/>
  <c r="AY800" i="1"/>
  <c r="AI375" i="1"/>
  <c r="AY124" i="1"/>
  <c r="AI683" i="1"/>
  <c r="AY730" i="1"/>
  <c r="AI357" i="1"/>
  <c r="AY461" i="1"/>
  <c r="AI750" i="1"/>
  <c r="AY584" i="1"/>
  <c r="AY177" i="1"/>
  <c r="AI294" i="1"/>
  <c r="AY159" i="1"/>
  <c r="AY462" i="1"/>
  <c r="AI864" i="1"/>
  <c r="AI190" i="1"/>
  <c r="AY528" i="1"/>
  <c r="AI274" i="1"/>
  <c r="AI177" i="1"/>
  <c r="AY193" i="1"/>
  <c r="AI967" i="1"/>
  <c r="AK8" i="1"/>
  <c r="AY189" i="1"/>
  <c r="AY721" i="1"/>
  <c r="AY803" i="1"/>
  <c r="AY444" i="1"/>
  <c r="AY463" i="1"/>
  <c r="AY165" i="1"/>
  <c r="AY655" i="1"/>
  <c r="AY626" i="1"/>
  <c r="AI778" i="1"/>
  <c r="AI170" i="1"/>
  <c r="AI907" i="1"/>
  <c r="AI927" i="1"/>
  <c r="AY467" i="1"/>
  <c r="AY362" i="1"/>
  <c r="AY207" i="1"/>
  <c r="AY222" i="1"/>
  <c r="AY703" i="1"/>
  <c r="AY681" i="1"/>
  <c r="AY854" i="1"/>
  <c r="AI621" i="1"/>
  <c r="AI513" i="1"/>
  <c r="AI544" i="1"/>
  <c r="AI51" i="1"/>
  <c r="AY997" i="1"/>
  <c r="AY545" i="1"/>
  <c r="AY673" i="1"/>
  <c r="AY823" i="1"/>
  <c r="AY97" i="1"/>
  <c r="AI108" i="1"/>
  <c r="AI947" i="1"/>
  <c r="AI863" i="1"/>
  <c r="AI292" i="1"/>
  <c r="AY607" i="1"/>
  <c r="AY176" i="1"/>
  <c r="AY578" i="1"/>
  <c r="AY312" i="1"/>
  <c r="AI724" i="1"/>
  <c r="AI888" i="1"/>
  <c r="AI244" i="1"/>
  <c r="AY334" i="1"/>
  <c r="AY936" i="1"/>
  <c r="AI626" i="1"/>
  <c r="AI884" i="1"/>
  <c r="AY687" i="1"/>
  <c r="AY611" i="1"/>
  <c r="AY956" i="1"/>
  <c r="AI433" i="1"/>
  <c r="AI1025" i="1"/>
  <c r="AY158" i="1"/>
  <c r="AY660" i="1"/>
  <c r="AI493" i="1"/>
  <c r="AI332" i="1"/>
  <c r="AY896" i="1"/>
  <c r="AY412" i="1"/>
  <c r="AI236" i="1"/>
  <c r="AY47" i="1"/>
  <c r="AY354" i="1"/>
  <c r="AI32" i="1"/>
  <c r="AY968" i="1"/>
  <c r="AY817" i="1"/>
  <c r="AY333" i="1"/>
  <c r="AY899" i="1"/>
  <c r="AI124" i="1"/>
  <c r="AI538" i="1"/>
  <c r="AY810" i="1"/>
  <c r="AI824" i="1"/>
  <c r="AI100" i="1"/>
  <c r="AY231" i="1"/>
  <c r="AY538" i="1"/>
  <c r="AI276" i="1"/>
  <c r="AY85" i="1"/>
  <c r="AI665" i="1"/>
  <c r="AY482" i="1"/>
  <c r="BD482" i="1" l="1"/>
  <c r="BF482" i="1" s="1"/>
  <c r="BH482" i="1"/>
  <c r="AP665" i="1"/>
  <c r="AR665" i="1" s="1"/>
  <c r="AL665" i="1"/>
  <c r="BD85" i="1"/>
  <c r="BF85" i="1" s="1"/>
  <c r="BH85" i="1"/>
  <c r="AL276" i="1"/>
  <c r="AP276" i="1"/>
  <c r="AR276" i="1" s="1"/>
  <c r="BH538" i="1"/>
  <c r="BD538" i="1"/>
  <c r="BF538" i="1" s="1"/>
  <c r="BD231" i="1"/>
  <c r="BF231" i="1" s="1"/>
  <c r="BH231" i="1"/>
  <c r="AP100" i="1"/>
  <c r="AR100" i="1" s="1"/>
  <c r="AL100" i="1"/>
  <c r="AL824" i="1"/>
  <c r="AP824" i="1"/>
  <c r="AR824" i="1" s="1"/>
  <c r="BD810" i="1"/>
  <c r="BF810" i="1" s="1"/>
  <c r="BH810" i="1"/>
  <c r="AP538" i="1"/>
  <c r="AR538" i="1" s="1"/>
  <c r="AL538" i="1"/>
  <c r="AU538" i="1" s="1"/>
  <c r="AL124" i="1"/>
  <c r="AM124" i="1" s="1"/>
  <c r="AN124" i="1" s="1"/>
  <c r="AP124" i="1"/>
  <c r="AR124" i="1" s="1"/>
  <c r="BD899" i="1"/>
  <c r="BF899" i="1" s="1"/>
  <c r="BH899" i="1"/>
  <c r="BD333" i="1"/>
  <c r="BF333" i="1" s="1"/>
  <c r="BH333" i="1"/>
  <c r="BD817" i="1"/>
  <c r="BF817" i="1" s="1"/>
  <c r="BH817" i="1"/>
  <c r="BD968" i="1"/>
  <c r="BF968" i="1" s="1"/>
  <c r="BH968" i="1"/>
  <c r="AP32" i="1"/>
  <c r="AR32" i="1" s="1"/>
  <c r="AL32" i="1"/>
  <c r="AS32" i="1" s="1"/>
  <c r="AT32" i="1" s="1"/>
  <c r="BD354" i="1"/>
  <c r="BF354" i="1" s="1"/>
  <c r="BH354" i="1"/>
  <c r="BD47" i="1"/>
  <c r="BF47" i="1" s="1"/>
  <c r="BH47" i="1"/>
  <c r="AL236" i="1"/>
  <c r="AP236" i="1"/>
  <c r="AR236" i="1" s="1"/>
  <c r="BD412" i="1"/>
  <c r="BF412" i="1" s="1"/>
  <c r="BH412" i="1"/>
  <c r="BD896" i="1"/>
  <c r="BF896" i="1" s="1"/>
  <c r="BH896" i="1"/>
  <c r="AP332" i="1"/>
  <c r="AR332" i="1" s="1"/>
  <c r="AL332" i="1"/>
  <c r="AL493" i="1"/>
  <c r="AP493" i="1"/>
  <c r="AR493" i="1" s="1"/>
  <c r="BD660" i="1"/>
  <c r="BF660" i="1" s="1"/>
  <c r="BH660" i="1"/>
  <c r="BD158" i="1"/>
  <c r="BF158" i="1" s="1"/>
  <c r="BH158" i="1"/>
  <c r="AP1025" i="1"/>
  <c r="AR1025" i="1" s="1"/>
  <c r="AL1025" i="1"/>
  <c r="AL433" i="1"/>
  <c r="AP433" i="1"/>
  <c r="AR433" i="1" s="1"/>
  <c r="BD956" i="1"/>
  <c r="BF956" i="1" s="1"/>
  <c r="BH956" i="1"/>
  <c r="BD611" i="1"/>
  <c r="BF611" i="1" s="1"/>
  <c r="BH611" i="1"/>
  <c r="BD687" i="1"/>
  <c r="BF687" i="1" s="1"/>
  <c r="BH687" i="1"/>
  <c r="AL884" i="1"/>
  <c r="AP884" i="1"/>
  <c r="AR884" i="1" s="1"/>
  <c r="AL626" i="1"/>
  <c r="AP626" i="1"/>
  <c r="AR626" i="1" s="1"/>
  <c r="BH936" i="1"/>
  <c r="BD936" i="1"/>
  <c r="BF936" i="1" s="1"/>
  <c r="BD334" i="1"/>
  <c r="BF334" i="1" s="1"/>
  <c r="BH334" i="1"/>
  <c r="AP244" i="1"/>
  <c r="AR244" i="1" s="1"/>
  <c r="AL244" i="1"/>
  <c r="AL888" i="1"/>
  <c r="AP888" i="1"/>
  <c r="AR888" i="1" s="1"/>
  <c r="AL724" i="1"/>
  <c r="AP724" i="1"/>
  <c r="AR724" i="1" s="1"/>
  <c r="BD312" i="1"/>
  <c r="BF312" i="1" s="1"/>
  <c r="BH312" i="1"/>
  <c r="BH578" i="1"/>
  <c r="BD578" i="1"/>
  <c r="BF578" i="1" s="1"/>
  <c r="BD176" i="1"/>
  <c r="BF176" i="1" s="1"/>
  <c r="BH176" i="1"/>
  <c r="BD607" i="1"/>
  <c r="BF607" i="1" s="1"/>
  <c r="BH607" i="1"/>
  <c r="AL292" i="1"/>
  <c r="AP292" i="1"/>
  <c r="AR292" i="1" s="1"/>
  <c r="AP863" i="1"/>
  <c r="AR863" i="1" s="1"/>
  <c r="AL863" i="1"/>
  <c r="AP947" i="1"/>
  <c r="AR947" i="1" s="1"/>
  <c r="AL947" i="1"/>
  <c r="AL108" i="1"/>
  <c r="AP108" i="1"/>
  <c r="AR108" i="1" s="1"/>
  <c r="BD97" i="1"/>
  <c r="BF97" i="1" s="1"/>
  <c r="BH97" i="1"/>
  <c r="BD823" i="1"/>
  <c r="BF823" i="1" s="1"/>
  <c r="BH823" i="1"/>
  <c r="BD673" i="1"/>
  <c r="BF673" i="1" s="1"/>
  <c r="BH673" i="1"/>
  <c r="BD545" i="1"/>
  <c r="BF545" i="1" s="1"/>
  <c r="BH545" i="1"/>
  <c r="BD997" i="1"/>
  <c r="BF997" i="1" s="1"/>
  <c r="BH997" i="1"/>
  <c r="AL51" i="1"/>
  <c r="AP51" i="1"/>
  <c r="AR51" i="1" s="1"/>
  <c r="AL544" i="1"/>
  <c r="AP544" i="1"/>
  <c r="AR544" i="1" s="1"/>
  <c r="AL513" i="1"/>
  <c r="AP513" i="1"/>
  <c r="AR513" i="1" s="1"/>
  <c r="AL621" i="1"/>
  <c r="AP621" i="1"/>
  <c r="AR621" i="1" s="1"/>
  <c r="BD854" i="1"/>
  <c r="BF854" i="1" s="1"/>
  <c r="BH854" i="1"/>
  <c r="BD681" i="1"/>
  <c r="BF681" i="1" s="1"/>
  <c r="BH681" i="1"/>
  <c r="BD703" i="1"/>
  <c r="BF703" i="1" s="1"/>
  <c r="BH703" i="1"/>
  <c r="BD222" i="1"/>
  <c r="BF222" i="1" s="1"/>
  <c r="BH222" i="1"/>
  <c r="BD207" i="1"/>
  <c r="BF207" i="1" s="1"/>
  <c r="BH207" i="1"/>
  <c r="BD362" i="1"/>
  <c r="BF362" i="1" s="1"/>
  <c r="BH362" i="1"/>
  <c r="BD467" i="1"/>
  <c r="BF467" i="1" s="1"/>
  <c r="BH467" i="1"/>
  <c r="AL927" i="1"/>
  <c r="AP927" i="1"/>
  <c r="AR927" i="1" s="1"/>
  <c r="AL907" i="1"/>
  <c r="AP907" i="1"/>
  <c r="AR907" i="1" s="1"/>
  <c r="AL170" i="1"/>
  <c r="AP170" i="1"/>
  <c r="AR170" i="1" s="1"/>
  <c r="AL778" i="1"/>
  <c r="AP778" i="1"/>
  <c r="AR778" i="1" s="1"/>
  <c r="BD626" i="1"/>
  <c r="BF626" i="1" s="1"/>
  <c r="BH626" i="1"/>
  <c r="BD655" i="1"/>
  <c r="BF655" i="1" s="1"/>
  <c r="BH655" i="1"/>
  <c r="BD165" i="1"/>
  <c r="BF165" i="1" s="1"/>
  <c r="BH165" i="1"/>
  <c r="BD463" i="1"/>
  <c r="BF463" i="1" s="1"/>
  <c r="BH463" i="1"/>
  <c r="BD444" i="1"/>
  <c r="BF444" i="1" s="1"/>
  <c r="BH444" i="1"/>
  <c r="BD803" i="1"/>
  <c r="BF803" i="1" s="1"/>
  <c r="BH803" i="1"/>
  <c r="BD721" i="1"/>
  <c r="BF721" i="1" s="1"/>
  <c r="BH721" i="1"/>
  <c r="BD189" i="1"/>
  <c r="BF189" i="1" s="1"/>
  <c r="BH189" i="1"/>
  <c r="AK10" i="1"/>
  <c r="AL967" i="1"/>
  <c r="AP967" i="1"/>
  <c r="AR967" i="1" s="1"/>
  <c r="BD193" i="1"/>
  <c r="BF193" i="1" s="1"/>
  <c r="BH193" i="1"/>
  <c r="AL177" i="1"/>
  <c r="AP177" i="1"/>
  <c r="AR177" i="1" s="1"/>
  <c r="AL274" i="1"/>
  <c r="AP274" i="1"/>
  <c r="AR274" i="1" s="1"/>
  <c r="BD528" i="1"/>
  <c r="BF528" i="1" s="1"/>
  <c r="BH528" i="1"/>
  <c r="AP190" i="1"/>
  <c r="AR190" i="1" s="1"/>
  <c r="AL190" i="1"/>
  <c r="AL864" i="1"/>
  <c r="AP864" i="1"/>
  <c r="AR864" i="1" s="1"/>
  <c r="BD462" i="1"/>
  <c r="BF462" i="1" s="1"/>
  <c r="BH462" i="1"/>
  <c r="BD159" i="1"/>
  <c r="BF159" i="1" s="1"/>
  <c r="BH159" i="1"/>
  <c r="AL294" i="1"/>
  <c r="AP294" i="1"/>
  <c r="AR294" i="1" s="1"/>
  <c r="BD177" i="1"/>
  <c r="BF177" i="1" s="1"/>
  <c r="BH177" i="1"/>
  <c r="BD584" i="1"/>
  <c r="BF584" i="1" s="1"/>
  <c r="BH584" i="1"/>
  <c r="AL750" i="1"/>
  <c r="AS750" i="1" s="1"/>
  <c r="AT750" i="1" s="1"/>
  <c r="AP750" i="1"/>
  <c r="AR750" i="1" s="1"/>
  <c r="BD461" i="1"/>
  <c r="BF461" i="1" s="1"/>
  <c r="BH461" i="1"/>
  <c r="AP357" i="1"/>
  <c r="AR357" i="1" s="1"/>
  <c r="AL357" i="1"/>
  <c r="BD730" i="1"/>
  <c r="BF730" i="1" s="1"/>
  <c r="BH730" i="1"/>
  <c r="AP683" i="1"/>
  <c r="AR683" i="1" s="1"/>
  <c r="AL683" i="1"/>
  <c r="BD124" i="1"/>
  <c r="BF124" i="1" s="1"/>
  <c r="BH124" i="1"/>
  <c r="AL375" i="1"/>
  <c r="AP375" i="1"/>
  <c r="AR375" i="1" s="1"/>
  <c r="BH800" i="1"/>
  <c r="BD800" i="1"/>
  <c r="BF800" i="1" s="1"/>
  <c r="BD496" i="1"/>
  <c r="BF496" i="1" s="1"/>
  <c r="BH496" i="1"/>
  <c r="BD637" i="1"/>
  <c r="BF637" i="1" s="1"/>
  <c r="BH637" i="1"/>
  <c r="BH712" i="1"/>
  <c r="BD712" i="1"/>
  <c r="BF712" i="1" s="1"/>
  <c r="BD42" i="1"/>
  <c r="BF42" i="1" s="1"/>
  <c r="BH42" i="1"/>
  <c r="BD877" i="1"/>
  <c r="BF877" i="1" s="1"/>
  <c r="BH877" i="1"/>
  <c r="AL693" i="1"/>
  <c r="AP693" i="1"/>
  <c r="AR693" i="1" s="1"/>
  <c r="BD1006" i="1"/>
  <c r="BF1006" i="1" s="1"/>
  <c r="BH1006" i="1"/>
  <c r="BD711" i="1"/>
  <c r="BF711" i="1" s="1"/>
  <c r="BH711" i="1"/>
  <c r="AL738" i="1"/>
  <c r="AP738" i="1"/>
  <c r="AR738" i="1" s="1"/>
  <c r="BH327" i="1"/>
  <c r="BD327" i="1"/>
  <c r="BF327" i="1" s="1"/>
  <c r="BD533" i="1"/>
  <c r="BF533" i="1" s="1"/>
  <c r="BH533" i="1"/>
  <c r="AL227" i="1"/>
  <c r="AP227" i="1"/>
  <c r="AR227" i="1" s="1"/>
  <c r="BD118" i="1"/>
  <c r="BF118" i="1" s="1"/>
  <c r="BH118" i="1"/>
  <c r="BD828" i="1"/>
  <c r="BF828" i="1" s="1"/>
  <c r="BH828" i="1"/>
  <c r="BD384" i="1"/>
  <c r="BF384" i="1" s="1"/>
  <c r="BH384" i="1"/>
  <c r="BD631" i="1"/>
  <c r="BF631" i="1" s="1"/>
  <c r="BH631" i="1"/>
  <c r="AP1009" i="1"/>
  <c r="AR1009" i="1" s="1"/>
  <c r="AL1009" i="1"/>
  <c r="AL462" i="1"/>
  <c r="AP462" i="1"/>
  <c r="AR462" i="1" s="1"/>
  <c r="BD43" i="1"/>
  <c r="BF43" i="1" s="1"/>
  <c r="BH43" i="1"/>
  <c r="AP189" i="1"/>
  <c r="AR189" i="1" s="1"/>
  <c r="AL189" i="1"/>
  <c r="AP308" i="1"/>
  <c r="AR308" i="1" s="1"/>
  <c r="AL308" i="1"/>
  <c r="BD270" i="1"/>
  <c r="BF270" i="1" s="1"/>
  <c r="BH270" i="1"/>
  <c r="BH860" i="1"/>
  <c r="BD860" i="1"/>
  <c r="BF860" i="1" s="1"/>
  <c r="AP930" i="1"/>
  <c r="AR930" i="1" s="1"/>
  <c r="AL930" i="1"/>
  <c r="BH95" i="1"/>
  <c r="BD95" i="1"/>
  <c r="BF95" i="1" s="1"/>
  <c r="BD999" i="1"/>
  <c r="BF999" i="1" s="1"/>
  <c r="BH999" i="1"/>
  <c r="BD486" i="1"/>
  <c r="BF486" i="1" s="1"/>
  <c r="BH486" i="1"/>
  <c r="AL114" i="1"/>
  <c r="AM114" i="1" s="1"/>
  <c r="AN114" i="1" s="1"/>
  <c r="AP114" i="1"/>
  <c r="AR114" i="1" s="1"/>
  <c r="BD630" i="1"/>
  <c r="BF630" i="1" s="1"/>
  <c r="BH630" i="1"/>
  <c r="BD1008" i="1"/>
  <c r="BF1008" i="1" s="1"/>
  <c r="BH1008" i="1"/>
  <c r="BD336" i="1"/>
  <c r="BF336" i="1" s="1"/>
  <c r="BH336" i="1"/>
  <c r="BD490" i="1"/>
  <c r="BF490" i="1" s="1"/>
  <c r="BH490" i="1"/>
  <c r="AL367" i="1"/>
  <c r="AP367" i="1"/>
  <c r="AR367" i="1" s="1"/>
  <c r="AL790" i="1"/>
  <c r="AP790" i="1"/>
  <c r="AR790" i="1" s="1"/>
  <c r="BD114" i="1"/>
  <c r="BF114" i="1" s="1"/>
  <c r="BH114" i="1"/>
  <c r="BD454" i="1"/>
  <c r="BF454" i="1" s="1"/>
  <c r="BH454" i="1"/>
  <c r="AL234" i="1"/>
  <c r="AP234" i="1"/>
  <c r="AR234" i="1" s="1"/>
  <c r="AP412" i="1"/>
  <c r="AR412" i="1" s="1"/>
  <c r="AL412" i="1"/>
  <c r="AP502" i="1"/>
  <c r="AR502" i="1" s="1"/>
  <c r="AL502" i="1"/>
  <c r="AL254" i="1"/>
  <c r="AP254" i="1"/>
  <c r="AR254" i="1" s="1"/>
  <c r="BD1035" i="1"/>
  <c r="BF1035" i="1" s="1"/>
  <c r="BH1035" i="1"/>
  <c r="BD423" i="1"/>
  <c r="BF423" i="1" s="1"/>
  <c r="BH423" i="1"/>
  <c r="BD258" i="1"/>
  <c r="BF258" i="1" s="1"/>
  <c r="BH258" i="1"/>
  <c r="BD44" i="1"/>
  <c r="BF44" i="1" s="1"/>
  <c r="BH44" i="1"/>
  <c r="BD372" i="1"/>
  <c r="BF372" i="1" s="1"/>
  <c r="BH372" i="1"/>
  <c r="AP1002" i="1"/>
  <c r="AR1002" i="1" s="1"/>
  <c r="AL1002" i="1"/>
  <c r="AP248" i="1"/>
  <c r="AR248" i="1" s="1"/>
  <c r="AL248" i="1"/>
  <c r="AP322" i="1"/>
  <c r="AR322" i="1" s="1"/>
  <c r="AL322" i="1"/>
  <c r="AL1030" i="1"/>
  <c r="AP1030" i="1"/>
  <c r="AR1030" i="1" s="1"/>
  <c r="BH459" i="1"/>
  <c r="BD459" i="1"/>
  <c r="BF459" i="1" s="1"/>
  <c r="BH768" i="1"/>
  <c r="BD768" i="1"/>
  <c r="BF768" i="1" s="1"/>
  <c r="BD650" i="1"/>
  <c r="BF650" i="1" s="1"/>
  <c r="BH650" i="1"/>
  <c r="BD311" i="1"/>
  <c r="BF311" i="1" s="1"/>
  <c r="BH311" i="1"/>
  <c r="BD488" i="1"/>
  <c r="BF488" i="1" s="1"/>
  <c r="BH488" i="1"/>
  <c r="BD777" i="1"/>
  <c r="BF777" i="1" s="1"/>
  <c r="BH777" i="1"/>
  <c r="BD990" i="1"/>
  <c r="BF990" i="1" s="1"/>
  <c r="BH990" i="1"/>
  <c r="AL611" i="1"/>
  <c r="AP611" i="1"/>
  <c r="AR611" i="1" s="1"/>
  <c r="AL904" i="1"/>
  <c r="AP904" i="1"/>
  <c r="AR904" i="1" s="1"/>
  <c r="AL97" i="1"/>
  <c r="BE97" i="1" s="1"/>
  <c r="AP97" i="1"/>
  <c r="AR97" i="1" s="1"/>
  <c r="AP852" i="1"/>
  <c r="AR852" i="1" s="1"/>
  <c r="AL852" i="1"/>
  <c r="BD669" i="1"/>
  <c r="BF669" i="1" s="1"/>
  <c r="BH669" i="1"/>
  <c r="BD479" i="1"/>
  <c r="BF479" i="1" s="1"/>
  <c r="BH479" i="1"/>
  <c r="BD353" i="1"/>
  <c r="BF353" i="1" s="1"/>
  <c r="BH353" i="1"/>
  <c r="BH1043" i="1"/>
  <c r="BD1043" i="1"/>
  <c r="BF1043" i="1" s="1"/>
  <c r="BD199" i="1"/>
  <c r="BF199" i="1" s="1"/>
  <c r="BH199" i="1"/>
  <c r="BD861" i="1"/>
  <c r="BF861" i="1" s="1"/>
  <c r="BH861" i="1"/>
  <c r="BD672" i="1"/>
  <c r="BF672" i="1" s="1"/>
  <c r="BH672" i="1"/>
  <c r="BD188" i="1"/>
  <c r="BF188" i="1" s="1"/>
  <c r="BH188" i="1"/>
  <c r="BD587" i="1"/>
  <c r="BF587" i="1" s="1"/>
  <c r="BH587" i="1"/>
  <c r="BD226" i="1"/>
  <c r="BF226" i="1" s="1"/>
  <c r="BH226" i="1"/>
  <c r="BD175" i="1"/>
  <c r="BF175" i="1" s="1"/>
  <c r="BH175" i="1"/>
  <c r="BD947" i="1"/>
  <c r="BF947" i="1" s="1"/>
  <c r="BH947" i="1"/>
  <c r="BD802" i="1"/>
  <c r="BF802" i="1" s="1"/>
  <c r="BH802" i="1"/>
  <c r="BD950" i="1"/>
  <c r="BF950" i="1" s="1"/>
  <c r="BH950" i="1"/>
  <c r="BH957" i="1"/>
  <c r="BD957" i="1"/>
  <c r="BF957" i="1" s="1"/>
  <c r="BH987" i="1"/>
  <c r="BD987" i="1"/>
  <c r="BF987" i="1" s="1"/>
  <c r="AL489" i="1"/>
  <c r="AP489" i="1"/>
  <c r="AR489" i="1" s="1"/>
  <c r="AL943" i="1"/>
  <c r="AP943" i="1"/>
  <c r="AR943" i="1" s="1"/>
  <c r="AL324" i="1"/>
  <c r="AP324" i="1"/>
  <c r="AR324" i="1" s="1"/>
  <c r="BD418" i="1"/>
  <c r="BF418" i="1" s="1"/>
  <c r="BH418" i="1"/>
  <c r="AP68" i="1"/>
  <c r="AR68" i="1" s="1"/>
  <c r="AL68" i="1"/>
  <c r="AP303" i="1"/>
  <c r="AR303" i="1" s="1"/>
  <c r="AL303" i="1"/>
  <c r="AP452" i="1"/>
  <c r="AR452" i="1" s="1"/>
  <c r="AL452" i="1"/>
  <c r="AP966" i="1"/>
  <c r="AR966" i="1" s="1"/>
  <c r="AL966" i="1"/>
  <c r="AP957" i="1"/>
  <c r="AR957" i="1" s="1"/>
  <c r="AL957" i="1"/>
  <c r="BE957" i="1" s="1"/>
  <c r="AP349" i="1"/>
  <c r="AR349" i="1" s="1"/>
  <c r="AL349" i="1"/>
  <c r="AS349" i="1" s="1"/>
  <c r="AT349" i="1" s="1"/>
  <c r="AL925" i="1"/>
  <c r="AP925" i="1"/>
  <c r="AR925" i="1" s="1"/>
  <c r="AP938" i="1"/>
  <c r="AR938" i="1" s="1"/>
  <c r="AL938" i="1"/>
  <c r="AP695" i="1"/>
  <c r="AR695" i="1" s="1"/>
  <c r="AL695" i="1"/>
  <c r="AP129" i="1"/>
  <c r="AR129" i="1" s="1"/>
  <c r="AL129" i="1"/>
  <c r="AP115" i="1"/>
  <c r="AR115" i="1" s="1"/>
  <c r="AL115" i="1"/>
  <c r="AL263" i="1"/>
  <c r="AP263" i="1"/>
  <c r="AR263" i="1" s="1"/>
  <c r="AL224" i="1"/>
  <c r="AP224" i="1"/>
  <c r="AR224" i="1" s="1"/>
  <c r="AP457" i="1"/>
  <c r="AR457" i="1" s="1"/>
  <c r="AL457" i="1"/>
  <c r="AL509" i="1"/>
  <c r="AP509" i="1"/>
  <c r="AR509" i="1" s="1"/>
  <c r="AL118" i="1"/>
  <c r="AP118" i="1"/>
  <c r="AR118" i="1" s="1"/>
  <c r="AL202" i="1"/>
  <c r="AM202" i="1" s="1"/>
  <c r="AN202" i="1" s="1"/>
  <c r="AP202" i="1"/>
  <c r="AR202" i="1" s="1"/>
  <c r="AL688" i="1"/>
  <c r="AP688" i="1"/>
  <c r="AR688" i="1" s="1"/>
  <c r="AP871" i="1"/>
  <c r="AR871" i="1" s="1"/>
  <c r="AL871" i="1"/>
  <c r="AM871" i="1" s="1"/>
  <c r="AN871" i="1" s="1"/>
  <c r="BH793" i="1"/>
  <c r="BD793" i="1"/>
  <c r="BF793" i="1" s="1"/>
  <c r="BH57" i="1"/>
  <c r="BD57" i="1"/>
  <c r="BF57" i="1" s="1"/>
  <c r="BH26" i="1"/>
  <c r="BD26" i="1"/>
  <c r="BF26" i="1" s="1"/>
  <c r="BH841" i="1"/>
  <c r="BD841" i="1"/>
  <c r="BF841" i="1" s="1"/>
  <c r="BH281" i="1"/>
  <c r="BD281" i="1"/>
  <c r="BF281" i="1" s="1"/>
  <c r="BH266" i="1"/>
  <c r="BD266" i="1"/>
  <c r="BF266" i="1" s="1"/>
  <c r="BH836" i="1"/>
  <c r="BD836" i="1"/>
  <c r="BF836" i="1" s="1"/>
  <c r="BH901" i="1"/>
  <c r="BD901" i="1"/>
  <c r="BF901" i="1" s="1"/>
  <c r="BH537" i="1"/>
  <c r="BD537" i="1"/>
  <c r="BF537" i="1" s="1"/>
  <c r="BH390" i="1"/>
  <c r="BD390" i="1"/>
  <c r="BF390" i="1" s="1"/>
  <c r="BH573" i="1"/>
  <c r="BD573" i="1"/>
  <c r="BF573" i="1" s="1"/>
  <c r="BH636" i="1"/>
  <c r="BD636" i="1"/>
  <c r="BF636" i="1" s="1"/>
  <c r="BH991" i="1"/>
  <c r="BD991" i="1"/>
  <c r="BF991" i="1" s="1"/>
  <c r="BH387" i="1"/>
  <c r="BD387" i="1"/>
  <c r="BF387" i="1" s="1"/>
  <c r="BH539" i="1"/>
  <c r="BD539" i="1"/>
  <c r="BF539" i="1" s="1"/>
  <c r="BD702" i="1"/>
  <c r="BF702" i="1" s="1"/>
  <c r="BH702" i="1"/>
  <c r="BD767" i="1"/>
  <c r="BF767" i="1" s="1"/>
  <c r="BH767" i="1"/>
  <c r="BD111" i="1"/>
  <c r="BF111" i="1" s="1"/>
  <c r="BH111" i="1"/>
  <c r="BH293" i="1"/>
  <c r="BD293" i="1"/>
  <c r="BF293" i="1" s="1"/>
  <c r="AP230" i="1"/>
  <c r="AR230" i="1" s="1"/>
  <c r="AL230" i="1"/>
  <c r="AP642" i="1"/>
  <c r="AR642" i="1" s="1"/>
  <c r="AL642" i="1"/>
  <c r="AL986" i="1"/>
  <c r="AP986" i="1"/>
  <c r="AR986" i="1" s="1"/>
  <c r="AP207" i="1"/>
  <c r="AR207" i="1" s="1"/>
  <c r="AL207" i="1"/>
  <c r="AL909" i="1"/>
  <c r="AP909" i="1"/>
  <c r="AR909" i="1" s="1"/>
  <c r="AP595" i="1"/>
  <c r="AR595" i="1" s="1"/>
  <c r="AL595" i="1"/>
  <c r="AL313" i="1"/>
  <c r="AP313" i="1"/>
  <c r="AR313" i="1" s="1"/>
  <c r="AL866" i="1"/>
  <c r="AP866" i="1"/>
  <c r="AR866" i="1" s="1"/>
  <c r="AL436" i="1"/>
  <c r="AP436" i="1"/>
  <c r="AR436" i="1" s="1"/>
  <c r="AP536" i="1"/>
  <c r="AR536" i="1" s="1"/>
  <c r="AL536" i="1"/>
  <c r="BH483" i="1"/>
  <c r="BD483" i="1"/>
  <c r="BF483" i="1" s="1"/>
  <c r="BH984" i="1"/>
  <c r="BD984" i="1"/>
  <c r="BF984" i="1" s="1"/>
  <c r="BD666" i="1"/>
  <c r="BF666" i="1" s="1"/>
  <c r="BH666" i="1"/>
  <c r="BH297" i="1"/>
  <c r="BD297" i="1"/>
  <c r="BF297" i="1" s="1"/>
  <c r="BH510" i="1"/>
  <c r="BD510" i="1"/>
  <c r="BF510" i="1" s="1"/>
  <c r="BH694" i="1"/>
  <c r="BD694" i="1"/>
  <c r="BF694" i="1" s="1"/>
  <c r="BH367" i="1"/>
  <c r="BD367" i="1"/>
  <c r="BF367" i="1" s="1"/>
  <c r="BD1031" i="1"/>
  <c r="BF1031" i="1" s="1"/>
  <c r="BH1031" i="1"/>
  <c r="BD221" i="1"/>
  <c r="BF221" i="1" s="1"/>
  <c r="BH221" i="1"/>
  <c r="BD213" i="1"/>
  <c r="BF213" i="1" s="1"/>
  <c r="BH213" i="1"/>
  <c r="BD31" i="1"/>
  <c r="BF31" i="1" s="1"/>
  <c r="BH31" i="1"/>
  <c r="AP857" i="1"/>
  <c r="AR857" i="1" s="1"/>
  <c r="AL857" i="1"/>
  <c r="AP1000" i="1"/>
  <c r="AR1000" i="1" s="1"/>
  <c r="AL1000" i="1"/>
  <c r="AM1000" i="1" s="1"/>
  <c r="AN1000" i="1" s="1"/>
  <c r="AP520" i="1"/>
  <c r="AR520" i="1" s="1"/>
  <c r="AL520" i="1"/>
  <c r="AL318" i="1"/>
  <c r="AP318" i="1"/>
  <c r="AR318" i="1" s="1"/>
  <c r="AL553" i="1"/>
  <c r="AP553" i="1"/>
  <c r="AR553" i="1" s="1"/>
  <c r="AL574" i="1"/>
  <c r="AP574" i="1"/>
  <c r="AR574" i="1" s="1"/>
  <c r="AL869" i="1"/>
  <c r="AP869" i="1"/>
  <c r="AR869" i="1" s="1"/>
  <c r="AP140" i="1"/>
  <c r="AR140" i="1" s="1"/>
  <c r="AL140" i="1"/>
  <c r="AM140" i="1" s="1"/>
  <c r="AN140" i="1" s="1"/>
  <c r="AL969" i="1"/>
  <c r="AP969" i="1"/>
  <c r="AR969" i="1" s="1"/>
  <c r="BH433" i="1"/>
  <c r="BD433" i="1"/>
  <c r="BF433" i="1" s="1"/>
  <c r="BH411" i="1"/>
  <c r="BD411" i="1"/>
  <c r="BF411" i="1" s="1"/>
  <c r="AP79" i="1"/>
  <c r="AR79" i="1" s="1"/>
  <c r="AL79" i="1"/>
  <c r="AU79" i="1" s="1"/>
  <c r="AL92" i="1"/>
  <c r="AP92" i="1"/>
  <c r="AR92" i="1" s="1"/>
  <c r="AP972" i="1"/>
  <c r="AR972" i="1" s="1"/>
  <c r="AL972" i="1"/>
  <c r="AP780" i="1"/>
  <c r="AR780" i="1" s="1"/>
  <c r="AL780" i="1"/>
  <c r="AL479" i="1"/>
  <c r="BE479" i="1" s="1"/>
  <c r="AP479" i="1"/>
  <c r="AR479" i="1" s="1"/>
  <c r="BH492" i="1"/>
  <c r="BD492" i="1"/>
  <c r="BF492" i="1" s="1"/>
  <c r="BH261" i="1"/>
  <c r="BD261" i="1"/>
  <c r="BF261" i="1" s="1"/>
  <c r="BH505" i="1"/>
  <c r="BD505" i="1"/>
  <c r="BF505" i="1" s="1"/>
  <c r="BH348" i="1"/>
  <c r="BD348" i="1"/>
  <c r="BF348" i="1" s="1"/>
  <c r="BH878" i="1"/>
  <c r="BD878" i="1"/>
  <c r="BF878" i="1" s="1"/>
  <c r="BH494" i="1"/>
  <c r="BD494" i="1"/>
  <c r="BF494" i="1" s="1"/>
  <c r="BD933" i="1"/>
  <c r="BF933" i="1" s="1"/>
  <c r="BH933" i="1"/>
  <c r="BD406" i="1"/>
  <c r="BF406" i="1" s="1"/>
  <c r="BH406" i="1"/>
  <c r="BD844" i="1"/>
  <c r="BF844" i="1" s="1"/>
  <c r="BH844" i="1"/>
  <c r="AL288" i="1"/>
  <c r="AP288" i="1"/>
  <c r="AR288" i="1" s="1"/>
  <c r="AP578" i="1"/>
  <c r="AR578" i="1" s="1"/>
  <c r="AL578" i="1"/>
  <c r="AP552" i="1"/>
  <c r="AR552" i="1" s="1"/>
  <c r="AL552" i="1"/>
  <c r="AP314" i="1"/>
  <c r="AR314" i="1" s="1"/>
  <c r="AL314" i="1"/>
  <c r="AP634" i="1"/>
  <c r="AR634" i="1" s="1"/>
  <c r="AL634" i="1"/>
  <c r="AP787" i="1"/>
  <c r="AR787" i="1" s="1"/>
  <c r="AL787" i="1"/>
  <c r="AP570" i="1"/>
  <c r="AR570" i="1" s="1"/>
  <c r="AL570" i="1"/>
  <c r="BD395" i="1"/>
  <c r="BF395" i="1" s="1"/>
  <c r="BH395" i="1"/>
  <c r="BD961" i="1"/>
  <c r="BF961" i="1" s="1"/>
  <c r="BH961" i="1"/>
  <c r="BD495" i="1"/>
  <c r="BF495" i="1" s="1"/>
  <c r="BH495" i="1"/>
  <c r="BD890" i="1"/>
  <c r="BF890" i="1" s="1"/>
  <c r="BH890" i="1"/>
  <c r="BD649" i="1"/>
  <c r="BF649" i="1" s="1"/>
  <c r="BH649" i="1"/>
  <c r="BD84" i="1"/>
  <c r="BF84" i="1" s="1"/>
  <c r="BH84" i="1"/>
  <c r="BH865" i="1"/>
  <c r="BD865" i="1"/>
  <c r="BF865" i="1" s="1"/>
  <c r="BH167" i="1"/>
  <c r="BD167" i="1"/>
  <c r="BF167" i="1" s="1"/>
  <c r="BH69" i="1"/>
  <c r="BD69" i="1"/>
  <c r="BF69" i="1" s="1"/>
  <c r="BH1042" i="1"/>
  <c r="BD1042" i="1"/>
  <c r="BF1042" i="1" s="1"/>
  <c r="BH470" i="1"/>
  <c r="BD470" i="1"/>
  <c r="BF470" i="1" s="1"/>
  <c r="BH547" i="1"/>
  <c r="BD547" i="1"/>
  <c r="BF547" i="1" s="1"/>
  <c r="AP157" i="1"/>
  <c r="AR157" i="1" s="1"/>
  <c r="AL157" i="1"/>
  <c r="AP232" i="1"/>
  <c r="AR232" i="1" s="1"/>
  <c r="AL232" i="1"/>
  <c r="AP753" i="1"/>
  <c r="AR753" i="1" s="1"/>
  <c r="AL753" i="1"/>
  <c r="AL861" i="1"/>
  <c r="AP861" i="1"/>
  <c r="AR861" i="1" s="1"/>
  <c r="AL261" i="1"/>
  <c r="AP261" i="1"/>
  <c r="AR261" i="1" s="1"/>
  <c r="AL57" i="1"/>
  <c r="AP57" i="1"/>
  <c r="AR57" i="1" s="1"/>
  <c r="AP556" i="1"/>
  <c r="AR556" i="1" s="1"/>
  <c r="AL556" i="1"/>
  <c r="AL494" i="1"/>
  <c r="AP494" i="1"/>
  <c r="AR494" i="1" s="1"/>
  <c r="AL444" i="1"/>
  <c r="AP444" i="1"/>
  <c r="AR444" i="1" s="1"/>
  <c r="AL533" i="1"/>
  <c r="AP533" i="1"/>
  <c r="AR533" i="1" s="1"/>
  <c r="AL103" i="1"/>
  <c r="AP103" i="1"/>
  <c r="AR103" i="1" s="1"/>
  <c r="AP883" i="1"/>
  <c r="AR883" i="1" s="1"/>
  <c r="AL883" i="1"/>
  <c r="AP924" i="1"/>
  <c r="AR924" i="1" s="1"/>
  <c r="AL924" i="1"/>
  <c r="BH846" i="1"/>
  <c r="BD846" i="1"/>
  <c r="BF846" i="1" s="1"/>
  <c r="BH1040" i="1"/>
  <c r="BD1040" i="1"/>
  <c r="BF1040" i="1" s="1"/>
  <c r="BH259" i="1"/>
  <c r="BD259" i="1"/>
  <c r="BF259" i="1" s="1"/>
  <c r="BD315" i="1"/>
  <c r="BF315" i="1" s="1"/>
  <c r="BH315" i="1"/>
  <c r="BH661" i="1"/>
  <c r="BD661" i="1"/>
  <c r="BF661" i="1" s="1"/>
  <c r="BH341" i="1"/>
  <c r="BD341" i="1"/>
  <c r="BF341" i="1" s="1"/>
  <c r="BH971" i="1"/>
  <c r="BD971" i="1"/>
  <c r="BF971" i="1" s="1"/>
  <c r="BH542" i="1"/>
  <c r="BD542" i="1"/>
  <c r="BF542" i="1" s="1"/>
  <c r="BH668" i="1"/>
  <c r="BD668" i="1"/>
  <c r="BF668" i="1" s="1"/>
  <c r="BH127" i="1"/>
  <c r="BD127" i="1"/>
  <c r="BF127" i="1" s="1"/>
  <c r="BH1025" i="1"/>
  <c r="BD1025" i="1"/>
  <c r="BF1025" i="1" s="1"/>
  <c r="BH112" i="1"/>
  <c r="BD112" i="1"/>
  <c r="BF112" i="1" s="1"/>
  <c r="BH851" i="1"/>
  <c r="BD851" i="1"/>
  <c r="BF851" i="1" s="1"/>
  <c r="BD616" i="1"/>
  <c r="BF616" i="1" s="1"/>
  <c r="BH616" i="1"/>
  <c r="BH507" i="1"/>
  <c r="BD507" i="1"/>
  <c r="BF507" i="1" s="1"/>
  <c r="AL327" i="1"/>
  <c r="AM327" i="1" s="1"/>
  <c r="AN327" i="1" s="1"/>
  <c r="AP327" i="1"/>
  <c r="AR327" i="1" s="1"/>
  <c r="AL58" i="1"/>
  <c r="AP58" i="1"/>
  <c r="AR58" i="1" s="1"/>
  <c r="AP649" i="1"/>
  <c r="AR649" i="1" s="1"/>
  <c r="AL649" i="1"/>
  <c r="AM649" i="1" s="1"/>
  <c r="AN649" i="1" s="1"/>
  <c r="AP200" i="1"/>
  <c r="AR200" i="1" s="1"/>
  <c r="AL200" i="1"/>
  <c r="AL998" i="1"/>
  <c r="AP998" i="1"/>
  <c r="AR998" i="1" s="1"/>
  <c r="AL510" i="1"/>
  <c r="AP510" i="1"/>
  <c r="AR510" i="1" s="1"/>
  <c r="BD247" i="1"/>
  <c r="BF247" i="1" s="1"/>
  <c r="BH247" i="1"/>
  <c r="AL258" i="1"/>
  <c r="AP258" i="1"/>
  <c r="AR258" i="1" s="1"/>
  <c r="AL736" i="1"/>
  <c r="AP736" i="1"/>
  <c r="AR736" i="1" s="1"/>
  <c r="AL519" i="1"/>
  <c r="AP519" i="1"/>
  <c r="AR519" i="1" s="1"/>
  <c r="AL776" i="1"/>
  <c r="AP776" i="1"/>
  <c r="AR776" i="1" s="1"/>
  <c r="AP390" i="1"/>
  <c r="AR390" i="1" s="1"/>
  <c r="AL390" i="1"/>
  <c r="BE390" i="1" s="1"/>
  <c r="AP682" i="1"/>
  <c r="AR682" i="1" s="1"/>
  <c r="AL682" i="1"/>
  <c r="AP1043" i="1"/>
  <c r="AR1043" i="1" s="1"/>
  <c r="AL1043" i="1"/>
  <c r="BE1043" i="1" s="1"/>
  <c r="AL958" i="1"/>
  <c r="AP958" i="1"/>
  <c r="AR958" i="1" s="1"/>
  <c r="AP979" i="1"/>
  <c r="AR979" i="1" s="1"/>
  <c r="AL979" i="1"/>
  <c r="AP839" i="1"/>
  <c r="AR839" i="1" s="1"/>
  <c r="AL839" i="1"/>
  <c r="BH985" i="1"/>
  <c r="BD985" i="1"/>
  <c r="BF985" i="1" s="1"/>
  <c r="BH874" i="1"/>
  <c r="BD874" i="1"/>
  <c r="BF874" i="1" s="1"/>
  <c r="BH1041" i="1"/>
  <c r="BD1041" i="1"/>
  <c r="BF1041" i="1" s="1"/>
  <c r="BH530" i="1"/>
  <c r="BD530" i="1"/>
  <c r="BF530" i="1" s="1"/>
  <c r="BD428" i="1"/>
  <c r="BF428" i="1" s="1"/>
  <c r="BH428" i="1"/>
  <c r="AP55" i="1"/>
  <c r="AR55" i="1" s="1"/>
  <c r="AL55" i="1"/>
  <c r="AP534" i="1"/>
  <c r="AR534" i="1" s="1"/>
  <c r="AL534" i="1"/>
  <c r="BH317" i="1"/>
  <c r="BD317" i="1"/>
  <c r="BF317" i="1" s="1"/>
  <c r="BH577" i="1"/>
  <c r="BD577" i="1"/>
  <c r="BF577" i="1" s="1"/>
  <c r="BH229" i="1"/>
  <c r="BD229" i="1"/>
  <c r="BF229" i="1" s="1"/>
  <c r="BH399" i="1"/>
  <c r="BD399" i="1"/>
  <c r="BF399" i="1" s="1"/>
  <c r="BH48" i="1"/>
  <c r="BD48" i="1"/>
  <c r="BF48" i="1" s="1"/>
  <c r="BH752" i="1"/>
  <c r="BD752" i="1"/>
  <c r="BF752" i="1" s="1"/>
  <c r="BH529" i="1"/>
  <c r="BD529" i="1"/>
  <c r="BF529" i="1" s="1"/>
  <c r="BH709" i="1"/>
  <c r="BD709" i="1"/>
  <c r="BF709" i="1" s="1"/>
  <c r="BH708" i="1"/>
  <c r="BD708" i="1"/>
  <c r="BF708" i="1" s="1"/>
  <c r="BH667" i="1"/>
  <c r="BD667" i="1"/>
  <c r="BF667" i="1" s="1"/>
  <c r="BD185" i="1"/>
  <c r="BF185" i="1" s="1"/>
  <c r="BH185" i="1"/>
  <c r="BD285" i="1"/>
  <c r="BF285" i="1" s="1"/>
  <c r="BH285" i="1"/>
  <c r="AP617" i="1"/>
  <c r="AR617" i="1" s="1"/>
  <c r="AL617" i="1"/>
  <c r="BH420" i="1"/>
  <c r="BD420" i="1"/>
  <c r="BF420" i="1" s="1"/>
  <c r="BH682" i="1"/>
  <c r="BD682" i="1"/>
  <c r="BF682" i="1" s="1"/>
  <c r="AP424" i="1"/>
  <c r="AR424" i="1" s="1"/>
  <c r="AL424" i="1"/>
  <c r="AL968" i="1"/>
  <c r="BE968" i="1" s="1"/>
  <c r="AP968" i="1"/>
  <c r="AR968" i="1" s="1"/>
  <c r="AP562" i="1"/>
  <c r="AR562" i="1" s="1"/>
  <c r="AL562" i="1"/>
  <c r="AP363" i="1"/>
  <c r="AR363" i="1" s="1"/>
  <c r="AL363" i="1"/>
  <c r="AP696" i="1"/>
  <c r="AR696" i="1" s="1"/>
  <c r="AL696" i="1"/>
  <c r="AP241" i="1"/>
  <c r="AR241" i="1" s="1"/>
  <c r="AL241" i="1"/>
  <c r="AP920" i="1"/>
  <c r="AR920" i="1" s="1"/>
  <c r="AL920" i="1"/>
  <c r="BE920" i="1" s="1"/>
  <c r="AL246" i="1"/>
  <c r="AP246" i="1"/>
  <c r="AR246" i="1" s="1"/>
  <c r="AP127" i="1"/>
  <c r="AR127" i="1" s="1"/>
  <c r="AL127" i="1"/>
  <c r="AM127" i="1" s="1"/>
  <c r="AN127" i="1" s="1"/>
  <c r="AP609" i="1"/>
  <c r="AR609" i="1" s="1"/>
  <c r="AL609" i="1"/>
  <c r="AP495" i="1"/>
  <c r="AR495" i="1" s="1"/>
  <c r="AL495" i="1"/>
  <c r="BE495" i="1" s="1"/>
  <c r="AL905" i="1"/>
  <c r="AP905" i="1"/>
  <c r="AR905" i="1" s="1"/>
  <c r="AL797" i="1"/>
  <c r="AP797" i="1"/>
  <c r="AR797" i="1" s="1"/>
  <c r="AP822" i="1"/>
  <c r="AR822" i="1" s="1"/>
  <c r="AL822" i="1"/>
  <c r="BD581" i="1"/>
  <c r="BF581" i="1" s="1"/>
  <c r="BH581" i="1"/>
  <c r="BD143" i="1"/>
  <c r="BF143" i="1" s="1"/>
  <c r="BH143" i="1"/>
  <c r="BD887" i="1"/>
  <c r="BF887" i="1" s="1"/>
  <c r="BH887" i="1"/>
  <c r="BD600" i="1"/>
  <c r="BF600" i="1" s="1"/>
  <c r="BH600" i="1"/>
  <c r="BH558" i="1"/>
  <c r="BD558" i="1"/>
  <c r="BF558" i="1" s="1"/>
  <c r="BD674" i="1"/>
  <c r="BF674" i="1" s="1"/>
  <c r="BH674" i="1"/>
  <c r="BD466" i="1"/>
  <c r="BF466" i="1" s="1"/>
  <c r="BH466" i="1"/>
  <c r="BH920" i="1"/>
  <c r="BD920" i="1"/>
  <c r="BF920" i="1" s="1"/>
  <c r="BH250" i="1"/>
  <c r="BD250" i="1"/>
  <c r="BF250" i="1" s="1"/>
  <c r="BH678" i="1"/>
  <c r="BD678" i="1"/>
  <c r="BF678" i="1" s="1"/>
  <c r="BH465" i="1"/>
  <c r="BD465" i="1"/>
  <c r="BF465" i="1" s="1"/>
  <c r="BH432" i="1"/>
  <c r="BD432" i="1"/>
  <c r="BF432" i="1" s="1"/>
  <c r="BH508" i="1"/>
  <c r="BD508" i="1"/>
  <c r="BF508" i="1" s="1"/>
  <c r="BH693" i="1"/>
  <c r="BD693" i="1"/>
  <c r="BF693" i="1" s="1"/>
  <c r="BH292" i="1"/>
  <c r="BD292" i="1"/>
  <c r="BF292" i="1" s="1"/>
  <c r="BH183" i="1"/>
  <c r="BD183" i="1"/>
  <c r="BF183" i="1" s="1"/>
  <c r="BH785" i="1"/>
  <c r="BD785" i="1"/>
  <c r="BF785" i="1" s="1"/>
  <c r="BH569" i="1"/>
  <c r="BD569" i="1"/>
  <c r="BF569" i="1" s="1"/>
  <c r="BH864" i="1"/>
  <c r="BD864" i="1"/>
  <c r="BF864" i="1" s="1"/>
  <c r="BH676" i="1"/>
  <c r="BD676" i="1"/>
  <c r="BF676" i="1" s="1"/>
  <c r="BH407" i="1"/>
  <c r="BD407" i="1"/>
  <c r="BF407" i="1" s="1"/>
  <c r="BH745" i="1"/>
  <c r="BD745" i="1"/>
  <c r="BF745" i="1" s="1"/>
  <c r="BD206" i="1"/>
  <c r="BF206" i="1" s="1"/>
  <c r="BH206" i="1"/>
  <c r="BH786" i="1"/>
  <c r="BD786" i="1"/>
  <c r="BF786" i="1" s="1"/>
  <c r="AL802" i="1"/>
  <c r="AP802" i="1"/>
  <c r="AR802" i="1" s="1"/>
  <c r="AP46" i="1"/>
  <c r="AR46" i="1" s="1"/>
  <c r="AL46" i="1"/>
  <c r="BD541" i="1"/>
  <c r="BF541" i="1" s="1"/>
  <c r="BH541" i="1"/>
  <c r="AP268" i="1"/>
  <c r="AR268" i="1" s="1"/>
  <c r="AL268" i="1"/>
  <c r="AP847" i="1"/>
  <c r="AR847" i="1" s="1"/>
  <c r="AL847" i="1"/>
  <c r="AL525" i="1"/>
  <c r="AP525" i="1"/>
  <c r="AR525" i="1" s="1"/>
  <c r="AL64" i="1"/>
  <c r="AU64" i="1" s="1"/>
  <c r="AP64" i="1"/>
  <c r="AR64" i="1" s="1"/>
  <c r="AP1021" i="1"/>
  <c r="AR1021" i="1" s="1"/>
  <c r="AL1021" i="1"/>
  <c r="AL432" i="1"/>
  <c r="AP432" i="1"/>
  <c r="AR432" i="1" s="1"/>
  <c r="AL535" i="1"/>
  <c r="AP535" i="1"/>
  <c r="AR535" i="1" s="1"/>
  <c r="AL430" i="1"/>
  <c r="AP430" i="1"/>
  <c r="AR430" i="1" s="1"/>
  <c r="AP277" i="1"/>
  <c r="AR277" i="1" s="1"/>
  <c r="AL277" i="1"/>
  <c r="AL715" i="1"/>
  <c r="AP715" i="1"/>
  <c r="AR715" i="1" s="1"/>
  <c r="AL295" i="1"/>
  <c r="AP295" i="1"/>
  <c r="AR295" i="1" s="1"/>
  <c r="AP441" i="1"/>
  <c r="AR441" i="1" s="1"/>
  <c r="AL441" i="1"/>
  <c r="AP809" i="1"/>
  <c r="AR809" i="1" s="1"/>
  <c r="AL809" i="1"/>
  <c r="AL646" i="1"/>
  <c r="AP646" i="1"/>
  <c r="AR646" i="1" s="1"/>
  <c r="BH592" i="1"/>
  <c r="BD592" i="1"/>
  <c r="BF592" i="1" s="1"/>
  <c r="BH821" i="1"/>
  <c r="BD821" i="1"/>
  <c r="BF821" i="1" s="1"/>
  <c r="BH512" i="1"/>
  <c r="BD512" i="1"/>
  <c r="BF512" i="1" s="1"/>
  <c r="BH716" i="1"/>
  <c r="BD716" i="1"/>
  <c r="BF716" i="1" s="1"/>
  <c r="BH1012" i="1"/>
  <c r="BD1012" i="1"/>
  <c r="BF1012" i="1" s="1"/>
  <c r="BD92" i="1"/>
  <c r="BF92" i="1" s="1"/>
  <c r="BH92" i="1"/>
  <c r="BH329" i="1"/>
  <c r="BD329" i="1"/>
  <c r="BF329" i="1" s="1"/>
  <c r="BH77" i="1"/>
  <c r="BD77" i="1"/>
  <c r="BF77" i="1" s="1"/>
  <c r="BH440" i="1"/>
  <c r="BD440" i="1"/>
  <c r="BF440" i="1" s="1"/>
  <c r="BH76" i="1"/>
  <c r="BD76" i="1"/>
  <c r="BF76" i="1" s="1"/>
  <c r="BH405" i="1"/>
  <c r="BD405" i="1"/>
  <c r="BF405" i="1" s="1"/>
  <c r="BH859" i="1"/>
  <c r="BD859" i="1"/>
  <c r="BF859" i="1" s="1"/>
  <c r="BH818" i="1"/>
  <c r="BD818" i="1"/>
  <c r="BF818" i="1" s="1"/>
  <c r="BH831" i="1"/>
  <c r="BD831" i="1"/>
  <c r="BF831" i="1" s="1"/>
  <c r="BD364" i="1"/>
  <c r="BF364" i="1" s="1"/>
  <c r="BH364" i="1"/>
  <c r="BD675" i="1"/>
  <c r="BF675" i="1" s="1"/>
  <c r="BH675" i="1"/>
  <c r="BH1036" i="1"/>
  <c r="BD1036" i="1"/>
  <c r="BF1036" i="1" s="1"/>
  <c r="BD96" i="1"/>
  <c r="BF96" i="1" s="1"/>
  <c r="BH96" i="1"/>
  <c r="BH277" i="1"/>
  <c r="BD277" i="1"/>
  <c r="BF277" i="1" s="1"/>
  <c r="BD591" i="1"/>
  <c r="BF591" i="1" s="1"/>
  <c r="BH591" i="1"/>
  <c r="BD894" i="1"/>
  <c r="BF894" i="1" s="1"/>
  <c r="BH894" i="1"/>
  <c r="BH267" i="1"/>
  <c r="BD267" i="1"/>
  <c r="BF267" i="1" s="1"/>
  <c r="BH719" i="1"/>
  <c r="BD719" i="1"/>
  <c r="BF719" i="1" s="1"/>
  <c r="BH378" i="1"/>
  <c r="BD378" i="1"/>
  <c r="BF378" i="1" s="1"/>
  <c r="BH769" i="1"/>
  <c r="BD769" i="1"/>
  <c r="BF769" i="1" s="1"/>
  <c r="BH531" i="1"/>
  <c r="BD531" i="1"/>
  <c r="BF531" i="1" s="1"/>
  <c r="BH543" i="1"/>
  <c r="BD543" i="1"/>
  <c r="BF543" i="1" s="1"/>
  <c r="BH765" i="1"/>
  <c r="BD765" i="1"/>
  <c r="BF765" i="1" s="1"/>
  <c r="BH276" i="1"/>
  <c r="BD276" i="1"/>
  <c r="BF276" i="1" s="1"/>
  <c r="BH273" i="1"/>
  <c r="BD273" i="1"/>
  <c r="BF273" i="1" s="1"/>
  <c r="BH481" i="1"/>
  <c r="BD481" i="1"/>
  <c r="BF481" i="1" s="1"/>
  <c r="BH129" i="1"/>
  <c r="BD129" i="1"/>
  <c r="BF129" i="1" s="1"/>
  <c r="BH680" i="1"/>
  <c r="BD680" i="1"/>
  <c r="BF680" i="1" s="1"/>
  <c r="BH448" i="1"/>
  <c r="BD448" i="1"/>
  <c r="BF448" i="1" s="1"/>
  <c r="BH216" i="1"/>
  <c r="BD216" i="1"/>
  <c r="BF216" i="1" s="1"/>
  <c r="BH455" i="1"/>
  <c r="BD455" i="1"/>
  <c r="BF455" i="1" s="1"/>
  <c r="BH352" i="1"/>
  <c r="BD352" i="1"/>
  <c r="BF352" i="1" s="1"/>
  <c r="BH590" i="1"/>
  <c r="BD590" i="1"/>
  <c r="BF590" i="1" s="1"/>
  <c r="BH409" i="1"/>
  <c r="BD409" i="1"/>
  <c r="BF409" i="1" s="1"/>
  <c r="BH339" i="1"/>
  <c r="BD339" i="1"/>
  <c r="BF339" i="1" s="1"/>
  <c r="BH856" i="1"/>
  <c r="BD856" i="1"/>
  <c r="BF856" i="1" s="1"/>
  <c r="BD795" i="1"/>
  <c r="BF795" i="1" s="1"/>
  <c r="BH795" i="1"/>
  <c r="BH966" i="1"/>
  <c r="BD966" i="1"/>
  <c r="BF966" i="1" s="1"/>
  <c r="BH477" i="1"/>
  <c r="BD477" i="1"/>
  <c r="BF477" i="1" s="1"/>
  <c r="BH300" i="1"/>
  <c r="BD300" i="1"/>
  <c r="BF300" i="1" s="1"/>
  <c r="BD296" i="1"/>
  <c r="BF296" i="1" s="1"/>
  <c r="BH296" i="1"/>
  <c r="BH79" i="1"/>
  <c r="BD79" i="1"/>
  <c r="BF79" i="1" s="1"/>
  <c r="BH917" i="1"/>
  <c r="BD917" i="1"/>
  <c r="BF917" i="1" s="1"/>
  <c r="BH822" i="1"/>
  <c r="BD822" i="1"/>
  <c r="BF822" i="1" s="1"/>
  <c r="BD834" i="1"/>
  <c r="BF834" i="1" s="1"/>
  <c r="BH834" i="1"/>
  <c r="BD343" i="1"/>
  <c r="BF343" i="1" s="1"/>
  <c r="BH343" i="1"/>
  <c r="BH426" i="1"/>
  <c r="BD426" i="1"/>
  <c r="BF426" i="1" s="1"/>
  <c r="BH278" i="1"/>
  <c r="BD278" i="1"/>
  <c r="BF278" i="1" s="1"/>
  <c r="BD913" i="1"/>
  <c r="BF913" i="1" s="1"/>
  <c r="BH913" i="1"/>
  <c r="BD1023" i="1"/>
  <c r="BF1023" i="1" s="1"/>
  <c r="BH1023" i="1"/>
  <c r="BD1037" i="1"/>
  <c r="BF1037" i="1" s="1"/>
  <c r="BH1037" i="1"/>
  <c r="BD870" i="1"/>
  <c r="BF870" i="1" s="1"/>
  <c r="BH870" i="1"/>
  <c r="BD701" i="1"/>
  <c r="BF701" i="1" s="1"/>
  <c r="BH701" i="1"/>
  <c r="BD979" i="1"/>
  <c r="BF979" i="1" s="1"/>
  <c r="BH979" i="1"/>
  <c r="BD869" i="1"/>
  <c r="BF869" i="1" s="1"/>
  <c r="BH869" i="1"/>
  <c r="AL110" i="1"/>
  <c r="AU110" i="1" s="1"/>
  <c r="AP110" i="1"/>
  <c r="AR110" i="1" s="1"/>
  <c r="BH654" i="1"/>
  <c r="BD654" i="1"/>
  <c r="BF654" i="1" s="1"/>
  <c r="BD107" i="1"/>
  <c r="BF107" i="1" s="1"/>
  <c r="BH107" i="1"/>
  <c r="AL584" i="1"/>
  <c r="AM584" i="1" s="1"/>
  <c r="AN584" i="1" s="1"/>
  <c r="AP584" i="1"/>
  <c r="AR584" i="1" s="1"/>
  <c r="AL451" i="1"/>
  <c r="AP451" i="1"/>
  <c r="AR451" i="1" s="1"/>
  <c r="AP439" i="1"/>
  <c r="AR439" i="1" s="1"/>
  <c r="AL439" i="1"/>
  <c r="AL601" i="1"/>
  <c r="AP601" i="1"/>
  <c r="AR601" i="1" s="1"/>
  <c r="AL116" i="1"/>
  <c r="AP116" i="1"/>
  <c r="AR116" i="1" s="1"/>
  <c r="BD377" i="1"/>
  <c r="BF377" i="1" s="1"/>
  <c r="BH377" i="1"/>
  <c r="AP729" i="1"/>
  <c r="AR729" i="1" s="1"/>
  <c r="AL729" i="1"/>
  <c r="AL242" i="1"/>
  <c r="AP242" i="1"/>
  <c r="AR242" i="1" s="1"/>
  <c r="AP130" i="1"/>
  <c r="AR130" i="1" s="1"/>
  <c r="AL130" i="1"/>
  <c r="AL193" i="1"/>
  <c r="AP193" i="1"/>
  <c r="AR193" i="1" s="1"/>
  <c r="AL628" i="1"/>
  <c r="AP628" i="1"/>
  <c r="AR628" i="1" s="1"/>
  <c r="AL819" i="1"/>
  <c r="AP819" i="1"/>
  <c r="AR819" i="1" s="1"/>
  <c r="AP473" i="1"/>
  <c r="AR473" i="1" s="1"/>
  <c r="AL473" i="1"/>
  <c r="AL615" i="1"/>
  <c r="AP615" i="1"/>
  <c r="AR615" i="1" s="1"/>
  <c r="AP648" i="1"/>
  <c r="AR648" i="1" s="1"/>
  <c r="AL648" i="1"/>
  <c r="AL1023" i="1"/>
  <c r="AP1023" i="1"/>
  <c r="AR1023" i="1" s="1"/>
  <c r="AP659" i="1"/>
  <c r="AR659" i="1" s="1"/>
  <c r="AL659" i="1"/>
  <c r="AP865" i="1"/>
  <c r="AR865" i="1" s="1"/>
  <c r="AL865" i="1"/>
  <c r="BE865" i="1" s="1"/>
  <c r="AL821" i="1"/>
  <c r="BE821" i="1" s="1"/>
  <c r="AP821" i="1"/>
  <c r="AR821" i="1" s="1"/>
  <c r="AP769" i="1"/>
  <c r="AR769" i="1" s="1"/>
  <c r="AL769" i="1"/>
  <c r="AL551" i="1"/>
  <c r="AP551" i="1"/>
  <c r="AR551" i="1" s="1"/>
  <c r="AL725" i="1"/>
  <c r="AP725" i="1"/>
  <c r="AR725" i="1" s="1"/>
  <c r="AP1006" i="1"/>
  <c r="AR1006" i="1" s="1"/>
  <c r="AL1006" i="1"/>
  <c r="AP122" i="1"/>
  <c r="AR122" i="1" s="1"/>
  <c r="AL122" i="1"/>
  <c r="AL579" i="1"/>
  <c r="AP579" i="1"/>
  <c r="AR579" i="1" s="1"/>
  <c r="AL166" i="1"/>
  <c r="AP166" i="1"/>
  <c r="AR166" i="1" s="1"/>
  <c r="AL602" i="1"/>
  <c r="AP602" i="1"/>
  <c r="AR602" i="1" s="1"/>
  <c r="AP376" i="1"/>
  <c r="AR376" i="1" s="1"/>
  <c r="AL376" i="1"/>
  <c r="AL434" i="1"/>
  <c r="AP434" i="1"/>
  <c r="AR434" i="1" s="1"/>
  <c r="AL411" i="1"/>
  <c r="AS411" i="1" s="1"/>
  <c r="AT411" i="1" s="1"/>
  <c r="AP411" i="1"/>
  <c r="AR411" i="1" s="1"/>
  <c r="AP126" i="1"/>
  <c r="AR126" i="1" s="1"/>
  <c r="AL126" i="1"/>
  <c r="AS126" i="1" s="1"/>
  <c r="AT126" i="1" s="1"/>
  <c r="AL694" i="1"/>
  <c r="AP694" i="1"/>
  <c r="AR694" i="1" s="1"/>
  <c r="AP775" i="1"/>
  <c r="AR775" i="1" s="1"/>
  <c r="AL775" i="1"/>
  <c r="AP731" i="1"/>
  <c r="AR731" i="1" s="1"/>
  <c r="AL731" i="1"/>
  <c r="AL917" i="1"/>
  <c r="AP917" i="1"/>
  <c r="AR917" i="1" s="1"/>
  <c r="AL624" i="1"/>
  <c r="AP624" i="1"/>
  <c r="AR624" i="1" s="1"/>
  <c r="AP622" i="1"/>
  <c r="AR622" i="1" s="1"/>
  <c r="AL622" i="1"/>
  <c r="AP469" i="1"/>
  <c r="AR469" i="1" s="1"/>
  <c r="AL469" i="1"/>
  <c r="AL878" i="1"/>
  <c r="AP878" i="1"/>
  <c r="AR878" i="1" s="1"/>
  <c r="AP99" i="1"/>
  <c r="AR99" i="1" s="1"/>
  <c r="AL99" i="1"/>
  <c r="AU99" i="1" s="1"/>
  <c r="AL312" i="1"/>
  <c r="AP312" i="1"/>
  <c r="AR312" i="1" s="1"/>
  <c r="AP323" i="1"/>
  <c r="AR323" i="1" s="1"/>
  <c r="AL323" i="1"/>
  <c r="AL197" i="1"/>
  <c r="AP197" i="1"/>
  <c r="AR197" i="1" s="1"/>
  <c r="AL764" i="1"/>
  <c r="AP764" i="1"/>
  <c r="AR764" i="1" s="1"/>
  <c r="AP282" i="1"/>
  <c r="AR282" i="1" s="1"/>
  <c r="AL282" i="1"/>
  <c r="AL521" i="1"/>
  <c r="AP521" i="1"/>
  <c r="AR521" i="1" s="1"/>
  <c r="AP800" i="1"/>
  <c r="AR800" i="1" s="1"/>
  <c r="AL800" i="1"/>
  <c r="BE800" i="1" s="1"/>
  <c r="AL719" i="1"/>
  <c r="AP719" i="1"/>
  <c r="AR719" i="1" s="1"/>
  <c r="AL606" i="1"/>
  <c r="AP606" i="1"/>
  <c r="AR606" i="1" s="1"/>
  <c r="AP285" i="1"/>
  <c r="AR285" i="1" s="1"/>
  <c r="AL285" i="1"/>
  <c r="BE285" i="1" s="1"/>
  <c r="AP366" i="1"/>
  <c r="AR366" i="1" s="1"/>
  <c r="AL366" i="1"/>
  <c r="AL1007" i="1"/>
  <c r="AP1007" i="1"/>
  <c r="AR1007" i="1" s="1"/>
  <c r="AL1022" i="1"/>
  <c r="AS1022" i="1" s="1"/>
  <c r="AT1022" i="1" s="1"/>
  <c r="AP1022" i="1"/>
  <c r="AR1022" i="1" s="1"/>
  <c r="AL204" i="1"/>
  <c r="AP204" i="1"/>
  <c r="AR204" i="1" s="1"/>
  <c r="AL996" i="1"/>
  <c r="AP996" i="1"/>
  <c r="AR996" i="1" s="1"/>
  <c r="AL876" i="1"/>
  <c r="AP876" i="1"/>
  <c r="AR876" i="1" s="1"/>
  <c r="AL735" i="1"/>
  <c r="AP735" i="1"/>
  <c r="AR735" i="1" s="1"/>
  <c r="AP98" i="1"/>
  <c r="AR98" i="1" s="1"/>
  <c r="AL98" i="1"/>
  <c r="AL216" i="1"/>
  <c r="AP216" i="1"/>
  <c r="AR216" i="1" s="1"/>
  <c r="AL69" i="1"/>
  <c r="AP69" i="1"/>
  <c r="AR69" i="1" s="1"/>
  <c r="AL906" i="1"/>
  <c r="AP906" i="1"/>
  <c r="AR906" i="1" s="1"/>
  <c r="AL507" i="1"/>
  <c r="AP507" i="1"/>
  <c r="AR507" i="1" s="1"/>
  <c r="AL463" i="1"/>
  <c r="AP463" i="1"/>
  <c r="AR463" i="1" s="1"/>
  <c r="AP514" i="1"/>
  <c r="AR514" i="1" s="1"/>
  <c r="AL514" i="1"/>
  <c r="AL470" i="1"/>
  <c r="AP470" i="1"/>
  <c r="AR470" i="1" s="1"/>
  <c r="BD853" i="1"/>
  <c r="BF853" i="1" s="1"/>
  <c r="BH853" i="1"/>
  <c r="BD717" i="1"/>
  <c r="BF717" i="1" s="1"/>
  <c r="BH717" i="1"/>
  <c r="BD45" i="1"/>
  <c r="BF45" i="1" s="1"/>
  <c r="BH45" i="1"/>
  <c r="BD67" i="1"/>
  <c r="BF67" i="1" s="1"/>
  <c r="BH67" i="1"/>
  <c r="BD504" i="1"/>
  <c r="BF504" i="1" s="1"/>
  <c r="BH504" i="1"/>
  <c r="BH608" i="1"/>
  <c r="BD608" i="1"/>
  <c r="BF608" i="1" s="1"/>
  <c r="BD635" i="1"/>
  <c r="BF635" i="1" s="1"/>
  <c r="BH635" i="1"/>
  <c r="BD975" i="1"/>
  <c r="BF975" i="1" s="1"/>
  <c r="BH975" i="1"/>
  <c r="BD951" i="1"/>
  <c r="BF951" i="1" s="1"/>
  <c r="BH951" i="1"/>
  <c r="BD262" i="1"/>
  <c r="BF262" i="1" s="1"/>
  <c r="BH262" i="1"/>
  <c r="BD902" i="1"/>
  <c r="BF902" i="1" s="1"/>
  <c r="BH902" i="1"/>
  <c r="BD641" i="1"/>
  <c r="BF641" i="1" s="1"/>
  <c r="BH641" i="1"/>
  <c r="BD386" i="1"/>
  <c r="BF386" i="1" s="1"/>
  <c r="BH386" i="1"/>
  <c r="BD363" i="1"/>
  <c r="BF363" i="1" s="1"/>
  <c r="BH363" i="1"/>
  <c r="BD905" i="1"/>
  <c r="BF905" i="1" s="1"/>
  <c r="BH905" i="1"/>
  <c r="BD471" i="1"/>
  <c r="BF471" i="1" s="1"/>
  <c r="BH471" i="1"/>
  <c r="BD65" i="1"/>
  <c r="BF65" i="1" s="1"/>
  <c r="BH65" i="1"/>
  <c r="BD117" i="1"/>
  <c r="BF117" i="1" s="1"/>
  <c r="BH117" i="1"/>
  <c r="BD812" i="1"/>
  <c r="BF812" i="1" s="1"/>
  <c r="BH812" i="1"/>
  <c r="BD419" i="1"/>
  <c r="BF419" i="1" s="1"/>
  <c r="BH419" i="1"/>
  <c r="BD1016" i="1"/>
  <c r="BF1016" i="1" s="1"/>
  <c r="BH1016" i="1"/>
  <c r="BD484" i="1"/>
  <c r="BF484" i="1" s="1"/>
  <c r="BH484" i="1"/>
  <c r="BD142" i="1"/>
  <c r="BF142" i="1" s="1"/>
  <c r="BH142" i="1"/>
  <c r="BD536" i="1"/>
  <c r="BF536" i="1" s="1"/>
  <c r="BH536" i="1"/>
  <c r="BD561" i="1"/>
  <c r="BF561" i="1" s="1"/>
  <c r="BH561" i="1"/>
  <c r="BD234" i="1"/>
  <c r="BF234" i="1" s="1"/>
  <c r="BH234" i="1"/>
  <c r="BD960" i="1"/>
  <c r="BF960" i="1" s="1"/>
  <c r="BH960" i="1"/>
  <c r="BD328" i="1"/>
  <c r="BF328" i="1" s="1"/>
  <c r="BH328" i="1"/>
  <c r="BD224" i="1"/>
  <c r="BF224" i="1" s="1"/>
  <c r="BH224" i="1"/>
  <c r="BD873" i="1"/>
  <c r="BF873" i="1" s="1"/>
  <c r="BH873" i="1"/>
  <c r="BD754" i="1"/>
  <c r="BF754" i="1" s="1"/>
  <c r="BH754" i="1"/>
  <c r="BD720" i="1"/>
  <c r="BF720" i="1" s="1"/>
  <c r="BH720" i="1"/>
  <c r="BD152" i="1"/>
  <c r="BF152" i="1" s="1"/>
  <c r="BH152" i="1"/>
  <c r="BD623" i="1"/>
  <c r="BF623" i="1" s="1"/>
  <c r="BH623" i="1"/>
  <c r="BD662" i="1"/>
  <c r="BF662" i="1" s="1"/>
  <c r="BH662" i="1"/>
  <c r="BD417" i="1"/>
  <c r="BF417" i="1" s="1"/>
  <c r="BH417" i="1"/>
  <c r="BD791" i="1"/>
  <c r="BF791" i="1" s="1"/>
  <c r="BH791" i="1"/>
  <c r="BD583" i="1"/>
  <c r="BF583" i="1" s="1"/>
  <c r="BH583" i="1"/>
  <c r="BD130" i="1"/>
  <c r="BF130" i="1" s="1"/>
  <c r="BH130" i="1"/>
  <c r="BD677" i="1"/>
  <c r="BF677" i="1" s="1"/>
  <c r="BH677" i="1"/>
  <c r="BD56" i="1"/>
  <c r="BF56" i="1" s="1"/>
  <c r="BH56" i="1"/>
  <c r="BD500" i="1"/>
  <c r="BF500" i="1" s="1"/>
  <c r="BH500" i="1"/>
  <c r="BD288" i="1"/>
  <c r="BF288" i="1" s="1"/>
  <c r="BH288" i="1"/>
  <c r="BH39" i="1"/>
  <c r="BD39" i="1"/>
  <c r="BF39" i="1" s="1"/>
  <c r="BD396" i="1"/>
  <c r="BF396" i="1" s="1"/>
  <c r="BH396" i="1"/>
  <c r="BH559" i="1"/>
  <c r="BD559" i="1"/>
  <c r="BF559" i="1" s="1"/>
  <c r="BH269" i="1"/>
  <c r="BD269" i="1"/>
  <c r="BF269" i="1" s="1"/>
  <c r="BH301" i="1"/>
  <c r="BD301" i="1"/>
  <c r="BF301" i="1" s="1"/>
  <c r="BH458" i="1"/>
  <c r="BD458" i="1"/>
  <c r="BF458" i="1" s="1"/>
  <c r="BD814" i="1"/>
  <c r="BF814" i="1" s="1"/>
  <c r="BH814" i="1"/>
  <c r="BD168" i="1"/>
  <c r="BF168" i="1" s="1"/>
  <c r="BH168" i="1"/>
  <c r="BD771" i="1"/>
  <c r="BF771" i="1" s="1"/>
  <c r="BH771" i="1"/>
  <c r="BD1007" i="1"/>
  <c r="BF1007" i="1" s="1"/>
  <c r="BH1007" i="1"/>
  <c r="BH563" i="1"/>
  <c r="BD563" i="1"/>
  <c r="BF563" i="1" s="1"/>
  <c r="BH881" i="1"/>
  <c r="BD881" i="1"/>
  <c r="BF881" i="1" s="1"/>
  <c r="BD783" i="1"/>
  <c r="BF783" i="1" s="1"/>
  <c r="BH783" i="1"/>
  <c r="BH910" i="1"/>
  <c r="BD910" i="1"/>
  <c r="BF910" i="1" s="1"/>
  <c r="AL247" i="1"/>
  <c r="AP247" i="1"/>
  <c r="AR247" i="1" s="1"/>
  <c r="AL252" i="1"/>
  <c r="AP252" i="1"/>
  <c r="AR252" i="1" s="1"/>
  <c r="AL426" i="1"/>
  <c r="BE426" i="1" s="1"/>
  <c r="AP426" i="1"/>
  <c r="AR426" i="1" s="1"/>
  <c r="AP992" i="1"/>
  <c r="AR992" i="1" s="1"/>
  <c r="AL992" i="1"/>
  <c r="AP651" i="1"/>
  <c r="AR651" i="1" s="1"/>
  <c r="AL651" i="1"/>
  <c r="AP663" i="1"/>
  <c r="AR663" i="1" s="1"/>
  <c r="AL663" i="1"/>
  <c r="AP614" i="1"/>
  <c r="AR614" i="1" s="1"/>
  <c r="AL614" i="1"/>
  <c r="AP944" i="1"/>
  <c r="AR944" i="1" s="1"/>
  <c r="AL944" i="1"/>
  <c r="AL928" i="1"/>
  <c r="AP928" i="1"/>
  <c r="AR928" i="1" s="1"/>
  <c r="AP935" i="1"/>
  <c r="AR935" i="1" s="1"/>
  <c r="AL935" i="1"/>
  <c r="AP518" i="1"/>
  <c r="AR518" i="1" s="1"/>
  <c r="AL518" i="1"/>
  <c r="AL641" i="1"/>
  <c r="AP641" i="1"/>
  <c r="AR641" i="1" s="1"/>
  <c r="AL225" i="1"/>
  <c r="AP225" i="1"/>
  <c r="AR225" i="1" s="1"/>
  <c r="AP343" i="1"/>
  <c r="AR343" i="1" s="1"/>
  <c r="AL343" i="1"/>
  <c r="AM343" i="1" s="1"/>
  <c r="AN343" i="1" s="1"/>
  <c r="AL757" i="1"/>
  <c r="AP757" i="1"/>
  <c r="AR757" i="1" s="1"/>
  <c r="AP746" i="1"/>
  <c r="AR746" i="1" s="1"/>
  <c r="AL746" i="1"/>
  <c r="AP41" i="1"/>
  <c r="AR41" i="1" s="1"/>
  <c r="AL41" i="1"/>
  <c r="AP1029" i="1"/>
  <c r="AR1029" i="1" s="1"/>
  <c r="AL1029" i="1"/>
  <c r="AL89" i="1"/>
  <c r="AP89" i="1"/>
  <c r="AR89" i="1" s="1"/>
  <c r="AL407" i="1"/>
  <c r="BE407" i="1" s="1"/>
  <c r="AP407" i="1"/>
  <c r="AR407" i="1" s="1"/>
  <c r="AP661" i="1"/>
  <c r="AR661" i="1" s="1"/>
  <c r="AL661" i="1"/>
  <c r="BE661" i="1" s="1"/>
  <c r="AL931" i="1"/>
  <c r="AP931" i="1"/>
  <c r="AR931" i="1" s="1"/>
  <c r="AP717" i="1"/>
  <c r="AR717" i="1" s="1"/>
  <c r="AL717" i="1"/>
  <c r="BE717" i="1" s="1"/>
  <c r="AP340" i="1"/>
  <c r="AR340" i="1" s="1"/>
  <c r="AL340" i="1"/>
  <c r="AP845" i="1"/>
  <c r="AR845" i="1" s="1"/>
  <c r="AL845" i="1"/>
  <c r="AL506" i="1"/>
  <c r="AP506" i="1"/>
  <c r="AR506" i="1" s="1"/>
  <c r="AL989" i="1"/>
  <c r="AP989" i="1"/>
  <c r="AR989" i="1" s="1"/>
  <c r="AP504" i="1"/>
  <c r="AR504" i="1" s="1"/>
  <c r="AL504" i="1"/>
  <c r="BE504" i="1" s="1"/>
  <c r="AP858" i="1"/>
  <c r="AR858" i="1" s="1"/>
  <c r="AL858" i="1"/>
  <c r="BD58" i="1"/>
  <c r="BF58" i="1" s="1"/>
  <c r="BH58" i="1"/>
  <c r="BD187" i="1"/>
  <c r="BF187" i="1" s="1"/>
  <c r="BH187" i="1"/>
  <c r="BD850" i="1"/>
  <c r="BF850" i="1" s="1"/>
  <c r="BH850" i="1"/>
  <c r="BD1013" i="1"/>
  <c r="BF1013" i="1" s="1"/>
  <c r="BH1013" i="1"/>
  <c r="BD236" i="1"/>
  <c r="BF236" i="1" s="1"/>
  <c r="BH236" i="1"/>
  <c r="BD197" i="1"/>
  <c r="BF197" i="1" s="1"/>
  <c r="BH197" i="1"/>
  <c r="BD758" i="1"/>
  <c r="BF758" i="1" s="1"/>
  <c r="BH758" i="1"/>
  <c r="BD963" i="1"/>
  <c r="BF963" i="1" s="1"/>
  <c r="BH963" i="1"/>
  <c r="BD385" i="1"/>
  <c r="BF385" i="1" s="1"/>
  <c r="BH385" i="1"/>
  <c r="BD696" i="1"/>
  <c r="BF696" i="1" s="1"/>
  <c r="BH696" i="1"/>
  <c r="BD101" i="1"/>
  <c r="BF101" i="1" s="1"/>
  <c r="BH101" i="1"/>
  <c r="BD1022" i="1"/>
  <c r="BF1022" i="1" s="1"/>
  <c r="BH1022" i="1"/>
  <c r="BD579" i="1"/>
  <c r="BF579" i="1" s="1"/>
  <c r="BH579" i="1"/>
  <c r="BD704" i="1"/>
  <c r="BF704" i="1" s="1"/>
  <c r="BH704" i="1"/>
  <c r="BD200" i="1"/>
  <c r="BF200" i="1" s="1"/>
  <c r="BH200" i="1"/>
  <c r="BD931" i="1"/>
  <c r="BF931" i="1" s="1"/>
  <c r="BH931" i="1"/>
  <c r="BD50" i="1"/>
  <c r="BF50" i="1" s="1"/>
  <c r="BH50" i="1"/>
  <c r="BD441" i="1"/>
  <c r="BF441" i="1" s="1"/>
  <c r="BH441" i="1"/>
  <c r="BD147" i="1"/>
  <c r="BF147" i="1" s="1"/>
  <c r="BH147" i="1"/>
  <c r="BD925" i="1"/>
  <c r="BF925" i="1" s="1"/>
  <c r="BH925" i="1"/>
  <c r="BD72" i="1"/>
  <c r="BF72" i="1" s="1"/>
  <c r="BH72" i="1"/>
  <c r="BD215" i="1"/>
  <c r="BF215" i="1" s="1"/>
  <c r="BH215" i="1"/>
  <c r="BD368" i="1"/>
  <c r="BF368" i="1" s="1"/>
  <c r="BH368" i="1"/>
  <c r="BD491" i="1"/>
  <c r="BF491" i="1" s="1"/>
  <c r="BH491" i="1"/>
  <c r="BH815" i="1"/>
  <c r="BD815" i="1"/>
  <c r="BF815" i="1" s="1"/>
  <c r="BH99" i="1"/>
  <c r="BD99" i="1"/>
  <c r="BF99" i="1" s="1"/>
  <c r="BH792" i="1"/>
  <c r="BD792" i="1"/>
  <c r="BF792" i="1" s="1"/>
  <c r="BD761" i="1"/>
  <c r="BF761" i="1" s="1"/>
  <c r="BH761" i="1"/>
  <c r="BH603" i="1"/>
  <c r="BD603" i="1"/>
  <c r="BF603" i="1" s="1"/>
  <c r="BH55" i="1"/>
  <c r="BD55" i="1"/>
  <c r="BF55" i="1" s="1"/>
  <c r="AL748" i="1"/>
  <c r="AP748" i="1"/>
  <c r="AR748" i="1" s="1"/>
  <c r="BD597" i="1"/>
  <c r="BF597" i="1" s="1"/>
  <c r="BH597" i="1"/>
  <c r="AL80" i="1"/>
  <c r="AM80" i="1" s="1"/>
  <c r="AN80" i="1" s="1"/>
  <c r="AP80" i="1"/>
  <c r="AR80" i="1" s="1"/>
  <c r="AP808" i="1"/>
  <c r="AR808" i="1" s="1"/>
  <c r="AL808" i="1"/>
  <c r="BD998" i="1"/>
  <c r="BF998" i="1" s="1"/>
  <c r="BH998" i="1"/>
  <c r="BD959" i="1"/>
  <c r="BF959" i="1" s="1"/>
  <c r="BH959" i="1"/>
  <c r="AL281" i="1"/>
  <c r="BE281" i="1" s="1"/>
  <c r="AP281" i="1"/>
  <c r="AR281" i="1" s="1"/>
  <c r="AP299" i="1"/>
  <c r="AR299" i="1" s="1"/>
  <c r="AL299" i="1"/>
  <c r="AL359" i="1"/>
  <c r="AP359" i="1"/>
  <c r="AR359" i="1" s="1"/>
  <c r="AP459" i="1"/>
  <c r="AR459" i="1" s="1"/>
  <c r="AL459" i="1"/>
  <c r="BE459" i="1" s="1"/>
  <c r="AP287" i="1"/>
  <c r="AR287" i="1" s="1"/>
  <c r="AL287" i="1"/>
  <c r="AP859" i="1"/>
  <c r="AR859" i="1" s="1"/>
  <c r="AL859" i="1"/>
  <c r="BE859" i="1" s="1"/>
  <c r="AL645" i="1"/>
  <c r="AP645" i="1"/>
  <c r="AR645" i="1" s="1"/>
  <c r="AL911" i="1"/>
  <c r="AP911" i="1"/>
  <c r="AR911" i="1" s="1"/>
  <c r="AP54" i="1"/>
  <c r="AR54" i="1" s="1"/>
  <c r="AL54" i="1"/>
  <c r="AL443" i="1"/>
  <c r="AP443" i="1"/>
  <c r="AR443" i="1" s="1"/>
  <c r="AP960" i="1"/>
  <c r="AR960" i="1" s="1"/>
  <c r="AL960" i="1"/>
  <c r="BE960" i="1" s="1"/>
  <c r="AP530" i="1"/>
  <c r="AR530" i="1" s="1"/>
  <c r="AL530" i="1"/>
  <c r="BE530" i="1" s="1"/>
  <c r="AP445" i="1"/>
  <c r="AR445" i="1" s="1"/>
  <c r="AL445" i="1"/>
  <c r="AS445" i="1" s="1"/>
  <c r="AT445" i="1" s="1"/>
  <c r="AP709" i="1"/>
  <c r="AR709" i="1" s="1"/>
  <c r="AL709" i="1"/>
  <c r="AM709" i="1" s="1"/>
  <c r="AN709" i="1" s="1"/>
  <c r="AL655" i="1"/>
  <c r="BE655" i="1" s="1"/>
  <c r="AP655" i="1"/>
  <c r="AR655" i="1" s="1"/>
  <c r="AP239" i="1"/>
  <c r="AR239" i="1" s="1"/>
  <c r="AL239" i="1"/>
  <c r="AL945" i="1"/>
  <c r="AP945" i="1"/>
  <c r="AR945" i="1" s="1"/>
  <c r="AP604" i="1"/>
  <c r="AR604" i="1" s="1"/>
  <c r="AL604" i="1"/>
  <c r="AL670" i="1"/>
  <c r="AP670" i="1"/>
  <c r="AR670" i="1" s="1"/>
  <c r="AL637" i="1"/>
  <c r="BE637" i="1" s="1"/>
  <c r="AP637" i="1"/>
  <c r="AR637" i="1" s="1"/>
  <c r="AL656" i="1"/>
  <c r="AP656" i="1"/>
  <c r="AR656" i="1" s="1"/>
  <c r="AL154" i="1"/>
  <c r="AP154" i="1"/>
  <c r="AR154" i="1" s="1"/>
  <c r="AL788" i="1"/>
  <c r="AP788" i="1"/>
  <c r="AR788" i="1" s="1"/>
  <c r="AL315" i="1"/>
  <c r="AP315" i="1"/>
  <c r="AR315" i="1" s="1"/>
  <c r="BD805" i="1"/>
  <c r="BF805" i="1" s="1"/>
  <c r="BH805" i="1"/>
  <c r="BD906" i="1"/>
  <c r="BF906" i="1" s="1"/>
  <c r="BH906" i="1"/>
  <c r="BD438" i="1"/>
  <c r="BF438" i="1" s="1"/>
  <c r="BH438" i="1"/>
  <c r="BD349" i="1"/>
  <c r="BF349" i="1" s="1"/>
  <c r="BH349" i="1"/>
  <c r="BD886" i="1"/>
  <c r="BF886" i="1" s="1"/>
  <c r="BH886" i="1"/>
  <c r="BH1029" i="1"/>
  <c r="BD1029" i="1"/>
  <c r="BF1029" i="1" s="1"/>
  <c r="BH376" i="1"/>
  <c r="BD376" i="1"/>
  <c r="BF376" i="1" s="1"/>
  <c r="BH321" i="1"/>
  <c r="BD321" i="1"/>
  <c r="BF321" i="1" s="1"/>
  <c r="BH827" i="1"/>
  <c r="BD827" i="1"/>
  <c r="BF827" i="1" s="1"/>
  <c r="AP60" i="1"/>
  <c r="AR60" i="1" s="1"/>
  <c r="AL60" i="1"/>
  <c r="AL627" i="1"/>
  <c r="AP627" i="1"/>
  <c r="AR627" i="1" s="1"/>
  <c r="BD790" i="1"/>
  <c r="BF790" i="1" s="1"/>
  <c r="BH790" i="1"/>
  <c r="AL589" i="1"/>
  <c r="AU589" i="1" s="1"/>
  <c r="AP589" i="1"/>
  <c r="AR589" i="1" s="1"/>
  <c r="AP223" i="1"/>
  <c r="AR223" i="1" s="1"/>
  <c r="AL223" i="1"/>
  <c r="AP337" i="1"/>
  <c r="AR337" i="1" s="1"/>
  <c r="AL337" i="1"/>
  <c r="AU337" i="1" s="1"/>
  <c r="AP658" i="1"/>
  <c r="AR658" i="1" s="1"/>
  <c r="AL658" i="1"/>
  <c r="AP74" i="1"/>
  <c r="AR74" i="1" s="1"/>
  <c r="AL74" i="1"/>
  <c r="AS74" i="1" s="1"/>
  <c r="AT74" i="1" s="1"/>
  <c r="AP782" i="1"/>
  <c r="AR782" i="1" s="1"/>
  <c r="AL782" i="1"/>
  <c r="AL476" i="1"/>
  <c r="AP476" i="1"/>
  <c r="AR476" i="1" s="1"/>
  <c r="AL28" i="1"/>
  <c r="AP28" i="1"/>
  <c r="AR28" i="1" s="1"/>
  <c r="AL654" i="1"/>
  <c r="BE654" i="1" s="1"/>
  <c r="AP654" i="1"/>
  <c r="AR654" i="1" s="1"/>
  <c r="AL1018" i="1"/>
  <c r="AP1018" i="1"/>
  <c r="AR1018" i="1" s="1"/>
  <c r="AL563" i="1"/>
  <c r="AP563" i="1"/>
  <c r="AR563" i="1" s="1"/>
  <c r="AP120" i="1"/>
  <c r="AR120" i="1" s="1"/>
  <c r="AL120" i="1"/>
  <c r="AL893" i="1"/>
  <c r="AP893" i="1"/>
  <c r="AR893" i="1" s="1"/>
  <c r="AP237" i="1"/>
  <c r="AR237" i="1" s="1"/>
  <c r="AL237" i="1"/>
  <c r="AL756" i="1"/>
  <c r="AP756" i="1"/>
  <c r="AR756" i="1" s="1"/>
  <c r="AP67" i="1"/>
  <c r="AR67" i="1" s="1"/>
  <c r="AL67" i="1"/>
  <c r="BE67" i="1" s="1"/>
  <c r="AL347" i="1"/>
  <c r="AP347" i="1"/>
  <c r="AR347" i="1" s="1"/>
  <c r="AL997" i="1"/>
  <c r="AP997" i="1"/>
  <c r="AR997" i="1" s="1"/>
  <c r="AL440" i="1"/>
  <c r="AP440" i="1"/>
  <c r="AR440" i="1" s="1"/>
  <c r="BH106" i="1"/>
  <c r="BD106" i="1"/>
  <c r="BF106" i="1" s="1"/>
  <c r="BH205" i="1"/>
  <c r="BD205" i="1"/>
  <c r="BF205" i="1" s="1"/>
  <c r="BH125" i="1"/>
  <c r="BD125" i="1"/>
  <c r="BF125" i="1" s="1"/>
  <c r="BH683" i="1"/>
  <c r="BD683" i="1"/>
  <c r="BF683" i="1" s="1"/>
  <c r="BD1004" i="1"/>
  <c r="BF1004" i="1" s="1"/>
  <c r="BH1004" i="1"/>
  <c r="BH151" i="1"/>
  <c r="BD151" i="1"/>
  <c r="BF151" i="1" s="1"/>
  <c r="BH383" i="1"/>
  <c r="BD383" i="1"/>
  <c r="BF383" i="1" s="1"/>
  <c r="BH871" i="1"/>
  <c r="BD871" i="1"/>
  <c r="BF871" i="1" s="1"/>
  <c r="BH897" i="1"/>
  <c r="BD897" i="1"/>
  <c r="BF897" i="1" s="1"/>
  <c r="BH663" i="1"/>
  <c r="BD663" i="1"/>
  <c r="BF663" i="1" s="1"/>
  <c r="BH986" i="1"/>
  <c r="BD986" i="1"/>
  <c r="BF986" i="1" s="1"/>
  <c r="BH784" i="1"/>
  <c r="BD784" i="1"/>
  <c r="BF784" i="1" s="1"/>
  <c r="BH519" i="1"/>
  <c r="BD519" i="1"/>
  <c r="BF519" i="1" s="1"/>
  <c r="BD94" i="1"/>
  <c r="BF94" i="1" s="1"/>
  <c r="BH94" i="1"/>
  <c r="BD1032" i="1"/>
  <c r="BF1032" i="1" s="1"/>
  <c r="BH1032" i="1"/>
  <c r="BD609" i="1"/>
  <c r="BF609" i="1" s="1"/>
  <c r="BH609" i="1"/>
  <c r="BD115" i="1"/>
  <c r="BF115" i="1" s="1"/>
  <c r="BH115" i="1"/>
  <c r="BD927" i="1"/>
  <c r="BF927" i="1" s="1"/>
  <c r="BH927" i="1"/>
  <c r="AL298" i="1"/>
  <c r="AP298" i="1"/>
  <c r="AR298" i="1" s="1"/>
  <c r="AL38" i="1"/>
  <c r="AP38" i="1"/>
  <c r="AR38" i="1" s="1"/>
  <c r="AP199" i="1"/>
  <c r="AR199" i="1" s="1"/>
  <c r="AL199" i="1"/>
  <c r="AU199" i="1" s="1"/>
  <c r="AL985" i="1"/>
  <c r="AP985" i="1"/>
  <c r="AR985" i="1" s="1"/>
  <c r="AL806" i="1"/>
  <c r="AP806" i="1"/>
  <c r="AR806" i="1" s="1"/>
  <c r="AL873" i="1"/>
  <c r="BE873" i="1" s="1"/>
  <c r="AP873" i="1"/>
  <c r="AR873" i="1" s="1"/>
  <c r="AP139" i="1"/>
  <c r="AR139" i="1" s="1"/>
  <c r="AL139" i="1"/>
  <c r="AP497" i="1"/>
  <c r="AR497" i="1" s="1"/>
  <c r="AL497" i="1"/>
  <c r="AP755" i="1"/>
  <c r="AR755" i="1" s="1"/>
  <c r="AL755" i="1"/>
  <c r="AP853" i="1"/>
  <c r="AR853" i="1" s="1"/>
  <c r="AL853" i="1"/>
  <c r="BE853" i="1" s="1"/>
  <c r="BH955" i="1"/>
  <c r="BD955" i="1"/>
  <c r="BF955" i="1" s="1"/>
  <c r="BH842" i="1"/>
  <c r="BD842" i="1"/>
  <c r="BF842" i="1" s="1"/>
  <c r="BH843" i="1"/>
  <c r="BD843" i="1"/>
  <c r="BF843" i="1" s="1"/>
  <c r="BD646" i="1"/>
  <c r="BF646" i="1" s="1"/>
  <c r="BH646" i="1"/>
  <c r="BH753" i="1"/>
  <c r="BD753" i="1"/>
  <c r="BF753" i="1" s="1"/>
  <c r="BH86" i="1"/>
  <c r="BD86" i="1"/>
  <c r="BF86" i="1" s="1"/>
  <c r="BH136" i="1"/>
  <c r="BD136" i="1"/>
  <c r="BF136" i="1" s="1"/>
  <c r="BH640" i="1"/>
  <c r="BD640" i="1"/>
  <c r="BF640" i="1" s="1"/>
  <c r="BD601" i="1"/>
  <c r="BF601" i="1" s="1"/>
  <c r="BH601" i="1"/>
  <c r="BH546" i="1"/>
  <c r="BD546" i="1"/>
  <c r="BF546" i="1" s="1"/>
  <c r="AP362" i="1"/>
  <c r="AR362" i="1" s="1"/>
  <c r="AL362" i="1"/>
  <c r="BE362" i="1" s="1"/>
  <c r="AL383" i="1"/>
  <c r="BE383" i="1" s="1"/>
  <c r="AP383" i="1"/>
  <c r="AR383" i="1" s="1"/>
  <c r="AP564" i="1"/>
  <c r="AR564" i="1" s="1"/>
  <c r="AL564" i="1"/>
  <c r="AL503" i="1"/>
  <c r="AP503" i="1"/>
  <c r="AR503" i="1" s="1"/>
  <c r="AP187" i="1"/>
  <c r="AR187" i="1" s="1"/>
  <c r="AL187" i="1"/>
  <c r="BE187" i="1" s="1"/>
  <c r="AP401" i="1"/>
  <c r="AR401" i="1" s="1"/>
  <c r="AL401" i="1"/>
  <c r="AP360" i="1"/>
  <c r="AR360" i="1" s="1"/>
  <c r="AL360" i="1"/>
  <c r="AP472" i="1"/>
  <c r="AR472" i="1" s="1"/>
  <c r="AL472" i="1"/>
  <c r="AP733" i="1"/>
  <c r="AR733" i="1" s="1"/>
  <c r="AL733" i="1"/>
  <c r="AL983" i="1"/>
  <c r="AP983" i="1"/>
  <c r="AR983" i="1" s="1"/>
  <c r="BH1038" i="1"/>
  <c r="BD1038" i="1"/>
  <c r="BF1038" i="1" s="1"/>
  <c r="BH593" i="1"/>
  <c r="BD593" i="1"/>
  <c r="BF593" i="1" s="1"/>
  <c r="AL792" i="1"/>
  <c r="AP792" i="1"/>
  <c r="AR792" i="1" s="1"/>
  <c r="AP104" i="1"/>
  <c r="AR104" i="1" s="1"/>
  <c r="AL104" i="1"/>
  <c r="AL678" i="1"/>
  <c r="AP678" i="1"/>
  <c r="AR678" i="1" s="1"/>
  <c r="BH502" i="1"/>
  <c r="BD502" i="1"/>
  <c r="BF502" i="1" s="1"/>
  <c r="BH447" i="1"/>
  <c r="BD447" i="1"/>
  <c r="BF447" i="1" s="1"/>
  <c r="BH929" i="1"/>
  <c r="BD929" i="1"/>
  <c r="BF929" i="1" s="1"/>
  <c r="BH489" i="1"/>
  <c r="BD489" i="1"/>
  <c r="BF489" i="1" s="1"/>
  <c r="AP531" i="1"/>
  <c r="AR531" i="1" s="1"/>
  <c r="AL531" i="1"/>
  <c r="AS531" i="1" s="1"/>
  <c r="AT531" i="1" s="1"/>
  <c r="AP272" i="1"/>
  <c r="AR272" i="1" s="1"/>
  <c r="AL272" i="1"/>
  <c r="AL902" i="1"/>
  <c r="BE902" i="1" s="1"/>
  <c r="AP902" i="1"/>
  <c r="AR902" i="1" s="1"/>
  <c r="AP87" i="1"/>
  <c r="AR87" i="1" s="1"/>
  <c r="AL87" i="1"/>
  <c r="AL558" i="1"/>
  <c r="BE558" i="1" s="1"/>
  <c r="AP558" i="1"/>
  <c r="AR558" i="1" s="1"/>
  <c r="AL455" i="1"/>
  <c r="AP455" i="1"/>
  <c r="AR455" i="1" s="1"/>
  <c r="AP342" i="1"/>
  <c r="AR342" i="1" s="1"/>
  <c r="AL342" i="1"/>
  <c r="AP1033" i="1"/>
  <c r="AR1033" i="1" s="1"/>
  <c r="AL1033" i="1"/>
  <c r="AL567" i="1"/>
  <c r="AP567" i="1"/>
  <c r="AR567" i="1" s="1"/>
  <c r="AL526" i="1"/>
  <c r="AP526" i="1"/>
  <c r="AR526" i="1" s="1"/>
  <c r="AL1028" i="1"/>
  <c r="AP1028" i="1"/>
  <c r="AR1028" i="1" s="1"/>
  <c r="AP147" i="1"/>
  <c r="AR147" i="1" s="1"/>
  <c r="AL147" i="1"/>
  <c r="AP1003" i="1"/>
  <c r="AR1003" i="1" s="1"/>
  <c r="AL1003" i="1"/>
  <c r="AP897" i="1"/>
  <c r="AR897" i="1" s="1"/>
  <c r="AL897" i="1"/>
  <c r="AL438" i="1"/>
  <c r="BE438" i="1" s="1"/>
  <c r="AP438" i="1"/>
  <c r="AR438" i="1" s="1"/>
  <c r="AL820" i="1"/>
  <c r="AP820" i="1"/>
  <c r="AR820" i="1" s="1"/>
  <c r="BH201" i="1"/>
  <c r="BD201" i="1"/>
  <c r="BF201" i="1" s="1"/>
  <c r="BD253" i="1"/>
  <c r="BF253" i="1" s="1"/>
  <c r="BH253" i="1"/>
  <c r="BH801" i="1"/>
  <c r="BD801" i="1"/>
  <c r="BF801" i="1" s="1"/>
  <c r="BH540" i="1"/>
  <c r="BD540" i="1"/>
  <c r="BF540" i="1" s="1"/>
  <c r="BH30" i="1"/>
  <c r="BD30" i="1"/>
  <c r="BF30" i="1" s="1"/>
  <c r="AP728" i="1"/>
  <c r="AR728" i="1" s="1"/>
  <c r="AL728" i="1"/>
  <c r="AL370" i="1"/>
  <c r="AP370" i="1"/>
  <c r="AR370" i="1" s="1"/>
  <c r="BH690" i="1"/>
  <c r="BD690" i="1"/>
  <c r="BF690" i="1" s="1"/>
  <c r="BH460" i="1"/>
  <c r="BD460" i="1"/>
  <c r="BF460" i="1" s="1"/>
  <c r="BH891" i="1"/>
  <c r="BD891" i="1"/>
  <c r="BF891" i="1" s="1"/>
  <c r="BH326" i="1"/>
  <c r="BD326" i="1"/>
  <c r="BF326" i="1" s="1"/>
  <c r="BH316" i="1"/>
  <c r="BD316" i="1"/>
  <c r="BF316" i="1" s="1"/>
  <c r="BH146" i="1"/>
  <c r="BD146" i="1"/>
  <c r="BF146" i="1" s="1"/>
  <c r="BH952" i="1"/>
  <c r="BD952" i="1"/>
  <c r="BF952" i="1" s="1"/>
  <c r="BH738" i="1"/>
  <c r="BD738" i="1"/>
  <c r="BF738" i="1" s="1"/>
  <c r="BH651" i="1"/>
  <c r="BD651" i="1"/>
  <c r="BF651" i="1" s="1"/>
  <c r="BH389" i="1"/>
  <c r="BD389" i="1"/>
  <c r="BF389" i="1" s="1"/>
  <c r="BH289" i="1"/>
  <c r="BD289" i="1"/>
  <c r="BF289" i="1" s="1"/>
  <c r="BD371" i="1"/>
  <c r="BF371" i="1" s="1"/>
  <c r="BH371" i="1"/>
  <c r="AP777" i="1"/>
  <c r="AR777" i="1" s="1"/>
  <c r="AL777" i="1"/>
  <c r="AU777" i="1" s="1"/>
  <c r="AL749" i="1"/>
  <c r="AP749" i="1"/>
  <c r="AR749" i="1" s="1"/>
  <c r="BH255" i="1"/>
  <c r="BD255" i="1"/>
  <c r="BF255" i="1" s="1"/>
  <c r="AP691" i="1"/>
  <c r="AR691" i="1" s="1"/>
  <c r="AL691" i="1"/>
  <c r="AL561" i="1"/>
  <c r="AP561" i="1"/>
  <c r="AR561" i="1" s="1"/>
  <c r="AP610" i="1"/>
  <c r="AR610" i="1" s="1"/>
  <c r="AL610" i="1"/>
  <c r="AP1020" i="1"/>
  <c r="AR1020" i="1" s="1"/>
  <c r="AL1020" i="1"/>
  <c r="AL206" i="1"/>
  <c r="AP206" i="1"/>
  <c r="AR206" i="1" s="1"/>
  <c r="AL801" i="1"/>
  <c r="AP801" i="1"/>
  <c r="AR801" i="1" s="1"/>
  <c r="AL773" i="1"/>
  <c r="AP773" i="1"/>
  <c r="AR773" i="1" s="1"/>
  <c r="AL437" i="1"/>
  <c r="AP437" i="1"/>
  <c r="AR437" i="1" s="1"/>
  <c r="AP93" i="1"/>
  <c r="AR93" i="1" s="1"/>
  <c r="AL93" i="1"/>
  <c r="AM93" i="1" s="1"/>
  <c r="AN93" i="1" s="1"/>
  <c r="AP320" i="1"/>
  <c r="AR320" i="1" s="1"/>
  <c r="AL320" i="1"/>
  <c r="AP549" i="1"/>
  <c r="AR549" i="1" s="1"/>
  <c r="AL549" i="1"/>
  <c r="AP415" i="1"/>
  <c r="AR415" i="1" s="1"/>
  <c r="AL415" i="1"/>
  <c r="AL954" i="1"/>
  <c r="AP954" i="1"/>
  <c r="AR954" i="1" s="1"/>
  <c r="AL932" i="1"/>
  <c r="AP932" i="1"/>
  <c r="AR932" i="1" s="1"/>
  <c r="BD642" i="1"/>
  <c r="BF642" i="1" s="1"/>
  <c r="BH642" i="1"/>
  <c r="BD109" i="1"/>
  <c r="BF109" i="1" s="1"/>
  <c r="BH109" i="1"/>
  <c r="BD243" i="1"/>
  <c r="BF243" i="1" s="1"/>
  <c r="BH243" i="1"/>
  <c r="BD240" i="1"/>
  <c r="BF240" i="1" s="1"/>
  <c r="BH240" i="1"/>
  <c r="BD759" i="1"/>
  <c r="BF759" i="1" s="1"/>
  <c r="BH759" i="1"/>
  <c r="BH319" i="1"/>
  <c r="BD319" i="1"/>
  <c r="BF319" i="1" s="1"/>
  <c r="AP798" i="1"/>
  <c r="AR798" i="1" s="1"/>
  <c r="AL798" i="1"/>
  <c r="BH451" i="1"/>
  <c r="BD451" i="1"/>
  <c r="BF451" i="1" s="1"/>
  <c r="BH249" i="1"/>
  <c r="BD249" i="1"/>
  <c r="BF249" i="1" s="1"/>
  <c r="BH645" i="1"/>
  <c r="BD645" i="1"/>
  <c r="BF645" i="1" s="1"/>
  <c r="BH260" i="1"/>
  <c r="BD260" i="1"/>
  <c r="BF260" i="1" s="1"/>
  <c r="BH969" i="1"/>
  <c r="BD969" i="1"/>
  <c r="BF969" i="1" s="1"/>
  <c r="BH725" i="1"/>
  <c r="BD725" i="1"/>
  <c r="BF725" i="1" s="1"/>
  <c r="BH172" i="1"/>
  <c r="BD172" i="1"/>
  <c r="BF172" i="1" s="1"/>
  <c r="BH346" i="1"/>
  <c r="BD346" i="1"/>
  <c r="BF346" i="1" s="1"/>
  <c r="BH53" i="1"/>
  <c r="BD53" i="1"/>
  <c r="BF53" i="1" s="1"/>
  <c r="BH421" i="1"/>
  <c r="BD421" i="1"/>
  <c r="BF421" i="1" s="1"/>
  <c r="BH271" i="1"/>
  <c r="BD271" i="1"/>
  <c r="BF271" i="1" s="1"/>
  <c r="BH705" i="1"/>
  <c r="BD705" i="1"/>
  <c r="BF705" i="1" s="1"/>
  <c r="BH1000" i="1"/>
  <c r="BD1000" i="1"/>
  <c r="BF1000" i="1" s="1"/>
  <c r="BH179" i="1"/>
  <c r="BD179" i="1"/>
  <c r="BF179" i="1" s="1"/>
  <c r="BH627" i="1"/>
  <c r="BD627" i="1"/>
  <c r="BF627" i="1" s="1"/>
  <c r="BH351" i="1"/>
  <c r="BD351" i="1"/>
  <c r="BF351" i="1" s="1"/>
  <c r="BH605" i="1"/>
  <c r="BD605" i="1"/>
  <c r="BF605" i="1" s="1"/>
  <c r="BH798" i="1"/>
  <c r="BD798" i="1"/>
  <c r="BF798" i="1" s="1"/>
  <c r="AP188" i="1"/>
  <c r="AR188" i="1" s="1"/>
  <c r="AL188" i="1"/>
  <c r="AL783" i="1"/>
  <c r="BE783" i="1" s="1"/>
  <c r="AP783" i="1"/>
  <c r="AR783" i="1" s="1"/>
  <c r="AP1017" i="1"/>
  <c r="AR1017" i="1" s="1"/>
  <c r="AL1017" i="1"/>
  <c r="AL994" i="1"/>
  <c r="AM994" i="1" s="1"/>
  <c r="AN994" i="1" s="1"/>
  <c r="AP994" i="1"/>
  <c r="AR994" i="1" s="1"/>
  <c r="AL380" i="1"/>
  <c r="AP380" i="1"/>
  <c r="AR380" i="1" s="1"/>
  <c r="AP471" i="1"/>
  <c r="AR471" i="1" s="1"/>
  <c r="AL471" i="1"/>
  <c r="AL834" i="1"/>
  <c r="AP834" i="1"/>
  <c r="AR834" i="1" s="1"/>
  <c r="AP500" i="1"/>
  <c r="AR500" i="1" s="1"/>
  <c r="AL500" i="1"/>
  <c r="BE500" i="1" s="1"/>
  <c r="AP487" i="1"/>
  <c r="AR487" i="1" s="1"/>
  <c r="AL487" i="1"/>
  <c r="AL542" i="1"/>
  <c r="BE542" i="1" s="1"/>
  <c r="AP542" i="1"/>
  <c r="AR542" i="1" s="1"/>
  <c r="AL163" i="1"/>
  <c r="AP163" i="1"/>
  <c r="AR163" i="1" s="1"/>
  <c r="AP937" i="1"/>
  <c r="AR937" i="1" s="1"/>
  <c r="AL937" i="1"/>
  <c r="AL964" i="1"/>
  <c r="AP964" i="1"/>
  <c r="AR964" i="1" s="1"/>
  <c r="AP675" i="1"/>
  <c r="AR675" i="1" s="1"/>
  <c r="AL675" i="1"/>
  <c r="BE675" i="1" s="1"/>
  <c r="AL916" i="1"/>
  <c r="AP916" i="1"/>
  <c r="AR916" i="1" s="1"/>
  <c r="AP546" i="1"/>
  <c r="AR546" i="1" s="1"/>
  <c r="AL546" i="1"/>
  <c r="BE546" i="1" s="1"/>
  <c r="AL795" i="1"/>
  <c r="AP795" i="1"/>
  <c r="AR795" i="1" s="1"/>
  <c r="BH375" i="1"/>
  <c r="BD375" i="1"/>
  <c r="BF375" i="1" s="1"/>
  <c r="BH778" i="1"/>
  <c r="BD778" i="1"/>
  <c r="BF778" i="1" s="1"/>
  <c r="BD313" i="1"/>
  <c r="BF313" i="1" s="1"/>
  <c r="BH313" i="1"/>
  <c r="BH436" i="1"/>
  <c r="BD436" i="1"/>
  <c r="BF436" i="1" s="1"/>
  <c r="BH264" i="1"/>
  <c r="BD264" i="1"/>
  <c r="BF264" i="1" s="1"/>
  <c r="BH644" i="1"/>
  <c r="BD644" i="1"/>
  <c r="BF644" i="1" s="1"/>
  <c r="BH808" i="1"/>
  <c r="BD808" i="1"/>
  <c r="BF808" i="1" s="1"/>
  <c r="BH66" i="1"/>
  <c r="BD66" i="1"/>
  <c r="BF66" i="1" s="1"/>
  <c r="BH340" i="1"/>
  <c r="BD340" i="1"/>
  <c r="BF340" i="1" s="1"/>
  <c r="BH203" i="1"/>
  <c r="BD203" i="1"/>
  <c r="BF203" i="1" s="1"/>
  <c r="BH332" i="1"/>
  <c r="BD332" i="1"/>
  <c r="BF332" i="1" s="1"/>
  <c r="BH582" i="1"/>
  <c r="BD582" i="1"/>
  <c r="BF582" i="1" s="1"/>
  <c r="BH487" i="1"/>
  <c r="BD487" i="1"/>
  <c r="BF487" i="1" s="1"/>
  <c r="BH726" i="1"/>
  <c r="BD726" i="1"/>
  <c r="BF726" i="1" s="1"/>
  <c r="BH618" i="1"/>
  <c r="BD618" i="1"/>
  <c r="BF618" i="1" s="1"/>
  <c r="BD498" i="1"/>
  <c r="BF498" i="1" s="1"/>
  <c r="BH498" i="1"/>
  <c r="BH888" i="1"/>
  <c r="BD888" i="1"/>
  <c r="BF888" i="1" s="1"/>
  <c r="BH858" i="1"/>
  <c r="BD858" i="1"/>
  <c r="BF858" i="1" s="1"/>
  <c r="BH160" i="1"/>
  <c r="BD160" i="1"/>
  <c r="BF160" i="1" s="1"/>
  <c r="BH324" i="1"/>
  <c r="BD324" i="1"/>
  <c r="BF324" i="1" s="1"/>
  <c r="BD934" i="1"/>
  <c r="BF934" i="1" s="1"/>
  <c r="BH934" i="1"/>
  <c r="BH184" i="1"/>
  <c r="BD184" i="1"/>
  <c r="BF184" i="1" s="1"/>
  <c r="BH830" i="1"/>
  <c r="BD830" i="1"/>
  <c r="BF830" i="1" s="1"/>
  <c r="BH706" i="1"/>
  <c r="BD706" i="1"/>
  <c r="BF706" i="1" s="1"/>
  <c r="BH62" i="1"/>
  <c r="BD62" i="1"/>
  <c r="BF62" i="1" s="1"/>
  <c r="BH639" i="1"/>
  <c r="BD639" i="1"/>
  <c r="BF639" i="1" s="1"/>
  <c r="BH715" i="1"/>
  <c r="BD715" i="1"/>
  <c r="BF715" i="1" s="1"/>
  <c r="BH116" i="1"/>
  <c r="BD116" i="1"/>
  <c r="BF116" i="1" s="1"/>
  <c r="BH280" i="1"/>
  <c r="BD280" i="1"/>
  <c r="BF280" i="1" s="1"/>
  <c r="BH74" i="1"/>
  <c r="BD74" i="1"/>
  <c r="BF74" i="1" s="1"/>
  <c r="BH241" i="1"/>
  <c r="BD241" i="1"/>
  <c r="BF241" i="1" s="1"/>
  <c r="BH104" i="1"/>
  <c r="BD104" i="1"/>
  <c r="BF104" i="1" s="1"/>
  <c r="BH532" i="1"/>
  <c r="BD532" i="1"/>
  <c r="BF532" i="1" s="1"/>
  <c r="BH302" i="1"/>
  <c r="BD302" i="1"/>
  <c r="BF302" i="1" s="1"/>
  <c r="BH1019" i="1"/>
  <c r="BD1019" i="1"/>
  <c r="BF1019" i="1" s="1"/>
  <c r="BH614" i="1"/>
  <c r="BD614" i="1"/>
  <c r="BF614" i="1" s="1"/>
  <c r="BH431" i="1"/>
  <c r="BD431" i="1"/>
  <c r="BF431" i="1" s="1"/>
  <c r="BH230" i="1"/>
  <c r="BD230" i="1"/>
  <c r="BF230" i="1" s="1"/>
  <c r="BH308" i="1"/>
  <c r="BD308" i="1"/>
  <c r="BF308" i="1" s="1"/>
  <c r="BH638" i="1"/>
  <c r="BD638" i="1"/>
  <c r="BF638" i="1" s="1"/>
  <c r="BH958" i="1"/>
  <c r="BD958" i="1"/>
  <c r="BF958" i="1" s="1"/>
  <c r="BH622" i="1"/>
  <c r="BD622" i="1"/>
  <c r="BF622" i="1" s="1"/>
  <c r="BD525" i="1"/>
  <c r="BF525" i="1" s="1"/>
  <c r="BH525" i="1"/>
  <c r="BH493" i="1"/>
  <c r="BD493" i="1"/>
  <c r="BF493" i="1" s="1"/>
  <c r="BH356" i="1"/>
  <c r="BD356" i="1"/>
  <c r="BF356" i="1" s="1"/>
  <c r="BH320" i="1"/>
  <c r="BD320" i="1"/>
  <c r="BF320" i="1" s="1"/>
  <c r="BH140" i="1"/>
  <c r="BD140" i="1"/>
  <c r="BF140" i="1" s="1"/>
  <c r="BH474" i="1"/>
  <c r="BD474" i="1"/>
  <c r="BF474" i="1" s="1"/>
  <c r="BD32" i="1"/>
  <c r="BF32" i="1" s="1"/>
  <c r="BH32" i="1"/>
  <c r="BD439" i="1"/>
  <c r="BF439" i="1" s="1"/>
  <c r="BH439" i="1"/>
  <c r="BD553" i="1"/>
  <c r="BF553" i="1" s="1"/>
  <c r="BH553" i="1"/>
  <c r="BD796" i="1"/>
  <c r="BF796" i="1" s="1"/>
  <c r="BH796" i="1"/>
  <c r="BD330" i="1"/>
  <c r="BF330" i="1" s="1"/>
  <c r="BH330" i="1"/>
  <c r="BD695" i="1"/>
  <c r="BF695" i="1" s="1"/>
  <c r="BH695" i="1"/>
  <c r="BH170" i="1"/>
  <c r="BD170" i="1"/>
  <c r="BF170" i="1" s="1"/>
  <c r="BH163" i="1"/>
  <c r="BD163" i="1"/>
  <c r="BF163" i="1" s="1"/>
  <c r="BD429" i="1"/>
  <c r="BF429" i="1" s="1"/>
  <c r="BH429" i="1"/>
  <c r="BH287" i="1"/>
  <c r="BD287" i="1"/>
  <c r="BF287" i="1" s="1"/>
  <c r="BH912" i="1"/>
  <c r="BD912" i="1"/>
  <c r="BF912" i="1" s="1"/>
  <c r="BD794" i="1"/>
  <c r="BF794" i="1" s="1"/>
  <c r="BH794" i="1"/>
  <c r="AP901" i="1"/>
  <c r="AR901" i="1" s="1"/>
  <c r="AL901" i="1"/>
  <c r="AL71" i="1"/>
  <c r="AP71" i="1"/>
  <c r="AR71" i="1" s="1"/>
  <c r="BH89" i="1"/>
  <c r="BD89" i="1"/>
  <c r="BF89" i="1" s="1"/>
  <c r="AL302" i="1"/>
  <c r="AP302" i="1"/>
  <c r="AR302" i="1" s="1"/>
  <c r="AL652" i="1"/>
  <c r="AP652" i="1"/>
  <c r="AR652" i="1" s="1"/>
  <c r="AP939" i="1"/>
  <c r="AR939" i="1" s="1"/>
  <c r="AL939" i="1"/>
  <c r="AP1013" i="1"/>
  <c r="AR1013" i="1" s="1"/>
  <c r="AL1013" i="1"/>
  <c r="AL334" i="1"/>
  <c r="AP334" i="1"/>
  <c r="AR334" i="1" s="1"/>
  <c r="BH714" i="1"/>
  <c r="BD714" i="1"/>
  <c r="BF714" i="1" s="1"/>
  <c r="AP311" i="1"/>
  <c r="AR311" i="1" s="1"/>
  <c r="AL311" i="1"/>
  <c r="BE311" i="1" s="1"/>
  <c r="BH294" i="1"/>
  <c r="BD294" i="1"/>
  <c r="BF294" i="1" s="1"/>
  <c r="AL429" i="1"/>
  <c r="AP429" i="1"/>
  <c r="AR429" i="1" s="1"/>
  <c r="AL220" i="1"/>
  <c r="AP220" i="1"/>
  <c r="AR220" i="1" s="1"/>
  <c r="AL420" i="1"/>
  <c r="AP420" i="1"/>
  <c r="AR420" i="1" s="1"/>
  <c r="AP842" i="1"/>
  <c r="AR842" i="1" s="1"/>
  <c r="AL842" i="1"/>
  <c r="BE842" i="1" s="1"/>
  <c r="AL50" i="1"/>
  <c r="BE50" i="1" s="1"/>
  <c r="AP50" i="1"/>
  <c r="AR50" i="1" s="1"/>
  <c r="AP708" i="1"/>
  <c r="AR708" i="1" s="1"/>
  <c r="AL708" i="1"/>
  <c r="AP155" i="1"/>
  <c r="AR155" i="1" s="1"/>
  <c r="AL155" i="1"/>
  <c r="AP511" i="1"/>
  <c r="AR511" i="1" s="1"/>
  <c r="AL511" i="1"/>
  <c r="AP596" i="1"/>
  <c r="AR596" i="1" s="1"/>
  <c r="AL596" i="1"/>
  <c r="AP692" i="1"/>
  <c r="AR692" i="1" s="1"/>
  <c r="AL692" i="1"/>
  <c r="AP976" i="1"/>
  <c r="AR976" i="1" s="1"/>
  <c r="AL976" i="1"/>
  <c r="AL758" i="1"/>
  <c r="AP758" i="1"/>
  <c r="AR758" i="1" s="1"/>
  <c r="AP414" i="1"/>
  <c r="AR414" i="1" s="1"/>
  <c r="AL414" i="1"/>
  <c r="AP644" i="1"/>
  <c r="AR644" i="1" s="1"/>
  <c r="AL644" i="1"/>
  <c r="AP361" i="1"/>
  <c r="AR361" i="1" s="1"/>
  <c r="AL361" i="1"/>
  <c r="AP908" i="1"/>
  <c r="AR908" i="1" s="1"/>
  <c r="AL908" i="1"/>
  <c r="AP31" i="1"/>
  <c r="AR31" i="1" s="1"/>
  <c r="AL31" i="1"/>
  <c r="BE31" i="1" s="1"/>
  <c r="AP354" i="1"/>
  <c r="AR354" i="1" s="1"/>
  <c r="AL354" i="1"/>
  <c r="BE354" i="1" s="1"/>
  <c r="AP29" i="1"/>
  <c r="AR29" i="1" s="1"/>
  <c r="AL29" i="1"/>
  <c r="AP844" i="1"/>
  <c r="AR844" i="1" s="1"/>
  <c r="AL844" i="1"/>
  <c r="BE844" i="1" s="1"/>
  <c r="AP158" i="1"/>
  <c r="AR158" i="1" s="1"/>
  <c r="AL158" i="1"/>
  <c r="AS158" i="1" s="1"/>
  <c r="AT158" i="1" s="1"/>
  <c r="AL633" i="1"/>
  <c r="AP633" i="1"/>
  <c r="AR633" i="1" s="1"/>
  <c r="AL249" i="1"/>
  <c r="AP249" i="1"/>
  <c r="AR249" i="1" s="1"/>
  <c r="AL582" i="1"/>
  <c r="BE582" i="1" s="1"/>
  <c r="AP582" i="1"/>
  <c r="AR582" i="1" s="1"/>
  <c r="AP759" i="1"/>
  <c r="AR759" i="1" s="1"/>
  <c r="AL759" i="1"/>
  <c r="BE759" i="1" s="1"/>
  <c r="AP965" i="1"/>
  <c r="AR965" i="1" s="1"/>
  <c r="AL965" i="1"/>
  <c r="AP673" i="1"/>
  <c r="AR673" i="1" s="1"/>
  <c r="AL673" i="1"/>
  <c r="BE673" i="1" s="1"/>
  <c r="AL752" i="1"/>
  <c r="AP752" i="1"/>
  <c r="AR752" i="1" s="1"/>
  <c r="AP485" i="1"/>
  <c r="AR485" i="1" s="1"/>
  <c r="AL485" i="1"/>
  <c r="AL772" i="1"/>
  <c r="AP772" i="1"/>
  <c r="AR772" i="1" s="1"/>
  <c r="AL283" i="1"/>
  <c r="AP283" i="1"/>
  <c r="AR283" i="1" s="1"/>
  <c r="AP336" i="1"/>
  <c r="AR336" i="1" s="1"/>
  <c r="AL336" i="1"/>
  <c r="BE336" i="1" s="1"/>
  <c r="AL921" i="1"/>
  <c r="AU921" i="1" s="1"/>
  <c r="AP921" i="1"/>
  <c r="AR921" i="1" s="1"/>
  <c r="AL243" i="1"/>
  <c r="BE243" i="1" s="1"/>
  <c r="AP243" i="1"/>
  <c r="AR243" i="1" s="1"/>
  <c r="AL26" i="1"/>
  <c r="AP26" i="1"/>
  <c r="AR26" i="1" s="1"/>
  <c r="AP279" i="1"/>
  <c r="AR279" i="1" s="1"/>
  <c r="AL279" i="1"/>
  <c r="AL882" i="1"/>
  <c r="AP882" i="1"/>
  <c r="AR882" i="1" s="1"/>
  <c r="AL1011" i="1"/>
  <c r="AP1011" i="1"/>
  <c r="AR1011" i="1" s="1"/>
  <c r="AL355" i="1"/>
  <c r="AM355" i="1" s="1"/>
  <c r="AN355" i="1" s="1"/>
  <c r="AP355" i="1"/>
  <c r="AR355" i="1" s="1"/>
  <c r="AL270" i="1"/>
  <c r="BE270" i="1" s="1"/>
  <c r="AP270" i="1"/>
  <c r="AR270" i="1" s="1"/>
  <c r="AP464" i="1"/>
  <c r="AR464" i="1" s="1"/>
  <c r="AL464" i="1"/>
  <c r="AL398" i="1"/>
  <c r="AP398" i="1"/>
  <c r="AR398" i="1" s="1"/>
  <c r="AL273" i="1"/>
  <c r="BE273" i="1" s="1"/>
  <c r="AP273" i="1"/>
  <c r="AR273" i="1" s="1"/>
  <c r="AP1026" i="1"/>
  <c r="AR1026" i="1" s="1"/>
  <c r="AL1026" i="1"/>
  <c r="AP711" i="1"/>
  <c r="AR711" i="1" s="1"/>
  <c r="AL711" i="1"/>
  <c r="BE711" i="1" s="1"/>
  <c r="AP763" i="1"/>
  <c r="AR763" i="1" s="1"/>
  <c r="AL763" i="1"/>
  <c r="AL484" i="1"/>
  <c r="AP484" i="1"/>
  <c r="AR484" i="1" s="1"/>
  <c r="AP1031" i="1"/>
  <c r="AR1031" i="1" s="1"/>
  <c r="AL1031" i="1"/>
  <c r="BE1031" i="1" s="1"/>
  <c r="AL255" i="1"/>
  <c r="AS255" i="1" s="1"/>
  <c r="AT255" i="1" s="1"/>
  <c r="AP255" i="1"/>
  <c r="AR255" i="1" s="1"/>
  <c r="AL571" i="1"/>
  <c r="AP571" i="1"/>
  <c r="AR571" i="1" s="1"/>
  <c r="AP94" i="1"/>
  <c r="AR94" i="1" s="1"/>
  <c r="AL94" i="1"/>
  <c r="AP539" i="1"/>
  <c r="AR539" i="1" s="1"/>
  <c r="AL539" i="1"/>
  <c r="BE539" i="1" s="1"/>
  <c r="AP492" i="1"/>
  <c r="AR492" i="1" s="1"/>
  <c r="AL492" i="1"/>
  <c r="AL491" i="1"/>
  <c r="AP491" i="1"/>
  <c r="AR491" i="1" s="1"/>
  <c r="AL919" i="1"/>
  <c r="AP919" i="1"/>
  <c r="AR919" i="1" s="1"/>
  <c r="AP498" i="1"/>
  <c r="AR498" i="1" s="1"/>
  <c r="AL498" i="1"/>
  <c r="BE498" i="1" s="1"/>
  <c r="BD402" i="1"/>
  <c r="BF402" i="1" s="1"/>
  <c r="BH402" i="1"/>
  <c r="BD657" i="1"/>
  <c r="BF657" i="1" s="1"/>
  <c r="BH657" i="1"/>
  <c r="BD884" i="1"/>
  <c r="BF884" i="1" s="1"/>
  <c r="BH884" i="1"/>
  <c r="BH350" i="1"/>
  <c r="BD350" i="1"/>
  <c r="BF350" i="1" s="1"/>
  <c r="BD647" i="1"/>
  <c r="BF647" i="1" s="1"/>
  <c r="BH647" i="1"/>
  <c r="BD135" i="1"/>
  <c r="BF135" i="1" s="1"/>
  <c r="BH135" i="1"/>
  <c r="BD478" i="1"/>
  <c r="BF478" i="1" s="1"/>
  <c r="BH478" i="1"/>
  <c r="BD735" i="1"/>
  <c r="BF735" i="1" s="1"/>
  <c r="BH735" i="1"/>
  <c r="BD737" i="1"/>
  <c r="BF737" i="1" s="1"/>
  <c r="BH737" i="1"/>
  <c r="BD988" i="1"/>
  <c r="BF988" i="1" s="1"/>
  <c r="BH988" i="1"/>
  <c r="BD670" i="1"/>
  <c r="BF670" i="1" s="1"/>
  <c r="BH670" i="1"/>
  <c r="BD393" i="1"/>
  <c r="BF393" i="1" s="1"/>
  <c r="BH393" i="1"/>
  <c r="BD303" i="1"/>
  <c r="BF303" i="1" s="1"/>
  <c r="BH303" i="1"/>
  <c r="BD930" i="1"/>
  <c r="BF930" i="1" s="1"/>
  <c r="BH930" i="1"/>
  <c r="BH699" i="1"/>
  <c r="BD699" i="1"/>
  <c r="BF699" i="1" s="1"/>
  <c r="BH613" i="1"/>
  <c r="BD613" i="1"/>
  <c r="BF613" i="1" s="1"/>
  <c r="BD81" i="1"/>
  <c r="BF81" i="1" s="1"/>
  <c r="BH81" i="1"/>
  <c r="BD849" i="1"/>
  <c r="BF849" i="1" s="1"/>
  <c r="BH849" i="1"/>
  <c r="BD588" i="1"/>
  <c r="BF588" i="1" s="1"/>
  <c r="BH588" i="1"/>
  <c r="BH883" i="1"/>
  <c r="BD883" i="1"/>
  <c r="BF883" i="1" s="1"/>
  <c r="BH692" i="1"/>
  <c r="BD692" i="1"/>
  <c r="BF692" i="1" s="1"/>
  <c r="BD274" i="1"/>
  <c r="BF274" i="1" s="1"/>
  <c r="BH274" i="1"/>
  <c r="BD517" i="1"/>
  <c r="BF517" i="1" s="1"/>
  <c r="BH517" i="1"/>
  <c r="BD632" i="1"/>
  <c r="BF632" i="1" s="1"/>
  <c r="BH632" i="1"/>
  <c r="BD835" i="1"/>
  <c r="BF835" i="1" s="1"/>
  <c r="BH835" i="1"/>
  <c r="BD472" i="1"/>
  <c r="BF472" i="1" s="1"/>
  <c r="BH472" i="1"/>
  <c r="BD994" i="1"/>
  <c r="BF994" i="1" s="1"/>
  <c r="BH994" i="1"/>
  <c r="BD251" i="1"/>
  <c r="BF251" i="1" s="1"/>
  <c r="BH251" i="1"/>
  <c r="BD49" i="1"/>
  <c r="BF49" i="1" s="1"/>
  <c r="BH49" i="1"/>
  <c r="BD923" i="1"/>
  <c r="BF923" i="1" s="1"/>
  <c r="BH923" i="1"/>
  <c r="BD1017" i="1"/>
  <c r="BF1017" i="1" s="1"/>
  <c r="BH1017" i="1"/>
  <c r="BD656" i="1"/>
  <c r="BF656" i="1" s="1"/>
  <c r="BH656" i="1"/>
  <c r="BD993" i="1"/>
  <c r="BF993" i="1" s="1"/>
  <c r="BH993" i="1"/>
  <c r="BD723" i="1"/>
  <c r="BF723" i="1" s="1"/>
  <c r="BH723" i="1"/>
  <c r="BD804" i="1"/>
  <c r="BF804" i="1" s="1"/>
  <c r="BH804" i="1"/>
  <c r="BD811" i="1"/>
  <c r="BF811" i="1" s="1"/>
  <c r="BH811" i="1"/>
  <c r="BD164" i="1"/>
  <c r="BF164" i="1" s="1"/>
  <c r="BH164" i="1"/>
  <c r="BD903" i="1"/>
  <c r="BF903" i="1" s="1"/>
  <c r="BH903" i="1"/>
  <c r="BD772" i="1"/>
  <c r="BF772" i="1" s="1"/>
  <c r="BH772" i="1"/>
  <c r="BD54" i="1"/>
  <c r="BF54" i="1" s="1"/>
  <c r="BH54" i="1"/>
  <c r="BD227" i="1"/>
  <c r="BF227" i="1" s="1"/>
  <c r="BH227" i="1"/>
  <c r="BD25" i="1"/>
  <c r="BF25" i="1" s="1"/>
  <c r="BH25" i="1"/>
  <c r="BH727" i="1"/>
  <c r="BD727" i="1"/>
  <c r="BF727" i="1" s="1"/>
  <c r="BD132" i="1"/>
  <c r="BF132" i="1" s="1"/>
  <c r="BH132" i="1"/>
  <c r="BD391" i="1"/>
  <c r="BF391" i="1" s="1"/>
  <c r="BH391" i="1"/>
  <c r="BD369" i="1"/>
  <c r="BF369" i="1" s="1"/>
  <c r="BH369" i="1"/>
  <c r="BD310" i="1"/>
  <c r="BF310" i="1" s="1"/>
  <c r="BH310" i="1"/>
  <c r="BD131" i="1"/>
  <c r="BF131" i="1" s="1"/>
  <c r="BH131" i="1"/>
  <c r="BH338" i="1"/>
  <c r="BD338" i="1"/>
  <c r="BF338" i="1" s="1"/>
  <c r="BD398" i="1"/>
  <c r="BF398" i="1" s="1"/>
  <c r="BH398" i="1"/>
  <c r="BD928" i="1"/>
  <c r="BF928" i="1" s="1"/>
  <c r="BH928" i="1"/>
  <c r="BH731" i="1"/>
  <c r="BD731" i="1"/>
  <c r="BF731" i="1" s="1"/>
  <c r="BH820" i="1"/>
  <c r="BD820" i="1"/>
  <c r="BF820" i="1" s="1"/>
  <c r="AP90" i="1"/>
  <c r="AR90" i="1" s="1"/>
  <c r="AL90" i="1"/>
  <c r="AL490" i="1"/>
  <c r="AP490" i="1"/>
  <c r="AR490" i="1" s="1"/>
  <c r="AP524" i="1"/>
  <c r="AR524" i="1" s="1"/>
  <c r="AL524" i="1"/>
  <c r="AL785" i="1"/>
  <c r="AP785" i="1"/>
  <c r="AR785" i="1" s="1"/>
  <c r="BH171" i="1"/>
  <c r="BD171" i="1"/>
  <c r="BF171" i="1" s="1"/>
  <c r="AP810" i="1"/>
  <c r="AR810" i="1" s="1"/>
  <c r="AL810" i="1"/>
  <c r="BE810" i="1" s="1"/>
  <c r="AP142" i="1"/>
  <c r="AR142" i="1" s="1"/>
  <c r="AL142" i="1"/>
  <c r="AP233" i="1"/>
  <c r="AR233" i="1" s="1"/>
  <c r="AL233" i="1"/>
  <c r="AS233" i="1" s="1"/>
  <c r="AT233" i="1" s="1"/>
  <c r="AP183" i="1"/>
  <c r="AR183" i="1" s="1"/>
  <c r="AL183" i="1"/>
  <c r="AL706" i="1"/>
  <c r="BE706" i="1" s="1"/>
  <c r="AP706" i="1"/>
  <c r="AR706" i="1" s="1"/>
  <c r="AP721" i="1"/>
  <c r="AR721" i="1" s="1"/>
  <c r="AL721" i="1"/>
  <c r="BE721" i="1" s="1"/>
  <c r="AP704" i="1"/>
  <c r="AR704" i="1" s="1"/>
  <c r="AL704" i="1"/>
  <c r="BD770" i="1"/>
  <c r="BF770" i="1" s="1"/>
  <c r="BH770" i="1"/>
  <c r="AL953" i="1"/>
  <c r="AP953" i="1"/>
  <c r="AR953" i="1" s="1"/>
  <c r="AP45" i="1"/>
  <c r="AR45" i="1" s="1"/>
  <c r="AL45" i="1"/>
  <c r="AU45" i="1" s="1"/>
  <c r="AP304" i="1"/>
  <c r="AR304" i="1" s="1"/>
  <c r="AL304" i="1"/>
  <c r="AL395" i="1"/>
  <c r="AP395" i="1"/>
  <c r="AR395" i="1" s="1"/>
  <c r="AP450" i="1"/>
  <c r="AR450" i="1" s="1"/>
  <c r="AL450" i="1"/>
  <c r="AL465" i="1"/>
  <c r="BE465" i="1" s="1"/>
  <c r="AP465" i="1"/>
  <c r="AR465" i="1" s="1"/>
  <c r="AL566" i="1"/>
  <c r="AP566" i="1"/>
  <c r="AR566" i="1" s="1"/>
  <c r="AP955" i="1"/>
  <c r="AR955" i="1" s="1"/>
  <c r="AL955" i="1"/>
  <c r="AP133" i="1"/>
  <c r="AR133" i="1" s="1"/>
  <c r="AL133" i="1"/>
  <c r="AL754" i="1"/>
  <c r="AP754" i="1"/>
  <c r="AR754" i="1" s="1"/>
  <c r="AL446" i="1"/>
  <c r="AP446" i="1"/>
  <c r="AR446" i="1" s="1"/>
  <c r="AL486" i="1"/>
  <c r="AP486" i="1"/>
  <c r="AR486" i="1" s="1"/>
  <c r="AL867" i="1"/>
  <c r="AP867" i="1"/>
  <c r="AR867" i="1" s="1"/>
  <c r="AP184" i="1"/>
  <c r="AR184" i="1" s="1"/>
  <c r="AL184" i="1"/>
  <c r="BE184" i="1" s="1"/>
  <c r="AL264" i="1"/>
  <c r="AP264" i="1"/>
  <c r="AR264" i="1" s="1"/>
  <c r="AP373" i="1"/>
  <c r="AR373" i="1" s="1"/>
  <c r="AL373" i="1"/>
  <c r="AL358" i="1"/>
  <c r="AP358" i="1"/>
  <c r="AR358" i="1" s="1"/>
  <c r="AP973" i="1"/>
  <c r="AR973" i="1" s="1"/>
  <c r="AL973" i="1"/>
  <c r="AS973" i="1" s="1"/>
  <c r="AT973" i="1" s="1"/>
  <c r="AL251" i="1"/>
  <c r="AP251" i="1"/>
  <c r="AR251" i="1" s="1"/>
  <c r="AL722" i="1"/>
  <c r="AP722" i="1"/>
  <c r="AR722" i="1" s="1"/>
  <c r="AL743" i="1"/>
  <c r="AP743" i="1"/>
  <c r="AR743" i="1" s="1"/>
  <c r="BD434" i="1"/>
  <c r="BF434" i="1" s="1"/>
  <c r="BH434" i="1"/>
  <c r="BD743" i="1"/>
  <c r="BF743" i="1" s="1"/>
  <c r="BH743" i="1"/>
  <c r="BD265" i="1"/>
  <c r="BF265" i="1" s="1"/>
  <c r="BH265" i="1"/>
  <c r="BD763" i="1"/>
  <c r="BF763" i="1" s="1"/>
  <c r="BH763" i="1"/>
  <c r="BD337" i="1"/>
  <c r="BF337" i="1" s="1"/>
  <c r="BH337" i="1"/>
  <c r="BD551" i="1"/>
  <c r="BF551" i="1" s="1"/>
  <c r="BH551" i="1"/>
  <c r="BD788" i="1"/>
  <c r="BF788" i="1" s="1"/>
  <c r="BH788" i="1"/>
  <c r="BH113" i="1"/>
  <c r="BD113" i="1"/>
  <c r="BF113" i="1" s="1"/>
  <c r="BD518" i="1"/>
  <c r="BF518" i="1" s="1"/>
  <c r="BH518" i="1"/>
  <c r="BD940" i="1"/>
  <c r="BF940" i="1" s="1"/>
  <c r="BH940" i="1"/>
  <c r="BD268" i="1"/>
  <c r="BF268" i="1" s="1"/>
  <c r="BH268" i="1"/>
  <c r="BD520" i="1"/>
  <c r="BF520" i="1" s="1"/>
  <c r="BH520" i="1"/>
  <c r="BD756" i="1"/>
  <c r="BF756" i="1" s="1"/>
  <c r="BH756" i="1"/>
  <c r="BD728" i="1"/>
  <c r="BF728" i="1" s="1"/>
  <c r="BH728" i="1"/>
  <c r="BD938" i="1"/>
  <c r="BF938" i="1" s="1"/>
  <c r="BH938" i="1"/>
  <c r="BD526" i="1"/>
  <c r="BF526" i="1" s="1"/>
  <c r="BH526" i="1"/>
  <c r="BD480" i="1"/>
  <c r="BF480" i="1" s="1"/>
  <c r="BH480" i="1"/>
  <c r="BD318" i="1"/>
  <c r="BF318" i="1" s="1"/>
  <c r="BH318" i="1"/>
  <c r="BD212" i="1"/>
  <c r="BF212" i="1" s="1"/>
  <c r="BH212" i="1"/>
  <c r="BD342" i="1"/>
  <c r="BF342" i="1" s="1"/>
  <c r="BH342" i="1"/>
  <c r="BH157" i="1"/>
  <c r="BD157" i="1"/>
  <c r="BF157" i="1" s="1"/>
  <c r="BD848" i="1"/>
  <c r="BF848" i="1" s="1"/>
  <c r="BH848" i="1"/>
  <c r="BD544" i="1"/>
  <c r="BF544" i="1" s="1"/>
  <c r="BH544" i="1"/>
  <c r="BD819" i="1"/>
  <c r="BF819" i="1" s="1"/>
  <c r="BH819" i="1"/>
  <c r="BH885" i="1"/>
  <c r="BD885" i="1"/>
  <c r="BF885" i="1" s="1"/>
  <c r="BH855" i="1"/>
  <c r="BD855" i="1"/>
  <c r="BF855" i="1" s="1"/>
  <c r="BH361" i="1"/>
  <c r="BD361" i="1"/>
  <c r="BF361" i="1" s="1"/>
  <c r="BH410" i="1"/>
  <c r="BD410" i="1"/>
  <c r="BF410" i="1" s="1"/>
  <c r="BH807" i="1"/>
  <c r="BD807" i="1"/>
  <c r="BF807" i="1" s="1"/>
  <c r="BH208" i="1"/>
  <c r="BD208" i="1"/>
  <c r="BF208" i="1" s="1"/>
  <c r="AL88" i="1"/>
  <c r="AP88" i="1"/>
  <c r="AR88" i="1" s="1"/>
  <c r="AL650" i="1"/>
  <c r="AP650" i="1"/>
  <c r="AR650" i="1" s="1"/>
  <c r="BH918" i="1"/>
  <c r="BD918" i="1"/>
  <c r="BF918" i="1" s="1"/>
  <c r="BD734" i="1"/>
  <c r="BF734" i="1" s="1"/>
  <c r="BH734" i="1"/>
  <c r="AL221" i="1"/>
  <c r="AP221" i="1"/>
  <c r="AR221" i="1" s="1"/>
  <c r="AL141" i="1"/>
  <c r="AP141" i="1"/>
  <c r="AR141" i="1" s="1"/>
  <c r="AL1034" i="1"/>
  <c r="AP1034" i="1"/>
  <c r="AR1034" i="1" s="1"/>
  <c r="AL679" i="1"/>
  <c r="AP679" i="1"/>
  <c r="AR679" i="1" s="1"/>
  <c r="AL389" i="1"/>
  <c r="AP389" i="1"/>
  <c r="AR389" i="1" s="1"/>
  <c r="AL554" i="1"/>
  <c r="AP554" i="1"/>
  <c r="AR554" i="1" s="1"/>
  <c r="AP903" i="1"/>
  <c r="AR903" i="1" s="1"/>
  <c r="AL903" i="1"/>
  <c r="AP690" i="1"/>
  <c r="AR690" i="1" s="1"/>
  <c r="AL690" i="1"/>
  <c r="BH154" i="1"/>
  <c r="BD154" i="1"/>
  <c r="BF154" i="1" s="1"/>
  <c r="AL34" i="1"/>
  <c r="AP34" i="1"/>
  <c r="AR34" i="1" s="1"/>
  <c r="AL766" i="1"/>
  <c r="AP766" i="1"/>
  <c r="AR766" i="1" s="1"/>
  <c r="AL667" i="1"/>
  <c r="AP667" i="1"/>
  <c r="AR667" i="1" s="1"/>
  <c r="AL259" i="1"/>
  <c r="BE259" i="1" s="1"/>
  <c r="AP259" i="1"/>
  <c r="AR259" i="1" s="1"/>
  <c r="AP44" i="1"/>
  <c r="AR44" i="1" s="1"/>
  <c r="AL44" i="1"/>
  <c r="BE44" i="1" s="1"/>
  <c r="AP480" i="1"/>
  <c r="AR480" i="1" s="1"/>
  <c r="AL480" i="1"/>
  <c r="AP416" i="1"/>
  <c r="AR416" i="1" s="1"/>
  <c r="AL416" i="1"/>
  <c r="AL81" i="1"/>
  <c r="AP81" i="1"/>
  <c r="AR81" i="1" s="1"/>
  <c r="AP291" i="1"/>
  <c r="AR291" i="1" s="1"/>
  <c r="AL291" i="1"/>
  <c r="AL851" i="1"/>
  <c r="AP851" i="1"/>
  <c r="AR851" i="1" s="1"/>
  <c r="AL751" i="1"/>
  <c r="AP751" i="1"/>
  <c r="AR751" i="1" s="1"/>
  <c r="AP1014" i="1"/>
  <c r="AR1014" i="1" s="1"/>
  <c r="AL1014" i="1"/>
  <c r="AL527" i="1"/>
  <c r="AP527" i="1"/>
  <c r="AR527" i="1" s="1"/>
  <c r="AL222" i="1"/>
  <c r="AS222" i="1" s="1"/>
  <c r="AT222" i="1" s="1"/>
  <c r="AP222" i="1"/>
  <c r="AR222" i="1" s="1"/>
  <c r="AL266" i="1"/>
  <c r="AM266" i="1" s="1"/>
  <c r="AN266" i="1" s="1"/>
  <c r="AP266" i="1"/>
  <c r="AR266" i="1" s="1"/>
  <c r="AL289" i="1"/>
  <c r="AP289" i="1"/>
  <c r="AR289" i="1" s="1"/>
  <c r="BD435" i="1"/>
  <c r="BF435" i="1" s="1"/>
  <c r="BH435" i="1"/>
  <c r="BD145" i="1"/>
  <c r="BF145" i="1" s="1"/>
  <c r="BH145" i="1"/>
  <c r="BD1011" i="1"/>
  <c r="BF1011" i="1" s="1"/>
  <c r="BH1011" i="1"/>
  <c r="BD370" i="1"/>
  <c r="BF370" i="1" s="1"/>
  <c r="BH370" i="1"/>
  <c r="BD181" i="1"/>
  <c r="BF181" i="1" s="1"/>
  <c r="BH181" i="1"/>
  <c r="BH355" i="1"/>
  <c r="BD355" i="1"/>
  <c r="BF355" i="1" s="1"/>
  <c r="BH755" i="1"/>
  <c r="BD755" i="1"/>
  <c r="BF755" i="1" s="1"/>
  <c r="BH73" i="1"/>
  <c r="BD73" i="1"/>
  <c r="BF73" i="1" s="1"/>
  <c r="BH606" i="1"/>
  <c r="BD606" i="1"/>
  <c r="BF606" i="1" s="1"/>
  <c r="BD246" i="1"/>
  <c r="BF246" i="1" s="1"/>
  <c r="BH246" i="1"/>
  <c r="AP43" i="1"/>
  <c r="AR43" i="1" s="1"/>
  <c r="AL43" i="1"/>
  <c r="BE43" i="1" s="1"/>
  <c r="AP781" i="1"/>
  <c r="AR781" i="1" s="1"/>
  <c r="AL781" i="1"/>
  <c r="AL732" i="1"/>
  <c r="AP732" i="1"/>
  <c r="AR732" i="1" s="1"/>
  <c r="AL128" i="1"/>
  <c r="AP128" i="1"/>
  <c r="AR128" i="1" s="1"/>
  <c r="AL117" i="1"/>
  <c r="BE117" i="1" s="1"/>
  <c r="AP117" i="1"/>
  <c r="AR117" i="1" s="1"/>
  <c r="AL583" i="1"/>
  <c r="BE583" i="1" s="1"/>
  <c r="AP583" i="1"/>
  <c r="AR583" i="1" s="1"/>
  <c r="AP837" i="1"/>
  <c r="AR837" i="1" s="1"/>
  <c r="AL837" i="1"/>
  <c r="AL265" i="1"/>
  <c r="AP265" i="1"/>
  <c r="AR265" i="1" s="1"/>
  <c r="AL307" i="1"/>
  <c r="AU307" i="1" s="1"/>
  <c r="AP307" i="1"/>
  <c r="AR307" i="1" s="1"/>
  <c r="AP612" i="1"/>
  <c r="AR612" i="1" s="1"/>
  <c r="AL612" i="1"/>
  <c r="AP284" i="1"/>
  <c r="AR284" i="1" s="1"/>
  <c r="AL284" i="1"/>
  <c r="AP310" i="1"/>
  <c r="AR310" i="1" s="1"/>
  <c r="AL310" i="1"/>
  <c r="AL160" i="1"/>
  <c r="BE160" i="1" s="1"/>
  <c r="AP160" i="1"/>
  <c r="AR160" i="1" s="1"/>
  <c r="AL109" i="1"/>
  <c r="AP109" i="1"/>
  <c r="AR109" i="1" s="1"/>
  <c r="AP1005" i="1"/>
  <c r="AR1005" i="1" s="1"/>
  <c r="AL1005" i="1"/>
  <c r="AP705" i="1"/>
  <c r="AR705" i="1" s="1"/>
  <c r="AL705" i="1"/>
  <c r="BE705" i="1" s="1"/>
  <c r="AP933" i="1"/>
  <c r="AR933" i="1" s="1"/>
  <c r="AL933" i="1"/>
  <c r="BE933" i="1" s="1"/>
  <c r="AP993" i="1"/>
  <c r="AR993" i="1" s="1"/>
  <c r="AL993" i="1"/>
  <c r="AP195" i="1"/>
  <c r="AR195" i="1" s="1"/>
  <c r="AL195" i="1"/>
  <c r="AP392" i="1"/>
  <c r="AR392" i="1" s="1"/>
  <c r="AL392" i="1"/>
  <c r="AP528" i="1"/>
  <c r="AR528" i="1" s="1"/>
  <c r="AL528" i="1"/>
  <c r="AP774" i="1"/>
  <c r="AR774" i="1" s="1"/>
  <c r="AL774" i="1"/>
  <c r="BH485" i="1"/>
  <c r="BD485" i="1"/>
  <c r="BF485" i="1" s="1"/>
  <c r="BH442" i="1"/>
  <c r="BD442" i="1"/>
  <c r="BF442" i="1" s="1"/>
  <c r="BH83" i="1"/>
  <c r="BD83" i="1"/>
  <c r="BF83" i="1" s="1"/>
  <c r="BH867" i="1"/>
  <c r="BD867" i="1"/>
  <c r="BF867" i="1" s="1"/>
  <c r="BH499" i="1"/>
  <c r="BD499" i="1"/>
  <c r="BF499" i="1" s="1"/>
  <c r="BH374" i="1"/>
  <c r="BD374" i="1"/>
  <c r="BF374" i="1" s="1"/>
  <c r="BH64" i="1"/>
  <c r="BD64" i="1"/>
  <c r="BF64" i="1" s="1"/>
  <c r="BH598" i="1"/>
  <c r="BD598" i="1"/>
  <c r="BF598" i="1" s="1"/>
  <c r="BH306" i="1"/>
  <c r="BD306" i="1"/>
  <c r="BF306" i="1" s="1"/>
  <c r="BH909" i="1"/>
  <c r="BD909" i="1"/>
  <c r="BF909" i="1" s="1"/>
  <c r="BH524" i="1"/>
  <c r="BD524" i="1"/>
  <c r="BF524" i="1" s="1"/>
  <c r="BH813" i="1"/>
  <c r="BD813" i="1"/>
  <c r="BF813" i="1" s="1"/>
  <c r="BH413" i="1"/>
  <c r="BD413" i="1"/>
  <c r="BF413" i="1" s="1"/>
  <c r="BH612" i="1"/>
  <c r="BD612" i="1"/>
  <c r="BF612" i="1" s="1"/>
  <c r="BH648" i="1"/>
  <c r="BD648" i="1"/>
  <c r="BF648" i="1" s="1"/>
  <c r="BD153" i="1"/>
  <c r="BF153" i="1" s="1"/>
  <c r="BH153" i="1"/>
  <c r="BH610" i="1"/>
  <c r="BD610" i="1"/>
  <c r="BF610" i="1" s="1"/>
  <c r="AL179" i="1"/>
  <c r="AS179" i="1" s="1"/>
  <c r="AT179" i="1" s="1"/>
  <c r="AP179" i="1"/>
  <c r="AR179" i="1" s="1"/>
  <c r="AL488" i="1"/>
  <c r="AU488" i="1" s="1"/>
  <c r="AP488" i="1"/>
  <c r="AR488" i="1" s="1"/>
  <c r="AP700" i="1"/>
  <c r="AR700" i="1" s="1"/>
  <c r="AL700" i="1"/>
  <c r="AP747" i="1"/>
  <c r="AR747" i="1" s="1"/>
  <c r="AL747" i="1"/>
  <c r="AP828" i="1"/>
  <c r="AR828" i="1" s="1"/>
  <c r="AL828" i="1"/>
  <c r="BE828" i="1" s="1"/>
  <c r="AL212" i="1"/>
  <c r="AP212" i="1"/>
  <c r="AR212" i="1" s="1"/>
  <c r="AL399" i="1"/>
  <c r="AS399" i="1" s="1"/>
  <c r="AT399" i="1" s="1"/>
  <c r="AP399" i="1"/>
  <c r="AR399" i="1" s="1"/>
  <c r="AL760" i="1"/>
  <c r="AP760" i="1"/>
  <c r="AR760" i="1" s="1"/>
  <c r="AP145" i="1"/>
  <c r="AR145" i="1" s="1"/>
  <c r="AL145" i="1"/>
  <c r="AP742" i="1"/>
  <c r="AR742" i="1" s="1"/>
  <c r="AL742" i="1"/>
  <c r="AL396" i="1"/>
  <c r="BE396" i="1" s="1"/>
  <c r="AP396" i="1"/>
  <c r="AR396" i="1" s="1"/>
  <c r="AL875" i="1"/>
  <c r="AP875" i="1"/>
  <c r="AR875" i="1" s="1"/>
  <c r="BH325" i="1"/>
  <c r="BD325" i="1"/>
  <c r="BF325" i="1" s="1"/>
  <c r="BH937" i="1"/>
  <c r="BD937" i="1"/>
  <c r="BF937" i="1" s="1"/>
  <c r="BD473" i="1"/>
  <c r="BF473" i="1" s="1"/>
  <c r="BH473" i="1"/>
  <c r="BH948" i="1"/>
  <c r="BD948" i="1"/>
  <c r="BF948" i="1" s="1"/>
  <c r="BH450" i="1"/>
  <c r="BD450" i="1"/>
  <c r="BF450" i="1" s="1"/>
  <c r="BH445" i="1"/>
  <c r="BD445" i="1"/>
  <c r="BF445" i="1" s="1"/>
  <c r="BH789" i="1"/>
  <c r="BD789" i="1"/>
  <c r="BF789" i="1" s="1"/>
  <c r="BD182" i="1"/>
  <c r="BF182" i="1" s="1"/>
  <c r="BH182" i="1"/>
  <c r="BD464" i="1"/>
  <c r="BF464" i="1" s="1"/>
  <c r="BH464" i="1"/>
  <c r="BD223" i="1"/>
  <c r="BF223" i="1" s="1"/>
  <c r="BH223" i="1"/>
  <c r="AP91" i="1"/>
  <c r="AR91" i="1" s="1"/>
  <c r="AL91" i="1"/>
  <c r="AL1041" i="1"/>
  <c r="BE1041" i="1" s="1"/>
  <c r="AP1041" i="1"/>
  <c r="AR1041" i="1" s="1"/>
  <c r="AL400" i="1"/>
  <c r="AP400" i="1"/>
  <c r="AR400" i="1" s="1"/>
  <c r="AP371" i="1"/>
  <c r="AR371" i="1" s="1"/>
  <c r="AL371" i="1"/>
  <c r="AL812" i="1"/>
  <c r="AP812" i="1"/>
  <c r="AR812" i="1" s="1"/>
  <c r="AP827" i="1"/>
  <c r="AR827" i="1" s="1"/>
  <c r="AL827" i="1"/>
  <c r="AL296" i="1"/>
  <c r="BE296" i="1" s="1"/>
  <c r="AP296" i="1"/>
  <c r="AR296" i="1" s="1"/>
  <c r="AL833" i="1"/>
  <c r="AP833" i="1"/>
  <c r="AR833" i="1" s="1"/>
  <c r="AL1024" i="1"/>
  <c r="AP1024" i="1"/>
  <c r="AR1024" i="1" s="1"/>
  <c r="BH555" i="1"/>
  <c r="BD555" i="1"/>
  <c r="BF555" i="1" s="1"/>
  <c r="AP253" i="1"/>
  <c r="AR253" i="1" s="1"/>
  <c r="AL253" i="1"/>
  <c r="BE253" i="1" s="1"/>
  <c r="AP150" i="1"/>
  <c r="AR150" i="1" s="1"/>
  <c r="AL150" i="1"/>
  <c r="AP290" i="1"/>
  <c r="AR290" i="1" s="1"/>
  <c r="AL290" i="1"/>
  <c r="AL581" i="1"/>
  <c r="AP581" i="1"/>
  <c r="AR581" i="1" s="1"/>
  <c r="AP980" i="1"/>
  <c r="AR980" i="1" s="1"/>
  <c r="AL980" i="1"/>
  <c r="BH345" i="1"/>
  <c r="BD345" i="1"/>
  <c r="BF345" i="1" s="1"/>
  <c r="BH298" i="1"/>
  <c r="BD298" i="1"/>
  <c r="BF298" i="1" s="1"/>
  <c r="BH161" i="1"/>
  <c r="BD161" i="1"/>
  <c r="BF161" i="1" s="1"/>
  <c r="BH446" i="1"/>
  <c r="BD446" i="1"/>
  <c r="BF446" i="1" s="1"/>
  <c r="BH653" i="1"/>
  <c r="BD653" i="1"/>
  <c r="BF653" i="1" s="1"/>
  <c r="AP174" i="1"/>
  <c r="AR174" i="1" s="1"/>
  <c r="AL174" i="1"/>
  <c r="BD244" i="1"/>
  <c r="BF244" i="1" s="1"/>
  <c r="BH244" i="1"/>
  <c r="BH347" i="1"/>
  <c r="BD347" i="1"/>
  <c r="BF347" i="1" s="1"/>
  <c r="AL269" i="1"/>
  <c r="AP269" i="1"/>
  <c r="AR269" i="1" s="1"/>
  <c r="AL196" i="1"/>
  <c r="AP196" i="1"/>
  <c r="AR196" i="1" s="1"/>
  <c r="AP245" i="1"/>
  <c r="AR245" i="1" s="1"/>
  <c r="AL245" i="1"/>
  <c r="AP209" i="1"/>
  <c r="AR209" i="1" s="1"/>
  <c r="AL209" i="1"/>
  <c r="AL588" i="1"/>
  <c r="BE588" i="1" s="1"/>
  <c r="AP588" i="1"/>
  <c r="AR588" i="1" s="1"/>
  <c r="AL900" i="1"/>
  <c r="AP900" i="1"/>
  <c r="AR900" i="1" s="1"/>
  <c r="BD782" i="1"/>
  <c r="BF782" i="1" s="1"/>
  <c r="BH782" i="1"/>
  <c r="BH156" i="1"/>
  <c r="BD156" i="1"/>
  <c r="BF156" i="1" s="1"/>
  <c r="BD239" i="1"/>
  <c r="BF239" i="1" s="1"/>
  <c r="BH239" i="1"/>
  <c r="BD686" i="1"/>
  <c r="BF686" i="1" s="1"/>
  <c r="BH686" i="1"/>
  <c r="BH824" i="1"/>
  <c r="BD824" i="1"/>
  <c r="BF824" i="1" s="1"/>
  <c r="BD1039" i="1"/>
  <c r="BF1039" i="1" s="1"/>
  <c r="BH1039" i="1"/>
  <c r="BD155" i="1"/>
  <c r="BF155" i="1" s="1"/>
  <c r="BH155" i="1"/>
  <c r="BD882" i="1"/>
  <c r="BF882" i="1" s="1"/>
  <c r="BH882" i="1"/>
  <c r="AP522" i="1"/>
  <c r="AR522" i="1" s="1"/>
  <c r="AL522" i="1"/>
  <c r="AP405" i="1"/>
  <c r="AR405" i="1" s="1"/>
  <c r="AL405" i="1"/>
  <c r="BE405" i="1" s="1"/>
  <c r="AP152" i="1"/>
  <c r="AR152" i="1" s="1"/>
  <c r="AL152" i="1"/>
  <c r="AS152" i="1" s="1"/>
  <c r="AT152" i="1" s="1"/>
  <c r="AP684" i="1"/>
  <c r="AR684" i="1" s="1"/>
  <c r="AL684" i="1"/>
  <c r="AL421" i="1"/>
  <c r="BE421" i="1" s="1"/>
  <c r="AP421" i="1"/>
  <c r="AR421" i="1" s="1"/>
  <c r="AP560" i="1"/>
  <c r="AR560" i="1" s="1"/>
  <c r="AL560" i="1"/>
  <c r="AP194" i="1"/>
  <c r="AR194" i="1" s="1"/>
  <c r="AL194" i="1"/>
  <c r="AM194" i="1" s="1"/>
  <c r="AN194" i="1" s="1"/>
  <c r="AP36" i="1"/>
  <c r="AR36" i="1" s="1"/>
  <c r="AL36" i="1"/>
  <c r="AL687" i="1"/>
  <c r="BE687" i="1" s="1"/>
  <c r="AP687" i="1"/>
  <c r="AR687" i="1" s="1"/>
  <c r="AP517" i="1"/>
  <c r="AR517" i="1" s="1"/>
  <c r="AL517" i="1"/>
  <c r="BE517" i="1" s="1"/>
  <c r="AP335" i="1"/>
  <c r="AR335" i="1" s="1"/>
  <c r="AL335" i="1"/>
  <c r="AP744" i="1"/>
  <c r="AR744" i="1" s="1"/>
  <c r="AL744" i="1"/>
  <c r="AP435" i="1"/>
  <c r="AR435" i="1" s="1"/>
  <c r="AL435" i="1"/>
  <c r="AL213" i="1"/>
  <c r="AP213" i="1"/>
  <c r="AR213" i="1" s="1"/>
  <c r="AL345" i="1"/>
  <c r="AP345" i="1"/>
  <c r="AR345" i="1" s="1"/>
  <c r="AP448" i="1"/>
  <c r="AR448" i="1" s="1"/>
  <c r="AL448" i="1"/>
  <c r="AP1004" i="1"/>
  <c r="AR1004" i="1" s="1"/>
  <c r="AL1004" i="1"/>
  <c r="BD392" i="1"/>
  <c r="BF392" i="1" s="1"/>
  <c r="BH392" i="1"/>
  <c r="BD837" i="1"/>
  <c r="BF837" i="1" s="1"/>
  <c r="BH837" i="1"/>
  <c r="BD452" i="1"/>
  <c r="BF452" i="1" s="1"/>
  <c r="BH452" i="1"/>
  <c r="BD944" i="1"/>
  <c r="BF944" i="1" s="1"/>
  <c r="BH944" i="1"/>
  <c r="BH862" i="1"/>
  <c r="BD862" i="1"/>
  <c r="BF862" i="1" s="1"/>
  <c r="AL573" i="1"/>
  <c r="BE573" i="1" s="1"/>
  <c r="AP573" i="1"/>
  <c r="AR573" i="1" s="1"/>
  <c r="AL727" i="1"/>
  <c r="AP727" i="1"/>
  <c r="AR727" i="1" s="1"/>
  <c r="BD373" i="1"/>
  <c r="BF373" i="1" s="1"/>
  <c r="BH373" i="1"/>
  <c r="BD307" i="1"/>
  <c r="BF307" i="1" s="1"/>
  <c r="BH307" i="1"/>
  <c r="BD388" i="1"/>
  <c r="BF388" i="1" s="1"/>
  <c r="BH388" i="1"/>
  <c r="BD68" i="1"/>
  <c r="BF68" i="1" s="1"/>
  <c r="BH68" i="1"/>
  <c r="BD133" i="1"/>
  <c r="BF133" i="1" s="1"/>
  <c r="BH133" i="1"/>
  <c r="BD75" i="1"/>
  <c r="BF75" i="1" s="1"/>
  <c r="BH75" i="1"/>
  <c r="BD397" i="1"/>
  <c r="BF397" i="1" s="1"/>
  <c r="BH397" i="1"/>
  <c r="BD82" i="1"/>
  <c r="BF82" i="1" s="1"/>
  <c r="BH82" i="1"/>
  <c r="BD748" i="1"/>
  <c r="BF748" i="1" s="1"/>
  <c r="BH748" i="1"/>
  <c r="BD629" i="1"/>
  <c r="BF629" i="1" s="1"/>
  <c r="BH629" i="1"/>
  <c r="BH700" i="1"/>
  <c r="BD700" i="1"/>
  <c r="BF700" i="1" s="1"/>
  <c r="BD742" i="1"/>
  <c r="BF742" i="1" s="1"/>
  <c r="BH742" i="1"/>
  <c r="BD628" i="1"/>
  <c r="BF628" i="1" s="1"/>
  <c r="BH628" i="1"/>
  <c r="AL113" i="1"/>
  <c r="AP113" i="1"/>
  <c r="AR113" i="1" s="1"/>
  <c r="BD643" i="1"/>
  <c r="BF643" i="1" s="1"/>
  <c r="BH643" i="1"/>
  <c r="AP699" i="1"/>
  <c r="AR699" i="1" s="1"/>
  <c r="AL699" i="1"/>
  <c r="AP959" i="1"/>
  <c r="AR959" i="1" s="1"/>
  <c r="AL959" i="1"/>
  <c r="AP468" i="1"/>
  <c r="AR468" i="1" s="1"/>
  <c r="AL468" i="1"/>
  <c r="BD911" i="1"/>
  <c r="BF911" i="1" s="1"/>
  <c r="BH911" i="1"/>
  <c r="AP325" i="1"/>
  <c r="AR325" i="1" s="1"/>
  <c r="AL325" i="1"/>
  <c r="AL47" i="1"/>
  <c r="BE47" i="1" s="1"/>
  <c r="AP47" i="1"/>
  <c r="AR47" i="1" s="1"/>
  <c r="AP726" i="1"/>
  <c r="AR726" i="1" s="1"/>
  <c r="AL726" i="1"/>
  <c r="AM726" i="1" s="1"/>
  <c r="AN726" i="1" s="1"/>
  <c r="AL674" i="1"/>
  <c r="AP674" i="1"/>
  <c r="AR674" i="1" s="1"/>
  <c r="AP512" i="1"/>
  <c r="AR512" i="1" s="1"/>
  <c r="AL512" i="1"/>
  <c r="BE512" i="1" s="1"/>
  <c r="AP880" i="1"/>
  <c r="AR880" i="1" s="1"/>
  <c r="AL880" i="1"/>
  <c r="AL835" i="1"/>
  <c r="BE835" i="1" s="1"/>
  <c r="AP835" i="1"/>
  <c r="AR835" i="1" s="1"/>
  <c r="AL991" i="1"/>
  <c r="AP991" i="1"/>
  <c r="AR991" i="1" s="1"/>
  <c r="AL478" i="1"/>
  <c r="AP478" i="1"/>
  <c r="AR478" i="1" s="1"/>
  <c r="AP344" i="1"/>
  <c r="AR344" i="1" s="1"/>
  <c r="AL344" i="1"/>
  <c r="BH282" i="1"/>
  <c r="BD282" i="1"/>
  <c r="BF282" i="1" s="1"/>
  <c r="BH194" i="1"/>
  <c r="BD194" i="1"/>
  <c r="BF194" i="1" s="1"/>
  <c r="BH35" i="1"/>
  <c r="BD35" i="1"/>
  <c r="BF35" i="1" s="1"/>
  <c r="BD1028" i="1"/>
  <c r="BF1028" i="1" s="1"/>
  <c r="BH1028" i="1"/>
  <c r="BD283" i="1"/>
  <c r="BF283" i="1" s="1"/>
  <c r="BH283" i="1"/>
  <c r="BD1030" i="1"/>
  <c r="BF1030" i="1" s="1"/>
  <c r="BH1030" i="1"/>
  <c r="AP999" i="1"/>
  <c r="AR999" i="1" s="1"/>
  <c r="AL999" i="1"/>
  <c r="BE999" i="1" s="1"/>
  <c r="BD872" i="1"/>
  <c r="BF872" i="1" s="1"/>
  <c r="BH872" i="1"/>
  <c r="BD736" i="1"/>
  <c r="BF736" i="1" s="1"/>
  <c r="BH736" i="1"/>
  <c r="BD945" i="1"/>
  <c r="BF945" i="1" s="1"/>
  <c r="BH945" i="1"/>
  <c r="BD760" i="1"/>
  <c r="BF760" i="1" s="1"/>
  <c r="BH760" i="1"/>
  <c r="BD562" i="1"/>
  <c r="BF562" i="1" s="1"/>
  <c r="BH562" i="1"/>
  <c r="BD523" i="1"/>
  <c r="BF523" i="1" s="1"/>
  <c r="BH523" i="1"/>
  <c r="BH190" i="1"/>
  <c r="BD190" i="1"/>
  <c r="BF190" i="1" s="1"/>
  <c r="BH659" i="1"/>
  <c r="BD659" i="1"/>
  <c r="BF659" i="1" s="1"/>
  <c r="BD1010" i="1"/>
  <c r="BF1010" i="1" s="1"/>
  <c r="BH1010" i="1"/>
  <c r="BD1005" i="1"/>
  <c r="BF1005" i="1" s="1"/>
  <c r="BH1005" i="1"/>
  <c r="BD122" i="1"/>
  <c r="BF122" i="1" s="1"/>
  <c r="BH122" i="1"/>
  <c r="BD91" i="1"/>
  <c r="BF91" i="1" s="1"/>
  <c r="BH91" i="1"/>
  <c r="BD698" i="1"/>
  <c r="BF698" i="1" s="1"/>
  <c r="BH698" i="1"/>
  <c r="BD904" i="1"/>
  <c r="BF904" i="1" s="1"/>
  <c r="BH904" i="1"/>
  <c r="BD394" i="1"/>
  <c r="BF394" i="1" s="1"/>
  <c r="BH394" i="1"/>
  <c r="BH191" i="1"/>
  <c r="BD191" i="1"/>
  <c r="BF191" i="1" s="1"/>
  <c r="BD974" i="1"/>
  <c r="BF974" i="1" s="1"/>
  <c r="BH974" i="1"/>
  <c r="AP112" i="1"/>
  <c r="AR112" i="1" s="1"/>
  <c r="AL112" i="1"/>
  <c r="AL326" i="1"/>
  <c r="BE326" i="1" s="1"/>
  <c r="AP326" i="1"/>
  <c r="AR326" i="1" s="1"/>
  <c r="AP192" i="1"/>
  <c r="AR192" i="1" s="1"/>
  <c r="AL192" i="1"/>
  <c r="AP896" i="1"/>
  <c r="AR896" i="1" s="1"/>
  <c r="AL896" i="1"/>
  <c r="BE896" i="1" s="1"/>
  <c r="AL585" i="1"/>
  <c r="AP585" i="1"/>
  <c r="AR585" i="1" s="1"/>
  <c r="AP664" i="1"/>
  <c r="AR664" i="1" s="1"/>
  <c r="AL664" i="1"/>
  <c r="AP402" i="1"/>
  <c r="AR402" i="1" s="1"/>
  <c r="AL402" i="1"/>
  <c r="AP456" i="1"/>
  <c r="AR456" i="1" s="1"/>
  <c r="AL456" i="1"/>
  <c r="AS456" i="1" s="1"/>
  <c r="AT456" i="1" s="1"/>
  <c r="AL138" i="1"/>
  <c r="AP138" i="1"/>
  <c r="AR138" i="1" s="1"/>
  <c r="AP545" i="1"/>
  <c r="AR545" i="1" s="1"/>
  <c r="AL545" i="1"/>
  <c r="BE545" i="1" s="1"/>
  <c r="AP1016" i="1"/>
  <c r="AR1016" i="1" s="1"/>
  <c r="AL1016" i="1"/>
  <c r="BE1016" i="1" s="1"/>
  <c r="AP1008" i="1"/>
  <c r="AR1008" i="1" s="1"/>
  <c r="AL1008" i="1"/>
  <c r="AM1008" i="1" s="1"/>
  <c r="AN1008" i="1" s="1"/>
  <c r="AP143" i="1"/>
  <c r="AR143" i="1" s="1"/>
  <c r="AL143" i="1"/>
  <c r="BE143" i="1" s="1"/>
  <c r="AL217" i="1"/>
  <c r="AP217" i="1"/>
  <c r="AR217" i="1" s="1"/>
  <c r="AL466" i="1"/>
  <c r="AP466" i="1"/>
  <c r="AR466" i="1" s="1"/>
  <c r="AL739" i="1"/>
  <c r="AP739" i="1"/>
  <c r="AR739" i="1" s="1"/>
  <c r="AL805" i="1"/>
  <c r="AP805" i="1"/>
  <c r="AR805" i="1" s="1"/>
  <c r="BD556" i="1"/>
  <c r="BF556" i="1" s="1"/>
  <c r="BH556" i="1"/>
  <c r="BD857" i="1"/>
  <c r="BF857" i="1" s="1"/>
  <c r="BH857" i="1"/>
  <c r="BD78" i="1"/>
  <c r="BF78" i="1" s="1"/>
  <c r="BH78" i="1"/>
  <c r="BH895" i="1"/>
  <c r="BD895" i="1"/>
  <c r="BF895" i="1" s="1"/>
  <c r="BD237" i="1"/>
  <c r="BF237" i="1" s="1"/>
  <c r="BH237" i="1"/>
  <c r="BD570" i="1"/>
  <c r="BF570" i="1" s="1"/>
  <c r="BH570" i="1"/>
  <c r="BD893" i="1"/>
  <c r="BF893" i="1" s="1"/>
  <c r="BH893" i="1"/>
  <c r="BD443" i="1"/>
  <c r="BF443" i="1" s="1"/>
  <c r="BH443" i="1"/>
  <c r="BD839" i="1"/>
  <c r="BF839" i="1" s="1"/>
  <c r="BH839" i="1"/>
  <c r="BD733" i="1"/>
  <c r="BF733" i="1" s="1"/>
  <c r="BH733" i="1"/>
  <c r="BD291" i="1"/>
  <c r="BF291" i="1" s="1"/>
  <c r="BH291" i="1"/>
  <c r="BD497" i="1"/>
  <c r="BF497" i="1" s="1"/>
  <c r="BH497" i="1"/>
  <c r="BD195" i="1"/>
  <c r="BF195" i="1" s="1"/>
  <c r="BH195" i="1"/>
  <c r="BD787" i="1"/>
  <c r="BF787" i="1" s="1"/>
  <c r="BH787" i="1"/>
  <c r="BD634" i="1"/>
  <c r="BF634" i="1" s="1"/>
  <c r="BH634" i="1"/>
  <c r="BH286" i="1"/>
  <c r="BD286" i="1"/>
  <c r="BF286" i="1" s="1"/>
  <c r="BD123" i="1"/>
  <c r="BF123" i="1" s="1"/>
  <c r="BH123" i="1"/>
  <c r="BD625" i="1"/>
  <c r="BF625" i="1" s="1"/>
  <c r="BH625" i="1"/>
  <c r="BD924" i="1"/>
  <c r="BF924" i="1" s="1"/>
  <c r="BH924" i="1"/>
  <c r="BD166" i="1"/>
  <c r="BF166" i="1" s="1"/>
  <c r="BH166" i="1"/>
  <c r="BD620" i="1"/>
  <c r="BF620" i="1" s="1"/>
  <c r="BH620" i="1"/>
  <c r="BD430" i="1"/>
  <c r="BF430" i="1" s="1"/>
  <c r="BH430" i="1"/>
  <c r="BD527" i="1"/>
  <c r="BF527" i="1" s="1"/>
  <c r="BH527" i="1"/>
  <c r="BD740" i="1"/>
  <c r="BF740" i="1" s="1"/>
  <c r="BH740" i="1"/>
  <c r="BD138" i="1"/>
  <c r="BF138" i="1" s="1"/>
  <c r="BH138" i="1"/>
  <c r="BD549" i="1"/>
  <c r="BF549" i="1" s="1"/>
  <c r="BH549" i="1"/>
  <c r="BD1018" i="1"/>
  <c r="BF1018" i="1" s="1"/>
  <c r="BH1018" i="1"/>
  <c r="BD907" i="1"/>
  <c r="BF907" i="1" s="1"/>
  <c r="BH907" i="1"/>
  <c r="BD880" i="1"/>
  <c r="BF880" i="1" s="1"/>
  <c r="BH880" i="1"/>
  <c r="BD832" i="1"/>
  <c r="BF832" i="1" s="1"/>
  <c r="BH832" i="1"/>
  <c r="BD840" i="1"/>
  <c r="BF840" i="1" s="1"/>
  <c r="BH840" i="1"/>
  <c r="BD214" i="1"/>
  <c r="BF214" i="1" s="1"/>
  <c r="BH214" i="1"/>
  <c r="BD908" i="1"/>
  <c r="BF908" i="1" s="1"/>
  <c r="BH908" i="1"/>
  <c r="BD567" i="1"/>
  <c r="BF567" i="1" s="1"/>
  <c r="BH567" i="1"/>
  <c r="BD509" i="1"/>
  <c r="BF509" i="1" s="1"/>
  <c r="BH509" i="1"/>
  <c r="BD949" i="1"/>
  <c r="BF949" i="1" s="1"/>
  <c r="BH949" i="1"/>
  <c r="BD766" i="1"/>
  <c r="BF766" i="1" s="1"/>
  <c r="BH766" i="1"/>
  <c r="BD34" i="1"/>
  <c r="BF34" i="1" s="1"/>
  <c r="BH34" i="1"/>
  <c r="BD415" i="1"/>
  <c r="BF415" i="1" s="1"/>
  <c r="BH415" i="1"/>
  <c r="BD1003" i="1"/>
  <c r="BF1003" i="1" s="1"/>
  <c r="BH1003" i="1"/>
  <c r="BD565" i="1"/>
  <c r="BF565" i="1" s="1"/>
  <c r="BH565" i="1"/>
  <c r="BD414" i="1"/>
  <c r="BF414" i="1" s="1"/>
  <c r="BH414" i="1"/>
  <c r="BH198" i="1"/>
  <c r="BD198" i="1"/>
  <c r="BF198" i="1" s="1"/>
  <c r="BD501" i="1"/>
  <c r="BF501" i="1" s="1"/>
  <c r="BH501" i="1"/>
  <c r="BD357" i="1"/>
  <c r="BF357" i="1" s="1"/>
  <c r="BH357" i="1"/>
  <c r="BD46" i="1"/>
  <c r="BF46" i="1" s="1"/>
  <c r="BH46" i="1"/>
  <c r="BD476" i="1"/>
  <c r="BF476" i="1" s="1"/>
  <c r="BH476" i="1"/>
  <c r="BD235" i="1"/>
  <c r="BF235" i="1" s="1"/>
  <c r="BH235" i="1"/>
  <c r="BD732" i="1"/>
  <c r="BF732" i="1" s="1"/>
  <c r="BH732" i="1"/>
  <c r="BD40" i="1"/>
  <c r="BF40" i="1" s="1"/>
  <c r="BH40" i="1"/>
  <c r="BH120" i="1"/>
  <c r="BD120" i="1"/>
  <c r="BF120" i="1" s="1"/>
  <c r="BH1020" i="1"/>
  <c r="BD1020" i="1"/>
  <c r="BF1020" i="1" s="1"/>
  <c r="BH217" i="1"/>
  <c r="BD217" i="1"/>
  <c r="BF217" i="1" s="1"/>
  <c r="BH599" i="1"/>
  <c r="BD599" i="1"/>
  <c r="BF599" i="1" s="1"/>
  <c r="BH449" i="1"/>
  <c r="BD449" i="1"/>
  <c r="BF449" i="1" s="1"/>
  <c r="BH468" i="1"/>
  <c r="BD468" i="1"/>
  <c r="BF468" i="1" s="1"/>
  <c r="BH248" i="1"/>
  <c r="BD248" i="1"/>
  <c r="BF248" i="1" s="1"/>
  <c r="BH838" i="1"/>
  <c r="BD838" i="1"/>
  <c r="BF838" i="1" s="1"/>
  <c r="BH403" i="1"/>
  <c r="BD403" i="1"/>
  <c r="BF403" i="1" s="1"/>
  <c r="BH926" i="1"/>
  <c r="BD926" i="1"/>
  <c r="BF926" i="1" s="1"/>
  <c r="BH780" i="1"/>
  <c r="BD780" i="1"/>
  <c r="BF780" i="1" s="1"/>
  <c r="AL813" i="1"/>
  <c r="BE813" i="1" s="1"/>
  <c r="AP813" i="1"/>
  <c r="AR813" i="1" s="1"/>
  <c r="BD718" i="1"/>
  <c r="BF718" i="1" s="1"/>
  <c r="BH718" i="1"/>
  <c r="AL962" i="1"/>
  <c r="AP962" i="1"/>
  <c r="AR962" i="1" s="1"/>
  <c r="AL280" i="1"/>
  <c r="AP280" i="1"/>
  <c r="AR280" i="1" s="1"/>
  <c r="AL185" i="1"/>
  <c r="BE185" i="1" s="1"/>
  <c r="AP185" i="1"/>
  <c r="AR185" i="1" s="1"/>
  <c r="AP293" i="1"/>
  <c r="AR293" i="1" s="1"/>
  <c r="AL293" i="1"/>
  <c r="AL978" i="1"/>
  <c r="AP978" i="1"/>
  <c r="AR978" i="1" s="1"/>
  <c r="AP329" i="1"/>
  <c r="AR329" i="1" s="1"/>
  <c r="AL329" i="1"/>
  <c r="BE329" i="1" s="1"/>
  <c r="BD503" i="1"/>
  <c r="BF503" i="1" s="1"/>
  <c r="BH503" i="1"/>
  <c r="AP427" i="1"/>
  <c r="AR427" i="1" s="1"/>
  <c r="AL427" i="1"/>
  <c r="BH589" i="1"/>
  <c r="BD589" i="1"/>
  <c r="BF589" i="1" s="1"/>
  <c r="AP936" i="1"/>
  <c r="AR936" i="1" s="1"/>
  <c r="AL936" i="1"/>
  <c r="AL331" i="1"/>
  <c r="AM331" i="1" s="1"/>
  <c r="AN331" i="1" s="1"/>
  <c r="AP331" i="1"/>
  <c r="AR331" i="1" s="1"/>
  <c r="AL350" i="1"/>
  <c r="BE350" i="1" s="1"/>
  <c r="AP350" i="1"/>
  <c r="AR350" i="1" s="1"/>
  <c r="AL458" i="1"/>
  <c r="AP458" i="1"/>
  <c r="AR458" i="1" s="1"/>
  <c r="AL698" i="1"/>
  <c r="BE698" i="1" s="1"/>
  <c r="AP698" i="1"/>
  <c r="AR698" i="1" s="1"/>
  <c r="AL96" i="1"/>
  <c r="AM96" i="1" s="1"/>
  <c r="AN96" i="1" s="1"/>
  <c r="AP96" i="1"/>
  <c r="AR96" i="1" s="1"/>
  <c r="AP52" i="1"/>
  <c r="AR52" i="1" s="1"/>
  <c r="AL52" i="1"/>
  <c r="AP981" i="1"/>
  <c r="AR981" i="1" s="1"/>
  <c r="AL981" i="1"/>
  <c r="AP970" i="1"/>
  <c r="AR970" i="1" s="1"/>
  <c r="AL970" i="1"/>
  <c r="AL418" i="1"/>
  <c r="AU418" i="1" s="1"/>
  <c r="AP418" i="1"/>
  <c r="AR418" i="1" s="1"/>
  <c r="AP922" i="1"/>
  <c r="AR922" i="1" s="1"/>
  <c r="AL922" i="1"/>
  <c r="AP807" i="1"/>
  <c r="AR807" i="1" s="1"/>
  <c r="AL807" i="1"/>
  <c r="BE807" i="1" s="1"/>
  <c r="AL83" i="1"/>
  <c r="AP83" i="1"/>
  <c r="AR83" i="1" s="1"/>
  <c r="AP593" i="1"/>
  <c r="AR593" i="1" s="1"/>
  <c r="AL593" i="1"/>
  <c r="BE593" i="1" s="1"/>
  <c r="BH799" i="1"/>
  <c r="BD799" i="1"/>
  <c r="BF799" i="1" s="1"/>
  <c r="AP425" i="1"/>
  <c r="AR425" i="1" s="1"/>
  <c r="AL425" i="1"/>
  <c r="AL105" i="1"/>
  <c r="AP105" i="1"/>
  <c r="AR105" i="1" s="1"/>
  <c r="AL829" i="1"/>
  <c r="AP829" i="1"/>
  <c r="AR829" i="1" s="1"/>
  <c r="AL137" i="1"/>
  <c r="AP137" i="1"/>
  <c r="AR137" i="1" s="1"/>
  <c r="AL27" i="1"/>
  <c r="AP27" i="1"/>
  <c r="AR27" i="1" s="1"/>
  <c r="AL63" i="1"/>
  <c r="AP63" i="1"/>
  <c r="AR63" i="1" s="1"/>
  <c r="AL275" i="1"/>
  <c r="AP275" i="1"/>
  <c r="AR275" i="1" s="1"/>
  <c r="AL161" i="1"/>
  <c r="BE161" i="1" s="1"/>
  <c r="AP161" i="1"/>
  <c r="AR161" i="1" s="1"/>
  <c r="AP723" i="1"/>
  <c r="AR723" i="1" s="1"/>
  <c r="AL723" i="1"/>
  <c r="AS723" i="1" s="1"/>
  <c r="AT723" i="1" s="1"/>
  <c r="AP85" i="1"/>
  <c r="AR85" i="1" s="1"/>
  <c r="AL85" i="1"/>
  <c r="BE85" i="1" s="1"/>
  <c r="AL668" i="1"/>
  <c r="AP668" i="1"/>
  <c r="AR668" i="1" s="1"/>
  <c r="AL134" i="1"/>
  <c r="AP134" i="1"/>
  <c r="AR134" i="1" s="1"/>
  <c r="AP657" i="1"/>
  <c r="AR657" i="1" s="1"/>
  <c r="AL657" i="1"/>
  <c r="AL168" i="1"/>
  <c r="AP168" i="1"/>
  <c r="AR168" i="1" s="1"/>
  <c r="AP603" i="1"/>
  <c r="AR603" i="1" s="1"/>
  <c r="AL603" i="1"/>
  <c r="AL796" i="1"/>
  <c r="AP796" i="1"/>
  <c r="AR796" i="1" s="1"/>
  <c r="AL580" i="1"/>
  <c r="AM580" i="1" s="1"/>
  <c r="AN580" i="1" s="1"/>
  <c r="AP580" i="1"/>
  <c r="AR580" i="1" s="1"/>
  <c r="AL240" i="1"/>
  <c r="BE240" i="1" s="1"/>
  <c r="AP240" i="1"/>
  <c r="AR240" i="1" s="1"/>
  <c r="AP791" i="1"/>
  <c r="AR791" i="1" s="1"/>
  <c r="AL791" i="1"/>
  <c r="BE791" i="1" s="1"/>
  <c r="AL271" i="1"/>
  <c r="BE271" i="1" s="1"/>
  <c r="AP271" i="1"/>
  <c r="AR271" i="1" s="1"/>
  <c r="AL817" i="1"/>
  <c r="AP817" i="1"/>
  <c r="AR817" i="1" s="1"/>
  <c r="AP353" i="1"/>
  <c r="AR353" i="1" s="1"/>
  <c r="AL353" i="1"/>
  <c r="BE353" i="1" s="1"/>
  <c r="AP568" i="1"/>
  <c r="AR568" i="1" s="1"/>
  <c r="AL568" i="1"/>
  <c r="AP971" i="1"/>
  <c r="AR971" i="1" s="1"/>
  <c r="AL971" i="1"/>
  <c r="AL982" i="1"/>
  <c r="AP982" i="1"/>
  <c r="AR982" i="1" s="1"/>
  <c r="AL475" i="1"/>
  <c r="AP475" i="1"/>
  <c r="AR475" i="1" s="1"/>
  <c r="AP1027" i="1"/>
  <c r="AR1027" i="1" s="1"/>
  <c r="AL1027" i="1"/>
  <c r="AP575" i="1"/>
  <c r="AR575" i="1" s="1"/>
  <c r="AL575" i="1"/>
  <c r="AP740" i="1"/>
  <c r="AR740" i="1" s="1"/>
  <c r="AL740" i="1"/>
  <c r="AP1039" i="1"/>
  <c r="AR1039" i="1" s="1"/>
  <c r="AL1039" i="1"/>
  <c r="AL768" i="1"/>
  <c r="BE768" i="1" s="1"/>
  <c r="AP768" i="1"/>
  <c r="AR768" i="1" s="1"/>
  <c r="AL182" i="1"/>
  <c r="AP182" i="1"/>
  <c r="AR182" i="1" s="1"/>
  <c r="AP483" i="1"/>
  <c r="AR483" i="1" s="1"/>
  <c r="AL483" i="1"/>
  <c r="BE483" i="1" s="1"/>
  <c r="AL818" i="1"/>
  <c r="AP818" i="1"/>
  <c r="AR818" i="1" s="1"/>
  <c r="AP557" i="1"/>
  <c r="AR557" i="1" s="1"/>
  <c r="AL557" i="1"/>
  <c r="AL339" i="1"/>
  <c r="BE339" i="1" s="1"/>
  <c r="AP339" i="1"/>
  <c r="AR339" i="1" s="1"/>
  <c r="AP951" i="1"/>
  <c r="AR951" i="1" s="1"/>
  <c r="AL951" i="1"/>
  <c r="AP592" i="1"/>
  <c r="AR592" i="1" s="1"/>
  <c r="AL592" i="1"/>
  <c r="AS592" i="1" s="1"/>
  <c r="AT592" i="1" s="1"/>
  <c r="AL178" i="1"/>
  <c r="AP178" i="1"/>
  <c r="AR178" i="1" s="1"/>
  <c r="AP461" i="1"/>
  <c r="AR461" i="1" s="1"/>
  <c r="AL461" i="1"/>
  <c r="BE461" i="1" s="1"/>
  <c r="AP351" i="1"/>
  <c r="AR351" i="1" s="1"/>
  <c r="AL351" i="1"/>
  <c r="BE351" i="1" s="1"/>
  <c r="BD27" i="1"/>
  <c r="BF27" i="1" s="1"/>
  <c r="BH27" i="1"/>
  <c r="BH965" i="1"/>
  <c r="BD965" i="1"/>
  <c r="BF965" i="1" s="1"/>
  <c r="BH1021" i="1"/>
  <c r="BD1021" i="1"/>
  <c r="BF1021" i="1" s="1"/>
  <c r="BH511" i="1"/>
  <c r="BD511" i="1"/>
  <c r="BF511" i="1" s="1"/>
  <c r="BH149" i="1"/>
  <c r="BD149" i="1"/>
  <c r="BF149" i="1" s="1"/>
  <c r="BH953" i="1"/>
  <c r="BD953" i="1"/>
  <c r="BF953" i="1" s="1"/>
  <c r="BH404" i="1"/>
  <c r="BD404" i="1"/>
  <c r="BF404" i="1" s="1"/>
  <c r="BH1024" i="1"/>
  <c r="BD1024" i="1"/>
  <c r="BF1024" i="1" s="1"/>
  <c r="BH134" i="1"/>
  <c r="BD134" i="1"/>
  <c r="BF134" i="1" s="1"/>
  <c r="BH29" i="1"/>
  <c r="BD29" i="1"/>
  <c r="BF29" i="1" s="1"/>
  <c r="BH219" i="1"/>
  <c r="BD219" i="1"/>
  <c r="BF219" i="1" s="1"/>
  <c r="BH571" i="1"/>
  <c r="BD571" i="1"/>
  <c r="BF571" i="1" s="1"/>
  <c r="BH750" i="1"/>
  <c r="BD750" i="1"/>
  <c r="BF750" i="1" s="1"/>
  <c r="BH209" i="1"/>
  <c r="BD209" i="1"/>
  <c r="BF209" i="1" s="1"/>
  <c r="BH586" i="1"/>
  <c r="BD586" i="1"/>
  <c r="BF586" i="1" s="1"/>
  <c r="BH63" i="1"/>
  <c r="BD63" i="1"/>
  <c r="BF63" i="1" s="1"/>
  <c r="BH210" i="1"/>
  <c r="BD210" i="1"/>
  <c r="BF210" i="1" s="1"/>
  <c r="BD816" i="1"/>
  <c r="BF816" i="1" s="1"/>
  <c r="BH816" i="1"/>
  <c r="BD295" i="1"/>
  <c r="BF295" i="1" s="1"/>
  <c r="BH295" i="1"/>
  <c r="BD624" i="1"/>
  <c r="BF624" i="1" s="1"/>
  <c r="BH624" i="1"/>
  <c r="BD309" i="1"/>
  <c r="BF309" i="1" s="1"/>
  <c r="BH309" i="1"/>
  <c r="BH534" i="1"/>
  <c r="BD534" i="1"/>
  <c r="BF534" i="1" s="1"/>
  <c r="BH256" i="1"/>
  <c r="BD256" i="1"/>
  <c r="BF256" i="1" s="1"/>
  <c r="BH150" i="1"/>
  <c r="BD150" i="1"/>
  <c r="BF150" i="1" s="1"/>
  <c r="BH61" i="1"/>
  <c r="BD61" i="1"/>
  <c r="BF61" i="1" s="1"/>
  <c r="BH202" i="1"/>
  <c r="BD202" i="1"/>
  <c r="BF202" i="1" s="1"/>
  <c r="BH797" i="1"/>
  <c r="BD797" i="1"/>
  <c r="BF797" i="1" s="1"/>
  <c r="BH379" i="1"/>
  <c r="BD379" i="1"/>
  <c r="BF379" i="1" s="1"/>
  <c r="BH713" i="1"/>
  <c r="BD713" i="1"/>
  <c r="BF713" i="1" s="1"/>
  <c r="BH299" i="1"/>
  <c r="BD299" i="1"/>
  <c r="BF299" i="1" s="1"/>
  <c r="BH174" i="1"/>
  <c r="BD174" i="1"/>
  <c r="BF174" i="1" s="1"/>
  <c r="BH981" i="1"/>
  <c r="BD981" i="1"/>
  <c r="BF981" i="1" s="1"/>
  <c r="BH764" i="1"/>
  <c r="BD764" i="1"/>
  <c r="BF764" i="1" s="1"/>
  <c r="BH554" i="1"/>
  <c r="BD554" i="1"/>
  <c r="BF554" i="1" s="1"/>
  <c r="BH88" i="1"/>
  <c r="BD88" i="1"/>
  <c r="BF88" i="1" s="1"/>
  <c r="BH977" i="1"/>
  <c r="BD977" i="1"/>
  <c r="BF977" i="1" s="1"/>
  <c r="BH1001" i="1"/>
  <c r="BD1001" i="1"/>
  <c r="BF1001" i="1" s="1"/>
  <c r="BH225" i="1"/>
  <c r="BD225" i="1"/>
  <c r="BF225" i="1" s="1"/>
  <c r="BH71" i="1"/>
  <c r="BD71" i="1"/>
  <c r="BF71" i="1" s="1"/>
  <c r="BH204" i="1"/>
  <c r="BD204" i="1"/>
  <c r="BF204" i="1" s="1"/>
  <c r="BH365" i="1"/>
  <c r="BD365" i="1"/>
  <c r="BF365" i="1" s="1"/>
  <c r="BD381" i="1"/>
  <c r="BF381" i="1" s="1"/>
  <c r="BH381" i="1"/>
  <c r="BD178" i="1"/>
  <c r="BF178" i="1" s="1"/>
  <c r="BH178" i="1"/>
  <c r="BD186" i="1"/>
  <c r="BF186" i="1" s="1"/>
  <c r="BH186" i="1"/>
  <c r="BD633" i="1"/>
  <c r="BF633" i="1" s="1"/>
  <c r="BH633" i="1"/>
  <c r="BD1027" i="1"/>
  <c r="BF1027" i="1" s="1"/>
  <c r="BH1027" i="1"/>
  <c r="BH1044" i="1"/>
  <c r="BD1044" i="1"/>
  <c r="BF1044" i="1" s="1"/>
  <c r="BH238" i="1"/>
  <c r="BD238" i="1"/>
  <c r="BF238" i="1" s="1"/>
  <c r="BD522" i="1"/>
  <c r="BF522" i="1" s="1"/>
  <c r="BH522" i="1"/>
  <c r="BD710" i="1"/>
  <c r="BF710" i="1" s="1"/>
  <c r="BH710" i="1"/>
  <c r="BD51" i="1"/>
  <c r="BF51" i="1" s="1"/>
  <c r="BH51" i="1"/>
  <c r="BH211" i="1"/>
  <c r="BD211" i="1"/>
  <c r="BF211" i="1" s="1"/>
  <c r="BD33" i="1"/>
  <c r="BF33" i="1" s="1"/>
  <c r="BH33" i="1"/>
  <c r="BD548" i="1"/>
  <c r="BF548" i="1" s="1"/>
  <c r="BH548" i="1"/>
  <c r="AP151" i="1"/>
  <c r="AR151" i="1" s="1"/>
  <c r="AL151" i="1"/>
  <c r="AL417" i="1"/>
  <c r="AP417" i="1"/>
  <c r="AR417" i="1" s="1"/>
  <c r="AP607" i="1"/>
  <c r="AR607" i="1" s="1"/>
  <c r="AL607" i="1"/>
  <c r="BD456" i="1"/>
  <c r="BF456" i="1" s="1"/>
  <c r="BH456" i="1"/>
  <c r="AP734" i="1"/>
  <c r="AR734" i="1" s="1"/>
  <c r="AL734" i="1"/>
  <c r="AL75" i="1"/>
  <c r="BE75" i="1" s="1"/>
  <c r="AP75" i="1"/>
  <c r="AR75" i="1" s="1"/>
  <c r="AL300" i="1"/>
  <c r="AP300" i="1"/>
  <c r="AR300" i="1" s="1"/>
  <c r="AP1010" i="1"/>
  <c r="AR1010" i="1" s="1"/>
  <c r="AL1010" i="1"/>
  <c r="BE1010" i="1" s="1"/>
  <c r="AL638" i="1"/>
  <c r="BE638" i="1" s="1"/>
  <c r="AP638" i="1"/>
  <c r="AR638" i="1" s="1"/>
  <c r="AP135" i="1"/>
  <c r="AR135" i="1" s="1"/>
  <c r="AL135" i="1"/>
  <c r="BE135" i="1" s="1"/>
  <c r="AL1042" i="1"/>
  <c r="BE1042" i="1" s="1"/>
  <c r="AP1042" i="1"/>
  <c r="AR1042" i="1" s="1"/>
  <c r="AL714" i="1"/>
  <c r="BE714" i="1" s="1"/>
  <c r="AP714" i="1"/>
  <c r="AR714" i="1" s="1"/>
  <c r="AL368" i="1"/>
  <c r="AP368" i="1"/>
  <c r="AR368" i="1" s="1"/>
  <c r="AL309" i="1"/>
  <c r="AP309" i="1"/>
  <c r="AR309" i="1" s="1"/>
  <c r="AP632" i="1"/>
  <c r="AR632" i="1" s="1"/>
  <c r="AL632" i="1"/>
  <c r="BE632" i="1" s="1"/>
  <c r="AL422" i="1"/>
  <c r="AP422" i="1"/>
  <c r="AR422" i="1" s="1"/>
  <c r="AL647" i="1"/>
  <c r="AP647" i="1"/>
  <c r="AR647" i="1" s="1"/>
  <c r="AL387" i="1"/>
  <c r="AP387" i="1"/>
  <c r="AR387" i="1" s="1"/>
  <c r="AL825" i="1"/>
  <c r="AM825" i="1" s="1"/>
  <c r="AN825" i="1" s="1"/>
  <c r="AP825" i="1"/>
  <c r="AR825" i="1" s="1"/>
  <c r="AL505" i="1"/>
  <c r="AP505" i="1"/>
  <c r="AR505" i="1" s="1"/>
  <c r="AP379" i="1"/>
  <c r="AR379" i="1" s="1"/>
  <c r="AL379" i="1"/>
  <c r="BE379" i="1" s="1"/>
  <c r="AL793" i="1"/>
  <c r="AP793" i="1"/>
  <c r="AR793" i="1" s="1"/>
  <c r="AP990" i="1"/>
  <c r="AR990" i="1" s="1"/>
  <c r="AL990" i="1"/>
  <c r="BE990" i="1" s="1"/>
  <c r="AP977" i="1"/>
  <c r="AR977" i="1" s="1"/>
  <c r="AL977" i="1"/>
  <c r="AU977" i="1" s="1"/>
  <c r="AL707" i="1"/>
  <c r="AP707" i="1"/>
  <c r="AR707" i="1" s="1"/>
  <c r="AL453" i="1"/>
  <c r="AP453" i="1"/>
  <c r="AR453" i="1" s="1"/>
  <c r="AP262" i="1"/>
  <c r="AR262" i="1" s="1"/>
  <c r="AL262" i="1"/>
  <c r="AL879" i="1"/>
  <c r="AP879" i="1"/>
  <c r="AR879" i="1" s="1"/>
  <c r="AP597" i="1"/>
  <c r="AR597" i="1" s="1"/>
  <c r="AL597" i="1"/>
  <c r="BE597" i="1" s="1"/>
  <c r="AP671" i="1"/>
  <c r="AR671" i="1" s="1"/>
  <c r="AL671" i="1"/>
  <c r="AL598" i="1"/>
  <c r="AP598" i="1"/>
  <c r="AR598" i="1" s="1"/>
  <c r="AP541" i="1"/>
  <c r="AR541" i="1" s="1"/>
  <c r="AL541" i="1"/>
  <c r="BH515" i="1"/>
  <c r="BD515" i="1"/>
  <c r="BF515" i="1" s="1"/>
  <c r="BH845" i="1"/>
  <c r="BD845" i="1"/>
  <c r="BF845" i="1" s="1"/>
  <c r="BH535" i="1"/>
  <c r="BD535" i="1"/>
  <c r="BF535" i="1" s="1"/>
  <c r="BH322" i="1"/>
  <c r="BD322" i="1"/>
  <c r="BF322" i="1" s="1"/>
  <c r="BH932" i="1"/>
  <c r="BD932" i="1"/>
  <c r="BF932" i="1" s="1"/>
  <c r="BH521" i="1"/>
  <c r="BD521" i="1"/>
  <c r="BF521" i="1" s="1"/>
  <c r="BH28" i="1"/>
  <c r="BD28" i="1"/>
  <c r="BF28" i="1" s="1"/>
  <c r="BD141" i="1"/>
  <c r="BF141" i="1" s="1"/>
  <c r="BH141" i="1"/>
  <c r="BH919" i="1"/>
  <c r="BD919" i="1"/>
  <c r="BF919" i="1" s="1"/>
  <c r="BH323" i="1"/>
  <c r="BD323" i="1"/>
  <c r="BF323" i="1" s="1"/>
  <c r="BH602" i="1"/>
  <c r="BD602" i="1"/>
  <c r="BF602" i="1" s="1"/>
  <c r="BH80" i="1"/>
  <c r="BD80" i="1"/>
  <c r="BF80" i="1" s="1"/>
  <c r="BH218" i="1"/>
  <c r="BD218" i="1"/>
  <c r="BF218" i="1" s="1"/>
  <c r="BH314" i="1"/>
  <c r="BD314" i="1"/>
  <c r="BF314" i="1" s="1"/>
  <c r="BH575" i="1"/>
  <c r="BD575" i="1"/>
  <c r="BF575" i="1" s="1"/>
  <c r="BH252" i="1"/>
  <c r="BD252" i="1"/>
  <c r="BF252" i="1" s="1"/>
  <c r="BH722" i="1"/>
  <c r="BD722" i="1"/>
  <c r="BF722" i="1" s="1"/>
  <c r="BH564" i="1"/>
  <c r="BD564" i="1"/>
  <c r="BF564" i="1" s="1"/>
  <c r="BH38" i="1"/>
  <c r="BD38" i="1"/>
  <c r="BF38" i="1" s="1"/>
  <c r="BH358" i="1"/>
  <c r="BD358" i="1"/>
  <c r="BH916" i="1"/>
  <c r="BD916" i="1"/>
  <c r="BF916" i="1" s="1"/>
  <c r="BH689" i="1"/>
  <c r="BD689" i="1"/>
  <c r="BF689" i="1" s="1"/>
  <c r="BH946" i="1"/>
  <c r="BD946" i="1"/>
  <c r="BF946" i="1" s="1"/>
  <c r="BH37" i="1"/>
  <c r="BD37" i="1"/>
  <c r="BF37" i="1" s="1"/>
  <c r="BD52" i="1"/>
  <c r="BF52" i="1" s="1"/>
  <c r="BH52" i="1"/>
  <c r="BD691" i="1"/>
  <c r="BF691" i="1" s="1"/>
  <c r="BH691" i="1"/>
  <c r="BH360" i="1"/>
  <c r="BD360" i="1"/>
  <c r="BF360" i="1" s="1"/>
  <c r="BH684" i="1"/>
  <c r="BD684" i="1"/>
  <c r="BF684" i="1" s="1"/>
  <c r="BD685" i="1"/>
  <c r="BF685" i="1" s="1"/>
  <c r="BH685" i="1"/>
  <c r="BH272" i="1"/>
  <c r="BD272" i="1"/>
  <c r="BF272" i="1" s="1"/>
  <c r="BH90" i="1"/>
  <c r="BD90" i="1"/>
  <c r="BF90" i="1" s="1"/>
  <c r="AL59" i="1"/>
  <c r="AP59" i="1"/>
  <c r="AR59" i="1" s="1"/>
  <c r="AL914" i="1"/>
  <c r="AP914" i="1"/>
  <c r="AR914" i="1" s="1"/>
  <c r="AL929" i="1"/>
  <c r="BE929" i="1" s="1"/>
  <c r="AP929" i="1"/>
  <c r="AR929" i="1" s="1"/>
  <c r="BD995" i="1"/>
  <c r="BF995" i="1" s="1"/>
  <c r="BH995" i="1"/>
  <c r="AP576" i="1"/>
  <c r="AR576" i="1" s="1"/>
  <c r="AL576" i="1"/>
  <c r="AL686" i="1"/>
  <c r="BE686" i="1" s="1"/>
  <c r="AP686" i="1"/>
  <c r="AR686" i="1" s="1"/>
  <c r="AP616" i="1"/>
  <c r="AR616" i="1" s="1"/>
  <c r="AL616" i="1"/>
  <c r="BE616" i="1" s="1"/>
  <c r="AP1019" i="1"/>
  <c r="AR1019" i="1" s="1"/>
  <c r="AL1019" i="1"/>
  <c r="AM1019" i="1" s="1"/>
  <c r="AN1019" i="1" s="1"/>
  <c r="AP102" i="1"/>
  <c r="AR102" i="1" s="1"/>
  <c r="AL102" i="1"/>
  <c r="AL886" i="1"/>
  <c r="AP886" i="1"/>
  <c r="AR886" i="1" s="1"/>
  <c r="AL838" i="1"/>
  <c r="AP838" i="1"/>
  <c r="AR838" i="1" s="1"/>
  <c r="AP767" i="1"/>
  <c r="AR767" i="1" s="1"/>
  <c r="AL767" i="1"/>
  <c r="BE767" i="1" s="1"/>
  <c r="BH847" i="1"/>
  <c r="BD847" i="1"/>
  <c r="BF847" i="1" s="1"/>
  <c r="AL77" i="1"/>
  <c r="AP77" i="1"/>
  <c r="AR77" i="1" s="1"/>
  <c r="AL956" i="1"/>
  <c r="BE956" i="1" s="1"/>
  <c r="AP956" i="1"/>
  <c r="AR956" i="1" s="1"/>
  <c r="AL72" i="1"/>
  <c r="BE72" i="1" s="1"/>
  <c r="AP72" i="1"/>
  <c r="AR72" i="1" s="1"/>
  <c r="AL186" i="1"/>
  <c r="BE186" i="1" s="1"/>
  <c r="AP186" i="1"/>
  <c r="AR186" i="1" s="1"/>
  <c r="AL374" i="1"/>
  <c r="AP374" i="1"/>
  <c r="AR374" i="1" s="1"/>
  <c r="AL832" i="1"/>
  <c r="BE832" i="1" s="1"/>
  <c r="AP832" i="1"/>
  <c r="AR832" i="1" s="1"/>
  <c r="AL850" i="1"/>
  <c r="BE850" i="1" s="1"/>
  <c r="AP850" i="1"/>
  <c r="AR850" i="1" s="1"/>
  <c r="AP175" i="1"/>
  <c r="AR175" i="1" s="1"/>
  <c r="AL175" i="1"/>
  <c r="AL1044" i="1"/>
  <c r="AM1044" i="1" s="1"/>
  <c r="AN1044" i="1" s="1"/>
  <c r="AP1044" i="1"/>
  <c r="AR1044" i="1" s="1"/>
  <c r="AL84" i="1"/>
  <c r="AP84" i="1"/>
  <c r="AR84" i="1" s="1"/>
  <c r="AP348" i="1"/>
  <c r="AR348" i="1" s="1"/>
  <c r="AL348" i="1"/>
  <c r="BE348" i="1" s="1"/>
  <c r="AL385" i="1"/>
  <c r="AP385" i="1"/>
  <c r="AR385" i="1" s="1"/>
  <c r="AL590" i="1"/>
  <c r="BE590" i="1" s="1"/>
  <c r="AP590" i="1"/>
  <c r="AR590" i="1" s="1"/>
  <c r="AP171" i="1"/>
  <c r="AR171" i="1" s="1"/>
  <c r="AL171" i="1"/>
  <c r="AM171" i="1" s="1"/>
  <c r="AN171" i="1" s="1"/>
  <c r="AL761" i="1"/>
  <c r="AP761" i="1"/>
  <c r="AR761" i="1" s="1"/>
  <c r="AP301" i="1"/>
  <c r="AR301" i="1" s="1"/>
  <c r="AL301" i="1"/>
  <c r="BE301" i="1" s="1"/>
  <c r="AL132" i="1"/>
  <c r="BE132" i="1" s="1"/>
  <c r="AP132" i="1"/>
  <c r="AR132" i="1" s="1"/>
  <c r="AL577" i="1"/>
  <c r="AP577" i="1"/>
  <c r="AR577" i="1" s="1"/>
  <c r="AP423" i="1"/>
  <c r="AR423" i="1" s="1"/>
  <c r="AL423" i="1"/>
  <c r="AL523" i="1"/>
  <c r="BE523" i="1" s="1"/>
  <c r="AP523" i="1"/>
  <c r="AR523" i="1" s="1"/>
  <c r="AP713" i="1"/>
  <c r="AR713" i="1" s="1"/>
  <c r="AL713" i="1"/>
  <c r="BE713" i="1" s="1"/>
  <c r="AL176" i="1"/>
  <c r="AU176" i="1" s="1"/>
  <c r="AP176" i="1"/>
  <c r="AR176" i="1" s="1"/>
  <c r="AP499" i="1"/>
  <c r="AR499" i="1" s="1"/>
  <c r="AL499" i="1"/>
  <c r="AP256" i="1"/>
  <c r="AR256" i="1" s="1"/>
  <c r="AL256" i="1"/>
  <c r="AP76" i="1"/>
  <c r="AR76" i="1" s="1"/>
  <c r="AL76" i="1"/>
  <c r="BE76" i="1" s="1"/>
  <c r="AL330" i="1"/>
  <c r="BE330" i="1" s="1"/>
  <c r="AP330" i="1"/>
  <c r="AR330" i="1" s="1"/>
  <c r="AL1035" i="1"/>
  <c r="AP1035" i="1"/>
  <c r="AR1035" i="1" s="1"/>
  <c r="AP618" i="1"/>
  <c r="AR618" i="1" s="1"/>
  <c r="AL618" i="1"/>
  <c r="AL804" i="1"/>
  <c r="BE804" i="1" s="1"/>
  <c r="AP804" i="1"/>
  <c r="AR804" i="1" s="1"/>
  <c r="AP559" i="1"/>
  <c r="AR559" i="1" s="1"/>
  <c r="AL559" i="1"/>
  <c r="BE559" i="1" s="1"/>
  <c r="AP685" i="1"/>
  <c r="AR685" i="1" s="1"/>
  <c r="AL685" i="1"/>
  <c r="AP565" i="1"/>
  <c r="AR565" i="1" s="1"/>
  <c r="AL565" i="1"/>
  <c r="AL631" i="1"/>
  <c r="AP631" i="1"/>
  <c r="AR631" i="1" s="1"/>
  <c r="BH263" i="1"/>
  <c r="BD263" i="1"/>
  <c r="BF263" i="1" s="1"/>
  <c r="BD980" i="1"/>
  <c r="BF980" i="1" s="1"/>
  <c r="BH980" i="1"/>
  <c r="BH284" i="1"/>
  <c r="BD284" i="1"/>
  <c r="BF284" i="1" s="1"/>
  <c r="BH126" i="1"/>
  <c r="BD126" i="1"/>
  <c r="BF126" i="1" s="1"/>
  <c r="BH416" i="1"/>
  <c r="BD416" i="1"/>
  <c r="BF416" i="1" s="1"/>
  <c r="BH59" i="1"/>
  <c r="BD59" i="1"/>
  <c r="BF59" i="1" s="1"/>
  <c r="BH664" i="1"/>
  <c r="BD664" i="1"/>
  <c r="BF664" i="1" s="1"/>
  <c r="BH746" i="1"/>
  <c r="BD746" i="1"/>
  <c r="BF746" i="1" s="1"/>
  <c r="BH962" i="1"/>
  <c r="BD962" i="1"/>
  <c r="BF962" i="1" s="1"/>
  <c r="BH475" i="1"/>
  <c r="BD475" i="1"/>
  <c r="BF475" i="1" s="1"/>
  <c r="BH408" i="1"/>
  <c r="BD408" i="1"/>
  <c r="BF408" i="1" s="1"/>
  <c r="BD70" i="1"/>
  <c r="BF70" i="1" s="1"/>
  <c r="BH70" i="1"/>
  <c r="BD829" i="1"/>
  <c r="BF829" i="1" s="1"/>
  <c r="BH829" i="1"/>
  <c r="BH36" i="1"/>
  <c r="BD36" i="1"/>
  <c r="BF36" i="1" s="1"/>
  <c r="BH866" i="1"/>
  <c r="BD866" i="1"/>
  <c r="BF866" i="1" s="1"/>
  <c r="BH992" i="1"/>
  <c r="BD992" i="1"/>
  <c r="BF992" i="1" s="1"/>
  <c r="BD942" i="1"/>
  <c r="BF942" i="1" s="1"/>
  <c r="BH942" i="1"/>
  <c r="BD382" i="1"/>
  <c r="BF382" i="1" s="1"/>
  <c r="BH382" i="1"/>
  <c r="BD162" i="1"/>
  <c r="BF162" i="1" s="1"/>
  <c r="BH162" i="1"/>
  <c r="AL267" i="1"/>
  <c r="AP267" i="1"/>
  <c r="AR267" i="1" s="1"/>
  <c r="AP640" i="1"/>
  <c r="AR640" i="1" s="1"/>
  <c r="AL640" i="1"/>
  <c r="BH943" i="1"/>
  <c r="BD943" i="1"/>
  <c r="BF943" i="1" s="1"/>
  <c r="AP235" i="1"/>
  <c r="AR235" i="1" s="1"/>
  <c r="AL235" i="1"/>
  <c r="AP666" i="1"/>
  <c r="AR666" i="1" s="1"/>
  <c r="AL666" i="1"/>
  <c r="BE666" i="1" s="1"/>
  <c r="AL1012" i="1"/>
  <c r="AP1012" i="1"/>
  <c r="AR1012" i="1" s="1"/>
  <c r="AP173" i="1"/>
  <c r="AR173" i="1" s="1"/>
  <c r="AL173" i="1"/>
  <c r="AS173" i="1" s="1"/>
  <c r="AT173" i="1" s="1"/>
  <c r="AL40" i="1"/>
  <c r="AP40" i="1"/>
  <c r="AR40" i="1" s="1"/>
  <c r="AL136" i="1"/>
  <c r="AP136" i="1"/>
  <c r="AR136" i="1" s="1"/>
  <c r="AP741" i="1"/>
  <c r="AR741" i="1" s="1"/>
  <c r="AL741" i="1"/>
  <c r="BD119" i="1"/>
  <c r="BF119" i="1" s="1"/>
  <c r="BH119" i="1"/>
  <c r="AL148" i="1"/>
  <c r="AP148" i="1"/>
  <c r="AR148" i="1" s="1"/>
  <c r="AP643" i="1"/>
  <c r="AR643" i="1" s="1"/>
  <c r="AL643" i="1"/>
  <c r="AP156" i="1"/>
  <c r="AR156" i="1" s="1"/>
  <c r="AL156" i="1"/>
  <c r="AS156" i="1" s="1"/>
  <c r="AT156" i="1" s="1"/>
  <c r="AP949" i="1"/>
  <c r="AR949" i="1" s="1"/>
  <c r="AL949" i="1"/>
  <c r="BE949" i="1" s="1"/>
  <c r="AL338" i="1"/>
  <c r="BE338" i="1" s="1"/>
  <c r="AP338" i="1"/>
  <c r="AR338" i="1" s="1"/>
  <c r="AL125" i="1"/>
  <c r="AS125" i="1" s="1"/>
  <c r="AT125" i="1" s="1"/>
  <c r="AP125" i="1"/>
  <c r="AR125" i="1" s="1"/>
  <c r="AP191" i="1"/>
  <c r="AR191" i="1" s="1"/>
  <c r="AL191" i="1"/>
  <c r="AL771" i="1"/>
  <c r="AU771" i="1" s="1"/>
  <c r="AP771" i="1"/>
  <c r="AR771" i="1" s="1"/>
  <c r="AP689" i="1"/>
  <c r="AR689" i="1" s="1"/>
  <c r="AL689" i="1"/>
  <c r="BE689" i="1" s="1"/>
  <c r="AL48" i="1"/>
  <c r="BE48" i="1" s="1"/>
  <c r="AP48" i="1"/>
  <c r="AR48" i="1" s="1"/>
  <c r="AP630" i="1"/>
  <c r="AR630" i="1" s="1"/>
  <c r="AL630" i="1"/>
  <c r="BE630" i="1" s="1"/>
  <c r="AL408" i="1"/>
  <c r="AP408" i="1"/>
  <c r="AR408" i="1" s="1"/>
  <c r="AP912" i="1"/>
  <c r="AR912" i="1" s="1"/>
  <c r="AL912" i="1"/>
  <c r="BE912" i="1" s="1"/>
  <c r="AP702" i="1"/>
  <c r="AR702" i="1" s="1"/>
  <c r="AL702" i="1"/>
  <c r="AP636" i="1"/>
  <c r="AR636" i="1" s="1"/>
  <c r="AL636" i="1"/>
  <c r="AL25" i="1"/>
  <c r="AP25" i="1"/>
  <c r="AR25" i="1" s="1"/>
  <c r="AL712" i="1"/>
  <c r="BE712" i="1" s="1"/>
  <c r="AP712" i="1"/>
  <c r="AR712" i="1" s="1"/>
  <c r="AP988" i="1"/>
  <c r="AR988" i="1" s="1"/>
  <c r="AL988" i="1"/>
  <c r="BE988" i="1" s="1"/>
  <c r="AP198" i="1"/>
  <c r="AR198" i="1" s="1"/>
  <c r="AL198" i="1"/>
  <c r="BE198" i="1" s="1"/>
  <c r="AL37" i="1"/>
  <c r="BE37" i="1" s="1"/>
  <c r="AP37" i="1"/>
  <c r="AR37" i="1" s="1"/>
  <c r="AL394" i="1"/>
  <c r="AP394" i="1"/>
  <c r="AR394" i="1" s="1"/>
  <c r="AP208" i="1"/>
  <c r="AR208" i="1" s="1"/>
  <c r="AL208" i="1"/>
  <c r="AL765" i="1"/>
  <c r="BE765" i="1" s="1"/>
  <c r="AP765" i="1"/>
  <c r="AR765" i="1" s="1"/>
  <c r="AL854" i="1"/>
  <c r="BE854" i="1" s="1"/>
  <c r="AP854" i="1"/>
  <c r="AR854" i="1" s="1"/>
  <c r="AL419" i="1"/>
  <c r="BE419" i="1" s="1"/>
  <c r="AP419" i="1"/>
  <c r="AR419" i="1" s="1"/>
  <c r="AP131" i="1"/>
  <c r="AR131" i="1" s="1"/>
  <c r="AL131" i="1"/>
  <c r="AP660" i="1"/>
  <c r="AR660" i="1" s="1"/>
  <c r="AL660" i="1"/>
  <c r="AL428" i="1"/>
  <c r="AP428" i="1"/>
  <c r="AR428" i="1" s="1"/>
  <c r="AL762" i="1"/>
  <c r="AP762" i="1"/>
  <c r="AR762" i="1" s="1"/>
  <c r="AP442" i="1"/>
  <c r="AR442" i="1" s="1"/>
  <c r="AL442" i="1"/>
  <c r="AL364" i="1"/>
  <c r="AP364" i="1"/>
  <c r="AR364" i="1" s="1"/>
  <c r="AP162" i="1"/>
  <c r="AR162" i="1" s="1"/>
  <c r="AL162" i="1"/>
  <c r="BE162" i="1" s="1"/>
  <c r="AP697" i="1"/>
  <c r="AR697" i="1" s="1"/>
  <c r="AL697" i="1"/>
  <c r="AL826" i="1"/>
  <c r="AP826" i="1"/>
  <c r="AR826" i="1" s="1"/>
  <c r="AL619" i="1"/>
  <c r="AP619" i="1"/>
  <c r="AR619" i="1" s="1"/>
  <c r="AL62" i="1"/>
  <c r="AS62" i="1" s="1"/>
  <c r="AT62" i="1" s="1"/>
  <c r="AP62" i="1"/>
  <c r="AR62" i="1" s="1"/>
  <c r="AP56" i="1"/>
  <c r="AR56" i="1" s="1"/>
  <c r="AL56" i="1"/>
  <c r="BE56" i="1" s="1"/>
  <c r="AL210" i="1"/>
  <c r="AP210" i="1"/>
  <c r="AR210" i="1" s="1"/>
  <c r="AP676" i="1"/>
  <c r="AR676" i="1" s="1"/>
  <c r="AL676" i="1"/>
  <c r="BE676" i="1" s="1"/>
  <c r="AL963" i="1"/>
  <c r="BE963" i="1" s="1"/>
  <c r="AP963" i="1"/>
  <c r="AR963" i="1" s="1"/>
  <c r="AP895" i="1"/>
  <c r="AR895" i="1" s="1"/>
  <c r="AL895" i="1"/>
  <c r="BE895" i="1" s="1"/>
  <c r="AL915" i="1"/>
  <c r="AP915" i="1"/>
  <c r="AR915" i="1" s="1"/>
  <c r="AL862" i="1"/>
  <c r="BE862" i="1" s="1"/>
  <c r="AP862" i="1"/>
  <c r="AR862" i="1" s="1"/>
  <c r="AP701" i="1"/>
  <c r="AR701" i="1" s="1"/>
  <c r="AL701" i="1"/>
  <c r="BE701" i="1" s="1"/>
  <c r="AL1037" i="1"/>
  <c r="AP1037" i="1"/>
  <c r="AR1037" i="1" s="1"/>
  <c r="AP53" i="1"/>
  <c r="AR53" i="1" s="1"/>
  <c r="AL53" i="1"/>
  <c r="AP219" i="1"/>
  <c r="AR219" i="1" s="1"/>
  <c r="AL219" i="1"/>
  <c r="BE219" i="1" s="1"/>
  <c r="AL449" i="1"/>
  <c r="AP449" i="1"/>
  <c r="AR449" i="1" s="1"/>
  <c r="AL447" i="1"/>
  <c r="AP447" i="1"/>
  <c r="AR447" i="1" s="1"/>
  <c r="AP720" i="1"/>
  <c r="AR720" i="1" s="1"/>
  <c r="AL720" i="1"/>
  <c r="BE720" i="1" s="1"/>
  <c r="AL995" i="1"/>
  <c r="BE995" i="1" s="1"/>
  <c r="AP995" i="1"/>
  <c r="AR995" i="1" s="1"/>
  <c r="AL572" i="1"/>
  <c r="AP572" i="1"/>
  <c r="AR572" i="1" s="1"/>
  <c r="AP587" i="1"/>
  <c r="AR587" i="1" s="1"/>
  <c r="AL587" i="1"/>
  <c r="AS587" i="1" s="1"/>
  <c r="AT587" i="1" s="1"/>
  <c r="AP786" i="1"/>
  <c r="AR786" i="1" s="1"/>
  <c r="AL786" i="1"/>
  <c r="BE786" i="1" s="1"/>
  <c r="AP594" i="1"/>
  <c r="AR594" i="1" s="1"/>
  <c r="AL594" i="1"/>
  <c r="AP49" i="1"/>
  <c r="AR49" i="1" s="1"/>
  <c r="AL49" i="1"/>
  <c r="BE49" i="1" s="1"/>
  <c r="BD560" i="1"/>
  <c r="BF560" i="1" s="1"/>
  <c r="BH560" i="1"/>
  <c r="BD744" i="1"/>
  <c r="BF744" i="1" s="1"/>
  <c r="BH744" i="1"/>
  <c r="BD173" i="1"/>
  <c r="BF173" i="1" s="1"/>
  <c r="BH173" i="1"/>
  <c r="BD290" i="1"/>
  <c r="BF290" i="1" s="1"/>
  <c r="BH290" i="1"/>
  <c r="BD304" i="1"/>
  <c r="BF304" i="1" s="1"/>
  <c r="BH304" i="1"/>
  <c r="BD220" i="1"/>
  <c r="BF220" i="1" s="1"/>
  <c r="BH220" i="1"/>
  <c r="BD892" i="1"/>
  <c r="BF892" i="1" s="1"/>
  <c r="BH892" i="1"/>
  <c r="BD773" i="1"/>
  <c r="BF773" i="1" s="1"/>
  <c r="BH773" i="1"/>
  <c r="BD424" i="1"/>
  <c r="BF424" i="1" s="1"/>
  <c r="BH424" i="1"/>
  <c r="BD60" i="1"/>
  <c r="BF60" i="1" s="1"/>
  <c r="BH60" i="1"/>
  <c r="BD192" i="1"/>
  <c r="BF192" i="1" s="1"/>
  <c r="BH192" i="1"/>
  <c r="BD900" i="1"/>
  <c r="BF900" i="1" s="1"/>
  <c r="BH900" i="1"/>
  <c r="BD108" i="1"/>
  <c r="BF108" i="1" s="1"/>
  <c r="BH108" i="1"/>
  <c r="BD422" i="1"/>
  <c r="BF422" i="1" s="1"/>
  <c r="BH422" i="1"/>
  <c r="BD774" i="1"/>
  <c r="BF774" i="1" s="1"/>
  <c r="BH774" i="1"/>
  <c r="BD331" i="1"/>
  <c r="BF331" i="1" s="1"/>
  <c r="BH331" i="1"/>
  <c r="BD615" i="1"/>
  <c r="BF615" i="1" s="1"/>
  <c r="BH615" i="1"/>
  <c r="BH741" i="1"/>
  <c r="BD741" i="1"/>
  <c r="BF741" i="1" s="1"/>
  <c r="BH1002" i="1"/>
  <c r="BD1002" i="1"/>
  <c r="BF1002" i="1" s="1"/>
  <c r="BD749" i="1"/>
  <c r="BF749" i="1" s="1"/>
  <c r="BH749" i="1"/>
  <c r="BD617" i="1"/>
  <c r="BF617" i="1" s="1"/>
  <c r="BH617" i="1"/>
  <c r="BD137" i="1"/>
  <c r="BF137" i="1" s="1"/>
  <c r="BH137" i="1"/>
  <c r="BD427" i="1"/>
  <c r="BF427" i="1" s="1"/>
  <c r="BH427" i="1"/>
  <c r="BD335" i="1"/>
  <c r="BF335" i="1" s="1"/>
  <c r="BH335" i="1"/>
  <c r="BD566" i="1"/>
  <c r="BF566" i="1" s="1"/>
  <c r="BH566" i="1"/>
  <c r="BD128" i="1"/>
  <c r="BF128" i="1" s="1"/>
  <c r="BH128" i="1"/>
  <c r="BD580" i="1"/>
  <c r="BF580" i="1" s="1"/>
  <c r="BH580" i="1"/>
  <c r="BD875" i="1"/>
  <c r="BF875" i="1" s="1"/>
  <c r="BH875" i="1"/>
  <c r="BD1034" i="1"/>
  <c r="BF1034" i="1" s="1"/>
  <c r="BH1034" i="1"/>
  <c r="BD595" i="1"/>
  <c r="BF595" i="1" s="1"/>
  <c r="BH595" i="1"/>
  <c r="BD922" i="1"/>
  <c r="BF922" i="1" s="1"/>
  <c r="BH922" i="1"/>
  <c r="BD724" i="1"/>
  <c r="BF724" i="1" s="1"/>
  <c r="BH724" i="1"/>
  <c r="BD93" i="1"/>
  <c r="BF93" i="1" s="1"/>
  <c r="BH93" i="1"/>
  <c r="BD915" i="1"/>
  <c r="BF915" i="1" s="1"/>
  <c r="BH915" i="1"/>
  <c r="BD879" i="1"/>
  <c r="BF879" i="1" s="1"/>
  <c r="BH879" i="1"/>
  <c r="BD425" i="1"/>
  <c r="BF425" i="1" s="1"/>
  <c r="BH425" i="1"/>
  <c r="BD809" i="1"/>
  <c r="BF809" i="1" s="1"/>
  <c r="BH809" i="1"/>
  <c r="BD41" i="1"/>
  <c r="BF41" i="1" s="1"/>
  <c r="BH41" i="1"/>
  <c r="BD806" i="1"/>
  <c r="BF806" i="1" s="1"/>
  <c r="BH806" i="1"/>
  <c r="BD941" i="1"/>
  <c r="BF941" i="1" s="1"/>
  <c r="BH941" i="1"/>
  <c r="BD105" i="1"/>
  <c r="BF105" i="1" s="1"/>
  <c r="BH105" i="1"/>
  <c r="BD914" i="1"/>
  <c r="BF914" i="1" s="1"/>
  <c r="BH914" i="1"/>
  <c r="BD144" i="1"/>
  <c r="BF144" i="1" s="1"/>
  <c r="BH144" i="1"/>
  <c r="BD257" i="1"/>
  <c r="BF257" i="1" s="1"/>
  <c r="BH257" i="1"/>
  <c r="BD557" i="1"/>
  <c r="BF557" i="1" s="1"/>
  <c r="BH557" i="1"/>
  <c r="BH621" i="1"/>
  <c r="BD621" i="1"/>
  <c r="BF621" i="1" s="1"/>
  <c r="BH457" i="1"/>
  <c r="BD457" i="1"/>
  <c r="BF457" i="1" s="1"/>
  <c r="BD401" i="1"/>
  <c r="BF401" i="1" s="1"/>
  <c r="BH401" i="1"/>
  <c r="BD775" i="1"/>
  <c r="BF775" i="1" s="1"/>
  <c r="BH775" i="1"/>
  <c r="BH781" i="1"/>
  <c r="BD781" i="1"/>
  <c r="BF781" i="1" s="1"/>
  <c r="BH380" i="1"/>
  <c r="BD380" i="1"/>
  <c r="BF380" i="1" s="1"/>
  <c r="BH550" i="1"/>
  <c r="BD550" i="1"/>
  <c r="BF550" i="1" s="1"/>
  <c r="BD148" i="1"/>
  <c r="BF148" i="1" s="1"/>
  <c r="BH148" i="1"/>
  <c r="BH344" i="1"/>
  <c r="BD344" i="1"/>
  <c r="BF344" i="1" s="1"/>
  <c r="BH233" i="1"/>
  <c r="BD233" i="1"/>
  <c r="BF233" i="1" s="1"/>
  <c r="BH169" i="1"/>
  <c r="BD169" i="1"/>
  <c r="BF169" i="1" s="1"/>
  <c r="BH982" i="1"/>
  <c r="BD982" i="1"/>
  <c r="BF982" i="1" s="1"/>
  <c r="BH514" i="1"/>
  <c r="BD514" i="1"/>
  <c r="BF514" i="1" s="1"/>
  <c r="BH604" i="1"/>
  <c r="BD604" i="1"/>
  <c r="BF604" i="1" s="1"/>
  <c r="BD751" i="1"/>
  <c r="BF751" i="1" s="1"/>
  <c r="BH751" i="1"/>
  <c r="AL537" i="1"/>
  <c r="AP537" i="1"/>
  <c r="AR537" i="1" s="1"/>
  <c r="BH619" i="1"/>
  <c r="BD619" i="1"/>
  <c r="BF619" i="1" s="1"/>
  <c r="AL319" i="1"/>
  <c r="AP319" i="1"/>
  <c r="AR319" i="1" s="1"/>
  <c r="AP926" i="1"/>
  <c r="AR926" i="1" s="1"/>
  <c r="AL926" i="1"/>
  <c r="BE926" i="1" s="1"/>
  <c r="AL799" i="1"/>
  <c r="BE799" i="1" s="1"/>
  <c r="AP799" i="1"/>
  <c r="AR799" i="1" s="1"/>
  <c r="AP410" i="1"/>
  <c r="AR410" i="1" s="1"/>
  <c r="AL410" i="1"/>
  <c r="BE410" i="1" s="1"/>
  <c r="BD976" i="1"/>
  <c r="BF976" i="1" s="1"/>
  <c r="BH976" i="1"/>
  <c r="AP830" i="1"/>
  <c r="AR830" i="1" s="1"/>
  <c r="AL830" i="1"/>
  <c r="AL61" i="1"/>
  <c r="BE61" i="1" s="1"/>
  <c r="AP61" i="1"/>
  <c r="AR61" i="1" s="1"/>
  <c r="AP460" i="1"/>
  <c r="AR460" i="1" s="1"/>
  <c r="AL460" i="1"/>
  <c r="BE460" i="1" s="1"/>
  <c r="AL341" i="1"/>
  <c r="BE341" i="1" s="1"/>
  <c r="AP341" i="1"/>
  <c r="AR341" i="1" s="1"/>
  <c r="AL898" i="1"/>
  <c r="AP898" i="1"/>
  <c r="AR898" i="1" s="1"/>
  <c r="AL306" i="1"/>
  <c r="BE306" i="1" s="1"/>
  <c r="AP306" i="1"/>
  <c r="AR306" i="1" s="1"/>
  <c r="AP377" i="1"/>
  <c r="AR377" i="1" s="1"/>
  <c r="AL377" i="1"/>
  <c r="BE377" i="1" s="1"/>
  <c r="AP238" i="1"/>
  <c r="AR238" i="1" s="1"/>
  <c r="AL238" i="1"/>
  <c r="BE238" i="1" s="1"/>
  <c r="AP677" i="1"/>
  <c r="AR677" i="1" s="1"/>
  <c r="AL677" i="1"/>
  <c r="AU677" i="1" s="1"/>
  <c r="AP516" i="1"/>
  <c r="AR516" i="1" s="1"/>
  <c r="AL516" i="1"/>
  <c r="AL846" i="1"/>
  <c r="AP846" i="1"/>
  <c r="AR846" i="1" s="1"/>
  <c r="AP378" i="1"/>
  <c r="AR378" i="1" s="1"/>
  <c r="AL378" i="1"/>
  <c r="AL1001" i="1"/>
  <c r="AP1001" i="1"/>
  <c r="AR1001" i="1" s="1"/>
  <c r="AL934" i="1"/>
  <c r="BE934" i="1" s="1"/>
  <c r="AP934" i="1"/>
  <c r="AR934" i="1" s="1"/>
  <c r="AP952" i="1"/>
  <c r="AR952" i="1" s="1"/>
  <c r="AL952" i="1"/>
  <c r="BE952" i="1" s="1"/>
  <c r="AP887" i="1"/>
  <c r="AR887" i="1" s="1"/>
  <c r="AL887" i="1"/>
  <c r="AP42" i="1"/>
  <c r="AR42" i="1" s="1"/>
  <c r="AL42" i="1"/>
  <c r="AP672" i="1"/>
  <c r="AR672" i="1" s="1"/>
  <c r="AL672" i="1"/>
  <c r="BE672" i="1" s="1"/>
  <c r="AL515" i="1"/>
  <c r="BE515" i="1" s="1"/>
  <c r="AP515" i="1"/>
  <c r="AR515" i="1" s="1"/>
  <c r="AP172" i="1"/>
  <c r="AR172" i="1" s="1"/>
  <c r="AL172" i="1"/>
  <c r="BE172" i="1" s="1"/>
  <c r="AP33" i="1"/>
  <c r="AR33" i="1" s="1"/>
  <c r="AL33" i="1"/>
  <c r="BE33" i="1" s="1"/>
  <c r="AL716" i="1"/>
  <c r="AP716" i="1"/>
  <c r="AR716" i="1" s="1"/>
  <c r="AP984" i="1"/>
  <c r="AR984" i="1" s="1"/>
  <c r="AL984" i="1"/>
  <c r="BE984" i="1" s="1"/>
  <c r="AL540" i="1"/>
  <c r="BE540" i="1" s="1"/>
  <c r="AP540" i="1"/>
  <c r="AR540" i="1" s="1"/>
  <c r="AL910" i="1"/>
  <c r="AP910" i="1"/>
  <c r="AR910" i="1" s="1"/>
  <c r="AL669" i="1"/>
  <c r="AP669" i="1"/>
  <c r="AR669" i="1" s="1"/>
  <c r="AL840" i="1"/>
  <c r="AP840" i="1"/>
  <c r="AR840" i="1" s="1"/>
  <c r="AP623" i="1"/>
  <c r="AR623" i="1" s="1"/>
  <c r="AL623" i="1"/>
  <c r="BE623" i="1" s="1"/>
  <c r="AL794" i="1"/>
  <c r="AP794" i="1"/>
  <c r="AR794" i="1" s="1"/>
  <c r="AP608" i="1"/>
  <c r="AR608" i="1" s="1"/>
  <c r="AL608" i="1"/>
  <c r="AL454" i="1"/>
  <c r="BE454" i="1" s="1"/>
  <c r="AP454" i="1"/>
  <c r="AR454" i="1" s="1"/>
  <c r="AP382" i="1"/>
  <c r="AR382" i="1" s="1"/>
  <c r="AL382" i="1"/>
  <c r="AL737" i="1"/>
  <c r="BE737" i="1" s="1"/>
  <c r="AP737" i="1"/>
  <c r="AR737" i="1" s="1"/>
  <c r="AP384" i="1"/>
  <c r="AR384" i="1" s="1"/>
  <c r="AL384" i="1"/>
  <c r="AL286" i="1"/>
  <c r="AS286" i="1" s="1"/>
  <c r="AT286" i="1" s="1"/>
  <c r="AP286" i="1"/>
  <c r="AR286" i="1" s="1"/>
  <c r="AL831" i="1"/>
  <c r="BE831" i="1" s="1"/>
  <c r="AP831" i="1"/>
  <c r="AR831" i="1" s="1"/>
  <c r="AP474" i="1"/>
  <c r="AR474" i="1" s="1"/>
  <c r="AL474" i="1"/>
  <c r="BE474" i="1" s="1"/>
  <c r="AP779" i="1"/>
  <c r="AR779" i="1" s="1"/>
  <c r="AL779" i="1"/>
  <c r="AL35" i="1"/>
  <c r="AM35" i="1" s="1"/>
  <c r="AN35" i="1" s="1"/>
  <c r="AP35" i="1"/>
  <c r="AR35" i="1" s="1"/>
  <c r="AL569" i="1"/>
  <c r="AP569" i="1"/>
  <c r="AR569" i="1" s="1"/>
  <c r="AP167" i="1"/>
  <c r="AR167" i="1" s="1"/>
  <c r="AL167" i="1"/>
  <c r="AL600" i="1"/>
  <c r="AP600" i="1"/>
  <c r="AR600" i="1" s="1"/>
  <c r="AL496" i="1"/>
  <c r="BE496" i="1" s="1"/>
  <c r="AP496" i="1"/>
  <c r="AR496" i="1" s="1"/>
  <c r="AP1032" i="1"/>
  <c r="AR1032" i="1" s="1"/>
  <c r="AL1032" i="1"/>
  <c r="AL555" i="1"/>
  <c r="AP555" i="1"/>
  <c r="AR555" i="1" s="1"/>
  <c r="AL605" i="1"/>
  <c r="AP605" i="1"/>
  <c r="AR605" i="1" s="1"/>
  <c r="AL913" i="1"/>
  <c r="AP913" i="1"/>
  <c r="AR913" i="1" s="1"/>
  <c r="AL961" i="1"/>
  <c r="AP961" i="1"/>
  <c r="AR961" i="1" s="1"/>
  <c r="AP950" i="1"/>
  <c r="AR950" i="1" s="1"/>
  <c r="AL950" i="1"/>
  <c r="BE950" i="1" s="1"/>
  <c r="AL146" i="1"/>
  <c r="AM146" i="1" s="1"/>
  <c r="AN146" i="1" s="1"/>
  <c r="AP146" i="1"/>
  <c r="AR146" i="1" s="1"/>
  <c r="AP413" i="1"/>
  <c r="AR413" i="1" s="1"/>
  <c r="AL413" i="1"/>
  <c r="AL180" i="1"/>
  <c r="AP180" i="1"/>
  <c r="AR180" i="1" s="1"/>
  <c r="AP86" i="1"/>
  <c r="AR86" i="1" s="1"/>
  <c r="AL86" i="1"/>
  <c r="BE86" i="1" s="1"/>
  <c r="AL260" i="1"/>
  <c r="BE260" i="1" s="1"/>
  <c r="AP260" i="1"/>
  <c r="AR260" i="1" s="1"/>
  <c r="AL803" i="1"/>
  <c r="BE803" i="1" s="1"/>
  <c r="AP803" i="1"/>
  <c r="AR803" i="1" s="1"/>
  <c r="AP257" i="1"/>
  <c r="AR257" i="1" s="1"/>
  <c r="AL257" i="1"/>
  <c r="BE257" i="1" s="1"/>
  <c r="AL823" i="1"/>
  <c r="AP823" i="1"/>
  <c r="AR823" i="1" s="1"/>
  <c r="AP305" i="1"/>
  <c r="AR305" i="1" s="1"/>
  <c r="AL305" i="1"/>
  <c r="AL372" i="1"/>
  <c r="BE372" i="1" s="1"/>
  <c r="AP372" i="1"/>
  <c r="AR372" i="1" s="1"/>
  <c r="AP164" i="1"/>
  <c r="AR164" i="1" s="1"/>
  <c r="AL164" i="1"/>
  <c r="AL386" i="1"/>
  <c r="BE386" i="1" s="1"/>
  <c r="AP386" i="1"/>
  <c r="AR386" i="1" s="1"/>
  <c r="BD967" i="1"/>
  <c r="BF967" i="1" s="1"/>
  <c r="BH967" i="1"/>
  <c r="BD506" i="1"/>
  <c r="BF506" i="1" s="1"/>
  <c r="BH506" i="1"/>
  <c r="BD552" i="1"/>
  <c r="BF552" i="1" s="1"/>
  <c r="BH552" i="1"/>
  <c r="BH180" i="1"/>
  <c r="BD180" i="1"/>
  <c r="BF180" i="1" s="1"/>
  <c r="BH652" i="1"/>
  <c r="BD652" i="1"/>
  <c r="BF652" i="1" s="1"/>
  <c r="BH366" i="1"/>
  <c r="BD366" i="1"/>
  <c r="BF366" i="1" s="1"/>
  <c r="BH196" i="1"/>
  <c r="BD196" i="1"/>
  <c r="BF196" i="1" s="1"/>
  <c r="BH697" i="1"/>
  <c r="BD697" i="1"/>
  <c r="BF697" i="1" s="1"/>
  <c r="BH939" i="1"/>
  <c r="BD939" i="1"/>
  <c r="BF939" i="1" s="1"/>
  <c r="BD679" i="1"/>
  <c r="BF679" i="1" s="1"/>
  <c r="BH679" i="1"/>
  <c r="BD245" i="1"/>
  <c r="BF245" i="1" s="1"/>
  <c r="BH245" i="1"/>
  <c r="BD576" i="1"/>
  <c r="BF576" i="1" s="1"/>
  <c r="BH576" i="1"/>
  <c r="AP409" i="1"/>
  <c r="AR409" i="1" s="1"/>
  <c r="AL409" i="1"/>
  <c r="BE409" i="1" s="1"/>
  <c r="AP316" i="1"/>
  <c r="AR316" i="1" s="1"/>
  <c r="AL316" i="1"/>
  <c r="BE316" i="1" s="1"/>
  <c r="AL770" i="1"/>
  <c r="AP770" i="1"/>
  <c r="AR770" i="1" s="1"/>
  <c r="AP710" i="1"/>
  <c r="AR710" i="1" s="1"/>
  <c r="AL710" i="1"/>
  <c r="AL218" i="1"/>
  <c r="AP218" i="1"/>
  <c r="AR218" i="1" s="1"/>
  <c r="AL974" i="1"/>
  <c r="AP974" i="1"/>
  <c r="AR974" i="1" s="1"/>
  <c r="AL718" i="1"/>
  <c r="AP718" i="1"/>
  <c r="AR718" i="1" s="1"/>
  <c r="BH400" i="1"/>
  <c r="BD400" i="1"/>
  <c r="BF400" i="1" s="1"/>
  <c r="AP95" i="1"/>
  <c r="AR95" i="1" s="1"/>
  <c r="AL95" i="1"/>
  <c r="BE95" i="1" s="1"/>
  <c r="AL78" i="1"/>
  <c r="AP78" i="1"/>
  <c r="AR78" i="1" s="1"/>
  <c r="AP356" i="1"/>
  <c r="AR356" i="1" s="1"/>
  <c r="AL356" i="1"/>
  <c r="AU356" i="1" s="1"/>
  <c r="AL889" i="1"/>
  <c r="AP889" i="1"/>
  <c r="AR889" i="1" s="1"/>
  <c r="AL431" i="1"/>
  <c r="BE431" i="1" s="1"/>
  <c r="AP431" i="1"/>
  <c r="AR431" i="1" s="1"/>
  <c r="AP30" i="1"/>
  <c r="AR30" i="1" s="1"/>
  <c r="AL30" i="1"/>
  <c r="AU30" i="1" s="1"/>
  <c r="AP106" i="1"/>
  <c r="AR106" i="1" s="1"/>
  <c r="AL106" i="1"/>
  <c r="AP169" i="1"/>
  <c r="AR169" i="1" s="1"/>
  <c r="AL169" i="1"/>
  <c r="BE169" i="1" s="1"/>
  <c r="AP144" i="1"/>
  <c r="AR144" i="1" s="1"/>
  <c r="AL144" i="1"/>
  <c r="AP346" i="1"/>
  <c r="AR346" i="1" s="1"/>
  <c r="AL346" i="1"/>
  <c r="AP653" i="1"/>
  <c r="AR653" i="1" s="1"/>
  <c r="AL653" i="1"/>
  <c r="BE653" i="1" s="1"/>
  <c r="AP328" i="1"/>
  <c r="AR328" i="1" s="1"/>
  <c r="AL328" i="1"/>
  <c r="AS328" i="1" s="1"/>
  <c r="AT328" i="1" s="1"/>
  <c r="AL815" i="1"/>
  <c r="AP815" i="1"/>
  <c r="AR815" i="1" s="1"/>
  <c r="AP214" i="1"/>
  <c r="AR214" i="1" s="1"/>
  <c r="AL214" i="1"/>
  <c r="AP482" i="1"/>
  <c r="AR482" i="1" s="1"/>
  <c r="AL482" i="1"/>
  <c r="AP231" i="1"/>
  <c r="AR231" i="1" s="1"/>
  <c r="AL231" i="1"/>
  <c r="BE231" i="1" s="1"/>
  <c r="AP894" i="1"/>
  <c r="AR894" i="1" s="1"/>
  <c r="AL894" i="1"/>
  <c r="BE894" i="1" s="1"/>
  <c r="BH935" i="1"/>
  <c r="BD935" i="1"/>
  <c r="BF935" i="1" s="1"/>
  <c r="AL548" i="1"/>
  <c r="AP548" i="1"/>
  <c r="AR548" i="1" s="1"/>
  <c r="AP203" i="1"/>
  <c r="AR203" i="1" s="1"/>
  <c r="AL203" i="1"/>
  <c r="AP1040" i="1"/>
  <c r="AR1040" i="1" s="1"/>
  <c r="AL1040" i="1"/>
  <c r="BE1040" i="1" s="1"/>
  <c r="AL317" i="1"/>
  <c r="BE317" i="1" s="1"/>
  <c r="AP317" i="1"/>
  <c r="AR317" i="1" s="1"/>
  <c r="AP153" i="1"/>
  <c r="AR153" i="1" s="1"/>
  <c r="AL153" i="1"/>
  <c r="BE153" i="1" s="1"/>
  <c r="AP215" i="1"/>
  <c r="AR215" i="1" s="1"/>
  <c r="AL215" i="1"/>
  <c r="BE215" i="1" s="1"/>
  <c r="AP391" i="1"/>
  <c r="AR391" i="1" s="1"/>
  <c r="AL391" i="1"/>
  <c r="AP397" i="1"/>
  <c r="AR397" i="1" s="1"/>
  <c r="AL397" i="1"/>
  <c r="AP229" i="1"/>
  <c r="AR229" i="1" s="1"/>
  <c r="AL229" i="1"/>
  <c r="BE229" i="1" s="1"/>
  <c r="AL352" i="1"/>
  <c r="AP352" i="1"/>
  <c r="AR352" i="1" s="1"/>
  <c r="AL899" i="1"/>
  <c r="BE899" i="1" s="1"/>
  <c r="AP899" i="1"/>
  <c r="AR899" i="1" s="1"/>
  <c r="AP403" i="1"/>
  <c r="AR403" i="1" s="1"/>
  <c r="AL403" i="1"/>
  <c r="BE403" i="1" s="1"/>
  <c r="AP1036" i="1"/>
  <c r="AR1036" i="1" s="1"/>
  <c r="AL1036" i="1"/>
  <c r="BE1036" i="1" s="1"/>
  <c r="AP881" i="1"/>
  <c r="AR881" i="1" s="1"/>
  <c r="AL881" i="1"/>
  <c r="AL119" i="1"/>
  <c r="BE119" i="1" s="1"/>
  <c r="AP119" i="1"/>
  <c r="AR119" i="1" s="1"/>
  <c r="AP66" i="1"/>
  <c r="AR66" i="1" s="1"/>
  <c r="AL66" i="1"/>
  <c r="AP629" i="1"/>
  <c r="AR629" i="1" s="1"/>
  <c r="AL629" i="1"/>
  <c r="AP975" i="1"/>
  <c r="AR975" i="1" s="1"/>
  <c r="AL975" i="1"/>
  <c r="AM975" i="1" s="1"/>
  <c r="AN975" i="1" s="1"/>
  <c r="AL599" i="1"/>
  <c r="BE599" i="1" s="1"/>
  <c r="AP599" i="1"/>
  <c r="AR599" i="1" s="1"/>
  <c r="AP508" i="1"/>
  <c r="AR508" i="1" s="1"/>
  <c r="AL508" i="1"/>
  <c r="AP613" i="1"/>
  <c r="AR613" i="1" s="1"/>
  <c r="AL613" i="1"/>
  <c r="AL923" i="1"/>
  <c r="AP923" i="1"/>
  <c r="AR923" i="1" s="1"/>
  <c r="AP406" i="1"/>
  <c r="AR406" i="1" s="1"/>
  <c r="AL406" i="1"/>
  <c r="AL149" i="1"/>
  <c r="AP149" i="1"/>
  <c r="AR149" i="1" s="1"/>
  <c r="AP529" i="1"/>
  <c r="AR529" i="1" s="1"/>
  <c r="AL529" i="1"/>
  <c r="BE529" i="1" s="1"/>
  <c r="AP941" i="1"/>
  <c r="AR941" i="1" s="1"/>
  <c r="AL941" i="1"/>
  <c r="BE941" i="1" s="1"/>
  <c r="AP481" i="1"/>
  <c r="AR481" i="1" s="1"/>
  <c r="AL481" i="1"/>
  <c r="BE481" i="1" s="1"/>
  <c r="AP836" i="1"/>
  <c r="AR836" i="1" s="1"/>
  <c r="AL836" i="1"/>
  <c r="BE836" i="1" s="1"/>
  <c r="AP404" i="1"/>
  <c r="AR404" i="1" s="1"/>
  <c r="AL404" i="1"/>
  <c r="BE404" i="1" s="1"/>
  <c r="AP680" i="1"/>
  <c r="AR680" i="1" s="1"/>
  <c r="AL680" i="1"/>
  <c r="AM680" i="1" s="1"/>
  <c r="AN680" i="1" s="1"/>
  <c r="AL65" i="1"/>
  <c r="AP65" i="1"/>
  <c r="AR65" i="1" s="1"/>
  <c r="AL586" i="1"/>
  <c r="AP586" i="1"/>
  <c r="AR586" i="1" s="1"/>
  <c r="AL940" i="1"/>
  <c r="AP940" i="1"/>
  <c r="AR940" i="1" s="1"/>
  <c r="AL70" i="1"/>
  <c r="AP70" i="1"/>
  <c r="AR70" i="1" s="1"/>
  <c r="AL501" i="1"/>
  <c r="AP501" i="1"/>
  <c r="AR501" i="1" s="1"/>
  <c r="AP620" i="1"/>
  <c r="AR620" i="1" s="1"/>
  <c r="AL620" i="1"/>
  <c r="AP625" i="1"/>
  <c r="AR625" i="1" s="1"/>
  <c r="AL625" i="1"/>
  <c r="AL789" i="1"/>
  <c r="BE789" i="1" s="1"/>
  <c r="AP789" i="1"/>
  <c r="AR789" i="1" s="1"/>
  <c r="AL1015" i="1"/>
  <c r="BE1015" i="1" s="1"/>
  <c r="AP1015" i="1"/>
  <c r="AR1015" i="1" s="1"/>
  <c r="AL891" i="1"/>
  <c r="AP891" i="1"/>
  <c r="AR891" i="1" s="1"/>
  <c r="AP662" i="1"/>
  <c r="AR662" i="1" s="1"/>
  <c r="AL662" i="1"/>
  <c r="BE662" i="1" s="1"/>
  <c r="BH852" i="1"/>
  <c r="BD852" i="1"/>
  <c r="BF852" i="1" s="1"/>
  <c r="BH729" i="1"/>
  <c r="BD729" i="1"/>
  <c r="BF729" i="1" s="1"/>
  <c r="BD305" i="1"/>
  <c r="BF305" i="1" s="1"/>
  <c r="BH305" i="1"/>
  <c r="BH876" i="1"/>
  <c r="BD876" i="1"/>
  <c r="BF876" i="1" s="1"/>
  <c r="BH739" i="1"/>
  <c r="BD739" i="1"/>
  <c r="BF739" i="1" s="1"/>
  <c r="BH964" i="1"/>
  <c r="BD964" i="1"/>
  <c r="BF964" i="1" s="1"/>
  <c r="BH826" i="1"/>
  <c r="BD826" i="1"/>
  <c r="BF826" i="1" s="1"/>
  <c r="BH1015" i="1"/>
  <c r="BD1015" i="1"/>
  <c r="BF1015" i="1" s="1"/>
  <c r="BH889" i="1"/>
  <c r="BD889" i="1"/>
  <c r="BF889" i="1" s="1"/>
  <c r="BH574" i="1"/>
  <c r="BD574" i="1"/>
  <c r="BF574" i="1" s="1"/>
  <c r="BH469" i="1"/>
  <c r="BD469" i="1"/>
  <c r="BF469" i="1" s="1"/>
  <c r="BH1026" i="1"/>
  <c r="BD1026" i="1"/>
  <c r="BF1026" i="1" s="1"/>
  <c r="BH228" i="1"/>
  <c r="BD228" i="1"/>
  <c r="BF228" i="1" s="1"/>
  <c r="BH100" i="1"/>
  <c r="BD100" i="1"/>
  <c r="BF100" i="1" s="1"/>
  <c r="BH983" i="1"/>
  <c r="BD983" i="1"/>
  <c r="BF983" i="1" s="1"/>
  <c r="BD671" i="1"/>
  <c r="BF671" i="1" s="1"/>
  <c r="BH671" i="1"/>
  <c r="BH970" i="1"/>
  <c r="BD970" i="1"/>
  <c r="BF970" i="1" s="1"/>
  <c r="BH585" i="1"/>
  <c r="BD585" i="1"/>
  <c r="BF585" i="1" s="1"/>
  <c r="BH139" i="1"/>
  <c r="BD139" i="1"/>
  <c r="BF139" i="1" s="1"/>
  <c r="BH665" i="1"/>
  <c r="BD665" i="1"/>
  <c r="BF665" i="1" s="1"/>
  <c r="BD254" i="1"/>
  <c r="BF254" i="1" s="1"/>
  <c r="BH254" i="1"/>
  <c r="BH87" i="1"/>
  <c r="BD87" i="1"/>
  <c r="BF87" i="1" s="1"/>
  <c r="BH279" i="1"/>
  <c r="BD279" i="1"/>
  <c r="BF279" i="1" s="1"/>
  <c r="BH596" i="1"/>
  <c r="BD596" i="1"/>
  <c r="BF596" i="1" s="1"/>
  <c r="BH776" i="1"/>
  <c r="BD776" i="1"/>
  <c r="BF776" i="1" s="1"/>
  <c r="BH972" i="1"/>
  <c r="BD972" i="1"/>
  <c r="BF972" i="1" s="1"/>
  <c r="BH658" i="1"/>
  <c r="BD658" i="1"/>
  <c r="BF658" i="1" s="1"/>
  <c r="BH825" i="1"/>
  <c r="BD825" i="1"/>
  <c r="BF825" i="1" s="1"/>
  <c r="BH513" i="1"/>
  <c r="BD513" i="1"/>
  <c r="BF513" i="1" s="1"/>
  <c r="BH594" i="1"/>
  <c r="BD594" i="1"/>
  <c r="BF594" i="1" s="1"/>
  <c r="BH863" i="1"/>
  <c r="BD863" i="1"/>
  <c r="BF863" i="1" s="1"/>
  <c r="BH110" i="1"/>
  <c r="BD110" i="1"/>
  <c r="BF110" i="1" s="1"/>
  <c r="BH833" i="1"/>
  <c r="BD833" i="1"/>
  <c r="BF833" i="1" s="1"/>
  <c r="BH921" i="1"/>
  <c r="BD921" i="1"/>
  <c r="BF921" i="1" s="1"/>
  <c r="BH1014" i="1"/>
  <c r="BD1014" i="1"/>
  <c r="BF1014" i="1" s="1"/>
  <c r="BH688" i="1"/>
  <c r="BD688" i="1"/>
  <c r="BF688" i="1" s="1"/>
  <c r="BH453" i="1"/>
  <c r="BD453" i="1"/>
  <c r="BF453" i="1" s="1"/>
  <c r="BH232" i="1"/>
  <c r="BD232" i="1"/>
  <c r="BF232" i="1" s="1"/>
  <c r="BH762" i="1"/>
  <c r="BD762" i="1"/>
  <c r="BF762" i="1" s="1"/>
  <c r="BH121" i="1"/>
  <c r="BD121" i="1"/>
  <c r="BF121" i="1" s="1"/>
  <c r="BD898" i="1"/>
  <c r="BF898" i="1" s="1"/>
  <c r="BH898" i="1"/>
  <c r="BH707" i="1"/>
  <c r="BD707" i="1"/>
  <c r="BF707" i="1" s="1"/>
  <c r="BH437" i="1"/>
  <c r="BD437" i="1"/>
  <c r="BF437" i="1" s="1"/>
  <c r="BH242" i="1"/>
  <c r="BD242" i="1"/>
  <c r="BF242" i="1" s="1"/>
  <c r="BH568" i="1"/>
  <c r="BD568" i="1"/>
  <c r="BF568" i="1" s="1"/>
  <c r="BH779" i="1"/>
  <c r="BD779" i="1"/>
  <c r="BF779" i="1" s="1"/>
  <c r="BH98" i="1"/>
  <c r="BD98" i="1"/>
  <c r="BF98" i="1" s="1"/>
  <c r="BH757" i="1"/>
  <c r="BD757" i="1"/>
  <c r="BF757" i="1" s="1"/>
  <c r="BD747" i="1"/>
  <c r="BF747" i="1" s="1"/>
  <c r="BH747" i="1"/>
  <c r="BD989" i="1"/>
  <c r="BF989" i="1" s="1"/>
  <c r="BH989" i="1"/>
  <c r="BH359" i="1"/>
  <c r="BD359" i="1"/>
  <c r="BF359" i="1" s="1"/>
  <c r="BH1009" i="1"/>
  <c r="BD1009" i="1"/>
  <c r="BF1009" i="1" s="1"/>
  <c r="BD868" i="1"/>
  <c r="BF868" i="1" s="1"/>
  <c r="BH868" i="1"/>
  <c r="BH1033" i="1"/>
  <c r="BD1033" i="1"/>
  <c r="BF1033" i="1" s="1"/>
  <c r="BD996" i="1"/>
  <c r="BF996" i="1" s="1"/>
  <c r="BH996" i="1"/>
  <c r="BH973" i="1"/>
  <c r="BD973" i="1"/>
  <c r="BF973" i="1" s="1"/>
  <c r="BD275" i="1"/>
  <c r="BF275" i="1" s="1"/>
  <c r="BH275" i="1"/>
  <c r="BD954" i="1"/>
  <c r="BF954" i="1" s="1"/>
  <c r="BH954" i="1"/>
  <c r="BH572" i="1"/>
  <c r="BD572" i="1"/>
  <c r="BF572" i="1" s="1"/>
  <c r="BH103" i="1"/>
  <c r="BD103" i="1"/>
  <c r="BF103" i="1" s="1"/>
  <c r="BD102" i="1"/>
  <c r="BF102" i="1" s="1"/>
  <c r="BH102" i="1"/>
  <c r="AP121" i="1"/>
  <c r="AR121" i="1" s="1"/>
  <c r="AL121" i="1"/>
  <c r="BE121" i="1" s="1"/>
  <c r="AL942" i="1"/>
  <c r="AP942" i="1"/>
  <c r="AR942" i="1" s="1"/>
  <c r="AL111" i="1"/>
  <c r="BE111" i="1" s="1"/>
  <c r="AP111" i="1"/>
  <c r="AR111" i="1" s="1"/>
  <c r="AL816" i="1"/>
  <c r="AP816" i="1"/>
  <c r="AR816" i="1" s="1"/>
  <c r="AL918" i="1"/>
  <c r="BE918" i="1" s="1"/>
  <c r="AP918" i="1"/>
  <c r="AR918" i="1" s="1"/>
  <c r="BH516" i="1"/>
  <c r="BD516" i="1"/>
  <c r="BF516" i="1" s="1"/>
  <c r="AP333" i="1"/>
  <c r="AR333" i="1" s="1"/>
  <c r="AL333" i="1"/>
  <c r="BE333" i="1" s="1"/>
  <c r="AL814" i="1"/>
  <c r="BE814" i="1" s="1"/>
  <c r="AP814" i="1"/>
  <c r="AR814" i="1" s="1"/>
  <c r="BD978" i="1"/>
  <c r="BF978" i="1" s="1"/>
  <c r="BH978" i="1"/>
  <c r="AP39" i="1"/>
  <c r="AR39" i="1" s="1"/>
  <c r="AL39" i="1"/>
  <c r="AP467" i="1"/>
  <c r="AR467" i="1" s="1"/>
  <c r="AL467" i="1"/>
  <c r="AL228" i="1"/>
  <c r="AP228" i="1"/>
  <c r="AR228" i="1" s="1"/>
  <c r="AL681" i="1"/>
  <c r="BE681" i="1" s="1"/>
  <c r="AP681" i="1"/>
  <c r="AR681" i="1" s="1"/>
  <c r="AP745" i="1"/>
  <c r="AR745" i="1" s="1"/>
  <c r="AL745" i="1"/>
  <c r="BE745" i="1" s="1"/>
  <c r="AL388" i="1"/>
  <c r="BE388" i="1" s="1"/>
  <c r="AP388" i="1"/>
  <c r="AR388" i="1" s="1"/>
  <c r="AL226" i="1"/>
  <c r="AP226" i="1"/>
  <c r="AR226" i="1" s="1"/>
  <c r="AL82" i="1"/>
  <c r="BE82" i="1" s="1"/>
  <c r="AP82" i="1"/>
  <c r="AR82" i="1" s="1"/>
  <c r="AL278" i="1"/>
  <c r="BE278" i="1" s="1"/>
  <c r="AP278" i="1"/>
  <c r="AR278" i="1" s="1"/>
  <c r="AL877" i="1"/>
  <c r="AM877" i="1" s="1"/>
  <c r="AN877" i="1" s="1"/>
  <c r="AP877" i="1"/>
  <c r="AR877" i="1" s="1"/>
  <c r="AL393" i="1"/>
  <c r="AP393" i="1"/>
  <c r="AR393" i="1" s="1"/>
  <c r="AP855" i="1"/>
  <c r="AR855" i="1" s="1"/>
  <c r="AL855" i="1"/>
  <c r="BE855" i="1" s="1"/>
  <c r="AP841" i="1"/>
  <c r="AR841" i="1" s="1"/>
  <c r="AL841" i="1"/>
  <c r="BE841" i="1" s="1"/>
  <c r="AP784" i="1"/>
  <c r="AR784" i="1" s="1"/>
  <c r="AL784" i="1"/>
  <c r="BE784" i="1" s="1"/>
  <c r="AL165" i="1"/>
  <c r="BE165" i="1" s="1"/>
  <c r="AP165" i="1"/>
  <c r="AR165" i="1" s="1"/>
  <c r="AP946" i="1"/>
  <c r="AR946" i="1" s="1"/>
  <c r="AL946" i="1"/>
  <c r="AP872" i="1"/>
  <c r="AR872" i="1" s="1"/>
  <c r="AL872" i="1"/>
  <c r="AP201" i="1"/>
  <c r="AR201" i="1" s="1"/>
  <c r="AL201" i="1"/>
  <c r="AL365" i="1"/>
  <c r="AP365" i="1"/>
  <c r="AR365" i="1" s="1"/>
  <c r="AL547" i="1"/>
  <c r="BE547" i="1" s="1"/>
  <c r="AP547" i="1"/>
  <c r="AR547" i="1" s="1"/>
  <c r="AP107" i="1"/>
  <c r="AR107" i="1" s="1"/>
  <c r="AL107" i="1"/>
  <c r="AU107" i="1" s="1"/>
  <c r="AP1038" i="1"/>
  <c r="AR1038" i="1" s="1"/>
  <c r="AL1038" i="1"/>
  <c r="BE1038" i="1" s="1"/>
  <c r="AP860" i="1"/>
  <c r="AR860" i="1" s="1"/>
  <c r="AL860" i="1"/>
  <c r="AP73" i="1"/>
  <c r="AR73" i="1" s="1"/>
  <c r="AL73" i="1"/>
  <c r="AP477" i="1"/>
  <c r="AR477" i="1" s="1"/>
  <c r="AL477" i="1"/>
  <c r="BE477" i="1" s="1"/>
  <c r="AP811" i="1"/>
  <c r="AR811" i="1" s="1"/>
  <c r="AL811" i="1"/>
  <c r="AL849" i="1"/>
  <c r="AP849" i="1"/>
  <c r="AR849" i="1" s="1"/>
  <c r="AP848" i="1"/>
  <c r="AR848" i="1" s="1"/>
  <c r="AL848" i="1"/>
  <c r="AU848" i="1" s="1"/>
  <c r="AP101" i="1"/>
  <c r="AR101" i="1" s="1"/>
  <c r="AL101" i="1"/>
  <c r="AU101" i="1" s="1"/>
  <c r="AP868" i="1"/>
  <c r="AR868" i="1" s="1"/>
  <c r="AL868" i="1"/>
  <c r="BE868" i="1" s="1"/>
  <c r="AP159" i="1"/>
  <c r="AR159" i="1" s="1"/>
  <c r="AL159" i="1"/>
  <c r="AU159" i="1" s="1"/>
  <c r="AP211" i="1"/>
  <c r="AR211" i="1" s="1"/>
  <c r="AL211" i="1"/>
  <c r="AL948" i="1"/>
  <c r="AP948" i="1"/>
  <c r="AR948" i="1" s="1"/>
  <c r="AL856" i="1"/>
  <c r="AP856" i="1"/>
  <c r="AR856" i="1" s="1"/>
  <c r="AL181" i="1"/>
  <c r="AP181" i="1"/>
  <c r="AR181" i="1" s="1"/>
  <c r="AP205" i="1"/>
  <c r="AR205" i="1" s="1"/>
  <c r="AL205" i="1"/>
  <c r="BE205" i="1" s="1"/>
  <c r="AP250" i="1"/>
  <c r="AR250" i="1" s="1"/>
  <c r="AL250" i="1"/>
  <c r="AP890" i="1"/>
  <c r="AR890" i="1" s="1"/>
  <c r="AL890" i="1"/>
  <c r="AS890" i="1" s="1"/>
  <c r="AT890" i="1" s="1"/>
  <c r="AP874" i="1"/>
  <c r="AR874" i="1" s="1"/>
  <c r="AL874" i="1"/>
  <c r="AL369" i="1"/>
  <c r="BE369" i="1" s="1"/>
  <c r="AP369" i="1"/>
  <c r="AR369" i="1" s="1"/>
  <c r="AP381" i="1"/>
  <c r="AR381" i="1" s="1"/>
  <c r="AL381" i="1"/>
  <c r="BE381" i="1" s="1"/>
  <c r="AL321" i="1"/>
  <c r="BE321" i="1" s="1"/>
  <c r="AP321" i="1"/>
  <c r="AR321" i="1" s="1"/>
  <c r="AP885" i="1"/>
  <c r="AR885" i="1" s="1"/>
  <c r="AL885" i="1"/>
  <c r="AL730" i="1"/>
  <c r="AP730" i="1"/>
  <c r="AR730" i="1" s="1"/>
  <c r="AP892" i="1"/>
  <c r="AR892" i="1" s="1"/>
  <c r="AL892" i="1"/>
  <c r="AM892" i="1" s="1"/>
  <c r="AN892" i="1" s="1"/>
  <c r="AL532" i="1"/>
  <c r="BE532" i="1" s="1"/>
  <c r="AP532" i="1"/>
  <c r="AR532" i="1" s="1"/>
  <c r="AP843" i="1"/>
  <c r="AR843" i="1" s="1"/>
  <c r="AL843" i="1"/>
  <c r="BE843" i="1" s="1"/>
  <c r="AL123" i="1"/>
  <c r="BE123" i="1" s="1"/>
  <c r="AP123" i="1"/>
  <c r="AR123" i="1" s="1"/>
  <c r="AL639" i="1"/>
  <c r="AP639" i="1"/>
  <c r="AR639" i="1" s="1"/>
  <c r="AP297" i="1"/>
  <c r="AR297" i="1" s="1"/>
  <c r="AL297" i="1"/>
  <c r="BE297" i="1" s="1"/>
  <c r="AL703" i="1"/>
  <c r="AM703" i="1" s="1"/>
  <c r="AN703" i="1" s="1"/>
  <c r="AP703" i="1"/>
  <c r="AR703" i="1" s="1"/>
  <c r="AP635" i="1"/>
  <c r="AR635" i="1" s="1"/>
  <c r="AL635" i="1"/>
  <c r="AL591" i="1"/>
  <c r="BE591" i="1" s="1"/>
  <c r="AP591" i="1"/>
  <c r="AR591" i="1" s="1"/>
  <c r="AP870" i="1"/>
  <c r="AR870" i="1" s="1"/>
  <c r="AL870" i="1"/>
  <c r="AL543" i="1"/>
  <c r="AP543" i="1"/>
  <c r="AR543" i="1" s="1"/>
  <c r="AP987" i="1"/>
  <c r="AR987" i="1" s="1"/>
  <c r="AL987" i="1"/>
  <c r="AL550" i="1"/>
  <c r="AP550" i="1"/>
  <c r="AR550" i="1" s="1"/>
  <c r="BE358" i="1"/>
  <c r="BF358" i="1"/>
  <c r="BE447" i="1"/>
  <c r="BE423" i="1"/>
  <c r="BE538" i="1"/>
  <c r="AM716" i="1"/>
  <c r="AN716" i="1" s="1"/>
  <c r="BE716" i="1"/>
  <c r="AU608" i="1"/>
  <c r="BE608" i="1"/>
  <c r="AU1012" i="1"/>
  <c r="BE1012" i="1"/>
  <c r="AM254" i="1"/>
  <c r="AN254" i="1" s="1"/>
  <c r="BE254" i="1"/>
  <c r="AU647" i="1"/>
  <c r="BE647" i="1"/>
  <c r="AS621" i="1"/>
  <c r="AT621" i="1" s="1"/>
  <c r="BE621" i="1"/>
  <c r="AM886" i="1"/>
  <c r="AN886" i="1" s="1"/>
  <c r="BE886" i="1"/>
  <c r="AU823" i="1"/>
  <c r="BE823" i="1"/>
  <c r="AM444" i="1"/>
  <c r="AN444" i="1" s="1"/>
  <c r="BE444" i="1"/>
  <c r="AU704" i="1"/>
  <c r="BE704" i="1"/>
  <c r="AM891" i="1"/>
  <c r="AN891" i="1" s="1"/>
  <c r="BE891" i="1"/>
  <c r="AU878" i="1"/>
  <c r="BE878" i="1"/>
  <c r="AU942" i="1"/>
  <c r="BE942" i="1"/>
  <c r="AU904" i="1"/>
  <c r="BE904" i="1"/>
  <c r="AS442" i="1"/>
  <c r="AT442" i="1" s="1"/>
  <c r="BE442" i="1"/>
  <c r="AS408" i="1"/>
  <c r="AT408" i="1" s="1"/>
  <c r="BE408" i="1"/>
  <c r="AS493" i="1"/>
  <c r="AT493" i="1" s="1"/>
  <c r="BE493" i="1"/>
  <c r="AS688" i="1"/>
  <c r="AT688" i="1" s="1"/>
  <c r="BE688" i="1"/>
  <c r="AS1013" i="1"/>
  <c r="AT1013" i="1" s="1"/>
  <c r="BE1013" i="1"/>
  <c r="AS514" i="1"/>
  <c r="AT514" i="1" s="1"/>
  <c r="BE514" i="1"/>
  <c r="AU578" i="1"/>
  <c r="BE578" i="1"/>
  <c r="AS382" i="1"/>
  <c r="AT382" i="1" s="1"/>
  <c r="BE382" i="1"/>
  <c r="AS664" i="1"/>
  <c r="AT664" i="1" s="1"/>
  <c r="BE664" i="1"/>
  <c r="AM596" i="1"/>
  <c r="AN596" i="1" s="1"/>
  <c r="BE596" i="1"/>
  <c r="AS808" i="1"/>
  <c r="AT808" i="1" s="1"/>
  <c r="BE808" i="1"/>
  <c r="AU1009" i="1"/>
  <c r="BE1009" i="1"/>
  <c r="AS570" i="1"/>
  <c r="AT570" i="1" s="1"/>
  <c r="BE570" i="1"/>
  <c r="AU635" i="1"/>
  <c r="BE635" i="1"/>
  <c r="AU839" i="1"/>
  <c r="BE839" i="1"/>
  <c r="AU903" i="1"/>
  <c r="BE903" i="1"/>
  <c r="AU740" i="1"/>
  <c r="BE740" i="1"/>
  <c r="AU980" i="1"/>
  <c r="BE980" i="1"/>
  <c r="AU845" i="1"/>
  <c r="BE845" i="1"/>
  <c r="AS502" i="1"/>
  <c r="AT502" i="1" s="1"/>
  <c r="BE502" i="1"/>
  <c r="AS634" i="1"/>
  <c r="AT634" i="1" s="1"/>
  <c r="BE634" i="1"/>
  <c r="AS617" i="1"/>
  <c r="AT617" i="1" s="1"/>
  <c r="BE617" i="1"/>
  <c r="AS671" i="1"/>
  <c r="AT671" i="1" s="1"/>
  <c r="BE671" i="1"/>
  <c r="AS880" i="1"/>
  <c r="AT880" i="1" s="1"/>
  <c r="BE880" i="1"/>
  <c r="AS42" i="1"/>
  <c r="AT42" i="1" s="1"/>
  <c r="BE42" i="1"/>
  <c r="AU565" i="1"/>
  <c r="BE565" i="1"/>
  <c r="AU613" i="1"/>
  <c r="BE613" i="1"/>
  <c r="AU827" i="1"/>
  <c r="BE827" i="1"/>
  <c r="AS959" i="1"/>
  <c r="AT959" i="1" s="1"/>
  <c r="BE959" i="1"/>
  <c r="AS946" i="1"/>
  <c r="AT946" i="1" s="1"/>
  <c r="BE946" i="1"/>
  <c r="AU536" i="1"/>
  <c r="BE536" i="1"/>
  <c r="AS702" i="1"/>
  <c r="AT702" i="1" s="1"/>
  <c r="BE702" i="1"/>
  <c r="AS685" i="1"/>
  <c r="AT685" i="1" s="1"/>
  <c r="BE685" i="1"/>
  <c r="AM464" i="1"/>
  <c r="AN464" i="1" s="1"/>
  <c r="BE464" i="1"/>
  <c r="AS798" i="1"/>
  <c r="AT798" i="1" s="1"/>
  <c r="BE798" i="1"/>
  <c r="AS413" i="1"/>
  <c r="AT413" i="1" s="1"/>
  <c r="BE413" i="1"/>
  <c r="AS659" i="1"/>
  <c r="AT659" i="1" s="1"/>
  <c r="BE659" i="1"/>
  <c r="AM528" i="1"/>
  <c r="AN528" i="1" s="1"/>
  <c r="BE528" i="1"/>
  <c r="AS291" i="1"/>
  <c r="AT291" i="1" s="1"/>
  <c r="BE291" i="1"/>
  <c r="AS305" i="1"/>
  <c r="AT305" i="1" s="1"/>
  <c r="BE305" i="1"/>
  <c r="AU208" i="1"/>
  <c r="BE208" i="1"/>
  <c r="AS73" i="1"/>
  <c r="AT73" i="1" s="1"/>
  <c r="BE73" i="1"/>
  <c r="AU657" i="1"/>
  <c r="BE657" i="1"/>
  <c r="AM607" i="1"/>
  <c r="AN607" i="1" s="1"/>
  <c r="BE607" i="1"/>
  <c r="AU1029" i="1"/>
  <c r="BE1029" i="1"/>
  <c r="AS414" i="1"/>
  <c r="AT414" i="1" s="1"/>
  <c r="BE414" i="1"/>
  <c r="AS872" i="1"/>
  <c r="AT872" i="1" s="1"/>
  <c r="BE872" i="1"/>
  <c r="AU636" i="1"/>
  <c r="BE636" i="1"/>
  <c r="AU1006" i="1"/>
  <c r="BE1006" i="1"/>
  <c r="AM870" i="1"/>
  <c r="AN870" i="1" s="1"/>
  <c r="BE870" i="1"/>
  <c r="AS858" i="1"/>
  <c r="AT858" i="1" s="1"/>
  <c r="BE858" i="1"/>
  <c r="AU922" i="1"/>
  <c r="BE922" i="1"/>
  <c r="AU401" i="1"/>
  <c r="BE401" i="1"/>
  <c r="AU473" i="1"/>
  <c r="BE473" i="1"/>
  <c r="AS452" i="1"/>
  <c r="AT452" i="1" s="1"/>
  <c r="BE452" i="1"/>
  <c r="AU1026" i="1"/>
  <c r="BE1026" i="1"/>
  <c r="AS787" i="1"/>
  <c r="AT787" i="1" s="1"/>
  <c r="BE787" i="1"/>
  <c r="AU1032" i="1"/>
  <c r="BE1032" i="1"/>
  <c r="AU822" i="1"/>
  <c r="BE822" i="1"/>
  <c r="AS874" i="1"/>
  <c r="AT874" i="1" s="1"/>
  <c r="BE874" i="1"/>
  <c r="AU1014" i="1"/>
  <c r="AS965" i="1"/>
  <c r="AT965" i="1" s="1"/>
  <c r="BE965" i="1"/>
  <c r="AU457" i="1"/>
  <c r="BE457" i="1"/>
  <c r="AU482" i="1"/>
  <c r="BE482" i="1"/>
  <c r="AU595" i="1"/>
  <c r="BE595" i="1"/>
  <c r="AU629" i="1"/>
  <c r="BE629" i="1"/>
  <c r="AS245" i="1"/>
  <c r="AT245" i="1" s="1"/>
  <c r="BE245" i="1"/>
  <c r="AM293" i="1"/>
  <c r="AN293" i="1" s="1"/>
  <c r="BE293" i="1"/>
  <c r="AU993" i="1"/>
  <c r="BE993" i="1"/>
  <c r="AU450" i="1"/>
  <c r="BE450" i="1"/>
  <c r="AU603" i="1"/>
  <c r="BE603" i="1"/>
  <c r="AS284" i="1"/>
  <c r="AT284" i="1" s="1"/>
  <c r="BE284" i="1"/>
  <c r="AU183" i="1"/>
  <c r="BE183" i="1"/>
  <c r="AS344" i="1"/>
  <c r="AT344" i="1" s="1"/>
  <c r="BE344" i="1"/>
  <c r="AM1027" i="1"/>
  <c r="AN1027" i="1" s="1"/>
  <c r="BE1027" i="1"/>
  <c r="AU557" i="1"/>
  <c r="BE557" i="1"/>
  <c r="AU622" i="1"/>
  <c r="BE622" i="1"/>
  <c r="AS987" i="1"/>
  <c r="AT987" i="1" s="1"/>
  <c r="BE987" i="1"/>
  <c r="AS562" i="1"/>
  <c r="AT562" i="1" s="1"/>
  <c r="BE562" i="1"/>
  <c r="AU625" i="1"/>
  <c r="BE625" i="1"/>
  <c r="AS618" i="1"/>
  <c r="AT618" i="1" s="1"/>
  <c r="BE618" i="1"/>
  <c r="AU1033" i="1"/>
  <c r="BE1033" i="1"/>
  <c r="AM435" i="1"/>
  <c r="AN435" i="1" s="1"/>
  <c r="BE435" i="1"/>
  <c r="AS371" i="1"/>
  <c r="AT371" i="1" s="1"/>
  <c r="BE371" i="1"/>
  <c r="AS342" i="1"/>
  <c r="AT342" i="1" s="1"/>
  <c r="BE342" i="1"/>
  <c r="AU376" i="1"/>
  <c r="BE376" i="1"/>
  <c r="AS883" i="1"/>
  <c r="AT883" i="1" s="1"/>
  <c r="BE883" i="1"/>
  <c r="AS947" i="1"/>
  <c r="AT947" i="1" s="1"/>
  <c r="BE947" i="1"/>
  <c r="AU384" i="1"/>
  <c r="BE384" i="1"/>
  <c r="AU887" i="1"/>
  <c r="BE887" i="1"/>
  <c r="AM951" i="1"/>
  <c r="AN951" i="1" s="1"/>
  <c r="BE951" i="1"/>
  <c r="AU620" i="1"/>
  <c r="BE620" i="1"/>
  <c r="AU425" i="1"/>
  <c r="BE425" i="1"/>
  <c r="AM346" i="1"/>
  <c r="AN346" i="1" s="1"/>
  <c r="BE346" i="1"/>
  <c r="AU215" i="1"/>
  <c r="AM100" i="1"/>
  <c r="AN100" i="1" s="1"/>
  <c r="BE100" i="1"/>
  <c r="AS742" i="1"/>
  <c r="AT742" i="1" s="1"/>
  <c r="BE742" i="1"/>
  <c r="AM809" i="1"/>
  <c r="AN809" i="1" s="1"/>
  <c r="BE809" i="1"/>
  <c r="AS769" i="1"/>
  <c r="AT769" i="1" s="1"/>
  <c r="BE769" i="1"/>
  <c r="AS746" i="1"/>
  <c r="AT746" i="1" s="1"/>
  <c r="BE746" i="1"/>
  <c r="AU660" i="1"/>
  <c r="BE660" i="1"/>
  <c r="AM424" i="1"/>
  <c r="AN424" i="1" s="1"/>
  <c r="BE424" i="1"/>
  <c r="AS412" i="1"/>
  <c r="AT412" i="1" s="1"/>
  <c r="BE412" i="1"/>
  <c r="AM485" i="1"/>
  <c r="AN485" i="1" s="1"/>
  <c r="BE485" i="1"/>
  <c r="AU955" i="1"/>
  <c r="BE955" i="1"/>
  <c r="AM612" i="1"/>
  <c r="AN612" i="1" s="1"/>
  <c r="BE612" i="1"/>
  <c r="AU847" i="1"/>
  <c r="BE847" i="1"/>
  <c r="AU310" i="1"/>
  <c r="BE310" i="1"/>
  <c r="AS897" i="1"/>
  <c r="AT897" i="1" s="1"/>
  <c r="BE897" i="1"/>
  <c r="AU682" i="1"/>
  <c r="BE682" i="1"/>
  <c r="AS499" i="1"/>
  <c r="AT499" i="1" s="1"/>
  <c r="BE499" i="1"/>
  <c r="AM232" i="1"/>
  <c r="AN232" i="1" s="1"/>
  <c r="BE232" i="1"/>
  <c r="AM145" i="1"/>
  <c r="AN145" i="1" s="1"/>
  <c r="BE145" i="1"/>
  <c r="AU250" i="1"/>
  <c r="BE250" i="1"/>
  <c r="AU262" i="1"/>
  <c r="BE262" i="1"/>
  <c r="AS691" i="1"/>
  <c r="AT691" i="1" s="1"/>
  <c r="BE691" i="1"/>
  <c r="AU710" i="1"/>
  <c r="BE710" i="1"/>
  <c r="AU188" i="1"/>
  <c r="BE188" i="1"/>
  <c r="AS66" i="1"/>
  <c r="AT66" i="1" s="1"/>
  <c r="BE66" i="1"/>
  <c r="AU397" i="1"/>
  <c r="BE397" i="1"/>
  <c r="AS885" i="1"/>
  <c r="AT885" i="1" s="1"/>
  <c r="BE885" i="1"/>
  <c r="AS901" i="1"/>
  <c r="AT901" i="1" s="1"/>
  <c r="BE901" i="1"/>
  <c r="AU378" i="1"/>
  <c r="BE378" i="1"/>
  <c r="AU235" i="1"/>
  <c r="BE235" i="1"/>
  <c r="AU406" i="1"/>
  <c r="BE406" i="1"/>
  <c r="AU779" i="1"/>
  <c r="BE779" i="1"/>
  <c r="AU290" i="1"/>
  <c r="BE290" i="1"/>
  <c r="AS860" i="1"/>
  <c r="AT860" i="1" s="1"/>
  <c r="BE860" i="1"/>
  <c r="AS471" i="1"/>
  <c r="AT471" i="1" s="1"/>
  <c r="BE471" i="1"/>
  <c r="AS214" i="1"/>
  <c r="AT214" i="1" s="1"/>
  <c r="BE214" i="1"/>
  <c r="AU492" i="1"/>
  <c r="BE492" i="1"/>
  <c r="AU211" i="1"/>
  <c r="BE211" i="1"/>
  <c r="AU402" i="1"/>
  <c r="BE402" i="1"/>
  <c r="AS120" i="1"/>
  <c r="AT120" i="1" s="1"/>
  <c r="BE120" i="1"/>
  <c r="AS1005" i="1"/>
  <c r="AT1005" i="1" s="1"/>
  <c r="BE1005" i="1"/>
  <c r="AM811" i="1"/>
  <c r="AN811" i="1" s="1"/>
  <c r="BE811" i="1"/>
  <c r="AU936" i="1"/>
  <c r="BE936" i="1"/>
  <c r="AS144" i="1"/>
  <c r="AT144" i="1" s="1"/>
  <c r="BE144" i="1"/>
  <c r="AU164" i="1"/>
  <c r="BE164" i="1"/>
  <c r="AU541" i="1"/>
  <c r="BE541" i="1"/>
  <c r="AU147" i="1"/>
  <c r="BE147" i="1"/>
  <c r="AS576" i="1"/>
  <c r="AT576" i="1" s="1"/>
  <c r="BE576" i="1"/>
  <c r="AU133" i="1"/>
  <c r="BE133" i="1"/>
  <c r="AU522" i="1"/>
  <c r="BE522" i="1"/>
  <c r="AS640" i="1"/>
  <c r="AT640" i="1" s="1"/>
  <c r="BE640" i="1"/>
  <c r="AS1004" i="1"/>
  <c r="AT1004" i="1" s="1"/>
  <c r="BE1004" i="1"/>
  <c r="AU643" i="1"/>
  <c r="BE643" i="1"/>
  <c r="AS207" i="1"/>
  <c r="AT207" i="1" s="1"/>
  <c r="BE207" i="1"/>
  <c r="AU755" i="1"/>
  <c r="BE755" i="1"/>
  <c r="AU782" i="1"/>
  <c r="BE782" i="1"/>
  <c r="AS189" i="1"/>
  <c r="AT189" i="1" s="1"/>
  <c r="BE189" i="1"/>
  <c r="AU151" i="1"/>
  <c r="BE151" i="1"/>
  <c r="AU837" i="1"/>
  <c r="BE837" i="1"/>
  <c r="AU191" i="1"/>
  <c r="BE191" i="1"/>
  <c r="AU663" i="1"/>
  <c r="BE663" i="1"/>
  <c r="AM303" i="1"/>
  <c r="AN303" i="1" s="1"/>
  <c r="BE303" i="1"/>
  <c r="AS651" i="1"/>
  <c r="AT651" i="1" s="1"/>
  <c r="BE651" i="1"/>
  <c r="AS139" i="1"/>
  <c r="AT139" i="1" s="1"/>
  <c r="BE139" i="1"/>
  <c r="AS448" i="1"/>
  <c r="AT448" i="1" s="1"/>
  <c r="BE448" i="1"/>
  <c r="AU248" i="1"/>
  <c r="BE248" i="1"/>
  <c r="AU1002" i="1"/>
  <c r="BE1002" i="1"/>
  <c r="AS690" i="1"/>
  <c r="AT690" i="1" s="1"/>
  <c r="BE690" i="1"/>
  <c r="AS801" i="1"/>
  <c r="AT801" i="1" s="1"/>
  <c r="BE801" i="1"/>
  <c r="AS458" i="1"/>
  <c r="AT458" i="1" s="1"/>
  <c r="BE458" i="1"/>
  <c r="AS656" i="1"/>
  <c r="AT656" i="1" s="1"/>
  <c r="BE656" i="1"/>
  <c r="AS833" i="1"/>
  <c r="AT833" i="1" s="1"/>
  <c r="BE833" i="1"/>
  <c r="AU982" i="1"/>
  <c r="BE982" i="1"/>
  <c r="AU550" i="1"/>
  <c r="BE550" i="1"/>
  <c r="AM440" i="1"/>
  <c r="AN440" i="1" s="1"/>
  <c r="BE440" i="1"/>
  <c r="AU752" i="1"/>
  <c r="BE752" i="1"/>
  <c r="AU815" i="1"/>
  <c r="BE815" i="1"/>
  <c r="AS319" i="1"/>
  <c r="AT319" i="1" s="1"/>
  <c r="BE319" i="1"/>
  <c r="AU298" i="1"/>
  <c r="BE298" i="1"/>
  <c r="AM26" i="1"/>
  <c r="AN26" i="1" s="1"/>
  <c r="BE26" i="1"/>
  <c r="AU65" i="1"/>
  <c r="BE65" i="1"/>
  <c r="AU948" i="1"/>
  <c r="BE948" i="1"/>
  <c r="AS600" i="1"/>
  <c r="AT600" i="1" s="1"/>
  <c r="BE600" i="1"/>
  <c r="AS627" i="1"/>
  <c r="AT627" i="1" s="1"/>
  <c r="BE627" i="1"/>
  <c r="AU400" i="1"/>
  <c r="BE400" i="1"/>
  <c r="AU446" i="1"/>
  <c r="BE446" i="1"/>
  <c r="AS772" i="1"/>
  <c r="AT772" i="1" s="1"/>
  <c r="BE772" i="1"/>
  <c r="AS758" i="1"/>
  <c r="AT758" i="1" s="1"/>
  <c r="BE758" i="1"/>
  <c r="AS797" i="1"/>
  <c r="AT797" i="1" s="1"/>
  <c r="BE797" i="1"/>
  <c r="AM569" i="1"/>
  <c r="AN569" i="1" s="1"/>
  <c r="BE569" i="1"/>
  <c r="AU681" i="1"/>
  <c r="AS652" i="1"/>
  <c r="AT652" i="1" s="1"/>
  <c r="BE652" i="1"/>
  <c r="AS754" i="1"/>
  <c r="AT754" i="1" s="1"/>
  <c r="BE754" i="1"/>
  <c r="AS1028" i="1"/>
  <c r="AT1028" i="1" s="1"/>
  <c r="BE1028" i="1"/>
  <c r="AU945" i="1"/>
  <c r="BE945" i="1"/>
  <c r="AM761" i="1"/>
  <c r="AN761" i="1" s="1"/>
  <c r="BE761" i="1"/>
  <c r="AU417" i="1"/>
  <c r="BE417" i="1"/>
  <c r="AM911" i="1"/>
  <c r="AN911" i="1" s="1"/>
  <c r="BE911" i="1"/>
  <c r="AM898" i="1"/>
  <c r="AN898" i="1" s="1"/>
  <c r="BE898" i="1"/>
  <c r="AM428" i="1"/>
  <c r="AN428" i="1" s="1"/>
  <c r="BE428" i="1"/>
  <c r="AU503" i="1"/>
  <c r="BE503" i="1"/>
  <c r="AS443" i="1"/>
  <c r="AT443" i="1" s="1"/>
  <c r="BE443" i="1"/>
  <c r="AU258" i="1"/>
  <c r="BE258" i="1"/>
  <c r="AU300" i="1"/>
  <c r="BE300" i="1"/>
  <c r="AM433" i="1"/>
  <c r="AN433" i="1" s="1"/>
  <c r="BE433" i="1"/>
  <c r="AS137" i="1"/>
  <c r="AT137" i="1" s="1"/>
  <c r="BE137" i="1"/>
  <c r="AU365" i="1"/>
  <c r="BE365" i="1"/>
  <c r="AM795" i="1"/>
  <c r="AN795" i="1" s="1"/>
  <c r="BE795" i="1"/>
  <c r="AM367" i="1"/>
  <c r="AN367" i="1" s="1"/>
  <c r="BE367" i="1"/>
  <c r="AM269" i="1"/>
  <c r="AN269" i="1" s="1"/>
  <c r="BE269" i="1"/>
  <c r="AU370" i="1"/>
  <c r="BE370" i="1"/>
  <c r="AM555" i="1"/>
  <c r="AN555" i="1" s="1"/>
  <c r="BE555" i="1"/>
  <c r="AS631" i="1"/>
  <c r="AT631" i="1" s="1"/>
  <c r="BE631" i="1"/>
  <c r="AU374" i="1"/>
  <c r="BE374" i="1"/>
  <c r="AS602" i="1"/>
  <c r="AT602" i="1" s="1"/>
  <c r="BE602" i="1"/>
  <c r="AS732" i="1"/>
  <c r="AT732" i="1" s="1"/>
  <c r="BE732" i="1"/>
  <c r="AS796" i="1"/>
  <c r="AT796" i="1" s="1"/>
  <c r="BE796" i="1"/>
  <c r="AU866" i="1"/>
  <c r="BE866" i="1"/>
  <c r="AU998" i="1"/>
  <c r="BE998" i="1"/>
  <c r="AU1035" i="1"/>
  <c r="BE1035" i="1"/>
  <c r="AS785" i="1"/>
  <c r="AT785" i="1" s="1"/>
  <c r="BE785" i="1"/>
  <c r="AS974" i="1"/>
  <c r="AT974" i="1" s="1"/>
  <c r="BE974" i="1"/>
  <c r="AS420" i="1"/>
  <c r="AT420" i="1" s="1"/>
  <c r="BE420" i="1"/>
  <c r="AS757" i="1"/>
  <c r="AT757" i="1" s="1"/>
  <c r="BE757" i="1"/>
  <c r="AM606" i="1"/>
  <c r="AN606" i="1" s="1"/>
  <c r="BE606" i="1"/>
  <c r="AU725" i="1"/>
  <c r="BE725" i="1"/>
  <c r="AS738" i="1"/>
  <c r="AT738" i="1" s="1"/>
  <c r="BE738" i="1"/>
  <c r="AM802" i="1"/>
  <c r="AN802" i="1" s="1"/>
  <c r="BE802" i="1"/>
  <c r="AM553" i="1"/>
  <c r="AN553" i="1" s="1"/>
  <c r="BE553" i="1"/>
  <c r="AU628" i="1"/>
  <c r="BE628" i="1"/>
  <c r="AU818" i="1"/>
  <c r="BE818" i="1"/>
  <c r="AS624" i="1"/>
  <c r="AT624" i="1" s="1"/>
  <c r="BE624" i="1"/>
  <c r="AS996" i="1"/>
  <c r="AT996" i="1" s="1"/>
  <c r="BE996" i="1"/>
  <c r="AU1023" i="1"/>
  <c r="BE1023" i="1"/>
  <c r="AM486" i="1"/>
  <c r="AN486" i="1" s="1"/>
  <c r="BE486" i="1"/>
  <c r="AS551" i="1"/>
  <c r="AT551" i="1" s="1"/>
  <c r="BE551" i="1"/>
  <c r="AS882" i="1"/>
  <c r="AT882" i="1" s="1"/>
  <c r="BE882" i="1"/>
  <c r="AM574" i="1"/>
  <c r="AN574" i="1" s="1"/>
  <c r="BE574" i="1"/>
  <c r="AM567" i="1"/>
  <c r="AN567" i="1" s="1"/>
  <c r="BE567" i="1"/>
  <c r="AU884" i="1"/>
  <c r="BE884" i="1"/>
  <c r="AM388" i="1"/>
  <c r="AN388" i="1" s="1"/>
  <c r="AM611" i="1"/>
  <c r="AN611" i="1" s="1"/>
  <c r="BE611" i="1"/>
  <c r="AM816" i="1"/>
  <c r="AN816" i="1" s="1"/>
  <c r="BE816" i="1"/>
  <c r="AM879" i="1"/>
  <c r="AN879" i="1" s="1"/>
  <c r="BE879" i="1"/>
  <c r="AM907" i="1"/>
  <c r="AN907" i="1" s="1"/>
  <c r="BE907" i="1"/>
  <c r="AS389" i="1"/>
  <c r="AT389" i="1" s="1"/>
  <c r="BE389" i="1"/>
  <c r="AS679" i="1"/>
  <c r="AT679" i="1" s="1"/>
  <c r="BE679" i="1"/>
  <c r="AS834" i="1"/>
  <c r="AT834" i="1" s="1"/>
  <c r="BE834" i="1"/>
  <c r="AM462" i="1"/>
  <c r="AN462" i="1" s="1"/>
  <c r="BE462" i="1"/>
  <c r="AU526" i="1"/>
  <c r="BE526" i="1"/>
  <c r="AS519" i="1"/>
  <c r="AT519" i="1" s="1"/>
  <c r="BE519" i="1"/>
  <c r="AM1001" i="1"/>
  <c r="AN1001" i="1" s="1"/>
  <c r="BE1001" i="1"/>
  <c r="AM678" i="1"/>
  <c r="AN678" i="1" s="1"/>
  <c r="BE678" i="1"/>
  <c r="AU380" i="1"/>
  <c r="BE380" i="1"/>
  <c r="AU817" i="1"/>
  <c r="BE817" i="1"/>
  <c r="AM507" i="1"/>
  <c r="AN507" i="1" s="1"/>
  <c r="BE507" i="1"/>
  <c r="AS561" i="1"/>
  <c r="AT561" i="1" s="1"/>
  <c r="BE561" i="1"/>
  <c r="AM694" i="1"/>
  <c r="AN694" i="1" s="1"/>
  <c r="BE694" i="1"/>
  <c r="AS824" i="1"/>
  <c r="AT824" i="1" s="1"/>
  <c r="BE824" i="1"/>
  <c r="AU958" i="1"/>
  <c r="BE958" i="1"/>
  <c r="AS533" i="1"/>
  <c r="AT533" i="1" s="1"/>
  <c r="BE533" i="1"/>
  <c r="AU548" i="1"/>
  <c r="BE548" i="1"/>
  <c r="AM727" i="1"/>
  <c r="AN727" i="1" s="1"/>
  <c r="BE727" i="1"/>
  <c r="AS626" i="1"/>
  <c r="AT626" i="1" s="1"/>
  <c r="BE626" i="1"/>
  <c r="AS756" i="1"/>
  <c r="AT756" i="1" s="1"/>
  <c r="BE756" i="1"/>
  <c r="AM820" i="1"/>
  <c r="AN820" i="1" s="1"/>
  <c r="BE820" i="1"/>
  <c r="AM889" i="1"/>
  <c r="AN889" i="1" s="1"/>
  <c r="BE889" i="1"/>
  <c r="AU1034" i="1"/>
  <c r="BE1034" i="1"/>
  <c r="AS650" i="1"/>
  <c r="AT650" i="1" s="1"/>
  <c r="BE650" i="1"/>
  <c r="AM432" i="1"/>
  <c r="AN432" i="1" s="1"/>
  <c r="BE432" i="1"/>
  <c r="AU861" i="1"/>
  <c r="BE861" i="1"/>
  <c r="AS490" i="1"/>
  <c r="AT490" i="1" s="1"/>
  <c r="BE490" i="1"/>
  <c r="AU554" i="1"/>
  <c r="BE554" i="1"/>
  <c r="AU954" i="1"/>
  <c r="BE954" i="1"/>
  <c r="AU646" i="1"/>
  <c r="BE646" i="1"/>
  <c r="AM639" i="1"/>
  <c r="AN639" i="1" s="1"/>
  <c r="BE639" i="1"/>
  <c r="AU505" i="1"/>
  <c r="BE505" i="1"/>
  <c r="AS674" i="1"/>
  <c r="AT674" i="1" s="1"/>
  <c r="BE674" i="1"/>
  <c r="AU770" i="1"/>
  <c r="BE770" i="1"/>
  <c r="AS940" i="1"/>
  <c r="AT940" i="1" s="1"/>
  <c r="BE940" i="1"/>
  <c r="AU719" i="1"/>
  <c r="BE719" i="1"/>
  <c r="AU455" i="1"/>
  <c r="BE455" i="1"/>
  <c r="AM900" i="1"/>
  <c r="AN900" i="1" s="1"/>
  <c r="BE900" i="1"/>
  <c r="AU819" i="1"/>
  <c r="BE819" i="1"/>
  <c r="AS136" i="1"/>
  <c r="AT136" i="1" s="1"/>
  <c r="BE136" i="1"/>
  <c r="AU78" i="1"/>
  <c r="BE78" i="1"/>
  <c r="AM225" i="1"/>
  <c r="AN225" i="1" s="1"/>
  <c r="BE225" i="1"/>
  <c r="AU527" i="1"/>
  <c r="BE527" i="1"/>
  <c r="AU288" i="1"/>
  <c r="BE288" i="1"/>
  <c r="AM154" i="1"/>
  <c r="AN154" i="1" s="1"/>
  <c r="BE154" i="1"/>
  <c r="AS491" i="1"/>
  <c r="AT491" i="1" s="1"/>
  <c r="BE491" i="1"/>
  <c r="AM247" i="1"/>
  <c r="AN247" i="1" s="1"/>
  <c r="BE247" i="1"/>
  <c r="AM826" i="1"/>
  <c r="AN826" i="1" s="1"/>
  <c r="BE826" i="1"/>
  <c r="AM923" i="1"/>
  <c r="AN923" i="1" s="1"/>
  <c r="BE923" i="1"/>
  <c r="AM84" i="1"/>
  <c r="AN84" i="1" s="1"/>
  <c r="BE84" i="1"/>
  <c r="AU715" i="1"/>
  <c r="BE715" i="1"/>
  <c r="AU83" i="1"/>
  <c r="BE83" i="1"/>
  <c r="AU69" i="1"/>
  <c r="BE69" i="1"/>
  <c r="AM776" i="1"/>
  <c r="AN776" i="1" s="1"/>
  <c r="BE776" i="1"/>
  <c r="AS851" i="1"/>
  <c r="AT851" i="1" s="1"/>
  <c r="BE851" i="1"/>
  <c r="AS805" i="1"/>
  <c r="AT805" i="1" s="1"/>
  <c r="BE805" i="1"/>
  <c r="AU888" i="1"/>
  <c r="BE888" i="1"/>
  <c r="AS204" i="1"/>
  <c r="AT204" i="1" s="1"/>
  <c r="BE204" i="1"/>
  <c r="AM375" i="1"/>
  <c r="AN375" i="1" s="1"/>
  <c r="BE375" i="1"/>
  <c r="AU525" i="1"/>
  <c r="BE525" i="1"/>
  <c r="AU598" i="1"/>
  <c r="BE598" i="1"/>
  <c r="AS352" i="1"/>
  <c r="AT352" i="1" s="1"/>
  <c r="BE352" i="1"/>
  <c r="AM261" i="1"/>
  <c r="AN261" i="1" s="1"/>
  <c r="BE261" i="1"/>
  <c r="AU289" i="1"/>
  <c r="BE289" i="1"/>
  <c r="AU280" i="1"/>
  <c r="BE280" i="1"/>
  <c r="AM793" i="1"/>
  <c r="AN793" i="1" s="1"/>
  <c r="BE793" i="1"/>
  <c r="AU792" i="1"/>
  <c r="BE792" i="1"/>
  <c r="AM369" i="1"/>
  <c r="AN369" i="1" s="1"/>
  <c r="AM181" i="1"/>
  <c r="AN181" i="1" s="1"/>
  <c r="BE181" i="1"/>
  <c r="AU466" i="1"/>
  <c r="BE466" i="1"/>
  <c r="AU81" i="1"/>
  <c r="BE81" i="1"/>
  <c r="AM429" i="1"/>
  <c r="AN429" i="1" s="1"/>
  <c r="BE429" i="1"/>
  <c r="AS71" i="1"/>
  <c r="AT71" i="1" s="1"/>
  <c r="BE71" i="1"/>
  <c r="AS910" i="1"/>
  <c r="AT910" i="1" s="1"/>
  <c r="BE910" i="1"/>
  <c r="AU218" i="1"/>
  <c r="BE218" i="1"/>
  <c r="AU961" i="1"/>
  <c r="BE961" i="1"/>
  <c r="AS138" i="1"/>
  <c r="AT138" i="1" s="1"/>
  <c r="BE138" i="1"/>
  <c r="AM707" i="1"/>
  <c r="AN707" i="1" s="1"/>
  <c r="BE707" i="1"/>
  <c r="AM730" i="1"/>
  <c r="AN730" i="1" s="1"/>
  <c r="BE730" i="1"/>
  <c r="AS141" i="1"/>
  <c r="AT141" i="1" s="1"/>
  <c r="BE141" i="1"/>
  <c r="AS217" i="1"/>
  <c r="AT217" i="1" s="1"/>
  <c r="BE217" i="1"/>
  <c r="AM170" i="1"/>
  <c r="AN170" i="1" s="1"/>
  <c r="BE170" i="1"/>
  <c r="AS916" i="1"/>
  <c r="AT916" i="1" s="1"/>
  <c r="BE916" i="1"/>
  <c r="AU249" i="1"/>
  <c r="BE249" i="1"/>
  <c r="AM585" i="1"/>
  <c r="AN585" i="1" s="1"/>
  <c r="BE585" i="1"/>
  <c r="AU51" i="1"/>
  <c r="BE51" i="1"/>
  <c r="AS213" i="1"/>
  <c r="AT213" i="1" s="1"/>
  <c r="BE213" i="1"/>
  <c r="AU108" i="1"/>
  <c r="BE108" i="1"/>
  <c r="AS59" i="1"/>
  <c r="AT59" i="1" s="1"/>
  <c r="BE59" i="1"/>
  <c r="AM182" i="1"/>
  <c r="AN182" i="1" s="1"/>
  <c r="BE182" i="1"/>
  <c r="AS1024" i="1"/>
  <c r="AT1024" i="1" s="1"/>
  <c r="BE1024" i="1"/>
  <c r="AU510" i="1"/>
  <c r="BE510" i="1"/>
  <c r="AM928" i="1"/>
  <c r="AN928" i="1" s="1"/>
  <c r="BE928" i="1"/>
  <c r="AS670" i="1"/>
  <c r="AT670" i="1" s="1"/>
  <c r="BE670" i="1"/>
  <c r="AU849" i="1"/>
  <c r="BE849" i="1"/>
  <c r="AM846" i="1"/>
  <c r="AN846" i="1" s="1"/>
  <c r="BE846" i="1"/>
  <c r="AS909" i="1"/>
  <c r="AT909" i="1" s="1"/>
  <c r="BE909" i="1"/>
  <c r="AU563" i="1"/>
  <c r="BE563" i="1"/>
  <c r="AU931" i="1"/>
  <c r="BE931" i="1"/>
  <c r="AU478" i="1"/>
  <c r="BE478" i="1"/>
  <c r="AS114" i="1"/>
  <c r="AT114" i="1" s="1"/>
  <c r="BE114" i="1"/>
  <c r="AS869" i="1"/>
  <c r="AT869" i="1" s="1"/>
  <c r="BE869" i="1"/>
  <c r="AU994" i="1"/>
  <c r="BE994" i="1"/>
  <c r="AM985" i="1"/>
  <c r="AN985" i="1" s="1"/>
  <c r="BE985" i="1"/>
  <c r="AM581" i="1"/>
  <c r="AN581" i="1" s="1"/>
  <c r="BE581" i="1"/>
  <c r="AM224" i="1"/>
  <c r="AN224" i="1" s="1"/>
  <c r="BE224" i="1"/>
  <c r="AU202" i="1"/>
  <c r="BE202" i="1"/>
  <c r="AM1037" i="1"/>
  <c r="AN1037" i="1" s="1"/>
  <c r="BE1037" i="1"/>
  <c r="AM1022" i="1"/>
  <c r="AN1022" i="1" s="1"/>
  <c r="BE1022" i="1"/>
  <c r="AU283" i="1"/>
  <c r="BE283" i="1"/>
  <c r="AS58" i="1"/>
  <c r="AT58" i="1" s="1"/>
  <c r="BE58" i="1"/>
  <c r="AU794" i="1"/>
  <c r="BE794" i="1"/>
  <c r="AS693" i="1"/>
  <c r="AT693" i="1" s="1"/>
  <c r="BE693" i="1"/>
  <c r="AS771" i="1"/>
  <c r="AT771" i="1" s="1"/>
  <c r="BE771" i="1"/>
  <c r="AU109" i="1"/>
  <c r="BE109" i="1"/>
  <c r="AM488" i="1"/>
  <c r="AN488" i="1" s="1"/>
  <c r="BE488" i="1"/>
  <c r="AM34" i="1"/>
  <c r="AN34" i="1" s="1"/>
  <c r="BE34" i="1"/>
  <c r="AS345" i="1"/>
  <c r="AT345" i="1" s="1"/>
  <c r="BE345" i="1"/>
  <c r="AM63" i="1"/>
  <c r="AN63" i="1" s="1"/>
  <c r="BE63" i="1"/>
  <c r="AU669" i="1"/>
  <c r="BE669" i="1"/>
  <c r="AS124" i="1"/>
  <c r="AT124" i="1" s="1"/>
  <c r="BE124" i="1"/>
  <c r="AU216" i="1"/>
  <c r="BE216" i="1"/>
  <c r="AS80" i="1"/>
  <c r="AT80" i="1" s="1"/>
  <c r="BE80" i="1"/>
  <c r="AU70" i="1"/>
  <c r="BE70" i="1"/>
  <c r="AM168" i="1"/>
  <c r="AN168" i="1" s="1"/>
  <c r="BE168" i="1"/>
  <c r="AM312" i="1"/>
  <c r="AN312" i="1" s="1"/>
  <c r="BE312" i="1"/>
  <c r="AS589" i="1"/>
  <c r="AT589" i="1" s="1"/>
  <c r="BE589" i="1"/>
  <c r="AS35" i="1"/>
  <c r="AT35" i="1" s="1"/>
  <c r="BE35" i="1"/>
  <c r="AS149" i="1"/>
  <c r="AT149" i="1" s="1"/>
  <c r="BE149" i="1"/>
  <c r="AU762" i="1"/>
  <c r="BE762" i="1"/>
  <c r="AM501" i="1"/>
  <c r="AN501" i="1" s="1"/>
  <c r="BE501" i="1"/>
  <c r="AU543" i="1"/>
  <c r="BE543" i="1"/>
  <c r="AM463" i="1"/>
  <c r="AN463" i="1" s="1"/>
  <c r="BE463" i="1"/>
  <c r="AS856" i="1"/>
  <c r="AT856" i="1" s="1"/>
  <c r="BE856" i="1"/>
  <c r="AU242" i="1"/>
  <c r="BE242" i="1"/>
  <c r="AM276" i="1"/>
  <c r="AN276" i="1" s="1"/>
  <c r="BE276" i="1"/>
  <c r="AM265" i="1"/>
  <c r="AN265" i="1" s="1"/>
  <c r="BE265" i="1"/>
  <c r="AS38" i="1"/>
  <c r="AT38" i="1" s="1"/>
  <c r="BE38" i="1"/>
  <c r="AU867" i="1"/>
  <c r="BE867" i="1"/>
  <c r="AU318" i="1"/>
  <c r="BE318" i="1"/>
  <c r="AU605" i="1"/>
  <c r="BE605" i="1"/>
  <c r="AS876" i="1"/>
  <c r="AT876" i="1" s="1"/>
  <c r="BE876" i="1"/>
  <c r="AU246" i="1"/>
  <c r="BE246" i="1"/>
  <c r="AM470" i="1"/>
  <c r="AN470" i="1" s="1"/>
  <c r="BE470" i="1"/>
  <c r="AM334" i="1"/>
  <c r="AN334" i="1" s="1"/>
  <c r="BE334" i="1"/>
  <c r="AM840" i="1"/>
  <c r="AN840" i="1" s="1"/>
  <c r="BE840" i="1"/>
  <c r="AU92" i="1"/>
  <c r="BE92" i="1"/>
  <c r="AM178" i="1"/>
  <c r="AN178" i="1" s="1"/>
  <c r="BE178" i="1"/>
  <c r="AU494" i="1"/>
  <c r="BE494" i="1"/>
  <c r="AM964" i="1"/>
  <c r="AN964" i="1" s="1"/>
  <c r="BE964" i="1"/>
  <c r="AU89" i="1"/>
  <c r="BE89" i="1"/>
  <c r="AS537" i="1"/>
  <c r="AT537" i="1" s="1"/>
  <c r="BE537" i="1"/>
  <c r="AM395" i="1"/>
  <c r="AN395" i="1" s="1"/>
  <c r="BE395" i="1"/>
  <c r="AU398" i="1"/>
  <c r="BE398" i="1"/>
  <c r="AM385" i="1"/>
  <c r="AN385" i="1" s="1"/>
  <c r="BE385" i="1"/>
  <c r="AU275" i="1"/>
  <c r="BE275" i="1"/>
  <c r="AS513" i="1"/>
  <c r="AT513" i="1" s="1"/>
  <c r="BE513" i="1"/>
  <c r="AU838" i="1"/>
  <c r="BE838" i="1"/>
  <c r="AM25" i="1"/>
  <c r="AN25" i="1" s="1"/>
  <c r="BE25" i="1"/>
  <c r="AM180" i="1"/>
  <c r="AN180" i="1" s="1"/>
  <c r="BE180" i="1"/>
  <c r="AU226" i="1"/>
  <c r="BE226" i="1"/>
  <c r="AU221" i="1"/>
  <c r="BE221" i="1"/>
  <c r="AU991" i="1"/>
  <c r="BE991" i="1"/>
  <c r="AS645" i="1"/>
  <c r="AT645" i="1" s="1"/>
  <c r="BE645" i="1"/>
  <c r="AU222" i="1"/>
  <c r="BE222" i="1"/>
  <c r="AS113" i="1"/>
  <c r="AT113" i="1" s="1"/>
  <c r="BE113" i="1"/>
  <c r="AS718" i="1"/>
  <c r="AT718" i="1" s="1"/>
  <c r="BE718" i="1"/>
  <c r="AM393" i="1"/>
  <c r="AN393" i="1" s="1"/>
  <c r="BE393" i="1"/>
  <c r="AU667" i="1"/>
  <c r="BE667" i="1"/>
  <c r="AU668" i="1"/>
  <c r="BE668" i="1"/>
  <c r="AM812" i="1"/>
  <c r="AN812" i="1" s="1"/>
  <c r="BE812" i="1"/>
  <c r="AM267" i="1"/>
  <c r="AN267" i="1" s="1"/>
  <c r="BE267" i="1"/>
  <c r="AU913" i="1"/>
  <c r="BE913" i="1"/>
  <c r="AU601" i="1"/>
  <c r="BE601" i="1"/>
  <c r="AS580" i="1"/>
  <c r="AT580" i="1" s="1"/>
  <c r="BE580" i="1"/>
  <c r="AS110" i="1"/>
  <c r="AT110" i="1" s="1"/>
  <c r="BE110" i="1"/>
  <c r="AM750" i="1"/>
  <c r="AN750" i="1" s="1"/>
  <c r="BE750" i="1"/>
  <c r="AU309" i="1"/>
  <c r="BE309" i="1"/>
  <c r="AU327" i="1"/>
  <c r="BE327" i="1"/>
  <c r="AS227" i="1"/>
  <c r="AT227" i="1" s="1"/>
  <c r="BE227" i="1"/>
  <c r="AU484" i="1"/>
  <c r="BE484" i="1"/>
  <c r="AU264" i="1"/>
  <c r="BE264" i="1"/>
  <c r="AU62" i="1"/>
  <c r="BE62" i="1"/>
  <c r="AM917" i="1"/>
  <c r="AN917" i="1" s="1"/>
  <c r="BE917" i="1"/>
  <c r="AS176" i="1"/>
  <c r="AT176" i="1" s="1"/>
  <c r="BE176" i="1"/>
  <c r="AU193" i="1"/>
  <c r="BE193" i="1"/>
  <c r="AU584" i="1"/>
  <c r="BE584" i="1"/>
  <c r="AM921" i="1"/>
  <c r="AN921" i="1" s="1"/>
  <c r="BE921" i="1"/>
  <c r="AS210" i="1"/>
  <c r="AT210" i="1" s="1"/>
  <c r="BE210" i="1"/>
  <c r="AU586" i="1"/>
  <c r="BE586" i="1"/>
  <c r="AS94" i="1"/>
  <c r="AT94" i="1" s="1"/>
  <c r="BE94" i="1"/>
  <c r="AS53" i="1"/>
  <c r="AT53" i="1" s="1"/>
  <c r="BE53" i="1"/>
  <c r="AU881" i="1"/>
  <c r="BE881" i="1"/>
  <c r="AM150" i="1"/>
  <c r="AN150" i="1" s="1"/>
  <c r="BE150" i="1"/>
  <c r="AU325" i="1"/>
  <c r="BE325" i="1"/>
  <c r="AS131" i="1"/>
  <c r="AT131" i="1" s="1"/>
  <c r="BE131" i="1"/>
  <c r="AU237" i="1"/>
  <c r="BE237" i="1"/>
  <c r="AS199" i="1"/>
  <c r="AT199" i="1" s="1"/>
  <c r="BE199" i="1"/>
  <c r="AU127" i="1"/>
  <c r="BE127" i="1"/>
  <c r="AU201" i="1"/>
  <c r="BE201" i="1"/>
  <c r="BE74" i="1"/>
  <c r="BE79" i="1"/>
  <c r="BE146" i="1"/>
  <c r="BE30" i="1"/>
  <c r="BE107" i="1"/>
  <c r="BE156" i="1"/>
  <c r="BE140" i="1"/>
  <c r="BE39" i="1"/>
  <c r="BE387" i="1"/>
  <c r="BE445" i="1"/>
  <c r="BE456" i="1"/>
  <c r="BE418" i="1"/>
  <c r="BE1008" i="1"/>
  <c r="BE726" i="1"/>
  <c r="BE975" i="1"/>
  <c r="BE648" i="1"/>
  <c r="BE411" i="1"/>
  <c r="BE266" i="1"/>
  <c r="BE337" i="1"/>
  <c r="BE592" i="1"/>
  <c r="BE467" i="1"/>
  <c r="BE1044" i="1"/>
  <c r="BE96" i="1"/>
  <c r="BE286" i="1"/>
  <c r="BE723" i="1"/>
  <c r="BE349" i="1"/>
  <c r="BE99" i="1"/>
  <c r="BE307" i="1"/>
  <c r="BE973" i="1"/>
  <c r="BE173" i="1"/>
  <c r="BE890" i="1"/>
  <c r="BE587" i="1"/>
  <c r="BE91" i="1"/>
  <c r="AS449" i="1"/>
  <c r="AT449" i="1" s="1"/>
  <c r="BE449" i="1"/>
  <c r="AU394" i="1"/>
  <c r="BE394" i="1"/>
  <c r="AM177" i="1"/>
  <c r="AN177" i="1" s="1"/>
  <c r="BE177" i="1"/>
  <c r="AS77" i="1"/>
  <c r="AT77" i="1" s="1"/>
  <c r="BE77" i="1"/>
  <c r="AM28" i="1"/>
  <c r="AN28" i="1" s="1"/>
  <c r="BE28" i="1"/>
  <c r="AU430" i="1"/>
  <c r="BE430" i="1"/>
  <c r="AS105" i="1"/>
  <c r="AT105" i="1" s="1"/>
  <c r="BE105" i="1"/>
  <c r="AM118" i="1"/>
  <c r="AN118" i="1" s="1"/>
  <c r="BE118" i="1"/>
  <c r="AS906" i="1"/>
  <c r="AT906" i="1" s="1"/>
  <c r="BE906" i="1"/>
  <c r="BE328" i="1"/>
  <c r="BE112" i="1"/>
  <c r="BE93" i="1"/>
  <c r="BE45" i="1"/>
  <c r="BE1019" i="1"/>
  <c r="BE314" i="1"/>
  <c r="BE179" i="1"/>
  <c r="BE343" i="1"/>
  <c r="BE871" i="1"/>
  <c r="BE677" i="1"/>
  <c r="BE399" i="1"/>
  <c r="BE64" i="1"/>
  <c r="BE709" i="1"/>
  <c r="BE355" i="1"/>
  <c r="BE977" i="1"/>
  <c r="BE158" i="1"/>
  <c r="BE649" i="1"/>
  <c r="BE877" i="1"/>
  <c r="BE194" i="1"/>
  <c r="AU487" i="1"/>
  <c r="BE487" i="1"/>
  <c r="AS1039" i="1"/>
  <c r="AT1039" i="1" s="1"/>
  <c r="BE1039" i="1"/>
  <c r="AU708" i="1"/>
  <c r="BE708" i="1"/>
  <c r="AU908" i="1"/>
  <c r="BE908" i="1"/>
  <c r="AS728" i="1"/>
  <c r="AT728" i="1" s="1"/>
  <c r="BE728" i="1"/>
  <c r="AS256" i="1"/>
  <c r="AT256" i="1" s="1"/>
  <c r="BE256" i="1"/>
  <c r="AS508" i="1"/>
  <c r="AT508" i="1" s="1"/>
  <c r="BE508" i="1"/>
  <c r="AS203" i="1"/>
  <c r="AT203" i="1" s="1"/>
  <c r="BE203" i="1"/>
  <c r="AU308" i="1"/>
  <c r="BE308" i="1"/>
  <c r="AM106" i="1"/>
  <c r="AN106" i="1" s="1"/>
  <c r="BE106" i="1"/>
  <c r="AU36" i="1"/>
  <c r="BE36" i="1"/>
  <c r="AU971" i="1"/>
  <c r="BE971" i="1"/>
  <c r="AU357" i="1"/>
  <c r="BE357" i="1"/>
  <c r="AS924" i="1"/>
  <c r="AT924" i="1" s="1"/>
  <c r="BE924" i="1"/>
  <c r="AU29" i="1"/>
  <c r="BE29" i="1"/>
  <c r="AM167" i="1"/>
  <c r="AN167" i="1" s="1"/>
  <c r="BE167" i="1"/>
  <c r="AU734" i="1"/>
  <c r="BE734" i="1"/>
  <c r="AU441" i="1"/>
  <c r="BE441" i="1"/>
  <c r="AM830" i="1"/>
  <c r="AN830" i="1" s="1"/>
  <c r="BE830" i="1"/>
  <c r="AS175" i="1"/>
  <c r="AT175" i="1" s="1"/>
  <c r="BE175" i="1"/>
  <c r="AU130" i="1"/>
  <c r="BE130" i="1"/>
  <c r="AS223" i="1"/>
  <c r="AT223" i="1" s="1"/>
  <c r="BE223" i="1"/>
  <c r="AU142" i="1"/>
  <c r="BE142" i="1"/>
  <c r="AU391" i="1"/>
  <c r="BE391" i="1"/>
  <c r="BE233" i="1"/>
  <c r="BE152" i="1"/>
  <c r="BE255" i="1"/>
  <c r="BE171" i="1"/>
  <c r="BE699" i="1"/>
  <c r="BE780" i="1"/>
  <c r="BE777" i="1"/>
  <c r="BE125" i="1"/>
  <c r="BE331" i="1"/>
  <c r="BE126" i="1"/>
  <c r="BE356" i="1"/>
  <c r="BE703" i="1"/>
  <c r="BE848" i="1"/>
  <c r="BE1000" i="1"/>
  <c r="BE825" i="1"/>
  <c r="BE32" i="1"/>
  <c r="BE531" i="1"/>
  <c r="AM715" i="1"/>
  <c r="AN715" i="1" s="1"/>
  <c r="AU820" i="1"/>
  <c r="AU173" i="1"/>
  <c r="AM91" i="1"/>
  <c r="AN91" i="1" s="1"/>
  <c r="AU890" i="1"/>
  <c r="AM677" i="1"/>
  <c r="AN677" i="1" s="1"/>
  <c r="AM233" i="1"/>
  <c r="AN233" i="1" s="1"/>
  <c r="AU940" i="1"/>
  <c r="AS237" i="1"/>
  <c r="AT237" i="1" s="1"/>
  <c r="AS538" i="1"/>
  <c r="AT538" i="1" s="1"/>
  <c r="AM201" i="1"/>
  <c r="AN201" i="1" s="1"/>
  <c r="AU94" i="1"/>
  <c r="AS140" i="1"/>
  <c r="AT140" i="1" s="1"/>
  <c r="AS436" i="1"/>
  <c r="AT436" i="1" s="1"/>
  <c r="AM436" i="1"/>
  <c r="AN436" i="1" s="1"/>
  <c r="AM438" i="1"/>
  <c r="AN438" i="1" s="1"/>
  <c r="AU438" i="1"/>
  <c r="AM804" i="1"/>
  <c r="AN804" i="1" s="1"/>
  <c r="AU804" i="1"/>
  <c r="AS431" i="1"/>
  <c r="AT431" i="1" s="1"/>
  <c r="AM431" i="1"/>
  <c r="AN431" i="1" s="1"/>
  <c r="AM544" i="1"/>
  <c r="AN544" i="1" s="1"/>
  <c r="AU544" i="1"/>
  <c r="AS128" i="1"/>
  <c r="AT128" i="1" s="1"/>
  <c r="AU128" i="1"/>
  <c r="AS88" i="1"/>
  <c r="AT88" i="1" s="1"/>
  <c r="AU88" i="1"/>
  <c r="AM82" i="1"/>
  <c r="AN82" i="1" s="1"/>
  <c r="AS82" i="1"/>
  <c r="AT82" i="1" s="1"/>
  <c r="AS37" i="1"/>
  <c r="AT37" i="1" s="1"/>
  <c r="AU37" i="1"/>
  <c r="AS338" i="1"/>
  <c r="AT338" i="1" s="1"/>
  <c r="AU338" i="1"/>
  <c r="AU271" i="1"/>
  <c r="AS271" i="1"/>
  <c r="AT271" i="1" s="1"/>
  <c r="AM234" i="1"/>
  <c r="AN234" i="1" s="1"/>
  <c r="AU234" i="1"/>
  <c r="AU479" i="1"/>
  <c r="AM479" i="1"/>
  <c r="AN479" i="1" s="1"/>
  <c r="AS737" i="1"/>
  <c r="AT737" i="1" s="1"/>
  <c r="AM737" i="1"/>
  <c r="AN737" i="1" s="1"/>
  <c r="AU453" i="1"/>
  <c r="AM453" i="1"/>
  <c r="AN453" i="1" s="1"/>
  <c r="AS925" i="1"/>
  <c r="AT925" i="1" s="1"/>
  <c r="AU925" i="1"/>
  <c r="AU599" i="1"/>
  <c r="AS599" i="1"/>
  <c r="AT599" i="1" s="1"/>
  <c r="AM437" i="1"/>
  <c r="AN437" i="1" s="1"/>
  <c r="AU437" i="1"/>
  <c r="AM739" i="1"/>
  <c r="AN739" i="1" s="1"/>
  <c r="AU739" i="1"/>
  <c r="AS350" i="1"/>
  <c r="AT350" i="1" s="1"/>
  <c r="AM350" i="1"/>
  <c r="AN350" i="1" s="1"/>
  <c r="AU864" i="1"/>
  <c r="AS864" i="1"/>
  <c r="AT864" i="1" s="1"/>
  <c r="AU655" i="1"/>
  <c r="AS655" i="1"/>
  <c r="AT655" i="1" s="1"/>
  <c r="AM655" i="1"/>
  <c r="AN655" i="1" s="1"/>
  <c r="AM932" i="1"/>
  <c r="AN932" i="1" s="1"/>
  <c r="AU932" i="1"/>
  <c r="AM1041" i="1"/>
  <c r="AN1041" i="1" s="1"/>
  <c r="AU1041" i="1"/>
  <c r="AS292" i="1"/>
  <c r="AT292" i="1" s="1"/>
  <c r="AU292" i="1"/>
  <c r="AM292" i="1"/>
  <c r="AN292" i="1" s="1"/>
  <c r="AM967" i="1"/>
  <c r="AN967" i="1" s="1"/>
  <c r="AU967" i="1"/>
  <c r="AS967" i="1"/>
  <c r="AT967" i="1" s="1"/>
  <c r="AM919" i="1"/>
  <c r="AN919" i="1" s="1"/>
  <c r="AU919" i="1"/>
  <c r="AS542" i="1"/>
  <c r="AT542" i="1" s="1"/>
  <c r="AU542" i="1"/>
  <c r="AM542" i="1"/>
  <c r="AN542" i="1" s="1"/>
  <c r="AS117" i="1"/>
  <c r="AT117" i="1" s="1"/>
  <c r="AU117" i="1"/>
  <c r="AM117" i="1"/>
  <c r="AN117" i="1" s="1"/>
  <c r="AM274" i="1"/>
  <c r="AN274" i="1" s="1"/>
  <c r="AS274" i="1"/>
  <c r="AT274" i="1" s="1"/>
  <c r="AU302" i="1"/>
  <c r="AS302" i="1"/>
  <c r="AT302" i="1" s="1"/>
  <c r="AS61" i="1"/>
  <c r="AT61" i="1" s="1"/>
  <c r="AM61" i="1"/>
  <c r="AN61" i="1" s="1"/>
  <c r="AS789" i="1"/>
  <c r="AT789" i="1" s="1"/>
  <c r="AM789" i="1"/>
  <c r="AN789" i="1" s="1"/>
  <c r="AM641" i="1"/>
  <c r="AN641" i="1" s="1"/>
  <c r="AU641" i="1"/>
  <c r="AU263" i="1"/>
  <c r="AM263" i="1"/>
  <c r="AN263" i="1" s="1"/>
  <c r="AS263" i="1"/>
  <c r="AT263" i="1" s="1"/>
  <c r="AM989" i="1"/>
  <c r="AN989" i="1" s="1"/>
  <c r="AU989" i="1"/>
  <c r="AS321" i="1"/>
  <c r="AT321" i="1" s="1"/>
  <c r="AU321" i="1"/>
  <c r="AS326" i="1"/>
  <c r="AT326" i="1" s="1"/>
  <c r="AU326" i="1"/>
  <c r="AS921" i="1"/>
  <c r="AT921" i="1" s="1"/>
  <c r="AS917" i="1"/>
  <c r="AT917" i="1" s="1"/>
  <c r="AM62" i="1"/>
  <c r="AN62" i="1" s="1"/>
  <c r="AM110" i="1"/>
  <c r="AN110" i="1" s="1"/>
  <c r="AU35" i="1"/>
  <c r="AU312" i="1"/>
  <c r="AU63" i="1"/>
  <c r="AM693" i="1"/>
  <c r="AN693" i="1" s="1"/>
  <c r="AS224" i="1"/>
  <c r="AT224" i="1" s="1"/>
  <c r="AS247" i="1"/>
  <c r="AT247" i="1" s="1"/>
  <c r="AU585" i="1"/>
  <c r="AS919" i="1"/>
  <c r="AT919" i="1" s="1"/>
  <c r="AS267" i="1"/>
  <c r="AT267" i="1" s="1"/>
  <c r="AU61" i="1"/>
  <c r="AM227" i="1"/>
  <c r="AN227" i="1" s="1"/>
  <c r="AM714" i="1"/>
  <c r="AN714" i="1" s="1"/>
  <c r="AU714" i="1"/>
  <c r="AS582" i="1"/>
  <c r="AT582" i="1" s="1"/>
  <c r="AU582" i="1"/>
  <c r="AM422" i="1"/>
  <c r="AN422" i="1" s="1"/>
  <c r="AS422" i="1"/>
  <c r="AT422" i="1" s="1"/>
  <c r="AM165" i="1"/>
  <c r="AN165" i="1" s="1"/>
  <c r="AS165" i="1"/>
  <c r="AT165" i="1" s="1"/>
  <c r="AM1015" i="1"/>
  <c r="AN1015" i="1" s="1"/>
  <c r="AU1015" i="1"/>
  <c r="AU918" i="1"/>
  <c r="AM918" i="1"/>
  <c r="AN918" i="1" s="1"/>
  <c r="AM75" i="1"/>
  <c r="AN75" i="1" s="1"/>
  <c r="AS75" i="1"/>
  <c r="AT75" i="1" s="1"/>
  <c r="AM196" i="1"/>
  <c r="AN196" i="1" s="1"/>
  <c r="AS196" i="1"/>
  <c r="AT196" i="1" s="1"/>
  <c r="AU421" i="1"/>
  <c r="AS421" i="1"/>
  <c r="AT421" i="1" s="1"/>
  <c r="AU324" i="1"/>
  <c r="AM324" i="1"/>
  <c r="AN324" i="1" s="1"/>
  <c r="AS454" i="1"/>
  <c r="AT454" i="1" s="1"/>
  <c r="AM454" i="1"/>
  <c r="AN454" i="1" s="1"/>
  <c r="AM547" i="1"/>
  <c r="AN547" i="1" s="1"/>
  <c r="AS547" i="1"/>
  <c r="AT547" i="1" s="1"/>
  <c r="AM1018" i="1"/>
  <c r="AN1018" i="1" s="1"/>
  <c r="AS1018" i="1"/>
  <c r="AT1018" i="1" s="1"/>
  <c r="AM873" i="1"/>
  <c r="AN873" i="1" s="1"/>
  <c r="AU873" i="1"/>
  <c r="AU803" i="1"/>
  <c r="AS803" i="1"/>
  <c r="AT803" i="1" s="1"/>
  <c r="AS197" i="1"/>
  <c r="AT197" i="1" s="1"/>
  <c r="AU197" i="1"/>
  <c r="AU119" i="1"/>
  <c r="AM119" i="1"/>
  <c r="AN119" i="1" s="1"/>
  <c r="AM103" i="1"/>
  <c r="AN103" i="1" s="1"/>
  <c r="AS103" i="1"/>
  <c r="AT103" i="1" s="1"/>
  <c r="AM134" i="1"/>
  <c r="AN134" i="1" s="1"/>
  <c r="AU134" i="1"/>
  <c r="AS163" i="1"/>
  <c r="AT163" i="1" s="1"/>
  <c r="AM163" i="1"/>
  <c r="AN163" i="1" s="1"/>
  <c r="AU535" i="1"/>
  <c r="AS535" i="1"/>
  <c r="AT535" i="1" s="1"/>
  <c r="AS540" i="1"/>
  <c r="AT540" i="1" s="1"/>
  <c r="AU540" i="1"/>
  <c r="AM540" i="1"/>
  <c r="AN540" i="1" s="1"/>
  <c r="AS228" i="1"/>
  <c r="AT228" i="1" s="1"/>
  <c r="AU228" i="1"/>
  <c r="AM259" i="1"/>
  <c r="AN259" i="1" s="1"/>
  <c r="AU259" i="1"/>
  <c r="AM706" i="1"/>
  <c r="AN706" i="1" s="1"/>
  <c r="AS706" i="1"/>
  <c r="AT706" i="1" s="1"/>
  <c r="AS521" i="1"/>
  <c r="AT521" i="1" s="1"/>
  <c r="AU521" i="1"/>
  <c r="AM270" i="1"/>
  <c r="AN270" i="1" s="1"/>
  <c r="AU270" i="1"/>
  <c r="AS315" i="1"/>
  <c r="AT315" i="1" s="1"/>
  <c r="AM315" i="1"/>
  <c r="AN315" i="1" s="1"/>
  <c r="AU317" i="1"/>
  <c r="AS317" i="1"/>
  <c r="AT317" i="1" s="1"/>
  <c r="AM317" i="1"/>
  <c r="AN317" i="1" s="1"/>
  <c r="AU790" i="1"/>
  <c r="AM790" i="1"/>
  <c r="AN790" i="1" s="1"/>
  <c r="AM186" i="1"/>
  <c r="AN186" i="1" s="1"/>
  <c r="AU186" i="1"/>
  <c r="AU27" i="1"/>
  <c r="AS27" i="1"/>
  <c r="AT27" i="1" s="1"/>
  <c r="AS943" i="1"/>
  <c r="AT943" i="1" s="1"/>
  <c r="AU943" i="1"/>
  <c r="AS48" i="1"/>
  <c r="AT48" i="1" s="1"/>
  <c r="AM48" i="1"/>
  <c r="AN48" i="1" s="1"/>
  <c r="AM953" i="1"/>
  <c r="AN953" i="1" s="1"/>
  <c r="AS953" i="1"/>
  <c r="AT953" i="1" s="1"/>
  <c r="AU953" i="1"/>
  <c r="AS309" i="1"/>
  <c r="AT309" i="1" s="1"/>
  <c r="AM309" i="1"/>
  <c r="AN309" i="1" s="1"/>
  <c r="AS206" i="1"/>
  <c r="AT206" i="1" s="1"/>
  <c r="AM206" i="1"/>
  <c r="AN206" i="1" s="1"/>
  <c r="AS212" i="1"/>
  <c r="AT212" i="1" s="1"/>
  <c r="AU212" i="1"/>
  <c r="AM123" i="1"/>
  <c r="AN123" i="1" s="1"/>
  <c r="AU123" i="1"/>
  <c r="AM368" i="1"/>
  <c r="AN368" i="1" s="1"/>
  <c r="AU368" i="1"/>
  <c r="AM264" i="1"/>
  <c r="AN264" i="1" s="1"/>
  <c r="AS264" i="1"/>
  <c r="AT264" i="1" s="1"/>
  <c r="AS193" i="1"/>
  <c r="AT193" i="1" s="1"/>
  <c r="AM193" i="1"/>
  <c r="AN193" i="1" s="1"/>
  <c r="AS997" i="1"/>
  <c r="AT997" i="1" s="1"/>
  <c r="AU997" i="1"/>
  <c r="AU251" i="1"/>
  <c r="AS251" i="1"/>
  <c r="AT251" i="1" s="1"/>
  <c r="AM57" i="1"/>
  <c r="AN57" i="1" s="1"/>
  <c r="AS57" i="1"/>
  <c r="AT57" i="1" s="1"/>
  <c r="AM210" i="1"/>
  <c r="AN210" i="1" s="1"/>
  <c r="AU210" i="1"/>
  <c r="AU260" i="1"/>
  <c r="AM260" i="1"/>
  <c r="AN260" i="1" s="1"/>
  <c r="AS116" i="1"/>
  <c r="AT116" i="1" s="1"/>
  <c r="AM116" i="1"/>
  <c r="AN116" i="1" s="1"/>
  <c r="AU383" i="1"/>
  <c r="AS383" i="1"/>
  <c r="AT383" i="1" s="1"/>
  <c r="AM383" i="1"/>
  <c r="AN383" i="1" s="1"/>
  <c r="AM686" i="1"/>
  <c r="AN686" i="1" s="1"/>
  <c r="AU686" i="1"/>
  <c r="AS584" i="1"/>
  <c r="AT584" i="1" s="1"/>
  <c r="AM176" i="1"/>
  <c r="AN176" i="1" s="1"/>
  <c r="AU917" i="1"/>
  <c r="AS327" i="1"/>
  <c r="AT327" i="1" s="1"/>
  <c r="AU750" i="1"/>
  <c r="AS123" i="1"/>
  <c r="AT123" i="1" s="1"/>
  <c r="AM589" i="1"/>
  <c r="AN589" i="1" s="1"/>
  <c r="AS70" i="1"/>
  <c r="AT70" i="1" s="1"/>
  <c r="AS34" i="1"/>
  <c r="AT34" i="1" s="1"/>
  <c r="AM58" i="1"/>
  <c r="AN58" i="1" s="1"/>
  <c r="AU985" i="1"/>
  <c r="AM527" i="1"/>
  <c r="AN527" i="1" s="1"/>
  <c r="AU71" i="1"/>
  <c r="AU48" i="1"/>
  <c r="AS790" i="1"/>
  <c r="AT790" i="1" s="1"/>
  <c r="AU393" i="1"/>
  <c r="AM251" i="1"/>
  <c r="AN251" i="1" s="1"/>
  <c r="AS686" i="1"/>
  <c r="AT686" i="1" s="1"/>
  <c r="AS312" i="1"/>
  <c r="AT312" i="1" s="1"/>
  <c r="AU103" i="1"/>
  <c r="AU168" i="1"/>
  <c r="AM70" i="1"/>
  <c r="AN70" i="1" s="1"/>
  <c r="AU80" i="1"/>
  <c r="AS216" i="1"/>
  <c r="AT216" i="1" s="1"/>
  <c r="AM197" i="1"/>
  <c r="AN197" i="1" s="1"/>
  <c r="AU124" i="1"/>
  <c r="AM669" i="1"/>
  <c r="AN669" i="1" s="1"/>
  <c r="AM803" i="1"/>
  <c r="AN803" i="1" s="1"/>
  <c r="AU737" i="1"/>
  <c r="AM345" i="1"/>
  <c r="AN345" i="1" s="1"/>
  <c r="AS488" i="1"/>
  <c r="AT488" i="1" s="1"/>
  <c r="AS479" i="1"/>
  <c r="AT479" i="1" s="1"/>
  <c r="AM109" i="1"/>
  <c r="AN109" i="1" s="1"/>
  <c r="AM771" i="1"/>
  <c r="AN771" i="1" s="1"/>
  <c r="AU693" i="1"/>
  <c r="AM794" i="1"/>
  <c r="AN794" i="1" s="1"/>
  <c r="AU1018" i="1"/>
  <c r="AU58" i="1"/>
  <c r="AM283" i="1"/>
  <c r="AN283" i="1" s="1"/>
  <c r="AM271" i="1"/>
  <c r="AN271" i="1" s="1"/>
  <c r="AU547" i="1"/>
  <c r="AU1037" i="1"/>
  <c r="AU224" i="1"/>
  <c r="AU454" i="1"/>
  <c r="AS581" i="1"/>
  <c r="AT581" i="1" s="1"/>
  <c r="AS985" i="1"/>
  <c r="AT985" i="1" s="1"/>
  <c r="AS994" i="1"/>
  <c r="AT994" i="1" s="1"/>
  <c r="AM869" i="1"/>
  <c r="AN869" i="1" s="1"/>
  <c r="AM338" i="1"/>
  <c r="AN338" i="1" s="1"/>
  <c r="AU114" i="1"/>
  <c r="AM478" i="1"/>
  <c r="AN478" i="1" s="1"/>
  <c r="AU75" i="1"/>
  <c r="AS918" i="1"/>
  <c r="AT918" i="1" s="1"/>
  <c r="AS931" i="1"/>
  <c r="AT931" i="1" s="1"/>
  <c r="AM491" i="1"/>
  <c r="AN491" i="1" s="1"/>
  <c r="AU165" i="1"/>
  <c r="AU431" i="1"/>
  <c r="AS527" i="1"/>
  <c r="AT527" i="1" s="1"/>
  <c r="AM78" i="1"/>
  <c r="AN78" i="1" s="1"/>
  <c r="AM136" i="1"/>
  <c r="AN136" i="1" s="1"/>
  <c r="AS900" i="1"/>
  <c r="AT900" i="1" s="1"/>
  <c r="AS719" i="1"/>
  <c r="AT719" i="1" s="1"/>
  <c r="AU674" i="1"/>
  <c r="AS639" i="1"/>
  <c r="AT639" i="1" s="1"/>
  <c r="AM861" i="1"/>
  <c r="AN861" i="1" s="1"/>
  <c r="AS820" i="1"/>
  <c r="AT820" i="1" s="1"/>
  <c r="AU533" i="1"/>
  <c r="AU436" i="1"/>
  <c r="AU834" i="1"/>
  <c r="AM916" i="1"/>
  <c r="AN916" i="1" s="1"/>
  <c r="AM141" i="1"/>
  <c r="AN141" i="1" s="1"/>
  <c r="AM71" i="1"/>
  <c r="AN71" i="1" s="1"/>
  <c r="AM466" i="1"/>
  <c r="AN466" i="1" s="1"/>
  <c r="AU375" i="1"/>
  <c r="AS69" i="1"/>
  <c r="AT69" i="1" s="1"/>
  <c r="AS463" i="1"/>
  <c r="AT463" i="1" s="1"/>
  <c r="AM543" i="1"/>
  <c r="AN543" i="1" s="1"/>
  <c r="AS437" i="1"/>
  <c r="AT437" i="1" s="1"/>
  <c r="AS180" i="1"/>
  <c r="AT180" i="1" s="1"/>
  <c r="AM599" i="1"/>
  <c r="AN599" i="1" s="1"/>
  <c r="AM246" i="1"/>
  <c r="AN246" i="1" s="1"/>
  <c r="AS168" i="1"/>
  <c r="AT168" i="1" s="1"/>
  <c r="AS453" i="1"/>
  <c r="AT453" i="1" s="1"/>
  <c r="AM216" i="1"/>
  <c r="AN216" i="1" s="1"/>
  <c r="AS119" i="1"/>
  <c r="AT119" i="1" s="1"/>
  <c r="AS669" i="1"/>
  <c r="AT669" i="1" s="1"/>
  <c r="AS63" i="1"/>
  <c r="AT63" i="1" s="1"/>
  <c r="AU345" i="1"/>
  <c r="AU34" i="1"/>
  <c r="AS109" i="1"/>
  <c r="AT109" i="1" s="1"/>
  <c r="AS873" i="1"/>
  <c r="AT873" i="1" s="1"/>
  <c r="AS794" i="1"/>
  <c r="AT794" i="1" s="1"/>
  <c r="AS234" i="1"/>
  <c r="AT234" i="1" s="1"/>
  <c r="AS283" i="1"/>
  <c r="AT283" i="1" s="1"/>
  <c r="AU1022" i="1"/>
  <c r="AS1037" i="1"/>
  <c r="AT1037" i="1" s="1"/>
  <c r="AS202" i="1"/>
  <c r="AT202" i="1" s="1"/>
  <c r="AU581" i="1"/>
  <c r="AS324" i="1"/>
  <c r="AT324" i="1" s="1"/>
  <c r="AU869" i="1"/>
  <c r="AM421" i="1"/>
  <c r="AN421" i="1" s="1"/>
  <c r="AS478" i="1"/>
  <c r="AT478" i="1" s="1"/>
  <c r="AU196" i="1"/>
  <c r="AM931" i="1"/>
  <c r="AN931" i="1" s="1"/>
  <c r="AU247" i="1"/>
  <c r="AS544" i="1"/>
  <c r="AT544" i="1" s="1"/>
  <c r="AU154" i="1"/>
  <c r="AS288" i="1"/>
  <c r="AT288" i="1" s="1"/>
  <c r="AU225" i="1"/>
  <c r="AS804" i="1"/>
  <c r="AT804" i="1" s="1"/>
  <c r="AM819" i="1"/>
  <c r="AN819" i="1" s="1"/>
  <c r="AM321" i="1"/>
  <c r="AN321" i="1" s="1"/>
  <c r="AM940" i="1"/>
  <c r="AN940" i="1" s="1"/>
  <c r="AS505" i="1"/>
  <c r="AT505" i="1" s="1"/>
  <c r="AS954" i="1"/>
  <c r="AT954" i="1" s="1"/>
  <c r="AS714" i="1"/>
  <c r="AT714" i="1" s="1"/>
  <c r="AS727" i="1"/>
  <c r="AT727" i="1" s="1"/>
  <c r="AU824" i="1"/>
  <c r="AU611" i="1"/>
  <c r="AM535" i="1"/>
  <c r="AN535" i="1" s="1"/>
  <c r="AU213" i="1"/>
  <c r="AM249" i="1"/>
  <c r="AN249" i="1" s="1"/>
  <c r="AM217" i="1"/>
  <c r="AN217" i="1" s="1"/>
  <c r="AS730" i="1"/>
  <c r="AT730" i="1" s="1"/>
  <c r="AU181" i="1"/>
  <c r="AM128" i="1"/>
  <c r="AN128" i="1" s="1"/>
  <c r="AU928" i="1"/>
  <c r="AS840" i="1"/>
  <c r="AT840" i="1" s="1"/>
  <c r="AU265" i="1"/>
  <c r="AU491" i="1"/>
  <c r="AS154" i="1"/>
  <c r="AT154" i="1" s="1"/>
  <c r="AM288" i="1"/>
  <c r="AN288" i="1" s="1"/>
  <c r="AS225" i="1"/>
  <c r="AT225" i="1" s="1"/>
  <c r="AU136" i="1"/>
  <c r="AS819" i="1"/>
  <c r="AT819" i="1" s="1"/>
  <c r="AS455" i="1"/>
  <c r="AT455" i="1" s="1"/>
  <c r="AM770" i="1"/>
  <c r="AN770" i="1" s="1"/>
  <c r="AM505" i="1"/>
  <c r="AN505" i="1" s="1"/>
  <c r="AM554" i="1"/>
  <c r="AN554" i="1" s="1"/>
  <c r="AM1034" i="1"/>
  <c r="AN1034" i="1" s="1"/>
  <c r="AU727" i="1"/>
  <c r="AS694" i="1"/>
  <c r="AT694" i="1" s="1"/>
  <c r="AM59" i="1"/>
  <c r="AN59" i="1" s="1"/>
  <c r="AM213" i="1"/>
  <c r="AN213" i="1" s="1"/>
  <c r="AS249" i="1"/>
  <c r="AT249" i="1" s="1"/>
  <c r="AU141" i="1"/>
  <c r="AU730" i="1"/>
  <c r="AU910" i="1"/>
  <c r="AS466" i="1"/>
  <c r="AT466" i="1" s="1"/>
  <c r="AS181" i="1"/>
  <c r="AT181" i="1" s="1"/>
  <c r="AU463" i="1"/>
  <c r="AS543" i="1"/>
  <c r="AT543" i="1" s="1"/>
  <c r="AM645" i="1"/>
  <c r="AN645" i="1" s="1"/>
  <c r="AM494" i="1"/>
  <c r="AN494" i="1" s="1"/>
  <c r="AM318" i="1"/>
  <c r="AN318" i="1" s="1"/>
  <c r="AS265" i="1"/>
  <c r="AT265" i="1" s="1"/>
  <c r="AM755" i="1"/>
  <c r="AN755" i="1" s="1"/>
  <c r="AU207" i="1"/>
  <c r="AS391" i="1"/>
  <c r="AT391" i="1" s="1"/>
  <c r="AM977" i="1"/>
  <c r="AN977" i="1" s="1"/>
  <c r="AS107" i="1"/>
  <c r="AT107" i="1" s="1"/>
  <c r="AS78" i="1"/>
  <c r="AT78" i="1" s="1"/>
  <c r="AM326" i="1"/>
  <c r="AN326" i="1" s="1"/>
  <c r="AU900" i="1"/>
  <c r="AM719" i="1"/>
  <c r="AN719" i="1" s="1"/>
  <c r="AS770" i="1"/>
  <c r="AT770" i="1" s="1"/>
  <c r="AU422" i="1"/>
  <c r="AS646" i="1"/>
  <c r="AT646" i="1" s="1"/>
  <c r="AU490" i="1"/>
  <c r="AM650" i="1"/>
  <c r="AN650" i="1" s="1"/>
  <c r="AU626" i="1"/>
  <c r="AM533" i="1"/>
  <c r="AN533" i="1" s="1"/>
  <c r="AM561" i="1"/>
  <c r="AN561" i="1" s="1"/>
  <c r="AU1001" i="1"/>
  <c r="AM389" i="1"/>
  <c r="AN389" i="1" s="1"/>
  <c r="AS430" i="1"/>
  <c r="AT430" i="1" s="1"/>
  <c r="AS574" i="1"/>
  <c r="AT574" i="1" s="1"/>
  <c r="AU331" i="1"/>
  <c r="AU286" i="1"/>
  <c r="AM624" i="1"/>
  <c r="AN624" i="1" s="1"/>
  <c r="AM974" i="1"/>
  <c r="AN974" i="1" s="1"/>
  <c r="AU462" i="1"/>
  <c r="AS816" i="1"/>
  <c r="AT816" i="1" s="1"/>
  <c r="AM884" i="1"/>
  <c r="AN884" i="1" s="1"/>
  <c r="AM866" i="1"/>
  <c r="AN866" i="1" s="1"/>
  <c r="AS97" i="1"/>
  <c r="AT97" i="1" s="1"/>
  <c r="AM97" i="1"/>
  <c r="AN97" i="1" s="1"/>
  <c r="AU571" i="1"/>
  <c r="AS571" i="1"/>
  <c r="AT571" i="1" s="1"/>
  <c r="AS111" i="1"/>
  <c r="AT111" i="1" s="1"/>
  <c r="AM111" i="1"/>
  <c r="AN111" i="1" s="1"/>
  <c r="AM240" i="1"/>
  <c r="AN240" i="1" s="1"/>
  <c r="AS240" i="1"/>
  <c r="AT240" i="1" s="1"/>
  <c r="AU978" i="1"/>
  <c r="AS978" i="1"/>
  <c r="AT978" i="1" s="1"/>
  <c r="AM455" i="1"/>
  <c r="AN455" i="1" s="1"/>
  <c r="AM674" i="1"/>
  <c r="AN674" i="1" s="1"/>
  <c r="AU639" i="1"/>
  <c r="AM954" i="1"/>
  <c r="AN954" i="1" s="1"/>
  <c r="AU432" i="1"/>
  <c r="AS1034" i="1"/>
  <c r="AT1034" i="1" s="1"/>
  <c r="AU756" i="1"/>
  <c r="AM548" i="1"/>
  <c r="AN548" i="1" s="1"/>
  <c r="AS438" i="1"/>
  <c r="AT438" i="1" s="1"/>
  <c r="AU561" i="1"/>
  <c r="AU678" i="1"/>
  <c r="AS462" i="1"/>
  <c r="AT462" i="1" s="1"/>
  <c r="AU907" i="1"/>
  <c r="AU59" i="1"/>
  <c r="AU82" i="1"/>
  <c r="AS585" i="1"/>
  <c r="AT585" i="1" s="1"/>
  <c r="AU916" i="1"/>
  <c r="AU217" i="1"/>
  <c r="AM88" i="1"/>
  <c r="AN88" i="1" s="1"/>
  <c r="AM910" i="1"/>
  <c r="AN910" i="1" s="1"/>
  <c r="AS1015" i="1"/>
  <c r="AT1015" i="1" s="1"/>
  <c r="AU851" i="1"/>
  <c r="AS715" i="1"/>
  <c r="AT715" i="1" s="1"/>
  <c r="AS923" i="1"/>
  <c r="AT923" i="1" s="1"/>
  <c r="AU802" i="1"/>
  <c r="AS778" i="1"/>
  <c r="AT778" i="1" s="1"/>
  <c r="AM778" i="1"/>
  <c r="AN778" i="1" s="1"/>
  <c r="AM899" i="1"/>
  <c r="AN899" i="1" s="1"/>
  <c r="AS899" i="1"/>
  <c r="AT899" i="1" s="1"/>
  <c r="AM489" i="1"/>
  <c r="AN489" i="1" s="1"/>
  <c r="AS489" i="1"/>
  <c r="AT489" i="1" s="1"/>
  <c r="AM339" i="1"/>
  <c r="AN339" i="1" s="1"/>
  <c r="AU339" i="1"/>
  <c r="AU735" i="1"/>
  <c r="AM735" i="1"/>
  <c r="AN735" i="1" s="1"/>
  <c r="AM426" i="1"/>
  <c r="AN426" i="1" s="1"/>
  <c r="AU426" i="1"/>
  <c r="AU679" i="1"/>
  <c r="AM679" i="1"/>
  <c r="AN679" i="1" s="1"/>
  <c r="AU519" i="1"/>
  <c r="AM519" i="1"/>
  <c r="AN519" i="1" s="1"/>
  <c r="AS380" i="1"/>
  <c r="AT380" i="1" s="1"/>
  <c r="AM380" i="1"/>
  <c r="AN380" i="1" s="1"/>
  <c r="AM306" i="1"/>
  <c r="AN306" i="1" s="1"/>
  <c r="AS306" i="1"/>
  <c r="AT306" i="1" s="1"/>
  <c r="AM566" i="1"/>
  <c r="AN566" i="1" s="1"/>
  <c r="AU566" i="1"/>
  <c r="AM506" i="1"/>
  <c r="AN506" i="1" s="1"/>
  <c r="AU506" i="1"/>
  <c r="AS506" i="1"/>
  <c r="AT506" i="1" s="1"/>
  <c r="AS831" i="1"/>
  <c r="AT831" i="1" s="1"/>
  <c r="AU831" i="1"/>
  <c r="AU799" i="1"/>
  <c r="AM799" i="1"/>
  <c r="AN799" i="1" s="1"/>
  <c r="AS799" i="1"/>
  <c r="AT799" i="1" s="1"/>
  <c r="AM637" i="1"/>
  <c r="AN637" i="1" s="1"/>
  <c r="AS637" i="1"/>
  <c r="AT637" i="1" s="1"/>
  <c r="AU637" i="1"/>
  <c r="AM805" i="1"/>
  <c r="AN805" i="1" s="1"/>
  <c r="AU805" i="1"/>
  <c r="AU204" i="1"/>
  <c r="AM204" i="1"/>
  <c r="AN204" i="1" s="1"/>
  <c r="AS598" i="1"/>
  <c r="AT598" i="1" s="1"/>
  <c r="AM598" i="1"/>
  <c r="AN598" i="1" s="1"/>
  <c r="AU261" i="1"/>
  <c r="AS261" i="1"/>
  <c r="AT261" i="1" s="1"/>
  <c r="AS793" i="1"/>
  <c r="AT793" i="1" s="1"/>
  <c r="AU793" i="1"/>
  <c r="AM792" i="1"/>
  <c r="AN792" i="1" s="1"/>
  <c r="AS792" i="1"/>
  <c r="AT792" i="1" s="1"/>
  <c r="AU615" i="1"/>
  <c r="AM615" i="1"/>
  <c r="AN615" i="1" s="1"/>
  <c r="AS615" i="1"/>
  <c r="AT615" i="1" s="1"/>
  <c r="AU687" i="1"/>
  <c r="AM687" i="1"/>
  <c r="AN687" i="1" s="1"/>
  <c r="AS687" i="1"/>
  <c r="AT687" i="1" s="1"/>
  <c r="AM81" i="1"/>
  <c r="AN81" i="1" s="1"/>
  <c r="AS81" i="1"/>
  <c r="AT81" i="1" s="1"/>
  <c r="AU429" i="1"/>
  <c r="AS429" i="1"/>
  <c r="AT429" i="1" s="1"/>
  <c r="AS313" i="1"/>
  <c r="AT313" i="1" s="1"/>
  <c r="AU313" i="1"/>
  <c r="AM313" i="1"/>
  <c r="AN313" i="1" s="1"/>
  <c r="AS218" i="1"/>
  <c r="AT218" i="1" s="1"/>
  <c r="AM218" i="1"/>
  <c r="AN218" i="1" s="1"/>
  <c r="AS961" i="1"/>
  <c r="AT961" i="1" s="1"/>
  <c r="AM961" i="1"/>
  <c r="AN961" i="1" s="1"/>
  <c r="AU138" i="1"/>
  <c r="AM138" i="1"/>
  <c r="AN138" i="1" s="1"/>
  <c r="AU707" i="1"/>
  <c r="AS707" i="1"/>
  <c r="AT707" i="1" s="1"/>
  <c r="AM185" i="1"/>
  <c r="AN185" i="1" s="1"/>
  <c r="AS185" i="1"/>
  <c r="AT185" i="1" s="1"/>
  <c r="AU185" i="1"/>
  <c r="AS854" i="1"/>
  <c r="AT854" i="1" s="1"/>
  <c r="AM854" i="1"/>
  <c r="AN854" i="1" s="1"/>
  <c r="AU854" i="1"/>
  <c r="AU170" i="1"/>
  <c r="AS170" i="1"/>
  <c r="AT170" i="1" s="1"/>
  <c r="AS51" i="1"/>
  <c r="AT51" i="1" s="1"/>
  <c r="AM51" i="1"/>
  <c r="AN51" i="1" s="1"/>
  <c r="AM108" i="1"/>
  <c r="AN108" i="1" s="1"/>
  <c r="AS108" i="1"/>
  <c r="AT108" i="1" s="1"/>
  <c r="AS182" i="1"/>
  <c r="AT182" i="1" s="1"/>
  <c r="AU182" i="1"/>
  <c r="AM132" i="1"/>
  <c r="AN132" i="1" s="1"/>
  <c r="AS132" i="1"/>
  <c r="AT132" i="1" s="1"/>
  <c r="AU132" i="1"/>
  <c r="AU670" i="1"/>
  <c r="AM670" i="1"/>
  <c r="AN670" i="1" s="1"/>
  <c r="AS814" i="1"/>
  <c r="AT814" i="1" s="1"/>
  <c r="AM814" i="1"/>
  <c r="AN814" i="1" s="1"/>
  <c r="AU814" i="1"/>
  <c r="AS563" i="1"/>
  <c r="AT563" i="1" s="1"/>
  <c r="AM563" i="1"/>
  <c r="AN563" i="1" s="1"/>
  <c r="AM149" i="1"/>
  <c r="AN149" i="1" s="1"/>
  <c r="AU149" i="1"/>
  <c r="AS762" i="1"/>
  <c r="AT762" i="1" s="1"/>
  <c r="AM762" i="1"/>
  <c r="AN762" i="1" s="1"/>
  <c r="AU501" i="1"/>
  <c r="AS501" i="1"/>
  <c r="AT501" i="1" s="1"/>
  <c r="AS50" i="1"/>
  <c r="AT50" i="1" s="1"/>
  <c r="AM50" i="1"/>
  <c r="AN50" i="1" s="1"/>
  <c r="AU50" i="1"/>
  <c r="AM577" i="1"/>
  <c r="AN577" i="1" s="1"/>
  <c r="AU577" i="1"/>
  <c r="AS276" i="1"/>
  <c r="AT276" i="1" s="1"/>
  <c r="AU276" i="1"/>
  <c r="AU72" i="1"/>
  <c r="AM72" i="1"/>
  <c r="AN72" i="1" s="1"/>
  <c r="AM914" i="1"/>
  <c r="AN914" i="1" s="1"/>
  <c r="AU914" i="1"/>
  <c r="AU220" i="1"/>
  <c r="AS220" i="1"/>
  <c r="AT220" i="1" s="1"/>
  <c r="AM220" i="1"/>
  <c r="AN220" i="1" s="1"/>
  <c r="AM295" i="1"/>
  <c r="AN295" i="1" s="1"/>
  <c r="AU295" i="1"/>
  <c r="AS295" i="1"/>
  <c r="AT295" i="1" s="1"/>
  <c r="AS334" i="1"/>
  <c r="AT334" i="1" s="1"/>
  <c r="AU334" i="1"/>
  <c r="AM963" i="1"/>
  <c r="AN963" i="1" s="1"/>
  <c r="AS963" i="1"/>
  <c r="AT963" i="1" s="1"/>
  <c r="AM273" i="1"/>
  <c r="AN273" i="1" s="1"/>
  <c r="AS273" i="1"/>
  <c r="AT273" i="1" s="1"/>
  <c r="AS964" i="1"/>
  <c r="AT964" i="1" s="1"/>
  <c r="AU964" i="1"/>
  <c r="AU537" i="1"/>
  <c r="AM537" i="1"/>
  <c r="AN537" i="1" s="1"/>
  <c r="AU395" i="1"/>
  <c r="AS395" i="1"/>
  <c r="AT395" i="1" s="1"/>
  <c r="AM398" i="1"/>
  <c r="AN398" i="1" s="1"/>
  <c r="AS398" i="1"/>
  <c r="AT398" i="1" s="1"/>
  <c r="AU385" i="1"/>
  <c r="AS385" i="1"/>
  <c r="AT385" i="1" s="1"/>
  <c r="AM513" i="1"/>
  <c r="AN513" i="1" s="1"/>
  <c r="AU513" i="1"/>
  <c r="AS47" i="1"/>
  <c r="AT47" i="1" s="1"/>
  <c r="AU47" i="1"/>
  <c r="AS25" i="1"/>
  <c r="AT25" i="1" s="1"/>
  <c r="AU25" i="1"/>
  <c r="AS364" i="1"/>
  <c r="AT364" i="1" s="1"/>
  <c r="AM364" i="1"/>
  <c r="AN364" i="1" s="1"/>
  <c r="AM221" i="1"/>
  <c r="AN221" i="1" s="1"/>
  <c r="AS221" i="1"/>
  <c r="AT221" i="1" s="1"/>
  <c r="AM991" i="1"/>
  <c r="AN991" i="1" s="1"/>
  <c r="AS991" i="1"/>
  <c r="AT991" i="1" s="1"/>
  <c r="AS929" i="1"/>
  <c r="AT929" i="1" s="1"/>
  <c r="AM929" i="1"/>
  <c r="AN929" i="1" s="1"/>
  <c r="AM968" i="1"/>
  <c r="AN968" i="1" s="1"/>
  <c r="AU968" i="1"/>
  <c r="AS995" i="1"/>
  <c r="AT995" i="1" s="1"/>
  <c r="AM995" i="1"/>
  <c r="AN995" i="1" s="1"/>
  <c r="AS243" i="1"/>
  <c r="AT243" i="1" s="1"/>
  <c r="AU243" i="1"/>
  <c r="AM243" i="1"/>
  <c r="AN243" i="1" s="1"/>
  <c r="AS1041" i="1"/>
  <c r="AT1041" i="1" s="1"/>
  <c r="AM601" i="1"/>
  <c r="AN601" i="1" s="1"/>
  <c r="AS913" i="1"/>
  <c r="AT913" i="1" s="1"/>
  <c r="AS270" i="1"/>
  <c r="AT270" i="1" s="1"/>
  <c r="AU812" i="1"/>
  <c r="AM668" i="1"/>
  <c r="AN668" i="1" s="1"/>
  <c r="AU706" i="1"/>
  <c r="AM113" i="1"/>
  <c r="AN113" i="1" s="1"/>
  <c r="AU274" i="1"/>
  <c r="AS186" i="1"/>
  <c r="AT186" i="1" s="1"/>
  <c r="AU580" i="1"/>
  <c r="AS601" i="1"/>
  <c r="AT601" i="1" s="1"/>
  <c r="AM913" i="1"/>
  <c r="AN913" i="1" s="1"/>
  <c r="AU267" i="1"/>
  <c r="AS812" i="1"/>
  <c r="AT812" i="1" s="1"/>
  <c r="AS667" i="1"/>
  <c r="AT667" i="1" s="1"/>
  <c r="AM718" i="1"/>
  <c r="AN718" i="1" s="1"/>
  <c r="AU113" i="1"/>
  <c r="AM484" i="1"/>
  <c r="AN484" i="1" s="1"/>
  <c r="AU789" i="1"/>
  <c r="AU116" i="1"/>
  <c r="AU227" i="1"/>
  <c r="AS260" i="1"/>
  <c r="AT260" i="1" s="1"/>
  <c r="AS426" i="1"/>
  <c r="AT426" i="1" s="1"/>
  <c r="AS611" i="1"/>
  <c r="AT611" i="1" s="1"/>
  <c r="AS567" i="1"/>
  <c r="AT567" i="1" s="1"/>
  <c r="AM1023" i="1"/>
  <c r="AN1023" i="1" s="1"/>
  <c r="AS802" i="1"/>
  <c r="AT802" i="1" s="1"/>
  <c r="AM785" i="1"/>
  <c r="AN785" i="1" s="1"/>
  <c r="AS374" i="1"/>
  <c r="AT374" i="1" s="1"/>
  <c r="AU778" i="1"/>
  <c r="AS417" i="1"/>
  <c r="AT417" i="1" s="1"/>
  <c r="AU882" i="1"/>
  <c r="AU624" i="1"/>
  <c r="AM738" i="1"/>
  <c r="AN738" i="1" s="1"/>
  <c r="AM420" i="1"/>
  <c r="AN420" i="1" s="1"/>
  <c r="AS866" i="1"/>
  <c r="AT866" i="1" s="1"/>
  <c r="AM631" i="1"/>
  <c r="AN631" i="1" s="1"/>
  <c r="AM252" i="1"/>
  <c r="AN252" i="1" s="1"/>
  <c r="AS252" i="1"/>
  <c r="AT252" i="1" s="1"/>
  <c r="AM646" i="1"/>
  <c r="AN646" i="1" s="1"/>
  <c r="AS554" i="1"/>
  <c r="AT554" i="1" s="1"/>
  <c r="AS861" i="1"/>
  <c r="AT861" i="1" s="1"/>
  <c r="AU889" i="1"/>
  <c r="AM756" i="1"/>
  <c r="AN756" i="1" s="1"/>
  <c r="AS548" i="1"/>
  <c r="AT548" i="1" s="1"/>
  <c r="AM958" i="1"/>
  <c r="AN958" i="1" s="1"/>
  <c r="AM824" i="1"/>
  <c r="AN824" i="1" s="1"/>
  <c r="AU507" i="1"/>
  <c r="AM817" i="1"/>
  <c r="AN817" i="1" s="1"/>
  <c r="AS1001" i="1"/>
  <c r="AT1001" i="1" s="1"/>
  <c r="AS526" i="1"/>
  <c r="AT526" i="1" s="1"/>
  <c r="AM834" i="1"/>
  <c r="AN834" i="1" s="1"/>
  <c r="AS907" i="1"/>
  <c r="AT907" i="1" s="1"/>
  <c r="AS375" i="1"/>
  <c r="AT375" i="1" s="1"/>
  <c r="AM851" i="1"/>
  <c r="AN851" i="1" s="1"/>
  <c r="AM69" i="1"/>
  <c r="AN69" i="1" s="1"/>
  <c r="AM831" i="1"/>
  <c r="AN831" i="1" s="1"/>
  <c r="AU923" i="1"/>
  <c r="AM882" i="1"/>
  <c r="AN882" i="1" s="1"/>
  <c r="AU996" i="1"/>
  <c r="AS725" i="1"/>
  <c r="AT725" i="1" s="1"/>
  <c r="AU489" i="1"/>
  <c r="AM602" i="1"/>
  <c r="AN602" i="1" s="1"/>
  <c r="AU631" i="1"/>
  <c r="AM37" i="1"/>
  <c r="AN37" i="1" s="1"/>
  <c r="AM510" i="1"/>
  <c r="AN510" i="1" s="1"/>
  <c r="AS558" i="1"/>
  <c r="AT558" i="1" s="1"/>
  <c r="AM558" i="1"/>
  <c r="AN558" i="1" s="1"/>
  <c r="AU1042" i="1"/>
  <c r="AS1042" i="1"/>
  <c r="AT1042" i="1" s="1"/>
  <c r="AS835" i="1"/>
  <c r="AT835" i="1" s="1"/>
  <c r="AM835" i="1"/>
  <c r="AN835" i="1" s="1"/>
  <c r="AM732" i="1"/>
  <c r="AN732" i="1" s="1"/>
  <c r="AU732" i="1"/>
  <c r="AS1035" i="1"/>
  <c r="AT1035" i="1" s="1"/>
  <c r="AM1035" i="1"/>
  <c r="AN1035" i="1" s="1"/>
  <c r="AS698" i="1"/>
  <c r="AT698" i="1" s="1"/>
  <c r="AU698" i="1"/>
  <c r="AS606" i="1"/>
  <c r="AT606" i="1" s="1"/>
  <c r="AU606" i="1"/>
  <c r="AS751" i="1"/>
  <c r="AT751" i="1" s="1"/>
  <c r="AU751" i="1"/>
  <c r="AM628" i="1"/>
  <c r="AN628" i="1" s="1"/>
  <c r="AS628" i="1"/>
  <c r="AT628" i="1" s="1"/>
  <c r="AM573" i="1"/>
  <c r="AN573" i="1" s="1"/>
  <c r="AS573" i="1"/>
  <c r="AT573" i="1" s="1"/>
  <c r="AU486" i="1"/>
  <c r="AS486" i="1"/>
  <c r="AT486" i="1" s="1"/>
  <c r="AS509" i="1"/>
  <c r="AT509" i="1" s="1"/>
  <c r="AU509" i="1"/>
  <c r="AS388" i="1"/>
  <c r="AT388" i="1" s="1"/>
  <c r="AU388" i="1"/>
  <c r="AS826" i="1"/>
  <c r="AT826" i="1" s="1"/>
  <c r="AU826" i="1"/>
  <c r="AU619" i="1"/>
  <c r="AS619" i="1"/>
  <c r="AT619" i="1" s="1"/>
  <c r="AU84" i="1"/>
  <c r="AS84" i="1"/>
  <c r="AT84" i="1" s="1"/>
  <c r="AS83" i="1"/>
  <c r="AT83" i="1" s="1"/>
  <c r="AM83" i="1"/>
  <c r="AN83" i="1" s="1"/>
  <c r="AU776" i="1"/>
  <c r="AS776" i="1"/>
  <c r="AT776" i="1" s="1"/>
  <c r="AS888" i="1"/>
  <c r="AT888" i="1" s="1"/>
  <c r="AM888" i="1"/>
  <c r="AN888" i="1" s="1"/>
  <c r="AM525" i="1"/>
  <c r="AN525" i="1" s="1"/>
  <c r="AS525" i="1"/>
  <c r="AT525" i="1" s="1"/>
  <c r="AM352" i="1"/>
  <c r="AN352" i="1" s="1"/>
  <c r="AU352" i="1"/>
  <c r="AM289" i="1"/>
  <c r="AN289" i="1" s="1"/>
  <c r="AS289" i="1"/>
  <c r="AT289" i="1" s="1"/>
  <c r="AS280" i="1"/>
  <c r="AT280" i="1" s="1"/>
  <c r="AM280" i="1"/>
  <c r="AN280" i="1" s="1"/>
  <c r="AU369" i="1"/>
  <c r="AS369" i="1"/>
  <c r="AT369" i="1" s="1"/>
  <c r="AM1024" i="1"/>
  <c r="AN1024" i="1" s="1"/>
  <c r="AU1024" i="1"/>
  <c r="AS849" i="1"/>
  <c r="AT849" i="1" s="1"/>
  <c r="AM849" i="1"/>
  <c r="AN849" i="1" s="1"/>
  <c r="AU846" i="1"/>
  <c r="AS846" i="1"/>
  <c r="AT846" i="1" s="1"/>
  <c r="AM909" i="1"/>
  <c r="AN909" i="1" s="1"/>
  <c r="AU909" i="1"/>
  <c r="AU856" i="1"/>
  <c r="AM856" i="1"/>
  <c r="AN856" i="1" s="1"/>
  <c r="AS242" i="1"/>
  <c r="AT242" i="1" s="1"/>
  <c r="AM242" i="1"/>
  <c r="AN242" i="1" s="1"/>
  <c r="AM166" i="1"/>
  <c r="AN166" i="1" s="1"/>
  <c r="AU166" i="1"/>
  <c r="AU38" i="1"/>
  <c r="AM38" i="1"/>
  <c r="AN38" i="1" s="1"/>
  <c r="AM867" i="1"/>
  <c r="AN867" i="1" s="1"/>
  <c r="AS867" i="1"/>
  <c r="AT867" i="1" s="1"/>
  <c r="AM605" i="1"/>
  <c r="AN605" i="1" s="1"/>
  <c r="AS605" i="1"/>
  <c r="AT605" i="1" s="1"/>
  <c r="AM876" i="1"/>
  <c r="AN876" i="1" s="1"/>
  <c r="AU876" i="1"/>
  <c r="AU470" i="1"/>
  <c r="AS470" i="1"/>
  <c r="AT470" i="1" s="1"/>
  <c r="AS92" i="1"/>
  <c r="AT92" i="1" s="1"/>
  <c r="AM92" i="1"/>
  <c r="AN92" i="1" s="1"/>
  <c r="AU178" i="1"/>
  <c r="AS178" i="1"/>
  <c r="AT178" i="1" s="1"/>
  <c r="AM89" i="1"/>
  <c r="AN89" i="1" s="1"/>
  <c r="AS89" i="1"/>
  <c r="AT89" i="1" s="1"/>
  <c r="AM275" i="1"/>
  <c r="AN275" i="1" s="1"/>
  <c r="AS275" i="1"/>
  <c r="AT275" i="1" s="1"/>
  <c r="AS838" i="1"/>
  <c r="AT838" i="1" s="1"/>
  <c r="AM838" i="1"/>
  <c r="AN838" i="1" s="1"/>
  <c r="AM226" i="1"/>
  <c r="AN226" i="1" s="1"/>
  <c r="AS226" i="1"/>
  <c r="AT226" i="1" s="1"/>
  <c r="AU579" i="1"/>
  <c r="AS579" i="1"/>
  <c r="AT579" i="1" s="1"/>
  <c r="AS877" i="1"/>
  <c r="AT877" i="1" s="1"/>
  <c r="AS932" i="1"/>
  <c r="AT932" i="1" s="1"/>
  <c r="AM521" i="1"/>
  <c r="AN521" i="1" s="1"/>
  <c r="AM667" i="1"/>
  <c r="AN667" i="1" s="1"/>
  <c r="AU718" i="1"/>
  <c r="AS259" i="1"/>
  <c r="AT259" i="1" s="1"/>
  <c r="AM222" i="1"/>
  <c r="AN222" i="1" s="1"/>
  <c r="AS739" i="1"/>
  <c r="AT739" i="1" s="1"/>
  <c r="AU995" i="1"/>
  <c r="AS484" i="1"/>
  <c r="AT484" i="1" s="1"/>
  <c r="AM179" i="1"/>
  <c r="AN179" i="1" s="1"/>
  <c r="AS146" i="1"/>
  <c r="AT146" i="1" s="1"/>
  <c r="AM156" i="1"/>
  <c r="AN156" i="1" s="1"/>
  <c r="AU343" i="1"/>
  <c r="AS726" i="1"/>
  <c r="AT726" i="1" s="1"/>
  <c r="AU266" i="1"/>
  <c r="AM105" i="1"/>
  <c r="AN105" i="1" s="1"/>
  <c r="AM255" i="1"/>
  <c r="AN255" i="1" s="1"/>
  <c r="AU825" i="1"/>
  <c r="AU125" i="1"/>
  <c r="AM64" i="1"/>
  <c r="AN64" i="1" s="1"/>
  <c r="AU177" i="1"/>
  <c r="AM394" i="1"/>
  <c r="AN394" i="1" s="1"/>
  <c r="AM449" i="1"/>
  <c r="AN449" i="1" s="1"/>
  <c r="AM906" i="1"/>
  <c r="AN906" i="1" s="1"/>
  <c r="AM45" i="1"/>
  <c r="AN45" i="1" s="1"/>
  <c r="AU223" i="1"/>
  <c r="AU106" i="1"/>
  <c r="AM728" i="1"/>
  <c r="AN728" i="1" s="1"/>
  <c r="AS908" i="1"/>
  <c r="AT908" i="1" s="1"/>
  <c r="AM651" i="1"/>
  <c r="AN651" i="1" s="1"/>
  <c r="AS303" i="1"/>
  <c r="AT303" i="1" s="1"/>
  <c r="AS147" i="1"/>
  <c r="AT147" i="1" s="1"/>
  <c r="AS541" i="1"/>
  <c r="AT541" i="1" s="1"/>
  <c r="AS118" i="1"/>
  <c r="AT118" i="1" s="1"/>
  <c r="AU77" i="1"/>
  <c r="AM411" i="1"/>
  <c r="AN411" i="1" s="1"/>
  <c r="AS307" i="1"/>
  <c r="AT307" i="1" s="1"/>
  <c r="AU96" i="1"/>
  <c r="AS365" i="1"/>
  <c r="AT365" i="1" s="1"/>
  <c r="AU443" i="1"/>
  <c r="AU911" i="1"/>
  <c r="AM29" i="1"/>
  <c r="AN29" i="1" s="1"/>
  <c r="AU975" i="1"/>
  <c r="AM587" i="1"/>
  <c r="AN587" i="1" s="1"/>
  <c r="AM592" i="1"/>
  <c r="AN592" i="1" s="1"/>
  <c r="AM777" i="1"/>
  <c r="AN777" i="1" s="1"/>
  <c r="AS248" i="1"/>
  <c r="AT248" i="1" s="1"/>
  <c r="AM152" i="1"/>
  <c r="AN152" i="1" s="1"/>
  <c r="AS337" i="1"/>
  <c r="AT337" i="1" s="1"/>
  <c r="AS357" i="1"/>
  <c r="AT357" i="1" s="1"/>
  <c r="AM971" i="1"/>
  <c r="AN971" i="1" s="1"/>
  <c r="AS708" i="1"/>
  <c r="AT708" i="1" s="1"/>
  <c r="AM1002" i="1"/>
  <c r="AN1002" i="1" s="1"/>
  <c r="AS837" i="1"/>
  <c r="AT837" i="1" s="1"/>
  <c r="AS151" i="1"/>
  <c r="AT151" i="1" s="1"/>
  <c r="AM640" i="1"/>
  <c r="AN640" i="1" s="1"/>
  <c r="AS522" i="1"/>
  <c r="AT522" i="1" s="1"/>
  <c r="AS266" i="1"/>
  <c r="AT266" i="1" s="1"/>
  <c r="AU118" i="1"/>
  <c r="AM978" i="1"/>
  <c r="AN978" i="1" s="1"/>
  <c r="AU28" i="1"/>
  <c r="AS1044" i="1"/>
  <c r="AT1044" i="1" s="1"/>
  <c r="AS825" i="1"/>
  <c r="AT825" i="1" s="1"/>
  <c r="AU877" i="1"/>
  <c r="AM447" i="1"/>
  <c r="AN447" i="1" s="1"/>
  <c r="AM399" i="1"/>
  <c r="AN399" i="1" s="1"/>
  <c r="AU355" i="1"/>
  <c r="AU240" i="1"/>
  <c r="AS64" i="1"/>
  <c r="AT64" i="1" s="1"/>
  <c r="AM77" i="1"/>
  <c r="AN77" i="1" s="1"/>
  <c r="AS177" i="1"/>
  <c r="AT177" i="1" s="1"/>
  <c r="AU252" i="1"/>
  <c r="AS331" i="1"/>
  <c r="AT331" i="1" s="1"/>
  <c r="AS703" i="1"/>
  <c r="AT703" i="1" s="1"/>
  <c r="AU411" i="1"/>
  <c r="AS418" i="1"/>
  <c r="AT418" i="1" s="1"/>
  <c r="AU906" i="1"/>
  <c r="AU179" i="1"/>
  <c r="AU111" i="1"/>
  <c r="AU146" i="1"/>
  <c r="AM286" i="1"/>
  <c r="AN286" i="1" s="1"/>
  <c r="AM307" i="1"/>
  <c r="AN307" i="1" s="1"/>
  <c r="AS96" i="1"/>
  <c r="AT96" i="1" s="1"/>
  <c r="AU105" i="1"/>
  <c r="AM430" i="1"/>
  <c r="AN430" i="1" s="1"/>
  <c r="AU255" i="1"/>
  <c r="AS28" i="1"/>
  <c r="AT28" i="1" s="1"/>
  <c r="AU1044" i="1"/>
  <c r="AM125" i="1"/>
  <c r="AN125" i="1" s="1"/>
  <c r="AU399" i="1"/>
  <c r="AS355" i="1"/>
  <c r="AT355" i="1" s="1"/>
  <c r="AS394" i="1"/>
  <c r="AT394" i="1" s="1"/>
  <c r="AU97" i="1"/>
  <c r="AU449" i="1"/>
  <c r="AU703" i="1"/>
  <c r="AM418" i="1"/>
  <c r="AN418" i="1" s="1"/>
  <c r="AM571" i="1"/>
  <c r="AN571" i="1" s="1"/>
  <c r="AM387" i="1"/>
  <c r="AN387" i="1" s="1"/>
  <c r="AM901" i="1"/>
  <c r="AN901" i="1" s="1"/>
  <c r="AU885" i="1"/>
  <c r="AM262" i="1"/>
  <c r="AN262" i="1" s="1"/>
  <c r="AM250" i="1"/>
  <c r="AN250" i="1" s="1"/>
  <c r="AS188" i="1"/>
  <c r="AT188" i="1" s="1"/>
  <c r="AS710" i="1"/>
  <c r="AT710" i="1" s="1"/>
  <c r="AU485" i="1"/>
  <c r="AS356" i="1"/>
  <c r="AT356" i="1" s="1"/>
  <c r="AM237" i="1"/>
  <c r="AN237" i="1" s="1"/>
  <c r="AU93" i="1"/>
  <c r="AS39" i="1"/>
  <c r="AT39" i="1" s="1"/>
  <c r="AM456" i="1"/>
  <c r="AN456" i="1" s="1"/>
  <c r="AM723" i="1"/>
  <c r="AN723" i="1" s="1"/>
  <c r="AM325" i="1"/>
  <c r="AN325" i="1" s="1"/>
  <c r="AU709" i="1"/>
  <c r="AM890" i="1"/>
  <c r="AN890" i="1" s="1"/>
  <c r="AM94" i="1"/>
  <c r="AN94" i="1" s="1"/>
  <c r="AU171" i="1"/>
  <c r="AU633" i="1"/>
  <c r="AS633" i="1"/>
  <c r="AT633" i="1" s="1"/>
  <c r="AU969" i="1"/>
  <c r="AS969" i="1"/>
  <c r="AT969" i="1" s="1"/>
  <c r="AU962" i="1"/>
  <c r="AS962" i="1"/>
  <c r="AT962" i="1" s="1"/>
  <c r="AM813" i="1"/>
  <c r="AN813" i="1" s="1"/>
  <c r="AU813" i="1"/>
  <c r="AS347" i="1"/>
  <c r="AT347" i="1" s="1"/>
  <c r="AM347" i="1"/>
  <c r="AN347" i="1" s="1"/>
  <c r="AM359" i="1"/>
  <c r="AN359" i="1" s="1"/>
  <c r="AS359" i="1"/>
  <c r="AT359" i="1" s="1"/>
  <c r="AM407" i="1"/>
  <c r="AN407" i="1" s="1"/>
  <c r="AU407" i="1"/>
  <c r="AS258" i="1"/>
  <c r="AT258" i="1" s="1"/>
  <c r="AM258" i="1"/>
  <c r="AN258" i="1" s="1"/>
  <c r="AM236" i="1"/>
  <c r="AN236" i="1" s="1"/>
  <c r="AS236" i="1"/>
  <c r="AT236" i="1" s="1"/>
  <c r="AU806" i="1"/>
  <c r="AS806" i="1"/>
  <c r="AT806" i="1" s="1"/>
  <c r="AM582" i="1"/>
  <c r="AN582" i="1" s="1"/>
  <c r="AM490" i="1"/>
  <c r="AN490" i="1" s="1"/>
  <c r="AS432" i="1"/>
  <c r="AT432" i="1" s="1"/>
  <c r="AU650" i="1"/>
  <c r="AS889" i="1"/>
  <c r="AT889" i="1" s="1"/>
  <c r="AM626" i="1"/>
  <c r="AN626" i="1" s="1"/>
  <c r="AS958" i="1"/>
  <c r="AT958" i="1" s="1"/>
  <c r="AU694" i="1"/>
  <c r="AS507" i="1"/>
  <c r="AT507" i="1" s="1"/>
  <c r="AS817" i="1"/>
  <c r="AT817" i="1" s="1"/>
  <c r="AS678" i="1"/>
  <c r="AT678" i="1" s="1"/>
  <c r="AM526" i="1"/>
  <c r="AN526" i="1" s="1"/>
  <c r="AU389" i="1"/>
  <c r="AU816" i="1"/>
  <c r="AU32" i="1"/>
  <c r="AM356" i="1"/>
  <c r="AN356" i="1" s="1"/>
  <c r="AM199" i="1"/>
  <c r="AN199" i="1" s="1"/>
  <c r="AS93" i="1"/>
  <c r="AT93" i="1" s="1"/>
  <c r="AU456" i="1"/>
  <c r="AM619" i="1"/>
  <c r="AN619" i="1" s="1"/>
  <c r="AS566" i="1"/>
  <c r="AT566" i="1" s="1"/>
  <c r="AU306" i="1"/>
  <c r="AU567" i="1"/>
  <c r="AM509" i="1"/>
  <c r="AN509" i="1" s="1"/>
  <c r="AM551" i="1"/>
  <c r="AN551" i="1" s="1"/>
  <c r="AS1023" i="1"/>
  <c r="AT1023" i="1" s="1"/>
  <c r="AM996" i="1"/>
  <c r="AN996" i="1" s="1"/>
  <c r="AU573" i="1"/>
  <c r="AS818" i="1"/>
  <c r="AT818" i="1" s="1"/>
  <c r="AU553" i="1"/>
  <c r="AM751" i="1"/>
  <c r="AN751" i="1" s="1"/>
  <c r="AS339" i="1"/>
  <c r="AT339" i="1" s="1"/>
  <c r="AM757" i="1"/>
  <c r="AN757" i="1" s="1"/>
  <c r="AU420" i="1"/>
  <c r="AM698" i="1"/>
  <c r="AN698" i="1" s="1"/>
  <c r="AU785" i="1"/>
  <c r="AS998" i="1"/>
  <c r="AT998" i="1" s="1"/>
  <c r="AM796" i="1"/>
  <c r="AN796" i="1" s="1"/>
  <c r="AM374" i="1"/>
  <c r="AN374" i="1" s="1"/>
  <c r="AU835" i="1"/>
  <c r="AS30" i="1"/>
  <c r="AT30" i="1" s="1"/>
  <c r="AU723" i="1"/>
  <c r="AS325" i="1"/>
  <c r="AT325" i="1" s="1"/>
  <c r="AM74" i="1"/>
  <c r="AN74" i="1" s="1"/>
  <c r="AM538" i="1"/>
  <c r="AN538" i="1" s="1"/>
  <c r="AS709" i="1"/>
  <c r="AT709" i="1" s="1"/>
  <c r="AM1042" i="1"/>
  <c r="AN1042" i="1" s="1"/>
  <c r="AU433" i="1"/>
  <c r="AU236" i="1"/>
  <c r="AM443" i="1"/>
  <c r="AN443" i="1" s="1"/>
  <c r="AS428" i="1"/>
  <c r="AT428" i="1" s="1"/>
  <c r="AM112" i="1"/>
  <c r="AN112" i="1" s="1"/>
  <c r="AU53" i="1"/>
  <c r="AS848" i="1"/>
  <c r="AT848" i="1" s="1"/>
  <c r="AU445" i="1"/>
  <c r="AU699" i="1"/>
  <c r="AS171" i="1"/>
  <c r="AT171" i="1" s="1"/>
  <c r="AS881" i="1"/>
  <c r="AT881" i="1" s="1"/>
  <c r="AM881" i="1"/>
  <c r="AN881" i="1" s="1"/>
  <c r="AS150" i="1"/>
  <c r="AT150" i="1" s="1"/>
  <c r="AU150" i="1"/>
  <c r="AS1000" i="1"/>
  <c r="AT1000" i="1" s="1"/>
  <c r="AU1000" i="1"/>
  <c r="AU131" i="1"/>
  <c r="AM131" i="1"/>
  <c r="AN131" i="1" s="1"/>
  <c r="AS79" i="1"/>
  <c r="AT79" i="1" s="1"/>
  <c r="AM79" i="1"/>
  <c r="AN79" i="1" s="1"/>
  <c r="AS127" i="1"/>
  <c r="AT127" i="1" s="1"/>
  <c r="AM32" i="1"/>
  <c r="AN32" i="1" s="1"/>
  <c r="AM173" i="1"/>
  <c r="AN173" i="1" s="1"/>
  <c r="AS884" i="1"/>
  <c r="AT884" i="1" s="1"/>
  <c r="AU574" i="1"/>
  <c r="AU551" i="1"/>
  <c r="AS735" i="1"/>
  <c r="AT735" i="1" s="1"/>
  <c r="AM818" i="1"/>
  <c r="AN818" i="1" s="1"/>
  <c r="AS553" i="1"/>
  <c r="AT553" i="1" s="1"/>
  <c r="AU738" i="1"/>
  <c r="AM725" i="1"/>
  <c r="AN725" i="1" s="1"/>
  <c r="AU757" i="1"/>
  <c r="AU974" i="1"/>
  <c r="AM998" i="1"/>
  <c r="AN998" i="1" s="1"/>
  <c r="AU796" i="1"/>
  <c r="AU602" i="1"/>
  <c r="AU899" i="1"/>
  <c r="AM30" i="1"/>
  <c r="AN30" i="1" s="1"/>
  <c r="AU74" i="1"/>
  <c r="AU269" i="1"/>
  <c r="AS795" i="1"/>
  <c r="AT795" i="1" s="1"/>
  <c r="AM806" i="1"/>
  <c r="AN806" i="1" s="1"/>
  <c r="AS300" i="1"/>
  <c r="AT300" i="1" s="1"/>
  <c r="AU347" i="1"/>
  <c r="AU898" i="1"/>
  <c r="AM53" i="1"/>
  <c r="AN53" i="1" s="1"/>
  <c r="AU648" i="1"/>
  <c r="AM848" i="1"/>
  <c r="AN848" i="1" s="1"/>
  <c r="AS780" i="1"/>
  <c r="AT780" i="1" s="1"/>
  <c r="AU140" i="1"/>
  <c r="AU233" i="1"/>
  <c r="AM445" i="1"/>
  <c r="AN445" i="1" s="1"/>
  <c r="AU423" i="1"/>
  <c r="AS201" i="1"/>
  <c r="AT201" i="1" s="1"/>
  <c r="AS677" i="1"/>
  <c r="AT677" i="1" s="1"/>
  <c r="AS503" i="1"/>
  <c r="AT503" i="1" s="1"/>
  <c r="AM503" i="1"/>
  <c r="AN503" i="1" s="1"/>
  <c r="AM296" i="1"/>
  <c r="AN296" i="1" s="1"/>
  <c r="AU296" i="1"/>
  <c r="AM572" i="1"/>
  <c r="AN572" i="1" s="1"/>
  <c r="AU572" i="1"/>
  <c r="AU137" i="1"/>
  <c r="AM137" i="1"/>
  <c r="AN137" i="1" s="1"/>
  <c r="AS1030" i="1"/>
  <c r="AT1030" i="1" s="1"/>
  <c r="AU1030" i="1"/>
  <c r="AM1030" i="1"/>
  <c r="AN1030" i="1" s="1"/>
  <c r="AS330" i="1"/>
  <c r="AT330" i="1" s="1"/>
  <c r="AU330" i="1"/>
  <c r="AS367" i="1"/>
  <c r="AT367" i="1" s="1"/>
  <c r="AU367" i="1"/>
  <c r="AS370" i="1"/>
  <c r="AT370" i="1" s="1"/>
  <c r="AM370" i="1"/>
  <c r="AN370" i="1" s="1"/>
  <c r="AU902" i="1"/>
  <c r="AS902" i="1"/>
  <c r="AT902" i="1" s="1"/>
  <c r="AS555" i="1"/>
  <c r="AT555" i="1" s="1"/>
  <c r="AU555" i="1"/>
  <c r="AU879" i="1"/>
  <c r="AS879" i="1"/>
  <c r="AT879" i="1" s="1"/>
  <c r="AS668" i="1"/>
  <c r="AT668" i="1" s="1"/>
  <c r="AS393" i="1"/>
  <c r="AT393" i="1" s="1"/>
  <c r="AM864" i="1"/>
  <c r="AN864" i="1" s="1"/>
  <c r="AU350" i="1"/>
  <c r="AU645" i="1"/>
  <c r="AS968" i="1"/>
  <c r="AT968" i="1" s="1"/>
  <c r="AU929" i="1"/>
  <c r="AM579" i="1"/>
  <c r="AN579" i="1" s="1"/>
  <c r="AU180" i="1"/>
  <c r="AM47" i="1"/>
  <c r="AN47" i="1" s="1"/>
  <c r="AS928" i="1"/>
  <c r="AT928" i="1" s="1"/>
  <c r="AS510" i="1"/>
  <c r="AT510" i="1" s="1"/>
  <c r="AS494" i="1"/>
  <c r="AT494" i="1" s="1"/>
  <c r="AU273" i="1"/>
  <c r="AU963" i="1"/>
  <c r="AU840" i="1"/>
  <c r="AS246" i="1"/>
  <c r="AT246" i="1" s="1"/>
  <c r="AS318" i="1"/>
  <c r="AT318" i="1" s="1"/>
  <c r="AM925" i="1"/>
  <c r="AN925" i="1" s="1"/>
  <c r="AS914" i="1"/>
  <c r="AT914" i="1" s="1"/>
  <c r="AS72" i="1"/>
  <c r="AT72" i="1" s="1"/>
  <c r="AS166" i="1"/>
  <c r="AT166" i="1" s="1"/>
  <c r="AM902" i="1"/>
  <c r="AN902" i="1" s="1"/>
  <c r="AS269" i="1"/>
  <c r="AT269" i="1" s="1"/>
  <c r="AM330" i="1"/>
  <c r="AN330" i="1" s="1"/>
  <c r="AU795" i="1"/>
  <c r="AM365" i="1"/>
  <c r="AN365" i="1" s="1"/>
  <c r="AS433" i="1"/>
  <c r="AT433" i="1" s="1"/>
  <c r="AS572" i="1"/>
  <c r="AT572" i="1" s="1"/>
  <c r="AS296" i="1"/>
  <c r="AT296" i="1" s="1"/>
  <c r="AM300" i="1"/>
  <c r="AN300" i="1" s="1"/>
  <c r="AS407" i="1"/>
  <c r="AT407" i="1" s="1"/>
  <c r="AU359" i="1"/>
  <c r="AU558" i="1"/>
  <c r="AS813" i="1"/>
  <c r="AT813" i="1" s="1"/>
  <c r="AM962" i="1"/>
  <c r="AN962" i="1" s="1"/>
  <c r="AS911" i="1"/>
  <c r="AT911" i="1" s="1"/>
  <c r="AU428" i="1"/>
  <c r="AS898" i="1"/>
  <c r="AT898" i="1" s="1"/>
  <c r="AM823" i="1"/>
  <c r="AN823" i="1" s="1"/>
  <c r="AS815" i="1"/>
  <c r="AT815" i="1" s="1"/>
  <c r="AU685" i="1"/>
  <c r="AS343" i="1"/>
  <c r="AT343" i="1" s="1"/>
  <c r="AM99" i="1"/>
  <c r="AN99" i="1" s="1"/>
  <c r="AU467" i="1"/>
  <c r="AM223" i="1"/>
  <c r="AN223" i="1" s="1"/>
  <c r="AM175" i="1"/>
  <c r="AN175" i="1" s="1"/>
  <c r="AU924" i="1"/>
  <c r="AS971" i="1"/>
  <c r="AT971" i="1" s="1"/>
  <c r="AU152" i="1"/>
  <c r="AU871" i="1"/>
  <c r="AM1039" i="1"/>
  <c r="AN1039" i="1" s="1"/>
  <c r="AM487" i="1"/>
  <c r="AN487" i="1" s="1"/>
  <c r="AU690" i="1"/>
  <c r="AU448" i="1"/>
  <c r="AM139" i="1"/>
  <c r="AN139" i="1" s="1"/>
  <c r="AS663" i="1"/>
  <c r="AT663" i="1" s="1"/>
  <c r="AM191" i="1"/>
  <c r="AN191" i="1" s="1"/>
  <c r="AS782" i="1"/>
  <c r="AT782" i="1" s="1"/>
  <c r="AU156" i="1"/>
  <c r="AU531" i="1"/>
  <c r="AM391" i="1"/>
  <c r="AN391" i="1" s="1"/>
  <c r="AM142" i="1"/>
  <c r="AN142" i="1" s="1"/>
  <c r="AS45" i="1"/>
  <c r="AT45" i="1" s="1"/>
  <c r="AM130" i="1"/>
  <c r="AN130" i="1" s="1"/>
  <c r="AU726" i="1"/>
  <c r="AS29" i="1"/>
  <c r="AT29" i="1" s="1"/>
  <c r="AM924" i="1"/>
  <c r="AN924" i="1" s="1"/>
  <c r="AM357" i="1"/>
  <c r="AN357" i="1" s="1"/>
  <c r="AM36" i="1"/>
  <c r="AN36" i="1" s="1"/>
  <c r="AS106" i="1"/>
  <c r="AT106" i="1" s="1"/>
  <c r="AU203" i="1"/>
  <c r="AU587" i="1"/>
  <c r="AU256" i="1"/>
  <c r="AU728" i="1"/>
  <c r="AS871" i="1"/>
  <c r="AT871" i="1" s="1"/>
  <c r="AS777" i="1"/>
  <c r="AT777" i="1" s="1"/>
  <c r="AM126" i="1"/>
  <c r="AN126" i="1" s="1"/>
  <c r="AS977" i="1"/>
  <c r="AT977" i="1" s="1"/>
  <c r="AM690" i="1"/>
  <c r="AN690" i="1" s="1"/>
  <c r="AS1002" i="1"/>
  <c r="AT1002" i="1" s="1"/>
  <c r="AU139" i="1"/>
  <c r="AU651" i="1"/>
  <c r="AS191" i="1"/>
  <c r="AT191" i="1" s="1"/>
  <c r="AM837" i="1"/>
  <c r="AN837" i="1" s="1"/>
  <c r="AM782" i="1"/>
  <c r="AN782" i="1" s="1"/>
  <c r="AS755" i="1"/>
  <c r="AT755" i="1" s="1"/>
  <c r="AU1004" i="1"/>
  <c r="AU640" i="1"/>
  <c r="AM576" i="1"/>
  <c r="AN576" i="1" s="1"/>
  <c r="AM147" i="1"/>
  <c r="AN147" i="1" s="1"/>
  <c r="AU144" i="1"/>
  <c r="AU901" i="1"/>
  <c r="AM66" i="1"/>
  <c r="AN66" i="1" s="1"/>
  <c r="AM188" i="1"/>
  <c r="AN188" i="1" s="1"/>
  <c r="AU232" i="1"/>
  <c r="AU424" i="1"/>
  <c r="AM660" i="1"/>
  <c r="AN660" i="1" s="1"/>
  <c r="AS425" i="1"/>
  <c r="AT425" i="1" s="1"/>
  <c r="AS620" i="1"/>
  <c r="AT620" i="1" s="1"/>
  <c r="AM342" i="1"/>
  <c r="AN342" i="1" s="1"/>
  <c r="AU371" i="1"/>
  <c r="AS622" i="1"/>
  <c r="AT622" i="1" s="1"/>
  <c r="AM557" i="1"/>
  <c r="AN557" i="1" s="1"/>
  <c r="AU761" i="1"/>
  <c r="AM754" i="1"/>
  <c r="AN754" i="1" s="1"/>
  <c r="AU569" i="1"/>
  <c r="AS99" i="1"/>
  <c r="AT99" i="1" s="1"/>
  <c r="AS314" i="1"/>
  <c r="AT314" i="1" s="1"/>
  <c r="AS142" i="1"/>
  <c r="AT142" i="1" s="1"/>
  <c r="AU175" i="1"/>
  <c r="AS975" i="1"/>
  <c r="AT975" i="1" s="1"/>
  <c r="AS308" i="1"/>
  <c r="AT308" i="1" s="1"/>
  <c r="AM337" i="1"/>
  <c r="AN337" i="1" s="1"/>
  <c r="AM203" i="1"/>
  <c r="AN203" i="1" s="1"/>
  <c r="AU592" i="1"/>
  <c r="AU508" i="1"/>
  <c r="AM908" i="1"/>
  <c r="AN908" i="1" s="1"/>
  <c r="AU158" i="1"/>
  <c r="AM708" i="1"/>
  <c r="AN708" i="1" s="1"/>
  <c r="AU1039" i="1"/>
  <c r="AM107" i="1"/>
  <c r="AN107" i="1" s="1"/>
  <c r="AS487" i="1"/>
  <c r="AT487" i="1" s="1"/>
  <c r="AM248" i="1"/>
  <c r="AN248" i="1" s="1"/>
  <c r="AM448" i="1"/>
  <c r="AN448" i="1" s="1"/>
  <c r="AU303" i="1"/>
  <c r="AM663" i="1"/>
  <c r="AN663" i="1" s="1"/>
  <c r="AM151" i="1"/>
  <c r="AN151" i="1" s="1"/>
  <c r="AU189" i="1"/>
  <c r="AM207" i="1"/>
  <c r="AN207" i="1" s="1"/>
  <c r="AS643" i="1"/>
  <c r="AT643" i="1" s="1"/>
  <c r="AM522" i="1"/>
  <c r="AN522" i="1" s="1"/>
  <c r="AS133" i="1"/>
  <c r="AT133" i="1" s="1"/>
  <c r="AM541" i="1"/>
  <c r="AN541" i="1" s="1"/>
  <c r="AS164" i="1"/>
  <c r="AT164" i="1" s="1"/>
  <c r="AM885" i="1"/>
  <c r="AN885" i="1" s="1"/>
  <c r="AS397" i="1"/>
  <c r="AT397" i="1" s="1"/>
  <c r="AM710" i="1"/>
  <c r="AN710" i="1" s="1"/>
  <c r="AS159" i="1"/>
  <c r="AT159" i="1" s="1"/>
  <c r="AM847" i="1"/>
  <c r="AN847" i="1" s="1"/>
  <c r="AS612" i="1"/>
  <c r="AT612" i="1" s="1"/>
  <c r="AS100" i="1"/>
  <c r="AT100" i="1" s="1"/>
  <c r="AM384" i="1"/>
  <c r="AN384" i="1" s="1"/>
  <c r="AU947" i="1"/>
  <c r="AU618" i="1"/>
  <c r="AS625" i="1"/>
  <c r="AT625" i="1" s="1"/>
  <c r="AU758" i="1"/>
  <c r="AM752" i="1"/>
  <c r="AN752" i="1" s="1"/>
  <c r="AM531" i="1"/>
  <c r="AN531" i="1" s="1"/>
  <c r="AS130" i="1"/>
  <c r="AT130" i="1" s="1"/>
  <c r="AS36" i="1"/>
  <c r="AT36" i="1" s="1"/>
  <c r="AM308" i="1"/>
  <c r="AN308" i="1" s="1"/>
  <c r="AM508" i="1"/>
  <c r="AN508" i="1" s="1"/>
  <c r="AM256" i="1"/>
  <c r="AN256" i="1" s="1"/>
  <c r="AM158" i="1"/>
  <c r="AN158" i="1" s="1"/>
  <c r="AU126" i="1"/>
  <c r="AM189" i="1"/>
  <c r="AN189" i="1" s="1"/>
  <c r="AM643" i="1"/>
  <c r="AN643" i="1" s="1"/>
  <c r="AM1004" i="1"/>
  <c r="AN1004" i="1" s="1"/>
  <c r="AM133" i="1"/>
  <c r="AN133" i="1" s="1"/>
  <c r="AU576" i="1"/>
  <c r="AM164" i="1"/>
  <c r="AN164" i="1" s="1"/>
  <c r="AM144" i="1"/>
  <c r="AN144" i="1" s="1"/>
  <c r="AM397" i="1"/>
  <c r="AN397" i="1" s="1"/>
  <c r="AU66" i="1"/>
  <c r="AM682" i="1"/>
  <c r="AN682" i="1" s="1"/>
  <c r="AU897" i="1"/>
  <c r="AU769" i="1"/>
  <c r="AS809" i="1"/>
  <c r="AT809" i="1" s="1"/>
  <c r="AU691" i="1"/>
  <c r="AS262" i="1"/>
  <c r="AT262" i="1" s="1"/>
  <c r="AU145" i="1"/>
  <c r="AS232" i="1"/>
  <c r="AT232" i="1" s="1"/>
  <c r="AS682" i="1"/>
  <c r="AT682" i="1" s="1"/>
  <c r="AM310" i="1"/>
  <c r="AN310" i="1" s="1"/>
  <c r="AS847" i="1"/>
  <c r="AT847" i="1" s="1"/>
  <c r="AM955" i="1"/>
  <c r="AN955" i="1" s="1"/>
  <c r="AS485" i="1"/>
  <c r="AT485" i="1" s="1"/>
  <c r="AS424" i="1"/>
  <c r="AT424" i="1" s="1"/>
  <c r="AM746" i="1"/>
  <c r="AN746" i="1" s="1"/>
  <c r="AM769" i="1"/>
  <c r="AN769" i="1" s="1"/>
  <c r="AM742" i="1"/>
  <c r="AN742" i="1" s="1"/>
  <c r="AU100" i="1"/>
  <c r="AU346" i="1"/>
  <c r="AM425" i="1"/>
  <c r="AN425" i="1" s="1"/>
  <c r="AM887" i="1"/>
  <c r="AN887" i="1" s="1"/>
  <c r="AS384" i="1"/>
  <c r="AT384" i="1" s="1"/>
  <c r="AM376" i="1"/>
  <c r="AN376" i="1" s="1"/>
  <c r="AU342" i="1"/>
  <c r="AM1033" i="1"/>
  <c r="AN1033" i="1" s="1"/>
  <c r="AM618" i="1"/>
  <c r="AN618" i="1" s="1"/>
  <c r="AM987" i="1"/>
  <c r="AN987" i="1" s="1"/>
  <c r="AM622" i="1"/>
  <c r="AN622" i="1" s="1"/>
  <c r="AU363" i="1"/>
  <c r="AM363" i="1"/>
  <c r="AN363" i="1" s="1"/>
  <c r="AU498" i="1"/>
  <c r="AS498" i="1"/>
  <c r="AT498" i="1" s="1"/>
  <c r="AS966" i="1"/>
  <c r="AT966" i="1" s="1"/>
  <c r="AU966" i="1"/>
  <c r="AS984" i="1"/>
  <c r="AT984" i="1" s="1"/>
  <c r="AU984" i="1"/>
  <c r="AU912" i="1"/>
  <c r="AS912" i="1"/>
  <c r="AT912" i="1" s="1"/>
  <c r="AM623" i="1"/>
  <c r="AN623" i="1" s="1"/>
  <c r="AU623" i="1"/>
  <c r="AU546" i="1"/>
  <c r="AS546" i="1"/>
  <c r="AT546" i="1" s="1"/>
  <c r="AM546" i="1"/>
  <c r="AN546" i="1" s="1"/>
  <c r="AM593" i="1"/>
  <c r="AN593" i="1" s="1"/>
  <c r="AS593" i="1"/>
  <c r="AT593" i="1" s="1"/>
  <c r="AM990" i="1"/>
  <c r="AN990" i="1" s="1"/>
  <c r="AU990" i="1"/>
  <c r="AS683" i="1"/>
  <c r="AT683" i="1" s="1"/>
  <c r="AU683" i="1"/>
  <c r="AM949" i="1"/>
  <c r="AN949" i="1" s="1"/>
  <c r="AS949" i="1"/>
  <c r="AT949" i="1" s="1"/>
  <c r="AM360" i="1"/>
  <c r="AN360" i="1" s="1"/>
  <c r="AS360" i="1"/>
  <c r="AT360" i="1" s="1"/>
  <c r="AU1017" i="1"/>
  <c r="AS1017" i="1"/>
  <c r="AT1017" i="1" s="1"/>
  <c r="AU272" i="1"/>
  <c r="AS272" i="1"/>
  <c r="AT272" i="1" s="1"/>
  <c r="AS784" i="1"/>
  <c r="AT784" i="1" s="1"/>
  <c r="AM784" i="1"/>
  <c r="AN784" i="1" s="1"/>
  <c r="AU784" i="1"/>
  <c r="AS231" i="1"/>
  <c r="AT231" i="1" s="1"/>
  <c r="AM231" i="1"/>
  <c r="AN231" i="1" s="1"/>
  <c r="AU231" i="1"/>
  <c r="AU390" i="1"/>
  <c r="AS390" i="1"/>
  <c r="AT390" i="1" s="1"/>
  <c r="AM390" i="1"/>
  <c r="AN390" i="1" s="1"/>
  <c r="AU721" i="1"/>
  <c r="AM721" i="1"/>
  <c r="AN721" i="1" s="1"/>
  <c r="AS721" i="1"/>
  <c r="AT721" i="1" s="1"/>
  <c r="AM556" i="1"/>
  <c r="AN556" i="1" s="1"/>
  <c r="AU556" i="1"/>
  <c r="AS1031" i="1"/>
  <c r="AT1031" i="1" s="1"/>
  <c r="AM1031" i="1"/>
  <c r="AN1031" i="1" s="1"/>
  <c r="AU1031" i="1"/>
  <c r="AS992" i="1"/>
  <c r="AT992" i="1" s="1"/>
  <c r="AU992" i="1"/>
  <c r="AM992" i="1"/>
  <c r="AN992" i="1" s="1"/>
  <c r="AU575" i="1"/>
  <c r="AM575" i="1"/>
  <c r="AN575" i="1" s="1"/>
  <c r="AS575" i="1"/>
  <c r="AT575" i="1" s="1"/>
  <c r="AU720" i="1"/>
  <c r="AM720" i="1"/>
  <c r="AN720" i="1" s="1"/>
  <c r="AS720" i="1"/>
  <c r="AT720" i="1" s="1"/>
  <c r="AM950" i="1"/>
  <c r="AN950" i="1" s="1"/>
  <c r="AS950" i="1"/>
  <c r="AT950" i="1" s="1"/>
  <c r="AS979" i="1"/>
  <c r="AT979" i="1" s="1"/>
  <c r="AM979" i="1"/>
  <c r="AN979" i="1" s="1"/>
  <c r="AU979" i="1"/>
  <c r="AU293" i="1"/>
  <c r="AS293" i="1"/>
  <c r="AT293" i="1" s="1"/>
  <c r="AU472" i="1"/>
  <c r="AS472" i="1"/>
  <c r="AT472" i="1" s="1"/>
  <c r="AM472" i="1"/>
  <c r="AN472" i="1" s="1"/>
  <c r="AM957" i="1"/>
  <c r="AN957" i="1" s="1"/>
  <c r="AS957" i="1"/>
  <c r="AT957" i="1" s="1"/>
  <c r="AU957" i="1"/>
  <c r="AU415" i="1"/>
  <c r="AS415" i="1"/>
  <c r="AT415" i="1" s="1"/>
  <c r="AM415" i="1"/>
  <c r="AN415" i="1" s="1"/>
  <c r="AM450" i="1"/>
  <c r="AN450" i="1" s="1"/>
  <c r="AS450" i="1"/>
  <c r="AT450" i="1" s="1"/>
  <c r="AM497" i="1"/>
  <c r="AN497" i="1" s="1"/>
  <c r="AS497" i="1"/>
  <c r="AT497" i="1" s="1"/>
  <c r="AS539" i="1"/>
  <c r="AT539" i="1" s="1"/>
  <c r="AU539" i="1"/>
  <c r="AM539" i="1"/>
  <c r="AN539" i="1" s="1"/>
  <c r="AS190" i="1"/>
  <c r="AT190" i="1" s="1"/>
  <c r="AU190" i="1"/>
  <c r="AM190" i="1"/>
  <c r="AN190" i="1" s="1"/>
  <c r="AM284" i="1"/>
  <c r="AN284" i="1" s="1"/>
  <c r="AU284" i="1"/>
  <c r="AS230" i="1"/>
  <c r="AT230" i="1" s="1"/>
  <c r="AU230" i="1"/>
  <c r="AM230" i="1"/>
  <c r="AN230" i="1" s="1"/>
  <c r="AM344" i="1"/>
  <c r="AN344" i="1" s="1"/>
  <c r="AU344" i="1"/>
  <c r="AM920" i="1"/>
  <c r="AN920" i="1" s="1"/>
  <c r="AU920" i="1"/>
  <c r="AM692" i="1"/>
  <c r="AN692" i="1" s="1"/>
  <c r="AS692" i="1"/>
  <c r="AT692" i="1" s="1"/>
  <c r="AM689" i="1"/>
  <c r="AN689" i="1" s="1"/>
  <c r="AU689" i="1"/>
  <c r="AU495" i="1"/>
  <c r="AS495" i="1"/>
  <c r="AT495" i="1" s="1"/>
  <c r="AM673" i="1"/>
  <c r="AN673" i="1" s="1"/>
  <c r="AU673" i="1"/>
  <c r="AU763" i="1"/>
  <c r="AM763" i="1"/>
  <c r="AN763" i="1" s="1"/>
  <c r="AM744" i="1"/>
  <c r="AN744" i="1" s="1"/>
  <c r="AS744" i="1"/>
  <c r="AT744" i="1" s="1"/>
  <c r="AM662" i="1"/>
  <c r="AN662" i="1" s="1"/>
  <c r="AS662" i="1"/>
  <c r="AT662" i="1" s="1"/>
  <c r="AU937" i="1"/>
  <c r="AS937" i="1"/>
  <c r="AT937" i="1" s="1"/>
  <c r="AS745" i="1"/>
  <c r="AT745" i="1" s="1"/>
  <c r="AU745" i="1"/>
  <c r="AM842" i="1"/>
  <c r="AN842" i="1" s="1"/>
  <c r="AS842" i="1"/>
  <c r="AT842" i="1" s="1"/>
  <c r="AS930" i="1"/>
  <c r="AT930" i="1" s="1"/>
  <c r="AU930" i="1"/>
  <c r="AU775" i="1"/>
  <c r="AS775" i="1"/>
  <c r="AT775" i="1" s="1"/>
  <c r="AM775" i="1"/>
  <c r="AN775" i="1" s="1"/>
  <c r="AU518" i="1"/>
  <c r="AS518" i="1"/>
  <c r="AT518" i="1" s="1"/>
  <c r="AM518" i="1"/>
  <c r="AN518" i="1" s="1"/>
  <c r="AU209" i="1"/>
  <c r="AM209" i="1"/>
  <c r="AN209" i="1" s="1"/>
  <c r="AS209" i="1"/>
  <c r="AT209" i="1" s="1"/>
  <c r="AU332" i="1"/>
  <c r="AS332" i="1"/>
  <c r="AT332" i="1" s="1"/>
  <c r="AM332" i="1"/>
  <c r="AN332" i="1" s="1"/>
  <c r="AU705" i="1"/>
  <c r="AS705" i="1"/>
  <c r="AT705" i="1" s="1"/>
  <c r="AM705" i="1"/>
  <c r="AN705" i="1" s="1"/>
  <c r="AS244" i="1"/>
  <c r="AT244" i="1" s="1"/>
  <c r="AU244" i="1"/>
  <c r="AM244" i="1"/>
  <c r="AN244" i="1" s="1"/>
  <c r="AM54" i="1"/>
  <c r="AN54" i="1" s="1"/>
  <c r="AU54" i="1"/>
  <c r="AU658" i="1"/>
  <c r="AS658" i="1"/>
  <c r="AT658" i="1" s="1"/>
  <c r="AM658" i="1"/>
  <c r="AN658" i="1" s="1"/>
  <c r="AS378" i="1"/>
  <c r="AT378" i="1" s="1"/>
  <c r="AM378" i="1"/>
  <c r="AN378" i="1" s="1"/>
  <c r="AU604" i="1"/>
  <c r="AS604" i="1"/>
  <c r="AT604" i="1" s="1"/>
  <c r="AM604" i="1"/>
  <c r="AN604" i="1" s="1"/>
  <c r="AM235" i="1"/>
  <c r="AN235" i="1" s="1"/>
  <c r="AS235" i="1"/>
  <c r="AT235" i="1" s="1"/>
  <c r="AS597" i="1"/>
  <c r="AT597" i="1" s="1"/>
  <c r="AU597" i="1"/>
  <c r="AM597" i="1"/>
  <c r="AN597" i="1" s="1"/>
  <c r="AM95" i="1"/>
  <c r="AN95" i="1" s="1"/>
  <c r="AS95" i="1"/>
  <c r="AT95" i="1" s="1"/>
  <c r="AU653" i="1"/>
  <c r="AS653" i="1"/>
  <c r="AT653" i="1" s="1"/>
  <c r="AM653" i="1"/>
  <c r="AN653" i="1" s="1"/>
  <c r="AM976" i="1"/>
  <c r="AN976" i="1" s="1"/>
  <c r="AS976" i="1"/>
  <c r="AT976" i="1" s="1"/>
  <c r="AU610" i="1"/>
  <c r="AS610" i="1"/>
  <c r="AT610" i="1" s="1"/>
  <c r="AM610" i="1"/>
  <c r="AN610" i="1" s="1"/>
  <c r="AM406" i="1"/>
  <c r="AN406" i="1" s="1"/>
  <c r="AS406" i="1"/>
  <c r="AT406" i="1" s="1"/>
  <c r="AU500" i="1"/>
  <c r="AS500" i="1"/>
  <c r="AT500" i="1" s="1"/>
  <c r="AM500" i="1"/>
  <c r="AN500" i="1" s="1"/>
  <c r="AM101" i="1"/>
  <c r="AN101" i="1" s="1"/>
  <c r="AS101" i="1"/>
  <c r="AT101" i="1" s="1"/>
  <c r="AS938" i="1"/>
  <c r="AT938" i="1" s="1"/>
  <c r="AU938" i="1"/>
  <c r="AM938" i="1"/>
  <c r="AN938" i="1" s="1"/>
  <c r="AU791" i="1"/>
  <c r="AS791" i="1"/>
  <c r="AT791" i="1" s="1"/>
  <c r="AU700" i="1"/>
  <c r="AS700" i="1"/>
  <c r="AT700" i="1" s="1"/>
  <c r="AM700" i="1"/>
  <c r="AN700" i="1" s="1"/>
  <c r="AM43" i="1"/>
  <c r="AN43" i="1" s="1"/>
  <c r="AS43" i="1"/>
  <c r="AT43" i="1" s="1"/>
  <c r="AM853" i="1"/>
  <c r="AN853" i="1" s="1"/>
  <c r="AU853" i="1"/>
  <c r="AS853" i="1"/>
  <c r="AT853" i="1" s="1"/>
  <c r="AM779" i="1"/>
  <c r="AN779" i="1" s="1"/>
  <c r="AS779" i="1"/>
  <c r="AT779" i="1" s="1"/>
  <c r="AM336" i="1"/>
  <c r="AN336" i="1" s="1"/>
  <c r="AU336" i="1"/>
  <c r="AS336" i="1"/>
  <c r="AT336" i="1" s="1"/>
  <c r="AS290" i="1"/>
  <c r="AT290" i="1" s="1"/>
  <c r="AM290" i="1"/>
  <c r="AN290" i="1" s="1"/>
  <c r="AM941" i="1"/>
  <c r="AN941" i="1" s="1"/>
  <c r="AS941" i="1"/>
  <c r="AT941" i="1" s="1"/>
  <c r="AU941" i="1"/>
  <c r="AM868" i="1"/>
  <c r="AN868" i="1" s="1"/>
  <c r="AS868" i="1"/>
  <c r="AT868" i="1" s="1"/>
  <c r="AU122" i="1"/>
  <c r="AS122" i="1"/>
  <c r="AT122" i="1" s="1"/>
  <c r="AM122" i="1"/>
  <c r="AN122" i="1" s="1"/>
  <c r="AM512" i="1"/>
  <c r="AN512" i="1" s="1"/>
  <c r="AS512" i="1"/>
  <c r="AT512" i="1" s="1"/>
  <c r="AU477" i="1"/>
  <c r="AS477" i="1"/>
  <c r="AT477" i="1" s="1"/>
  <c r="AM477" i="1"/>
  <c r="AN477" i="1" s="1"/>
  <c r="AM860" i="1"/>
  <c r="AN860" i="1" s="1"/>
  <c r="AU860" i="1"/>
  <c r="AU44" i="1"/>
  <c r="AS44" i="1"/>
  <c r="AT44" i="1" s="1"/>
  <c r="AM44" i="1"/>
  <c r="AN44" i="1" s="1"/>
  <c r="AM471" i="1"/>
  <c r="AN471" i="1" s="1"/>
  <c r="AU471" i="1"/>
  <c r="AS988" i="1"/>
  <c r="AT988" i="1" s="1"/>
  <c r="AU988" i="1"/>
  <c r="AM988" i="1"/>
  <c r="AN988" i="1" s="1"/>
  <c r="AM85" i="1"/>
  <c r="AN85" i="1" s="1"/>
  <c r="AS85" i="1"/>
  <c r="AT85" i="1" s="1"/>
  <c r="AU504" i="1"/>
  <c r="AS504" i="1"/>
  <c r="AT504" i="1" s="1"/>
  <c r="AM504" i="1"/>
  <c r="AN504" i="1" s="1"/>
  <c r="AM844" i="1"/>
  <c r="AN844" i="1" s="1"/>
  <c r="AS844" i="1"/>
  <c r="AT844" i="1" s="1"/>
  <c r="AS1025" i="1"/>
  <c r="AT1025" i="1" s="1"/>
  <c r="AU1025" i="1"/>
  <c r="AM1025" i="1"/>
  <c r="AN1025" i="1" s="1"/>
  <c r="AM214" i="1"/>
  <c r="AN214" i="1" s="1"/>
  <c r="AU214" i="1"/>
  <c r="AS524" i="1"/>
  <c r="AT524" i="1" s="1"/>
  <c r="AU524" i="1"/>
  <c r="AM524" i="1"/>
  <c r="AN524" i="1" s="1"/>
  <c r="AM492" i="1"/>
  <c r="AN492" i="1" s="1"/>
  <c r="AS492" i="1"/>
  <c r="AT492" i="1" s="1"/>
  <c r="AU855" i="1"/>
  <c r="AS855" i="1"/>
  <c r="AT855" i="1" s="1"/>
  <c r="AM855" i="1"/>
  <c r="AN855" i="1" s="1"/>
  <c r="AM277" i="1"/>
  <c r="AN277" i="1" s="1"/>
  <c r="AU277" i="1"/>
  <c r="AU320" i="1"/>
  <c r="AM320" i="1"/>
  <c r="AN320" i="1" s="1"/>
  <c r="AS320" i="1"/>
  <c r="AT320" i="1" s="1"/>
  <c r="AU184" i="1"/>
  <c r="AS184" i="1"/>
  <c r="AT184" i="1" s="1"/>
  <c r="AS516" i="1"/>
  <c r="AT516" i="1" s="1"/>
  <c r="AU516" i="1"/>
  <c r="AM516" i="1"/>
  <c r="AN516" i="1" s="1"/>
  <c r="AM211" i="1"/>
  <c r="AN211" i="1" s="1"/>
  <c r="AS211" i="1"/>
  <c r="AT211" i="1" s="1"/>
  <c r="AU1038" i="1"/>
  <c r="AS1038" i="1"/>
  <c r="AT1038" i="1" s="1"/>
  <c r="AM1038" i="1"/>
  <c r="AN1038" i="1" s="1"/>
  <c r="AM402" i="1"/>
  <c r="AN402" i="1" s="1"/>
  <c r="AS402" i="1"/>
  <c r="AT402" i="1" s="1"/>
  <c r="AS56" i="1"/>
  <c r="AT56" i="1" s="1"/>
  <c r="AM56" i="1"/>
  <c r="AN56" i="1" s="1"/>
  <c r="AU56" i="1"/>
  <c r="AM205" i="1"/>
  <c r="AN205" i="1" s="1"/>
  <c r="AS205" i="1"/>
  <c r="AT205" i="1" s="1"/>
  <c r="AU459" i="1"/>
  <c r="AS459" i="1"/>
  <c r="AT459" i="1" s="1"/>
  <c r="AM459" i="1"/>
  <c r="AN459" i="1" s="1"/>
  <c r="AM410" i="1"/>
  <c r="AN410" i="1" s="1"/>
  <c r="AU410" i="1"/>
  <c r="AS970" i="1"/>
  <c r="AT970" i="1" s="1"/>
  <c r="AM970" i="1"/>
  <c r="AN970" i="1" s="1"/>
  <c r="AU970" i="1"/>
  <c r="AM120" i="1"/>
  <c r="AN120" i="1" s="1"/>
  <c r="AU120" i="1"/>
  <c r="AU560" i="1"/>
  <c r="AS560" i="1"/>
  <c r="AT560" i="1" s="1"/>
  <c r="AM560" i="1"/>
  <c r="AN560" i="1" s="1"/>
  <c r="AU104" i="1"/>
  <c r="AS104" i="1"/>
  <c r="AT104" i="1" s="1"/>
  <c r="AM104" i="1"/>
  <c r="AN104" i="1" s="1"/>
  <c r="AM282" i="1"/>
  <c r="AN282" i="1" s="1"/>
  <c r="AS282" i="1"/>
  <c r="AT282" i="1" s="1"/>
  <c r="AU282" i="1"/>
  <c r="AU717" i="1"/>
  <c r="AS717" i="1"/>
  <c r="AT717" i="1" s="1"/>
  <c r="AM717" i="1"/>
  <c r="AN717" i="1" s="1"/>
  <c r="AU377" i="1"/>
  <c r="AS377" i="1"/>
  <c r="AT377" i="1" s="1"/>
  <c r="AM377" i="1"/>
  <c r="AN377" i="1" s="1"/>
  <c r="AM311" i="1"/>
  <c r="AN311" i="1" s="1"/>
  <c r="AU311" i="1"/>
  <c r="AS311" i="1"/>
  <c r="AT311" i="1" s="1"/>
  <c r="AS483" i="1"/>
  <c r="AT483" i="1" s="1"/>
  <c r="AU483" i="1"/>
  <c r="AS863" i="1"/>
  <c r="AT863" i="1" s="1"/>
  <c r="AM863" i="1"/>
  <c r="AN863" i="1" s="1"/>
  <c r="AU1005" i="1"/>
  <c r="AM1005" i="1"/>
  <c r="AN1005" i="1" s="1"/>
  <c r="AS811" i="1"/>
  <c r="AT811" i="1" s="1"/>
  <c r="AU811" i="1"/>
  <c r="AU836" i="1"/>
  <c r="AM836" i="1"/>
  <c r="AN836" i="1" s="1"/>
  <c r="AU972" i="1"/>
  <c r="AS972" i="1"/>
  <c r="AT972" i="1" s="1"/>
  <c r="AM936" i="1"/>
  <c r="AN936" i="1" s="1"/>
  <c r="AS936" i="1"/>
  <c r="AT936" i="1" s="1"/>
  <c r="AS649" i="1"/>
  <c r="AT649" i="1" s="1"/>
  <c r="AU649" i="1"/>
  <c r="AU167" i="1"/>
  <c r="AS167" i="1"/>
  <c r="AT167" i="1" s="1"/>
  <c r="AM781" i="1"/>
  <c r="AN781" i="1" s="1"/>
  <c r="AS781" i="1"/>
  <c r="AT781" i="1" s="1"/>
  <c r="AS1016" i="1"/>
  <c r="AT1016" i="1" s="1"/>
  <c r="AU1016" i="1"/>
  <c r="AM734" i="1"/>
  <c r="AN734" i="1" s="1"/>
  <c r="AS734" i="1"/>
  <c r="AT734" i="1" s="1"/>
  <c r="AM441" i="1"/>
  <c r="AN441" i="1" s="1"/>
  <c r="AS441" i="1"/>
  <c r="AT441" i="1" s="1"/>
  <c r="AM427" i="1"/>
  <c r="AN427" i="1" s="1"/>
  <c r="AU427" i="1"/>
  <c r="AU1036" i="1"/>
  <c r="AS1036" i="1"/>
  <c r="AT1036" i="1" s="1"/>
  <c r="AM1036" i="1"/>
  <c r="AN1036" i="1" s="1"/>
  <c r="AM52" i="1"/>
  <c r="AN52" i="1" s="1"/>
  <c r="AS52" i="1"/>
  <c r="AT52" i="1" s="1"/>
  <c r="AU52" i="1"/>
  <c r="AS46" i="1"/>
  <c r="AT46" i="1" s="1"/>
  <c r="AU46" i="1"/>
  <c r="AM46" i="1"/>
  <c r="AN46" i="1" s="1"/>
  <c r="AM642" i="1"/>
  <c r="AN642" i="1" s="1"/>
  <c r="AS642" i="1"/>
  <c r="AT642" i="1" s="1"/>
  <c r="AU642" i="1"/>
  <c r="AU361" i="1"/>
  <c r="AS361" i="1"/>
  <c r="AT361" i="1" s="1"/>
  <c r="AM361" i="1"/>
  <c r="AN361" i="1" s="1"/>
  <c r="AM129" i="1"/>
  <c r="AN129" i="1" s="1"/>
  <c r="AU129" i="1"/>
  <c r="AS129" i="1"/>
  <c r="AT129" i="1" s="1"/>
  <c r="AM157" i="1"/>
  <c r="AN157" i="1" s="1"/>
  <c r="AU157" i="1"/>
  <c r="AS157" i="1"/>
  <c r="AT157" i="1" s="1"/>
  <c r="AU469" i="1"/>
  <c r="AM469" i="1"/>
  <c r="AN469" i="1" s="1"/>
  <c r="AS469" i="1"/>
  <c r="AT469" i="1" s="1"/>
  <c r="AS672" i="1"/>
  <c r="AT672" i="1" s="1"/>
  <c r="AM672" i="1"/>
  <c r="AN672" i="1" s="1"/>
  <c r="AU672" i="1"/>
  <c r="AM999" i="1"/>
  <c r="AN999" i="1" s="1"/>
  <c r="AU999" i="1"/>
  <c r="AS999" i="1"/>
  <c r="AT999" i="1" s="1"/>
  <c r="AS675" i="1"/>
  <c r="AT675" i="1" s="1"/>
  <c r="AU675" i="1"/>
  <c r="AM675" i="1"/>
  <c r="AN675" i="1" s="1"/>
  <c r="AU169" i="1"/>
  <c r="AS169" i="1"/>
  <c r="AT169" i="1" s="1"/>
  <c r="AM169" i="1"/>
  <c r="AN169" i="1" s="1"/>
  <c r="AU187" i="1"/>
  <c r="AS187" i="1"/>
  <c r="AT187" i="1" s="1"/>
  <c r="AM187" i="1"/>
  <c r="AN187" i="1" s="1"/>
  <c r="AM195" i="1"/>
  <c r="AN195" i="1" s="1"/>
  <c r="AU195" i="1"/>
  <c r="AS195" i="1"/>
  <c r="AT195" i="1" s="1"/>
  <c r="AS287" i="1"/>
  <c r="AT287" i="1" s="1"/>
  <c r="AU287" i="1"/>
  <c r="AM287" i="1"/>
  <c r="AN287" i="1" s="1"/>
  <c r="AM841" i="1"/>
  <c r="AN841" i="1" s="1"/>
  <c r="AS841" i="1"/>
  <c r="AT841" i="1" s="1"/>
  <c r="AU841" i="1"/>
  <c r="AS55" i="1"/>
  <c r="AT55" i="1" s="1"/>
  <c r="AU55" i="1"/>
  <c r="AM55" i="1"/>
  <c r="AN55" i="1" s="1"/>
  <c r="AS253" i="1"/>
  <c r="AT253" i="1" s="1"/>
  <c r="AU253" i="1"/>
  <c r="AM253" i="1"/>
  <c r="AN253" i="1" s="1"/>
  <c r="AS713" i="1"/>
  <c r="AT713" i="1" s="1"/>
  <c r="AU713" i="1"/>
  <c r="AM713" i="1"/>
  <c r="AN713" i="1" s="1"/>
  <c r="AM534" i="1"/>
  <c r="AN534" i="1" s="1"/>
  <c r="AU534" i="1"/>
  <c r="AS534" i="1"/>
  <c r="AT534" i="1" s="1"/>
  <c r="AU219" i="1"/>
  <c r="AS219" i="1"/>
  <c r="AT219" i="1" s="1"/>
  <c r="AM219" i="1"/>
  <c r="AN219" i="1" s="1"/>
  <c r="AM981" i="1"/>
  <c r="AN981" i="1" s="1"/>
  <c r="AS981" i="1"/>
  <c r="AT981" i="1" s="1"/>
  <c r="AU981" i="1"/>
  <c r="AU143" i="1"/>
  <c r="AS143" i="1"/>
  <c r="AT143" i="1" s="1"/>
  <c r="AM143" i="1"/>
  <c r="AN143" i="1" s="1"/>
  <c r="AM894" i="1"/>
  <c r="AN894" i="1" s="1"/>
  <c r="AS894" i="1"/>
  <c r="AT894" i="1" s="1"/>
  <c r="AU894" i="1"/>
  <c r="AS644" i="1"/>
  <c r="AT644" i="1" s="1"/>
  <c r="AM644" i="1"/>
  <c r="AN644" i="1" s="1"/>
  <c r="AU644" i="1"/>
  <c r="AM460" i="1"/>
  <c r="AN460" i="1" s="1"/>
  <c r="AU460" i="1"/>
  <c r="AS460" i="1"/>
  <c r="AT460" i="1" s="1"/>
  <c r="AM609" i="1"/>
  <c r="AN609" i="1" s="1"/>
  <c r="AS609" i="1"/>
  <c r="AT609" i="1" s="1"/>
  <c r="AU609" i="1"/>
  <c r="AU322" i="1"/>
  <c r="AM322" i="1"/>
  <c r="AN322" i="1" s="1"/>
  <c r="AS322" i="1"/>
  <c r="AT322" i="1" s="1"/>
  <c r="AM800" i="1"/>
  <c r="AN800" i="1" s="1"/>
  <c r="AU800" i="1"/>
  <c r="AU1008" i="1"/>
  <c r="AS1008" i="1"/>
  <c r="AT1008" i="1" s="1"/>
  <c r="AS1019" i="1"/>
  <c r="AT1019" i="1" s="1"/>
  <c r="AU1019" i="1"/>
  <c r="AM121" i="1"/>
  <c r="AN121" i="1" s="1"/>
  <c r="AS121" i="1"/>
  <c r="AT121" i="1" s="1"/>
  <c r="AM392" i="1"/>
  <c r="AN392" i="1" s="1"/>
  <c r="AU392" i="1"/>
  <c r="AS830" i="1"/>
  <c r="AT830" i="1" s="1"/>
  <c r="AU830" i="1"/>
  <c r="AS354" i="1"/>
  <c r="AT354" i="1" s="1"/>
  <c r="AM354" i="1"/>
  <c r="AN354" i="1" s="1"/>
  <c r="AU354" i="1"/>
  <c r="AS316" i="1"/>
  <c r="AT316" i="1" s="1"/>
  <c r="AM316" i="1"/>
  <c r="AN316" i="1" s="1"/>
  <c r="AU316" i="1"/>
  <c r="AM86" i="1"/>
  <c r="AN86" i="1" s="1"/>
  <c r="AU86" i="1"/>
  <c r="AS86" i="1"/>
  <c r="AT86" i="1" s="1"/>
  <c r="AS67" i="1"/>
  <c r="AT67" i="1" s="1"/>
  <c r="AU67" i="1"/>
  <c r="AM67" i="1"/>
  <c r="AN67" i="1" s="1"/>
  <c r="AU102" i="1"/>
  <c r="AS102" i="1"/>
  <c r="AT102" i="1" s="1"/>
  <c r="AM102" i="1"/>
  <c r="AN102" i="1" s="1"/>
  <c r="AS439" i="1"/>
  <c r="AT439" i="1" s="1"/>
  <c r="AM439" i="1"/>
  <c r="AN439" i="1" s="1"/>
  <c r="AU439" i="1"/>
  <c r="AS60" i="1"/>
  <c r="AT60" i="1" s="1"/>
  <c r="AM60" i="1"/>
  <c r="AN60" i="1" s="1"/>
  <c r="AU60" i="1"/>
  <c r="AU162" i="1"/>
  <c r="AM162" i="1"/>
  <c r="AN162" i="1" s="1"/>
  <c r="AS162" i="1"/>
  <c r="AT162" i="1" s="1"/>
  <c r="AU564" i="1"/>
  <c r="AS564" i="1"/>
  <c r="AT564" i="1" s="1"/>
  <c r="AM564" i="1"/>
  <c r="AN564" i="1" s="1"/>
  <c r="AS895" i="1"/>
  <c r="AT895" i="1" s="1"/>
  <c r="AM895" i="1"/>
  <c r="AN895" i="1" s="1"/>
  <c r="AU895" i="1"/>
  <c r="AU192" i="1"/>
  <c r="AM192" i="1"/>
  <c r="AN192" i="1" s="1"/>
  <c r="AS192" i="1"/>
  <c r="AT192" i="1" s="1"/>
  <c r="AU362" i="1"/>
  <c r="AS362" i="1"/>
  <c r="AT362" i="1" s="1"/>
  <c r="AM362" i="1"/>
  <c r="AN362" i="1" s="1"/>
  <c r="AS403" i="1"/>
  <c r="AT403" i="1" s="1"/>
  <c r="AU403" i="1"/>
  <c r="AM403" i="1"/>
  <c r="AN403" i="1" s="1"/>
  <c r="AU238" i="1"/>
  <c r="AS238" i="1"/>
  <c r="AT238" i="1" s="1"/>
  <c r="AM238" i="1"/>
  <c r="AN238" i="1" s="1"/>
  <c r="AM340" i="1"/>
  <c r="AN340" i="1" s="1"/>
  <c r="AS340" i="1"/>
  <c r="AT340" i="1" s="1"/>
  <c r="AS857" i="1"/>
  <c r="AT857" i="1" s="1"/>
  <c r="AM857" i="1"/>
  <c r="AN857" i="1" s="1"/>
  <c r="AU857" i="1"/>
  <c r="AS297" i="1"/>
  <c r="AT297" i="1" s="1"/>
  <c r="AM297" i="1"/>
  <c r="AN297" i="1" s="1"/>
  <c r="AU297" i="1"/>
  <c r="AU409" i="1"/>
  <c r="AM409" i="1"/>
  <c r="AN409" i="1" s="1"/>
  <c r="AS409" i="1"/>
  <c r="AT409" i="1" s="1"/>
  <c r="AM90" i="1"/>
  <c r="AN90" i="1" s="1"/>
  <c r="AU90" i="1"/>
  <c r="AS90" i="1"/>
  <c r="AT90" i="1" s="1"/>
  <c r="AU353" i="1"/>
  <c r="AS353" i="1"/>
  <c r="AT353" i="1" s="1"/>
  <c r="AM353" i="1"/>
  <c r="AN353" i="1" s="1"/>
  <c r="AM697" i="1"/>
  <c r="AN697" i="1" s="1"/>
  <c r="AU697" i="1"/>
  <c r="AS697" i="1"/>
  <c r="AT697" i="1" s="1"/>
  <c r="AM41" i="1"/>
  <c r="AN41" i="1" s="1"/>
  <c r="AU41" i="1"/>
  <c r="AS41" i="1"/>
  <c r="AT41" i="1" s="1"/>
  <c r="AU973" i="1"/>
  <c r="AM973" i="1"/>
  <c r="AN973" i="1" s="1"/>
  <c r="AU960" i="1"/>
  <c r="AM960" i="1"/>
  <c r="AN960" i="1" s="1"/>
  <c r="AS960" i="1"/>
  <c r="AT960" i="1" s="1"/>
  <c r="AM630" i="1"/>
  <c r="AN630" i="1" s="1"/>
  <c r="AS630" i="1"/>
  <c r="AT630" i="1" s="1"/>
  <c r="AU630" i="1"/>
  <c r="AM480" i="1"/>
  <c r="AN480" i="1" s="1"/>
  <c r="AS480" i="1"/>
  <c r="AT480" i="1" s="1"/>
  <c r="AU480" i="1"/>
  <c r="AS474" i="1"/>
  <c r="AT474" i="1" s="1"/>
  <c r="AU474" i="1"/>
  <c r="AM474" i="1"/>
  <c r="AN474" i="1" s="1"/>
  <c r="AU301" i="1"/>
  <c r="AS301" i="1"/>
  <c r="AT301" i="1" s="1"/>
  <c r="AM301" i="1"/>
  <c r="AN301" i="1" s="1"/>
  <c r="AM335" i="1"/>
  <c r="AN335" i="1" s="1"/>
  <c r="AU335" i="1"/>
  <c r="AS335" i="1"/>
  <c r="AT335" i="1" s="1"/>
  <c r="AS632" i="1"/>
  <c r="AT632" i="1" s="1"/>
  <c r="AU632" i="1"/>
  <c r="AM632" i="1"/>
  <c r="AN632" i="1" s="1"/>
  <c r="AU328" i="1"/>
  <c r="AM328" i="1"/>
  <c r="AN328" i="1" s="1"/>
  <c r="AU1040" i="1"/>
  <c r="AS1040" i="1"/>
  <c r="AT1040" i="1" s="1"/>
  <c r="AM1040" i="1"/>
  <c r="AN1040" i="1" s="1"/>
  <c r="AM115" i="1"/>
  <c r="AN115" i="1" s="1"/>
  <c r="AS115" i="1"/>
  <c r="AT115" i="1" s="1"/>
  <c r="AU115" i="1"/>
  <c r="AS468" i="1"/>
  <c r="AT468" i="1" s="1"/>
  <c r="AM468" i="1"/>
  <c r="AN468" i="1" s="1"/>
  <c r="AU468" i="1"/>
  <c r="AM33" i="1"/>
  <c r="AN33" i="1" s="1"/>
  <c r="AU33" i="1"/>
  <c r="AS33" i="1"/>
  <c r="AT33" i="1" s="1"/>
  <c r="AS68" i="1"/>
  <c r="AT68" i="1" s="1"/>
  <c r="AU68" i="1"/>
  <c r="AM68" i="1"/>
  <c r="AN68" i="1" s="1"/>
  <c r="AU333" i="1"/>
  <c r="AM333" i="1"/>
  <c r="AN333" i="1" s="1"/>
  <c r="AS333" i="1"/>
  <c r="AT333" i="1" s="1"/>
  <c r="AU666" i="1"/>
  <c r="AM666" i="1"/>
  <c r="AN666" i="1" s="1"/>
  <c r="AS666" i="1"/>
  <c r="AT666" i="1" s="1"/>
  <c r="AU711" i="1"/>
  <c r="AM711" i="1"/>
  <c r="AN711" i="1" s="1"/>
  <c r="AU731" i="1"/>
  <c r="AS731" i="1"/>
  <c r="AT731" i="1" s="1"/>
  <c r="AM731" i="1"/>
  <c r="AN731" i="1" s="1"/>
  <c r="AS98" i="1"/>
  <c r="AT98" i="1" s="1"/>
  <c r="AU98" i="1"/>
  <c r="AM98" i="1"/>
  <c r="AN98" i="1" s="1"/>
  <c r="AU520" i="1"/>
  <c r="AS520" i="1"/>
  <c r="AT520" i="1" s="1"/>
  <c r="AM520" i="1"/>
  <c r="AN520" i="1" s="1"/>
  <c r="AS241" i="1"/>
  <c r="AT241" i="1" s="1"/>
  <c r="AM241" i="1"/>
  <c r="AN241" i="1" s="1"/>
  <c r="AU241" i="1"/>
  <c r="AU174" i="1"/>
  <c r="AS174" i="1"/>
  <c r="AT174" i="1" s="1"/>
  <c r="AM174" i="1"/>
  <c r="AN174" i="1" s="1"/>
  <c r="AM200" i="1"/>
  <c r="AN200" i="1" s="1"/>
  <c r="AU200" i="1"/>
  <c r="AS200" i="1"/>
  <c r="AT200" i="1" s="1"/>
  <c r="AS153" i="1"/>
  <c r="AT153" i="1" s="1"/>
  <c r="AM153" i="1"/>
  <c r="AN153" i="1" s="1"/>
  <c r="AU153" i="1"/>
  <c r="AS299" i="1"/>
  <c r="AT299" i="1" s="1"/>
  <c r="AU299" i="1"/>
  <c r="AU31" i="1"/>
  <c r="AS31" i="1"/>
  <c r="AT31" i="1" s="1"/>
  <c r="AM31" i="1"/>
  <c r="AN31" i="1" s="1"/>
  <c r="AU517" i="1"/>
  <c r="AS517" i="1"/>
  <c r="AT517" i="1" s="1"/>
  <c r="AM517" i="1"/>
  <c r="AN517" i="1" s="1"/>
  <c r="AS530" i="1"/>
  <c r="AT530" i="1" s="1"/>
  <c r="AU530" i="1"/>
  <c r="AM530" i="1"/>
  <c r="AN530" i="1" s="1"/>
  <c r="AM76" i="1"/>
  <c r="AN76" i="1" s="1"/>
  <c r="AU76" i="1"/>
  <c r="AS76" i="1"/>
  <c r="AT76" i="1" s="1"/>
  <c r="AU198" i="1"/>
  <c r="AS198" i="1"/>
  <c r="AT198" i="1" s="1"/>
  <c r="AM198" i="1"/>
  <c r="AN198" i="1" s="1"/>
  <c r="AS257" i="1"/>
  <c r="AT257" i="1" s="1"/>
  <c r="AU257" i="1"/>
  <c r="AM257" i="1"/>
  <c r="AN257" i="1" s="1"/>
  <c r="AU935" i="1"/>
  <c r="AS935" i="1"/>
  <c r="AT935" i="1" s="1"/>
  <c r="AM935" i="1"/>
  <c r="AN935" i="1" s="1"/>
  <c r="AM155" i="1"/>
  <c r="AN155" i="1" s="1"/>
  <c r="AU155" i="1"/>
  <c r="AS155" i="1"/>
  <c r="AT155" i="1" s="1"/>
  <c r="AS329" i="1"/>
  <c r="AT329" i="1" s="1"/>
  <c r="AU329" i="1"/>
  <c r="AM329" i="1"/>
  <c r="AN329" i="1" s="1"/>
  <c r="AS239" i="1"/>
  <c r="AT239" i="1" s="1"/>
  <c r="AU239" i="1"/>
  <c r="AM239" i="1"/>
  <c r="AN239" i="1" s="1"/>
  <c r="AM349" i="1"/>
  <c r="AN349" i="1" s="1"/>
  <c r="AU349" i="1"/>
  <c r="AS49" i="1"/>
  <c r="AT49" i="1" s="1"/>
  <c r="AU49" i="1"/>
  <c r="AU351" i="1"/>
  <c r="AS351" i="1"/>
  <c r="AT351" i="1" s="1"/>
  <c r="AM568" i="1"/>
  <c r="AN568" i="1" s="1"/>
  <c r="AS568" i="1"/>
  <c r="AT568" i="1" s="1"/>
  <c r="AU568" i="1"/>
  <c r="AS194" i="1"/>
  <c r="AT194" i="1" s="1"/>
  <c r="AU194" i="1"/>
  <c r="AU381" i="1"/>
  <c r="AS381" i="1"/>
  <c r="AT381" i="1" s="1"/>
  <c r="AM381" i="1"/>
  <c r="AN381" i="1" s="1"/>
  <c r="AM229" i="1"/>
  <c r="AN229" i="1" s="1"/>
  <c r="AU229" i="1"/>
  <c r="AS229" i="1"/>
  <c r="AT229" i="1" s="1"/>
  <c r="AU348" i="1"/>
  <c r="AS348" i="1"/>
  <c r="AT348" i="1" s="1"/>
  <c r="AS268" i="1"/>
  <c r="AT268" i="1" s="1"/>
  <c r="AU268" i="1"/>
  <c r="AM268" i="1"/>
  <c r="AN268" i="1" s="1"/>
  <c r="AS859" i="1"/>
  <c r="AT859" i="1" s="1"/>
  <c r="AU859" i="1"/>
  <c r="AM859" i="1"/>
  <c r="AN859" i="1" s="1"/>
  <c r="AU594" i="1"/>
  <c r="AS594" i="1"/>
  <c r="AT594" i="1" s="1"/>
  <c r="AM594" i="1"/>
  <c r="AN594" i="1" s="1"/>
  <c r="AS323" i="1"/>
  <c r="AT323" i="1" s="1"/>
  <c r="AU323" i="1"/>
  <c r="AM323" i="1"/>
  <c r="AN323" i="1" s="1"/>
  <c r="AM461" i="1"/>
  <c r="AN461" i="1" s="1"/>
  <c r="AU461" i="1"/>
  <c r="AS461" i="1"/>
  <c r="AT461" i="1" s="1"/>
  <c r="AM159" i="1"/>
  <c r="AN159" i="1" s="1"/>
  <c r="AM691" i="1"/>
  <c r="AN691" i="1" s="1"/>
  <c r="AS250" i="1"/>
  <c r="AT250" i="1" s="1"/>
  <c r="AM499" i="1"/>
  <c r="AN499" i="1" s="1"/>
  <c r="AM897" i="1"/>
  <c r="AN897" i="1" s="1"/>
  <c r="AS310" i="1"/>
  <c r="AT310" i="1" s="1"/>
  <c r="AU612" i="1"/>
  <c r="AU412" i="1"/>
  <c r="AS660" i="1"/>
  <c r="AT660" i="1" s="1"/>
  <c r="AU746" i="1"/>
  <c r="AU809" i="1"/>
  <c r="AS215" i="1"/>
  <c r="AT215" i="1" s="1"/>
  <c r="AM620" i="1"/>
  <c r="AN620" i="1" s="1"/>
  <c r="AU951" i="1"/>
  <c r="AM947" i="1"/>
  <c r="AN947" i="1" s="1"/>
  <c r="AU883" i="1"/>
  <c r="AM371" i="1"/>
  <c r="AN371" i="1" s="1"/>
  <c r="AU435" i="1"/>
  <c r="AM625" i="1"/>
  <c r="AN625" i="1" s="1"/>
  <c r="AU562" i="1"/>
  <c r="AS557" i="1"/>
  <c r="AT557" i="1" s="1"/>
  <c r="AM930" i="1"/>
  <c r="AN930" i="1" s="1"/>
  <c r="AU842" i="1"/>
  <c r="AM745" i="1"/>
  <c r="AN745" i="1" s="1"/>
  <c r="AM937" i="1"/>
  <c r="AN937" i="1" s="1"/>
  <c r="AU662" i="1"/>
  <c r="AU744" i="1"/>
  <c r="AS763" i="1"/>
  <c r="AT763" i="1" s="1"/>
  <c r="AS673" i="1"/>
  <c r="AT673" i="1" s="1"/>
  <c r="AM495" i="1"/>
  <c r="AN495" i="1" s="1"/>
  <c r="AS689" i="1"/>
  <c r="AT689" i="1" s="1"/>
  <c r="AU692" i="1"/>
  <c r="AS920" i="1"/>
  <c r="AT920" i="1" s="1"/>
  <c r="AU205" i="1"/>
  <c r="AS277" i="1"/>
  <c r="AT277" i="1" s="1"/>
  <c r="AU85" i="1"/>
  <c r="AU868" i="1"/>
  <c r="AM791" i="1"/>
  <c r="AN791" i="1" s="1"/>
  <c r="AU95" i="1"/>
  <c r="AS427" i="1"/>
  <c r="AT427" i="1" s="1"/>
  <c r="AS836" i="1"/>
  <c r="AT836" i="1" s="1"/>
  <c r="AU121" i="1"/>
  <c r="AU781" i="1"/>
  <c r="AM483" i="1"/>
  <c r="AN483" i="1" s="1"/>
  <c r="AU497" i="1"/>
  <c r="AM299" i="1"/>
  <c r="AN299" i="1" s="1"/>
  <c r="AU340" i="1"/>
  <c r="AS747" i="1"/>
  <c r="AT747" i="1" s="1"/>
  <c r="AU747" i="1"/>
  <c r="AU87" i="1"/>
  <c r="AS87" i="1"/>
  <c r="AT87" i="1" s="1"/>
  <c r="AU843" i="1"/>
  <c r="AS843" i="1"/>
  <c r="AT843" i="1" s="1"/>
  <c r="AS944" i="1"/>
  <c r="AT944" i="1" s="1"/>
  <c r="AU944" i="1"/>
  <c r="AU481" i="1"/>
  <c r="AS481" i="1"/>
  <c r="AT481" i="1" s="1"/>
  <c r="AS545" i="1"/>
  <c r="AT545" i="1" s="1"/>
  <c r="AM545" i="1"/>
  <c r="AN545" i="1" s="1"/>
  <c r="AS759" i="1"/>
  <c r="AT759" i="1" s="1"/>
  <c r="AM759" i="1"/>
  <c r="AN759" i="1" s="1"/>
  <c r="AS616" i="1"/>
  <c r="AT616" i="1" s="1"/>
  <c r="AM616" i="1"/>
  <c r="AN616" i="1" s="1"/>
  <c r="AS614" i="1"/>
  <c r="AT614" i="1" s="1"/>
  <c r="AM614" i="1"/>
  <c r="AN614" i="1" s="1"/>
  <c r="AU661" i="1"/>
  <c r="AS661" i="1"/>
  <c r="AT661" i="1" s="1"/>
  <c r="AU559" i="1"/>
  <c r="AS559" i="1"/>
  <c r="AT559" i="1" s="1"/>
  <c r="AM559" i="1"/>
  <c r="AN559" i="1" s="1"/>
  <c r="AS676" i="1"/>
  <c r="AT676" i="1" s="1"/>
  <c r="AM676" i="1"/>
  <c r="AN676" i="1" s="1"/>
  <c r="AU676" i="1"/>
  <c r="AS529" i="1"/>
  <c r="AT529" i="1" s="1"/>
  <c r="AU529" i="1"/>
  <c r="AS807" i="1"/>
  <c r="AT807" i="1" s="1"/>
  <c r="AU807" i="1"/>
  <c r="AS939" i="1"/>
  <c r="AT939" i="1" s="1"/>
  <c r="AU939" i="1"/>
  <c r="AM926" i="1"/>
  <c r="AN926" i="1" s="1"/>
  <c r="AS926" i="1"/>
  <c r="AT926" i="1" s="1"/>
  <c r="AM741" i="1"/>
  <c r="AN741" i="1" s="1"/>
  <c r="AS741" i="1"/>
  <c r="AT741" i="1" s="1"/>
  <c r="AU665" i="1"/>
  <c r="AS665" i="1"/>
  <c r="AT665" i="1" s="1"/>
  <c r="AM729" i="1"/>
  <c r="AN729" i="1" s="1"/>
  <c r="AS729" i="1"/>
  <c r="AT729" i="1" s="1"/>
  <c r="AM366" i="1"/>
  <c r="AN366" i="1" s="1"/>
  <c r="AS366" i="1"/>
  <c r="AT366" i="1" s="1"/>
  <c r="AS767" i="1"/>
  <c r="AT767" i="1" s="1"/>
  <c r="AM767" i="1"/>
  <c r="AN767" i="1" s="1"/>
  <c r="AU405" i="1"/>
  <c r="AS405" i="1"/>
  <c r="AT405" i="1" s="1"/>
  <c r="AM304" i="1"/>
  <c r="AN304" i="1" s="1"/>
  <c r="AU304" i="1"/>
  <c r="AU373" i="1"/>
  <c r="AM373" i="1"/>
  <c r="AN373" i="1" s="1"/>
  <c r="AS373" i="1"/>
  <c r="AT373" i="1" s="1"/>
  <c r="AM172" i="1"/>
  <c r="AN172" i="1" s="1"/>
  <c r="AS172" i="1"/>
  <c r="AT172" i="1" s="1"/>
  <c r="AU172" i="1"/>
  <c r="AM786" i="1"/>
  <c r="AN786" i="1" s="1"/>
  <c r="AS786" i="1"/>
  <c r="AT786" i="1" s="1"/>
  <c r="AU786" i="1"/>
  <c r="AS1020" i="1"/>
  <c r="AT1020" i="1" s="1"/>
  <c r="AU1020" i="1"/>
  <c r="AM1020" i="1"/>
  <c r="AN1020" i="1" s="1"/>
  <c r="AU684" i="1"/>
  <c r="AS684" i="1"/>
  <c r="AT684" i="1" s="1"/>
  <c r="AM684" i="1"/>
  <c r="AN684" i="1" s="1"/>
  <c r="AU852" i="1"/>
  <c r="AM852" i="1"/>
  <c r="AN852" i="1" s="1"/>
  <c r="AS852" i="1"/>
  <c r="AT852" i="1" s="1"/>
  <c r="AU135" i="1"/>
  <c r="AM135" i="1"/>
  <c r="AN135" i="1" s="1"/>
  <c r="AS135" i="1"/>
  <c r="AT135" i="1" s="1"/>
  <c r="AM933" i="1"/>
  <c r="AN933" i="1" s="1"/>
  <c r="AU933" i="1"/>
  <c r="AS933" i="1"/>
  <c r="AT933" i="1" s="1"/>
  <c r="AM1003" i="1"/>
  <c r="AN1003" i="1" s="1"/>
  <c r="AS1003" i="1"/>
  <c r="AT1003" i="1" s="1"/>
  <c r="AU1003" i="1"/>
  <c r="AM511" i="1"/>
  <c r="AN511" i="1" s="1"/>
  <c r="AS511" i="1"/>
  <c r="AT511" i="1" s="1"/>
  <c r="AU511" i="1"/>
  <c r="AM629" i="1"/>
  <c r="AN629" i="1" s="1"/>
  <c r="AS629" i="1"/>
  <c r="AT629" i="1" s="1"/>
  <c r="AM695" i="1"/>
  <c r="AN695" i="1" s="1"/>
  <c r="AU695" i="1"/>
  <c r="AS774" i="1"/>
  <c r="AT774" i="1" s="1"/>
  <c r="AU774" i="1"/>
  <c r="AU552" i="1"/>
  <c r="AS552" i="1"/>
  <c r="AT552" i="1" s="1"/>
  <c r="AM552" i="1"/>
  <c r="AN552" i="1" s="1"/>
  <c r="AU245" i="1"/>
  <c r="AM245" i="1"/>
  <c r="AN245" i="1" s="1"/>
  <c r="AU865" i="1"/>
  <c r="AM865" i="1"/>
  <c r="AN865" i="1" s="1"/>
  <c r="AS865" i="1"/>
  <c r="AT865" i="1" s="1"/>
  <c r="AS993" i="1"/>
  <c r="AT993" i="1" s="1"/>
  <c r="AM993" i="1"/>
  <c r="AN993" i="1" s="1"/>
  <c r="AM733" i="1"/>
  <c r="AN733" i="1" s="1"/>
  <c r="AS733" i="1"/>
  <c r="AT733" i="1" s="1"/>
  <c r="AU753" i="1"/>
  <c r="AS753" i="1"/>
  <c r="AT753" i="1" s="1"/>
  <c r="AU285" i="1"/>
  <c r="AS285" i="1"/>
  <c r="AT285" i="1" s="1"/>
  <c r="AM279" i="1"/>
  <c r="AN279" i="1" s="1"/>
  <c r="AU279" i="1"/>
  <c r="AS379" i="1"/>
  <c r="AT379" i="1" s="1"/>
  <c r="AM379" i="1"/>
  <c r="AN379" i="1" s="1"/>
  <c r="AU379" i="1"/>
  <c r="AU416" i="1"/>
  <c r="AM416" i="1"/>
  <c r="AN416" i="1" s="1"/>
  <c r="AS416" i="1"/>
  <c r="AT416" i="1" s="1"/>
  <c r="AU696" i="1"/>
  <c r="AS696" i="1"/>
  <c r="AT696" i="1" s="1"/>
  <c r="AM696" i="1"/>
  <c r="AN696" i="1" s="1"/>
  <c r="AM952" i="1"/>
  <c r="AN952" i="1" s="1"/>
  <c r="AS952" i="1"/>
  <c r="AT952" i="1" s="1"/>
  <c r="AM603" i="1"/>
  <c r="AN603" i="1" s="1"/>
  <c r="AS603" i="1"/>
  <c r="AT603" i="1" s="1"/>
  <c r="AS183" i="1"/>
  <c r="AT183" i="1" s="1"/>
  <c r="AM183" i="1"/>
  <c r="AN183" i="1" s="1"/>
  <c r="AS1027" i="1"/>
  <c r="AT1027" i="1" s="1"/>
  <c r="AU1027" i="1"/>
  <c r="AS145" i="1"/>
  <c r="AT145" i="1" s="1"/>
  <c r="AU499" i="1"/>
  <c r="AS955" i="1"/>
  <c r="AT955" i="1" s="1"/>
  <c r="AM412" i="1"/>
  <c r="AN412" i="1" s="1"/>
  <c r="AU742" i="1"/>
  <c r="AM215" i="1"/>
  <c r="AN215" i="1" s="1"/>
  <c r="AS346" i="1"/>
  <c r="AT346" i="1" s="1"/>
  <c r="AS951" i="1"/>
  <c r="AT951" i="1" s="1"/>
  <c r="AS887" i="1"/>
  <c r="AT887" i="1" s="1"/>
  <c r="AM883" i="1"/>
  <c r="AN883" i="1" s="1"/>
  <c r="AS376" i="1"/>
  <c r="AT376" i="1" s="1"/>
  <c r="AS435" i="1"/>
  <c r="AT435" i="1" s="1"/>
  <c r="AS1033" i="1"/>
  <c r="AT1033" i="1" s="1"/>
  <c r="AM562" i="1"/>
  <c r="AN562" i="1" s="1"/>
  <c r="AU987" i="1"/>
  <c r="AM351" i="1"/>
  <c r="AN351" i="1" s="1"/>
  <c r="AM49" i="1"/>
  <c r="AN49" i="1" s="1"/>
  <c r="AS410" i="1"/>
  <c r="AT410" i="1" s="1"/>
  <c r="AM184" i="1"/>
  <c r="AN184" i="1" s="1"/>
  <c r="AU844" i="1"/>
  <c r="AU512" i="1"/>
  <c r="AU43" i="1"/>
  <c r="AU976" i="1"/>
  <c r="AS54" i="1"/>
  <c r="AT54" i="1" s="1"/>
  <c r="AM972" i="1"/>
  <c r="AN972" i="1" s="1"/>
  <c r="AS392" i="1"/>
  <c r="AT392" i="1" s="1"/>
  <c r="AM1016" i="1"/>
  <c r="AN1016" i="1" s="1"/>
  <c r="AU863" i="1"/>
  <c r="AS800" i="1"/>
  <c r="AT800" i="1" s="1"/>
  <c r="AU952" i="1"/>
  <c r="AS279" i="1"/>
  <c r="AT279" i="1" s="1"/>
  <c r="AM285" i="1"/>
  <c r="AN285" i="1" s="1"/>
  <c r="AM753" i="1"/>
  <c r="AN753" i="1" s="1"/>
  <c r="AU733" i="1"/>
  <c r="AU950" i="1"/>
  <c r="AM774" i="1"/>
  <c r="AN774" i="1" s="1"/>
  <c r="AS695" i="1"/>
  <c r="AT695" i="1" s="1"/>
  <c r="AS556" i="1"/>
  <c r="AT556" i="1" s="1"/>
  <c r="AS711" i="1"/>
  <c r="AT711" i="1" s="1"/>
  <c r="AM348" i="1"/>
  <c r="AN348" i="1" s="1"/>
  <c r="AU959" i="1"/>
  <c r="AM382" i="1"/>
  <c r="AN382" i="1" s="1"/>
  <c r="AU493" i="1"/>
  <c r="AS1009" i="1"/>
  <c r="AT1009" i="1" s="1"/>
  <c r="AM740" i="1"/>
  <c r="AN740" i="1" s="1"/>
  <c r="AS878" i="1"/>
  <c r="AT878" i="1" s="1"/>
  <c r="AU607" i="1"/>
  <c r="AS208" i="1"/>
  <c r="AT208" i="1" s="1"/>
  <c r="AM536" i="1"/>
  <c r="AN536" i="1" s="1"/>
  <c r="AM613" i="1"/>
  <c r="AN613" i="1" s="1"/>
  <c r="AM845" i="1"/>
  <c r="AN845" i="1" s="1"/>
  <c r="AS635" i="1"/>
  <c r="AT635" i="1" s="1"/>
  <c r="AM272" i="1"/>
  <c r="AN272" i="1" s="1"/>
  <c r="AS304" i="1"/>
  <c r="AT304" i="1" s="1"/>
  <c r="AM405" i="1"/>
  <c r="AN405" i="1" s="1"/>
  <c r="AM1017" i="1"/>
  <c r="AN1017" i="1" s="1"/>
  <c r="AU767" i="1"/>
  <c r="AU360" i="1"/>
  <c r="AU366" i="1"/>
  <c r="AU949" i="1"/>
  <c r="AU729" i="1"/>
  <c r="AM665" i="1"/>
  <c r="AN665" i="1" s="1"/>
  <c r="AM683" i="1"/>
  <c r="AN683" i="1" s="1"/>
  <c r="AU741" i="1"/>
  <c r="AS990" i="1"/>
  <c r="AT990" i="1" s="1"/>
  <c r="AU926" i="1"/>
  <c r="AM939" i="1"/>
  <c r="AN939" i="1" s="1"/>
  <c r="AM807" i="1"/>
  <c r="AN807" i="1" s="1"/>
  <c r="AU593" i="1"/>
  <c r="AM529" i="1"/>
  <c r="AN529" i="1" s="1"/>
  <c r="AS623" i="1"/>
  <c r="AT623" i="1" s="1"/>
  <c r="AM912" i="1"/>
  <c r="AN912" i="1" s="1"/>
  <c r="AM661" i="1"/>
  <c r="AN661" i="1" s="1"/>
  <c r="AU614" i="1"/>
  <c r="AS823" i="1"/>
  <c r="AT823" i="1" s="1"/>
  <c r="AM966" i="1"/>
  <c r="AN966" i="1" s="1"/>
  <c r="AU759" i="1"/>
  <c r="AM498" i="1"/>
  <c r="AN498" i="1" s="1"/>
  <c r="AS363" i="1"/>
  <c r="AT363" i="1" s="1"/>
  <c r="AS607" i="1"/>
  <c r="AT607" i="1" s="1"/>
  <c r="AM208" i="1"/>
  <c r="AN208" i="1" s="1"/>
  <c r="AU291" i="1"/>
  <c r="AM798" i="1"/>
  <c r="AN798" i="1" s="1"/>
  <c r="AU946" i="1"/>
  <c r="AS565" i="1"/>
  <c r="AT565" i="1" s="1"/>
  <c r="AS680" i="1"/>
  <c r="AT680" i="1" s="1"/>
  <c r="AM1013" i="1"/>
  <c r="AN1013" i="1" s="1"/>
  <c r="AM904" i="1"/>
  <c r="AN904" i="1" s="1"/>
  <c r="AM984" i="1"/>
  <c r="AN984" i="1" s="1"/>
  <c r="AM797" i="1"/>
  <c r="AN797" i="1" s="1"/>
  <c r="AU616" i="1"/>
  <c r="AU545" i="1"/>
  <c r="AM481" i="1"/>
  <c r="AN481" i="1" s="1"/>
  <c r="AM944" i="1"/>
  <c r="AN944" i="1" s="1"/>
  <c r="AM843" i="1"/>
  <c r="AN843" i="1" s="1"/>
  <c r="AU73" i="1"/>
  <c r="AM87" i="1"/>
  <c r="AN87" i="1" s="1"/>
  <c r="AU880" i="1"/>
  <c r="AM634" i="1"/>
  <c r="AN634" i="1" s="1"/>
  <c r="AM903" i="1"/>
  <c r="AN903" i="1" s="1"/>
  <c r="AU808" i="1"/>
  <c r="AM578" i="1"/>
  <c r="AN578" i="1" s="1"/>
  <c r="AM408" i="1"/>
  <c r="AN408" i="1" s="1"/>
  <c r="AS886" i="1"/>
  <c r="AT886" i="1" s="1"/>
  <c r="AU886" i="1"/>
  <c r="AU319" i="1"/>
  <c r="AM319" i="1"/>
  <c r="AN319" i="1" s="1"/>
  <c r="AS298" i="1"/>
  <c r="AT298" i="1" s="1"/>
  <c r="AM298" i="1"/>
  <c r="AN298" i="1" s="1"/>
  <c r="AU26" i="1"/>
  <c r="AS26" i="1"/>
  <c r="AT26" i="1" s="1"/>
  <c r="AS65" i="1"/>
  <c r="AT65" i="1" s="1"/>
  <c r="AM65" i="1"/>
  <c r="AN65" i="1" s="1"/>
  <c r="AS760" i="1"/>
  <c r="AT760" i="1" s="1"/>
  <c r="AM760" i="1"/>
  <c r="AN760" i="1" s="1"/>
  <c r="AS948" i="1"/>
  <c r="AT948" i="1" s="1"/>
  <c r="AM948" i="1"/>
  <c r="AN948" i="1" s="1"/>
  <c r="AS765" i="1"/>
  <c r="AT765" i="1" s="1"/>
  <c r="AM765" i="1"/>
  <c r="AN765" i="1" s="1"/>
  <c r="AM600" i="1"/>
  <c r="AN600" i="1" s="1"/>
  <c r="AU600" i="1"/>
  <c r="AU627" i="1"/>
  <c r="AM627" i="1"/>
  <c r="AN627" i="1" s="1"/>
  <c r="AS400" i="1"/>
  <c r="AT400" i="1" s="1"/>
  <c r="AM400" i="1"/>
  <c r="AN400" i="1" s="1"/>
  <c r="AS446" i="1"/>
  <c r="AT446" i="1" s="1"/>
  <c r="AM446" i="1"/>
  <c r="AN446" i="1" s="1"/>
  <c r="AU772" i="1"/>
  <c r="AM772" i="1"/>
  <c r="AN772" i="1" s="1"/>
  <c r="AS586" i="1"/>
  <c r="AT586" i="1" s="1"/>
  <c r="AM586" i="1"/>
  <c r="AN586" i="1" s="1"/>
  <c r="AS681" i="1"/>
  <c r="AT681" i="1" s="1"/>
  <c r="AM681" i="1"/>
  <c r="AN681" i="1" s="1"/>
  <c r="AU652" i="1"/>
  <c r="AM652" i="1"/>
  <c r="AN652" i="1" s="1"/>
  <c r="AM1028" i="1"/>
  <c r="AN1028" i="1" s="1"/>
  <c r="AU1028" i="1"/>
  <c r="AS945" i="1"/>
  <c r="AT945" i="1" s="1"/>
  <c r="AM945" i="1"/>
  <c r="AN945" i="1" s="1"/>
  <c r="AS536" i="1"/>
  <c r="AT536" i="1" s="1"/>
  <c r="AM946" i="1"/>
  <c r="AN946" i="1" s="1"/>
  <c r="AS613" i="1"/>
  <c r="AT613" i="1" s="1"/>
  <c r="AM565" i="1"/>
  <c r="AN565" i="1" s="1"/>
  <c r="AU680" i="1"/>
  <c r="AS740" i="1"/>
  <c r="AT740" i="1" s="1"/>
  <c r="AM1009" i="1"/>
  <c r="AN1009" i="1" s="1"/>
  <c r="AM808" i="1"/>
  <c r="AN808" i="1" s="1"/>
  <c r="AU382" i="1"/>
  <c r="AS578" i="1"/>
  <c r="AT578" i="1" s="1"/>
  <c r="AU408" i="1"/>
  <c r="AM496" i="1"/>
  <c r="AN496" i="1" s="1"/>
  <c r="AS496" i="1"/>
  <c r="AT496" i="1" s="1"/>
  <c r="AS704" i="1"/>
  <c r="AT704" i="1" s="1"/>
  <c r="AM704" i="1"/>
  <c r="AN704" i="1" s="1"/>
  <c r="AU891" i="1"/>
  <c r="AS891" i="1"/>
  <c r="AT891" i="1" s="1"/>
  <c r="AS942" i="1"/>
  <c r="AT942" i="1" s="1"/>
  <c r="AM942" i="1"/>
  <c r="AN942" i="1" s="1"/>
  <c r="AU442" i="1"/>
  <c r="AM442" i="1"/>
  <c r="AN442" i="1" s="1"/>
  <c r="AU688" i="1"/>
  <c r="AM688" i="1"/>
  <c r="AN688" i="1" s="1"/>
  <c r="AU514" i="1"/>
  <c r="AM514" i="1"/>
  <c r="AN514" i="1" s="1"/>
  <c r="AM404" i="1"/>
  <c r="AN404" i="1" s="1"/>
  <c r="AU404" i="1"/>
  <c r="AU664" i="1"/>
  <c r="AM664" i="1"/>
  <c r="AN664" i="1" s="1"/>
  <c r="AS596" i="1"/>
  <c r="AT596" i="1" s="1"/>
  <c r="AU596" i="1"/>
  <c r="AM828" i="1"/>
  <c r="AN828" i="1" s="1"/>
  <c r="AU828" i="1"/>
  <c r="AU570" i="1"/>
  <c r="AM570" i="1"/>
  <c r="AN570" i="1" s="1"/>
  <c r="AM839" i="1"/>
  <c r="AN839" i="1" s="1"/>
  <c r="AS839" i="1"/>
  <c r="AT839" i="1" s="1"/>
  <c r="AS980" i="1"/>
  <c r="AT980" i="1" s="1"/>
  <c r="AM980" i="1"/>
  <c r="AN980" i="1" s="1"/>
  <c r="AM502" i="1"/>
  <c r="AN502" i="1" s="1"/>
  <c r="AU502" i="1"/>
  <c r="AU617" i="1"/>
  <c r="AM617" i="1"/>
  <c r="AN617" i="1" s="1"/>
  <c r="AM896" i="1"/>
  <c r="AN896" i="1" s="1"/>
  <c r="AU896" i="1"/>
  <c r="AM671" i="1"/>
  <c r="AN671" i="1" s="1"/>
  <c r="AU671" i="1"/>
  <c r="AM42" i="1"/>
  <c r="AN42" i="1" s="1"/>
  <c r="AU42" i="1"/>
  <c r="AM549" i="1"/>
  <c r="AN549" i="1" s="1"/>
  <c r="AU549" i="1"/>
  <c r="AS827" i="1"/>
  <c r="AT827" i="1" s="1"/>
  <c r="AM827" i="1"/>
  <c r="AN827" i="1" s="1"/>
  <c r="AU1010" i="1"/>
  <c r="AM1010" i="1"/>
  <c r="AN1010" i="1" s="1"/>
  <c r="AM702" i="1"/>
  <c r="AN702" i="1" s="1"/>
  <c r="AU702" i="1"/>
  <c r="AU464" i="1"/>
  <c r="AS464" i="1"/>
  <c r="AT464" i="1" s="1"/>
  <c r="AM413" i="1"/>
  <c r="AN413" i="1" s="1"/>
  <c r="AU413" i="1"/>
  <c r="AU659" i="1"/>
  <c r="AM659" i="1"/>
  <c r="AN659" i="1" s="1"/>
  <c r="AS528" i="1"/>
  <c r="AT528" i="1" s="1"/>
  <c r="AU528" i="1"/>
  <c r="AU305" i="1"/>
  <c r="AM305" i="1"/>
  <c r="AN305" i="1" s="1"/>
  <c r="AM1021" i="1"/>
  <c r="AN1021" i="1" s="1"/>
  <c r="AU1021" i="1"/>
  <c r="AS657" i="1"/>
  <c r="AT657" i="1" s="1"/>
  <c r="AM657" i="1"/>
  <c r="AN657" i="1" s="1"/>
  <c r="AU1043" i="1"/>
  <c r="AM1043" i="1"/>
  <c r="AN1043" i="1" s="1"/>
  <c r="AS1029" i="1"/>
  <c r="AT1029" i="1" s="1"/>
  <c r="AM1029" i="1"/>
  <c r="AN1029" i="1" s="1"/>
  <c r="AU414" i="1"/>
  <c r="AM414" i="1"/>
  <c r="AN414" i="1" s="1"/>
  <c r="AM872" i="1"/>
  <c r="AN872" i="1" s="1"/>
  <c r="AU872" i="1"/>
  <c r="AS636" i="1"/>
  <c r="AT636" i="1" s="1"/>
  <c r="AM636" i="1"/>
  <c r="AN636" i="1" s="1"/>
  <c r="AM1006" i="1"/>
  <c r="AN1006" i="1" s="1"/>
  <c r="AS1006" i="1"/>
  <c r="AT1006" i="1" s="1"/>
  <c r="AU870" i="1"/>
  <c r="AS870" i="1"/>
  <c r="AT870" i="1" s="1"/>
  <c r="AM858" i="1"/>
  <c r="AN858" i="1" s="1"/>
  <c r="AU858" i="1"/>
  <c r="AS922" i="1"/>
  <c r="AT922" i="1" s="1"/>
  <c r="AM922" i="1"/>
  <c r="AN922" i="1" s="1"/>
  <c r="AS401" i="1"/>
  <c r="AT401" i="1" s="1"/>
  <c r="AM401" i="1"/>
  <c r="AN401" i="1" s="1"/>
  <c r="AM473" i="1"/>
  <c r="AN473" i="1" s="1"/>
  <c r="AS473" i="1"/>
  <c r="AT473" i="1" s="1"/>
  <c r="AU452" i="1"/>
  <c r="AM452" i="1"/>
  <c r="AN452" i="1" s="1"/>
  <c r="AS1026" i="1"/>
  <c r="AT1026" i="1" s="1"/>
  <c r="AM1026" i="1"/>
  <c r="AN1026" i="1" s="1"/>
  <c r="AU787" i="1"/>
  <c r="AM787" i="1"/>
  <c r="AN787" i="1" s="1"/>
  <c r="AU892" i="1"/>
  <c r="AS892" i="1"/>
  <c r="AT892" i="1" s="1"/>
  <c r="AS1032" i="1"/>
  <c r="AT1032" i="1" s="1"/>
  <c r="AM1032" i="1"/>
  <c r="AN1032" i="1" s="1"/>
  <c r="AS822" i="1"/>
  <c r="AT822" i="1" s="1"/>
  <c r="AM822" i="1"/>
  <c r="AN822" i="1" s="1"/>
  <c r="AU874" i="1"/>
  <c r="AM874" i="1"/>
  <c r="AN874" i="1" s="1"/>
  <c r="AM1014" i="1"/>
  <c r="AN1014" i="1" s="1"/>
  <c r="AS1014" i="1"/>
  <c r="AT1014" i="1" s="1"/>
  <c r="AU965" i="1"/>
  <c r="AM965" i="1"/>
  <c r="AN965" i="1" s="1"/>
  <c r="AS457" i="1"/>
  <c r="AT457" i="1" s="1"/>
  <c r="AM457" i="1"/>
  <c r="AN457" i="1" s="1"/>
  <c r="AS482" i="1"/>
  <c r="AT482" i="1" s="1"/>
  <c r="AM482" i="1"/>
  <c r="AN482" i="1" s="1"/>
  <c r="AS595" i="1"/>
  <c r="AT595" i="1" s="1"/>
  <c r="AM595" i="1"/>
  <c r="AN595" i="1" s="1"/>
  <c r="AS1043" i="1"/>
  <c r="AT1043" i="1" s="1"/>
  <c r="AM73" i="1"/>
  <c r="AN73" i="1" s="1"/>
  <c r="AS1021" i="1"/>
  <c r="AT1021" i="1" s="1"/>
  <c r="AM291" i="1"/>
  <c r="AN291" i="1" s="1"/>
  <c r="AM747" i="1"/>
  <c r="AN747" i="1" s="1"/>
  <c r="AU798" i="1"/>
  <c r="AM685" i="1"/>
  <c r="AN685" i="1" s="1"/>
  <c r="AS1010" i="1"/>
  <c r="AT1010" i="1" s="1"/>
  <c r="AM959" i="1"/>
  <c r="AN959" i="1" s="1"/>
  <c r="AS549" i="1"/>
  <c r="AT549" i="1" s="1"/>
  <c r="AM880" i="1"/>
  <c r="AN880" i="1" s="1"/>
  <c r="AS896" i="1"/>
  <c r="AT896" i="1" s="1"/>
  <c r="AU634" i="1"/>
  <c r="AS845" i="1"/>
  <c r="AT845" i="1" s="1"/>
  <c r="AS903" i="1"/>
  <c r="AT903" i="1" s="1"/>
  <c r="AM635" i="1"/>
  <c r="AN635" i="1" s="1"/>
  <c r="AS828" i="1"/>
  <c r="AT828" i="1" s="1"/>
  <c r="AS404" i="1"/>
  <c r="AT404" i="1" s="1"/>
  <c r="AU1013" i="1"/>
  <c r="AM493" i="1"/>
  <c r="AN493" i="1" s="1"/>
  <c r="AS904" i="1"/>
  <c r="AT904" i="1" s="1"/>
  <c r="AM878" i="1"/>
  <c r="AN878" i="1" s="1"/>
  <c r="AU496" i="1"/>
  <c r="AU716" i="1"/>
  <c r="AS716" i="1"/>
  <c r="AT716" i="1" s="1"/>
  <c r="AM801" i="1"/>
  <c r="AN801" i="1" s="1"/>
  <c r="AU801" i="1"/>
  <c r="AS419" i="1"/>
  <c r="AT419" i="1" s="1"/>
  <c r="AM419" i="1"/>
  <c r="AN419" i="1" s="1"/>
  <c r="AS654" i="1"/>
  <c r="AT654" i="1" s="1"/>
  <c r="AU654" i="1"/>
  <c r="AM654" i="1"/>
  <c r="AN654" i="1" s="1"/>
  <c r="AU638" i="1"/>
  <c r="AM638" i="1"/>
  <c r="AN638" i="1" s="1"/>
  <c r="AM701" i="1"/>
  <c r="AN701" i="1" s="1"/>
  <c r="AU701" i="1"/>
  <c r="AS701" i="1"/>
  <c r="AT701" i="1" s="1"/>
  <c r="AU915" i="1"/>
  <c r="AM915" i="1"/>
  <c r="AN915" i="1" s="1"/>
  <c r="AM475" i="1"/>
  <c r="AN475" i="1" s="1"/>
  <c r="AU475" i="1"/>
  <c r="AS475" i="1"/>
  <c r="AT475" i="1" s="1"/>
  <c r="AS608" i="1"/>
  <c r="AT608" i="1" s="1"/>
  <c r="AM608" i="1"/>
  <c r="AN608" i="1" s="1"/>
  <c r="AS743" i="1"/>
  <c r="AT743" i="1" s="1"/>
  <c r="AU743" i="1"/>
  <c r="AM743" i="1"/>
  <c r="AN743" i="1" s="1"/>
  <c r="AU722" i="1"/>
  <c r="AM722" i="1"/>
  <c r="AN722" i="1" s="1"/>
  <c r="AM588" i="1"/>
  <c r="AN588" i="1" s="1"/>
  <c r="AS588" i="1"/>
  <c r="AT588" i="1" s="1"/>
  <c r="AU588" i="1"/>
  <c r="AS927" i="1"/>
  <c r="AT927" i="1" s="1"/>
  <c r="AM927" i="1"/>
  <c r="AN927" i="1" s="1"/>
  <c r="AS724" i="1"/>
  <c r="AT724" i="1" s="1"/>
  <c r="AM724" i="1"/>
  <c r="AN724" i="1" s="1"/>
  <c r="AU724" i="1"/>
  <c r="AM766" i="1"/>
  <c r="AN766" i="1" s="1"/>
  <c r="AS766" i="1"/>
  <c r="AT766" i="1" s="1"/>
  <c r="AM148" i="1"/>
  <c r="AN148" i="1" s="1"/>
  <c r="AS148" i="1"/>
  <c r="AT148" i="1" s="1"/>
  <c r="AU148" i="1"/>
  <c r="AM458" i="1"/>
  <c r="AN458" i="1" s="1"/>
  <c r="AU458" i="1"/>
  <c r="AM451" i="1"/>
  <c r="AN451" i="1" s="1"/>
  <c r="AU451" i="1"/>
  <c r="AS451" i="1"/>
  <c r="AT451" i="1" s="1"/>
  <c r="AM583" i="1"/>
  <c r="AN583" i="1" s="1"/>
  <c r="AS583" i="1"/>
  <c r="AT583" i="1" s="1"/>
  <c r="AU788" i="1"/>
  <c r="AS788" i="1"/>
  <c r="AT788" i="1" s="1"/>
  <c r="AM788" i="1"/>
  <c r="AN788" i="1" s="1"/>
  <c r="AU850" i="1"/>
  <c r="AM850" i="1"/>
  <c r="AN850" i="1" s="1"/>
  <c r="AU832" i="1"/>
  <c r="AS832" i="1"/>
  <c r="AT832" i="1" s="1"/>
  <c r="AM832" i="1"/>
  <c r="AN832" i="1" s="1"/>
  <c r="AS396" i="1"/>
  <c r="AT396" i="1" s="1"/>
  <c r="AM396" i="1"/>
  <c r="AN396" i="1" s="1"/>
  <c r="AU278" i="1"/>
  <c r="AS278" i="1"/>
  <c r="AT278" i="1" s="1"/>
  <c r="AM278" i="1"/>
  <c r="AN278" i="1" s="1"/>
  <c r="AM656" i="1"/>
  <c r="AN656" i="1" s="1"/>
  <c r="AU656" i="1"/>
  <c r="AM515" i="1"/>
  <c r="AN515" i="1" s="1"/>
  <c r="AS515" i="1"/>
  <c r="AT515" i="1" s="1"/>
  <c r="AU515" i="1"/>
  <c r="AS712" i="1"/>
  <c r="AT712" i="1" s="1"/>
  <c r="AM712" i="1"/>
  <c r="AN712" i="1" s="1"/>
  <c r="AM783" i="1"/>
  <c r="AN783" i="1" s="1"/>
  <c r="AS783" i="1"/>
  <c r="AT783" i="1" s="1"/>
  <c r="AU783" i="1"/>
  <c r="AM764" i="1"/>
  <c r="AN764" i="1" s="1"/>
  <c r="AS764" i="1"/>
  <c r="AT764" i="1" s="1"/>
  <c r="AU476" i="1"/>
  <c r="AS476" i="1"/>
  <c r="AT476" i="1" s="1"/>
  <c r="AM476" i="1"/>
  <c r="AN476" i="1" s="1"/>
  <c r="AU1011" i="1"/>
  <c r="AM1011" i="1"/>
  <c r="AN1011" i="1" s="1"/>
  <c r="AM905" i="1"/>
  <c r="AN905" i="1" s="1"/>
  <c r="AS905" i="1"/>
  <c r="AT905" i="1" s="1"/>
  <c r="AU905" i="1"/>
  <c r="AU833" i="1"/>
  <c r="AM833" i="1"/>
  <c r="AN833" i="1" s="1"/>
  <c r="AM736" i="1"/>
  <c r="AN736" i="1" s="1"/>
  <c r="AU736" i="1"/>
  <c r="AS736" i="1"/>
  <c r="AT736" i="1" s="1"/>
  <c r="AS986" i="1"/>
  <c r="AT986" i="1" s="1"/>
  <c r="AU986" i="1"/>
  <c r="AM862" i="1"/>
  <c r="AN862" i="1" s="1"/>
  <c r="AS862" i="1"/>
  <c r="AT862" i="1" s="1"/>
  <c r="AU862" i="1"/>
  <c r="AM829" i="1"/>
  <c r="AN829" i="1" s="1"/>
  <c r="AS829" i="1"/>
  <c r="AT829" i="1" s="1"/>
  <c r="AM749" i="1"/>
  <c r="AN749" i="1" s="1"/>
  <c r="AU749" i="1"/>
  <c r="AS749" i="1"/>
  <c r="AT749" i="1" s="1"/>
  <c r="AM983" i="1"/>
  <c r="AN983" i="1" s="1"/>
  <c r="AU983" i="1"/>
  <c r="AU590" i="1"/>
  <c r="AS590" i="1"/>
  <c r="AT590" i="1" s="1"/>
  <c r="AM590" i="1"/>
  <c r="AN590" i="1" s="1"/>
  <c r="AM982" i="1"/>
  <c r="AN982" i="1" s="1"/>
  <c r="AS982" i="1"/>
  <c r="AT982" i="1" s="1"/>
  <c r="AM773" i="1"/>
  <c r="AN773" i="1" s="1"/>
  <c r="AS773" i="1"/>
  <c r="AT773" i="1" s="1"/>
  <c r="AU773" i="1"/>
  <c r="AU386" i="1"/>
  <c r="AM386" i="1"/>
  <c r="AN386" i="1" s="1"/>
  <c r="AM372" i="1"/>
  <c r="AN372" i="1" s="1"/>
  <c r="AS372" i="1"/>
  <c r="AT372" i="1" s="1"/>
  <c r="AU372" i="1"/>
  <c r="AS465" i="1"/>
  <c r="AT465" i="1" s="1"/>
  <c r="AM465" i="1"/>
  <c r="AN465" i="1" s="1"/>
  <c r="AU934" i="1"/>
  <c r="AS934" i="1"/>
  <c r="AT934" i="1" s="1"/>
  <c r="AM934" i="1"/>
  <c r="AN934" i="1" s="1"/>
  <c r="AM532" i="1"/>
  <c r="AN532" i="1" s="1"/>
  <c r="AS532" i="1"/>
  <c r="AT532" i="1" s="1"/>
  <c r="AM523" i="1"/>
  <c r="AN523" i="1" s="1"/>
  <c r="AS523" i="1"/>
  <c r="AT523" i="1" s="1"/>
  <c r="AU523" i="1"/>
  <c r="AS550" i="1"/>
  <c r="AT550" i="1" s="1"/>
  <c r="AM550" i="1"/>
  <c r="AN550" i="1" s="1"/>
  <c r="AM434" i="1"/>
  <c r="AN434" i="1" s="1"/>
  <c r="AS434" i="1"/>
  <c r="AT434" i="1" s="1"/>
  <c r="AU434" i="1"/>
  <c r="AM956" i="1"/>
  <c r="AN956" i="1" s="1"/>
  <c r="AS956" i="1"/>
  <c r="AT956" i="1" s="1"/>
  <c r="AM1007" i="1"/>
  <c r="AN1007" i="1" s="1"/>
  <c r="AU1007" i="1"/>
  <c r="AS1007" i="1"/>
  <c r="AT1007" i="1" s="1"/>
  <c r="AU161" i="1"/>
  <c r="AM161" i="1"/>
  <c r="AN161" i="1" s="1"/>
  <c r="AS281" i="1"/>
  <c r="AT281" i="1" s="1"/>
  <c r="AM281" i="1"/>
  <c r="AN281" i="1" s="1"/>
  <c r="AU281" i="1"/>
  <c r="AM294" i="1"/>
  <c r="AN294" i="1" s="1"/>
  <c r="AU294" i="1"/>
  <c r="AM160" i="1"/>
  <c r="AN160" i="1" s="1"/>
  <c r="AU160" i="1"/>
  <c r="AS160" i="1"/>
  <c r="AT160" i="1" s="1"/>
  <c r="AS1012" i="1"/>
  <c r="AT1012" i="1" s="1"/>
  <c r="AM1012" i="1"/>
  <c r="AN1012" i="1" s="1"/>
  <c r="AU821" i="1"/>
  <c r="AS821" i="1"/>
  <c r="AT821" i="1" s="1"/>
  <c r="AM821" i="1"/>
  <c r="AN821" i="1" s="1"/>
  <c r="AU341" i="1"/>
  <c r="AM341" i="1"/>
  <c r="AN341" i="1" s="1"/>
  <c r="AM591" i="1"/>
  <c r="AN591" i="1" s="1"/>
  <c r="AS591" i="1"/>
  <c r="AT591" i="1" s="1"/>
  <c r="AU591" i="1"/>
  <c r="AM875" i="1"/>
  <c r="AN875" i="1" s="1"/>
  <c r="AU875" i="1"/>
  <c r="AS768" i="1"/>
  <c r="AT768" i="1" s="1"/>
  <c r="AU768" i="1"/>
  <c r="AM768" i="1"/>
  <c r="AN768" i="1" s="1"/>
  <c r="AM893" i="1"/>
  <c r="AN893" i="1" s="1"/>
  <c r="AU893" i="1"/>
  <c r="AU254" i="1"/>
  <c r="AS254" i="1"/>
  <c r="AT254" i="1" s="1"/>
  <c r="AM647" i="1"/>
  <c r="AN647" i="1" s="1"/>
  <c r="AS647" i="1"/>
  <c r="AT647" i="1" s="1"/>
  <c r="AS440" i="1"/>
  <c r="AT440" i="1" s="1"/>
  <c r="AU440" i="1"/>
  <c r="AM621" i="1"/>
  <c r="AN621" i="1" s="1"/>
  <c r="AU621" i="1"/>
  <c r="AS341" i="1"/>
  <c r="AT341" i="1" s="1"/>
  <c r="AU956" i="1"/>
  <c r="AS386" i="1"/>
  <c r="AT386" i="1" s="1"/>
  <c r="AM986" i="1"/>
  <c r="AN986" i="1" s="1"/>
  <c r="AU712" i="1"/>
  <c r="AU583" i="1"/>
  <c r="AS722" i="1"/>
  <c r="AT722" i="1" s="1"/>
  <c r="AU419" i="1"/>
  <c r="AS875" i="1"/>
  <c r="AT875" i="1" s="1"/>
  <c r="AS161" i="1"/>
  <c r="AT161" i="1" s="1"/>
  <c r="AU465" i="1"/>
  <c r="AU829" i="1"/>
  <c r="AU764" i="1"/>
  <c r="AS850" i="1"/>
  <c r="AT850" i="1" s="1"/>
  <c r="AU927" i="1"/>
  <c r="AS638" i="1"/>
  <c r="AT638" i="1" s="1"/>
  <c r="AM417" i="1"/>
  <c r="AN417" i="1" s="1"/>
  <c r="AS761" i="1"/>
  <c r="AT761" i="1" s="1"/>
  <c r="AM969" i="1"/>
  <c r="AN969" i="1" s="1"/>
  <c r="AU754" i="1"/>
  <c r="AM633" i="1"/>
  <c r="AN633" i="1" s="1"/>
  <c r="AS569" i="1"/>
  <c r="AT569" i="1" s="1"/>
  <c r="AU797" i="1"/>
  <c r="AM758" i="1"/>
  <c r="AN758" i="1" s="1"/>
  <c r="AU765" i="1"/>
  <c r="AU760" i="1"/>
  <c r="AM815" i="1"/>
  <c r="AN815" i="1" s="1"/>
  <c r="AS752" i="1"/>
  <c r="AT752" i="1" s="1"/>
  <c r="AS893" i="1"/>
  <c r="AT893" i="1" s="1"/>
  <c r="AS294" i="1"/>
  <c r="AT294" i="1" s="1"/>
  <c r="AU532" i="1"/>
  <c r="AS983" i="1"/>
  <c r="AT983" i="1" s="1"/>
  <c r="AS1011" i="1"/>
  <c r="AT1011" i="1" s="1"/>
  <c r="AU396" i="1"/>
  <c r="AU766" i="1"/>
  <c r="AS915" i="1"/>
  <c r="AT915" i="1" s="1"/>
  <c r="AU444" i="1"/>
  <c r="AS444" i="1"/>
  <c r="AT444" i="1" s="1"/>
  <c r="AM748" i="1"/>
  <c r="AN748" i="1" s="1"/>
  <c r="AU748" i="1"/>
  <c r="AS748" i="1"/>
  <c r="AT748" i="1" s="1"/>
  <c r="AM810" i="1"/>
  <c r="AN810" i="1" s="1"/>
  <c r="AS810" i="1"/>
  <c r="AT810" i="1" s="1"/>
  <c r="AU810" i="1"/>
  <c r="BE101" i="1" l="1"/>
  <c r="BE159" i="1"/>
  <c r="BE1014" i="1"/>
  <c r="BE892" i="1"/>
  <c r="BE680" i="1"/>
  <c r="BE228" i="1"/>
  <c r="AM228" i="1"/>
  <c r="AN228" i="1" s="1"/>
  <c r="BE572" i="1"/>
  <c r="BE915" i="1"/>
  <c r="BE914" i="1"/>
  <c r="BE368" i="1"/>
  <c r="AS368" i="1"/>
  <c r="AT368" i="1" s="1"/>
  <c r="BE475" i="1"/>
  <c r="BE134" i="1"/>
  <c r="AS134" i="1"/>
  <c r="AT134" i="1" s="1"/>
  <c r="BE739" i="1"/>
  <c r="BE875" i="1"/>
  <c r="BE760" i="1"/>
  <c r="BE212" i="1"/>
  <c r="AM212" i="1"/>
  <c r="AN212" i="1" s="1"/>
  <c r="BE751" i="1"/>
  <c r="BE743" i="1"/>
  <c r="BE251" i="1"/>
  <c r="AS358" i="1"/>
  <c r="AT358" i="1" s="1"/>
  <c r="AU358" i="1"/>
  <c r="AM358" i="1"/>
  <c r="AN358" i="1" s="1"/>
  <c r="BE566" i="1"/>
  <c r="BE953" i="1"/>
  <c r="BE919" i="1"/>
  <c r="BE302" i="1"/>
  <c r="AM302" i="1"/>
  <c r="AN302" i="1" s="1"/>
  <c r="BE163" i="1"/>
  <c r="AU163" i="1"/>
  <c r="BE932" i="1"/>
  <c r="BE437" i="1"/>
  <c r="BE806" i="1"/>
  <c r="BE997" i="1"/>
  <c r="AM997" i="1"/>
  <c r="AN997" i="1" s="1"/>
  <c r="BE1018" i="1"/>
  <c r="BE315" i="1"/>
  <c r="AU315" i="1"/>
  <c r="BE989" i="1"/>
  <c r="AS989" i="1"/>
  <c r="AT989" i="1" s="1"/>
  <c r="BE735" i="1"/>
  <c r="BE197" i="1"/>
  <c r="BE434" i="1"/>
  <c r="BE579" i="1"/>
  <c r="BE116" i="1"/>
  <c r="BE57" i="1"/>
  <c r="AU57" i="1"/>
  <c r="BE436" i="1"/>
  <c r="BE313" i="1"/>
  <c r="BE986" i="1"/>
  <c r="BE509" i="1"/>
  <c r="BE925" i="1"/>
  <c r="BE324" i="1"/>
  <c r="BE489" i="1"/>
  <c r="BE1030" i="1"/>
  <c r="BE234" i="1"/>
  <c r="BE864" i="1"/>
  <c r="BE967" i="1"/>
  <c r="BE1025" i="1"/>
  <c r="BE332" i="1"/>
  <c r="BE665" i="1"/>
  <c r="AS467" i="1"/>
  <c r="AT467" i="1" s="1"/>
  <c r="AM467" i="1"/>
  <c r="AN467" i="1" s="1"/>
  <c r="BE516" i="1"/>
  <c r="BE594" i="1"/>
  <c r="BE697" i="1"/>
  <c r="BE741" i="1"/>
  <c r="BE102" i="1"/>
  <c r="BE568" i="1"/>
  <c r="BE981" i="1"/>
  <c r="BE192" i="1"/>
  <c r="AS112" i="1"/>
  <c r="AT112" i="1" s="1"/>
  <c r="AU112" i="1"/>
  <c r="BE468" i="1"/>
  <c r="AS699" i="1"/>
  <c r="AT699" i="1" s="1"/>
  <c r="AM699" i="1"/>
  <c r="AN699" i="1" s="1"/>
  <c r="BE744" i="1"/>
  <c r="BE560" i="1"/>
  <c r="BE684" i="1"/>
  <c r="BE209" i="1"/>
  <c r="BE174" i="1"/>
  <c r="AS91" i="1"/>
  <c r="AT91" i="1" s="1"/>
  <c r="AU91" i="1"/>
  <c r="BE700" i="1"/>
  <c r="BE774" i="1"/>
  <c r="BE392" i="1"/>
  <c r="BE781" i="1"/>
  <c r="BE480" i="1"/>
  <c r="BE373" i="1"/>
  <c r="BE524" i="1"/>
  <c r="BE90" i="1"/>
  <c r="BE763" i="1"/>
  <c r="BE279" i="1"/>
  <c r="BE644" i="1"/>
  <c r="BE692" i="1"/>
  <c r="BE511" i="1"/>
  <c r="BE937" i="1"/>
  <c r="BE549" i="1"/>
  <c r="BE610" i="1"/>
  <c r="BE1003" i="1"/>
  <c r="BE104" i="1"/>
  <c r="BE472" i="1"/>
  <c r="BE497" i="1"/>
  <c r="BE54" i="1"/>
  <c r="BE287" i="1"/>
  <c r="BE340" i="1"/>
  <c r="BE935" i="1"/>
  <c r="BE944" i="1"/>
  <c r="BE992" i="1"/>
  <c r="BE98" i="1"/>
  <c r="BE323" i="1"/>
  <c r="BE469" i="1"/>
  <c r="BE731" i="1"/>
  <c r="BE122" i="1"/>
  <c r="BE277" i="1"/>
  <c r="BE1021" i="1"/>
  <c r="BE268" i="1"/>
  <c r="BE46" i="1"/>
  <c r="BE609" i="1"/>
  <c r="BE241" i="1"/>
  <c r="BE363" i="1"/>
  <c r="BE55" i="1"/>
  <c r="BE556" i="1"/>
  <c r="BE753" i="1"/>
  <c r="BE157" i="1"/>
  <c r="AU314" i="1"/>
  <c r="AM314" i="1"/>
  <c r="AN314" i="1" s="1"/>
  <c r="AU780" i="1"/>
  <c r="AM780" i="1"/>
  <c r="AN780" i="1" s="1"/>
  <c r="BE520" i="1"/>
  <c r="BE857" i="1"/>
  <c r="BE642" i="1"/>
  <c r="BE129" i="1"/>
  <c r="BE938" i="1"/>
  <c r="BE966" i="1"/>
  <c r="BE852" i="1"/>
  <c r="BE322" i="1"/>
  <c r="BE930" i="1"/>
  <c r="BE190" i="1"/>
  <c r="BE927" i="1"/>
  <c r="BE544" i="1"/>
  <c r="BE292" i="1"/>
  <c r="AU447" i="1"/>
  <c r="AS447" i="1"/>
  <c r="AT447" i="1" s="1"/>
  <c r="BE619" i="1"/>
  <c r="BE364" i="1"/>
  <c r="AU364" i="1"/>
  <c r="BE148" i="1"/>
  <c r="BE40" i="1"/>
  <c r="AS40" i="1"/>
  <c r="AT40" i="1" s="1"/>
  <c r="AU40" i="1"/>
  <c r="AM40" i="1"/>
  <c r="AN40" i="1" s="1"/>
  <c r="BE577" i="1"/>
  <c r="AS577" i="1"/>
  <c r="AT577" i="1" s="1"/>
  <c r="BE453" i="1"/>
  <c r="AS387" i="1"/>
  <c r="AT387" i="1" s="1"/>
  <c r="AU387" i="1"/>
  <c r="BE422" i="1"/>
  <c r="BE27" i="1"/>
  <c r="AM27" i="1"/>
  <c r="AN27" i="1" s="1"/>
  <c r="BE829" i="1"/>
  <c r="BE978" i="1"/>
  <c r="BE962" i="1"/>
  <c r="BE196" i="1"/>
  <c r="BE128" i="1"/>
  <c r="BE766" i="1"/>
  <c r="BE88" i="1"/>
  <c r="BE722" i="1"/>
  <c r="BE571" i="1"/>
  <c r="BE1011" i="1"/>
  <c r="BE633" i="1"/>
  <c r="BE220" i="1"/>
  <c r="BE773" i="1"/>
  <c r="BE206" i="1"/>
  <c r="AU206" i="1"/>
  <c r="BE749" i="1"/>
  <c r="BE983" i="1"/>
  <c r="BE347" i="1"/>
  <c r="BE893" i="1"/>
  <c r="BE476" i="1"/>
  <c r="BE788" i="1"/>
  <c r="BE359" i="1"/>
  <c r="BE748" i="1"/>
  <c r="BE506" i="1"/>
  <c r="BE641" i="1"/>
  <c r="AS641" i="1"/>
  <c r="AT641" i="1" s="1"/>
  <c r="BE252" i="1"/>
  <c r="BE1007" i="1"/>
  <c r="BE521" i="1"/>
  <c r="BE764" i="1"/>
  <c r="BE166" i="1"/>
  <c r="BE615" i="1"/>
  <c r="BE451" i="1"/>
  <c r="BE295" i="1"/>
  <c r="BE535" i="1"/>
  <c r="BE905" i="1"/>
  <c r="BE736" i="1"/>
  <c r="BE103" i="1"/>
  <c r="BE969" i="1"/>
  <c r="BE263" i="1"/>
  <c r="BE943" i="1"/>
  <c r="AM943" i="1"/>
  <c r="AN943" i="1" s="1"/>
  <c r="BE790" i="1"/>
  <c r="BE294" i="1"/>
  <c r="BE274" i="1"/>
  <c r="BE863" i="1"/>
  <c r="BE244" i="1"/>
  <c r="AM39" i="1"/>
  <c r="AN39" i="1" s="1"/>
  <c r="AU39" i="1"/>
  <c r="AM423" i="1"/>
  <c r="AN423" i="1" s="1"/>
  <c r="AS423" i="1"/>
  <c r="AT423" i="1" s="1"/>
  <c r="BE575" i="1"/>
  <c r="BE970" i="1"/>
  <c r="BE52" i="1"/>
  <c r="BE427" i="1"/>
  <c r="BE335" i="1"/>
  <c r="BE747" i="1"/>
  <c r="BE195" i="1"/>
  <c r="BE416" i="1"/>
  <c r="BE304" i="1"/>
  <c r="BE361" i="1"/>
  <c r="BE976" i="1"/>
  <c r="BE155" i="1"/>
  <c r="BE939" i="1"/>
  <c r="BE1017" i="1"/>
  <c r="BE415" i="1"/>
  <c r="BE320" i="1"/>
  <c r="BE1020" i="1"/>
  <c r="BE87" i="1"/>
  <c r="BE272" i="1"/>
  <c r="BE733" i="1"/>
  <c r="BE360" i="1"/>
  <c r="BE564" i="1"/>
  <c r="BE658" i="1"/>
  <c r="BE60" i="1"/>
  <c r="BE604" i="1"/>
  <c r="BE239" i="1"/>
  <c r="BE299" i="1"/>
  <c r="BE41" i="1"/>
  <c r="BE518" i="1"/>
  <c r="BE614" i="1"/>
  <c r="BE366" i="1"/>
  <c r="BE282" i="1"/>
  <c r="BE775" i="1"/>
  <c r="AS648" i="1"/>
  <c r="AT648" i="1" s="1"/>
  <c r="AM648" i="1"/>
  <c r="AN648" i="1" s="1"/>
  <c r="BE729" i="1"/>
  <c r="BE439" i="1"/>
  <c r="BE696" i="1"/>
  <c r="BE534" i="1"/>
  <c r="BE979" i="1"/>
  <c r="BE200" i="1"/>
  <c r="BE552" i="1"/>
  <c r="BE972" i="1"/>
  <c r="BE230" i="1"/>
  <c r="BE115" i="1"/>
  <c r="BE695" i="1"/>
  <c r="BE68" i="1"/>
  <c r="BE683" i="1"/>
  <c r="BE778" i="1"/>
  <c r="BE724" i="1"/>
  <c r="BE236" i="1"/>
  <c r="AN21" i="1"/>
</calcChain>
</file>

<file path=xl/sharedStrings.xml><?xml version="1.0" encoding="utf-8"?>
<sst xmlns="http://schemas.openxmlformats.org/spreadsheetml/2006/main" count="117" uniqueCount="96">
  <si>
    <t>x</t>
  </si>
  <si>
    <t>alpha</t>
  </si>
  <si>
    <t>beta</t>
  </si>
  <si>
    <t>zeta</t>
  </si>
  <si>
    <t>theta0</t>
  </si>
  <si>
    <t>cos(th)</t>
  </si>
  <si>
    <t>att</t>
  </si>
  <si>
    <t>sin(att)</t>
  </si>
  <si>
    <t>cat0</t>
  </si>
  <si>
    <t>x_m_zeta</t>
  </si>
  <si>
    <t>x_m_zet/sin(att)</t>
  </si>
  <si>
    <t>pow1</t>
  </si>
  <si>
    <t>pow2</t>
  </si>
  <si>
    <t>cos(att-th)</t>
  </si>
  <si>
    <t>g</t>
  </si>
  <si>
    <t>g*exp(-g)</t>
  </si>
  <si>
    <t>c2</t>
  </si>
  <si>
    <t>ln(pow1)</t>
  </si>
  <si>
    <t>ln(pow2)</t>
  </si>
  <si>
    <t>ln(cos(att-th)</t>
  </si>
  <si>
    <t>ln(g)</t>
  </si>
  <si>
    <t>ln(g)-g</t>
  </si>
  <si>
    <t>if alpha = 1</t>
  </si>
  <si>
    <t>i2b</t>
  </si>
  <si>
    <t>p2b</t>
  </si>
  <si>
    <t>ea</t>
  </si>
  <si>
    <t>h</t>
  </si>
  <si>
    <t>h_tan_th</t>
  </si>
  <si>
    <t>exponent</t>
  </si>
  <si>
    <t>for alpha ~ 1</t>
  </si>
  <si>
    <t>zeta ~ (2*beta/pi)/(alpha-1)</t>
  </si>
  <si>
    <t>ln|x-zeta| = ln|zeta|+ln|1-x/zeta|</t>
  </si>
  <si>
    <t>(alpha)/(alpha-1)ln|1-x/zeta| ~ -x/(2*beta/pi)</t>
  </si>
  <si>
    <t>(alpha ln |zeta| + ln cat0)/(alpha-1)  ~ ln|zeta|</t>
  </si>
  <si>
    <t>s/c</t>
  </si>
  <si>
    <t>s=1/(1+zeta^-2)^.5</t>
  </si>
  <si>
    <t>ln s ~ .5*ln(1+zeta^-2)</t>
  </si>
  <si>
    <t xml:space="preserve">ln |zeta| + ln cat0 = -.5*ln(1+(1/|zeta|)^2) ~- .5/(zeta*zeta) </t>
  </si>
  <si>
    <t>ln(h2b)</t>
  </si>
  <si>
    <t>-ln(cos_th)</t>
  </si>
  <si>
    <t>alpha/(alpha-1)*(LN(cos_th)-LN(sin_att))</t>
  </si>
  <si>
    <t>Compare</t>
  </si>
  <si>
    <t>h_tanth</t>
  </si>
  <si>
    <t>alpha_m_1</t>
  </si>
  <si>
    <t>th_max</t>
  </si>
  <si>
    <t>add_l</t>
  </si>
  <si>
    <t>th_l</t>
  </si>
  <si>
    <t>(alpha ln |zeta| + ln cat0)/(alpha-1) +ln(catt)</t>
  </si>
  <si>
    <t>abs_err</t>
  </si>
  <si>
    <t>rel_err</t>
  </si>
  <si>
    <t>ea_err</t>
  </si>
  <si>
    <t>h_tanh_err</t>
  </si>
  <si>
    <t>ln_h2b_err</t>
  </si>
  <si>
    <t>cos(th)=sin(th_l-add_l)=sin(th_l)cos(add_l)-cos(th_l)sin(add_l)~sin(th_l)+add_l*cos(th_l)</t>
  </si>
  <si>
    <t>sin(att)=sin((alpha-1)*th_l+th_l)=sin((alpha-1)th_l)cos(th_l)+cos((alpha-1)th_l)sin(th_l)~(alpha-1)*th_l*cos(th_l)+sin(th_l)</t>
  </si>
  <si>
    <t>ln(cos(th))=ln(sin(th_l))+ln(1-sin(add_l)*cot(th_l)-2*sin^2(add_l/2))</t>
  </si>
  <si>
    <t>g exp(-g)</t>
  </si>
  <si>
    <t>flip</t>
  </si>
  <si>
    <t>th_r</t>
  </si>
  <si>
    <t>alpha/(alpha-1)*ln(1-x/zeta)</t>
  </si>
  <si>
    <t>Only if abs(x) &lt; abs(zeta)</t>
  </si>
  <si>
    <t>ln(sin(att))=ln(sin(th_l)+ln(1+sin(alpha_m_1*th_l)*cot(th_l)-2sin^2((alpha-1)*th_l/2)</t>
  </si>
  <si>
    <t>use_th_l</t>
  </si>
  <si>
    <t>th=pi2-th_r</t>
  </si>
  <si>
    <t>att=alpha*th_l=alpha*(th_max-th_r)</t>
  </si>
  <si>
    <t>sin(att)=sin(alpha*(th_max-th_r))=-sin(alpha*(th_max-th_r)+pi)</t>
  </si>
  <si>
    <t>=sin(pi-alpha*th_max +alpha*th_r)</t>
  </si>
  <si>
    <t>add_r</t>
  </si>
  <si>
    <t>alpha near 1</t>
  </si>
  <si>
    <t>use_alpha_near_1</t>
  </si>
  <si>
    <t>Default</t>
  </si>
  <si>
    <t>(alpha-1)*th_r+add_r</t>
  </si>
  <si>
    <t>-ln(1+zeta^-2)/(2*alpha_m_1)</t>
  </si>
  <si>
    <t>cos(th) r</t>
  </si>
  <si>
    <t>sin(alpha*(th_max-th_r))</t>
  </si>
  <si>
    <t>sin(alpha*th_max-alpha*th_r)</t>
  </si>
  <si>
    <t>=-sin(alpha*th_r-th_max)</t>
  </si>
  <si>
    <t>=sin(alpha*th_r+pi-th_max)</t>
  </si>
  <si>
    <t>=sin(alpha*th_r+add_r)</t>
  </si>
  <si>
    <t>sin(att_r)</t>
  </si>
  <si>
    <t>ea error</t>
  </si>
  <si>
    <t>h_tanth error</t>
  </si>
  <si>
    <t>ln(h2b) error</t>
  </si>
  <si>
    <t>-ln(cos(th))</t>
  </si>
  <si>
    <t>residual</t>
  </si>
  <si>
    <t>~beta/(pi/2(alpha-1))</t>
  </si>
  <si>
    <t>~-(alpha_m_1)*(pi/2+pi/2/beta)</t>
  </si>
  <si>
    <t>ln(|zeta|sin((alpha-1)*th_r+add_r))~ln(2*|beta|*((pi/2+pi/2/beta-th_r))</t>
  </si>
  <si>
    <t>f:</t>
  </si>
  <si>
    <t>(g-alpha g^2)*exp(-g)</t>
  </si>
  <si>
    <t>df/dx</t>
  </si>
  <si>
    <t>-[(g-alpha g^2)+1-2 alpha g]exp(-g) dg/dx</t>
  </si>
  <si>
    <t>(alpha g^2 -(1+2 alpha) g + 1) exp(-g) dg/dx</t>
  </si>
  <si>
    <t>zeros</t>
  </si>
  <si>
    <t>g=( (1+2*alpha) +/- sqrt((1+2 alpha)^2 - 4 * alpha *1))/(2*alpha)</t>
  </si>
  <si>
    <t>=((1+2*alpha) +/- sqrt((1+4 alpha^2)/(2*alpha)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</si>
</sst>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00000"/>
    <numFmt numFmtId="165" formatCode="0.0000000E+00"/>
    <numFmt numFmtId="166" formatCode="0.0000E+00"/>
    <numFmt numFmtId="167" formatCode="0.00000E+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NumberFormat="1"/>
    <xf numFmtId="164" fontId="0" fillId="0" borderId="0" xfId="0" applyNumberFormat="1"/>
    <xf numFmtId="11" fontId="0" fillId="2" borderId="0" xfId="0" applyNumberFormat="1" applyFill="1"/>
    <xf numFmtId="0" fontId="0" fillId="0" borderId="0" xfId="0" quotePrefix="1"/>
    <xf numFmtId="165" fontId="0" fillId="0" borderId="0" xfId="0" applyNumberFormat="1"/>
    <xf numFmtId="0" fontId="0" fillId="0" borderId="0" xfId="0" applyFill="1"/>
    <xf numFmtId="166" fontId="0" fillId="0" borderId="0" xfId="0" applyNumberFormat="1"/>
    <xf numFmtId="11" fontId="0" fillId="0" borderId="0" xfId="0" applyNumberFormat="1"/>
    <xf numFmtId="0" fontId="1" fillId="0" borderId="0" xfId="0" applyFont="1"/>
    <xf numFmtId="167" fontId="0" fillId="0" borderId="0" xfId="0" applyNumberFormat="1"/>
    <xf numFmtId="0" fontId="0" fillId="0" borderId="0" xfId="0" applyAlignment="1">
      <alignment horizontal="right"/>
    </xf>
    <xf numFmtId="11" fontId="0" fillId="0" borderId="0" xfId="0" applyNumberFormat="1" applyFill="1"/>
    <xf numFmtId="0" fontId="0" fillId="0" borderId="0" xfId="0" applyAlignment="1">
      <alignment horizontal="left"/>
    </xf>
    <xf numFmtId="0" fontId="1" fillId="0" borderId="0" xfId="0" quotePrefix="1" applyFont="1"/>
    <xf numFmtId="167" fontId="1" fillId="0" borderId="0" xfId="0" applyNumberFormat="1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Sheet1!$AC$23</c:f>
              <c:strCache>
                <c:ptCount val="1"/>
                <c:pt idx="0">
                  <c:v>ln(h2b)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Sheet1!$B$25:$B$1044</c:f>
              <c:numCache>
                <c:formatCode>General</c:formatCode>
                <c:ptCount val="1020"/>
                <c:pt idx="0">
                  <c:v>3.1415926535897933E-16</c:v>
                </c:pt>
                <c:pt idx="1">
                  <c:v>3.1415926535897933E-15</c:v>
                </c:pt>
                <c:pt idx="2">
                  <c:v>3.1415926535897934E-14</c:v>
                </c:pt>
                <c:pt idx="3">
                  <c:v>3.1415926535897937E-13</c:v>
                </c:pt>
                <c:pt idx="4">
                  <c:v>3.1415926535897939E-12</c:v>
                </c:pt>
                <c:pt idx="5">
                  <c:v>3.1415926535897936E-11</c:v>
                </c:pt>
                <c:pt idx="6">
                  <c:v>3.1415926535897939E-10</c:v>
                </c:pt>
                <c:pt idx="7">
                  <c:v>3.141592653589794E-9</c:v>
                </c:pt>
                <c:pt idx="8">
                  <c:v>3.1415926535897938E-8</c:v>
                </c:pt>
                <c:pt idx="9">
                  <c:v>3.1415926535897938E-7</c:v>
                </c:pt>
                <c:pt idx="10">
                  <c:v>3.1415926535897938E-6</c:v>
                </c:pt>
                <c:pt idx="11">
                  <c:v>3.1415926535897935E-5</c:v>
                </c:pt>
                <c:pt idx="12">
                  <c:v>3.1415926535897931E-4</c:v>
                </c:pt>
                <c:pt idx="13">
                  <c:v>3.1415926535897933E-3</c:v>
                </c:pt>
                <c:pt idx="14">
                  <c:v>6.2831853071795866E-3</c:v>
                </c:pt>
                <c:pt idx="15">
                  <c:v>9.4247779607693795E-3</c:v>
                </c:pt>
                <c:pt idx="16">
                  <c:v>1.2566370614359173E-2</c:v>
                </c:pt>
                <c:pt idx="17">
                  <c:v>1.5707963267948967E-2</c:v>
                </c:pt>
                <c:pt idx="18">
                  <c:v>1.8849555921538759E-2</c:v>
                </c:pt>
                <c:pt idx="19">
                  <c:v>2.1991148575128551E-2</c:v>
                </c:pt>
                <c:pt idx="20">
                  <c:v>2.5132741228718346E-2</c:v>
                </c:pt>
                <c:pt idx="21">
                  <c:v>2.8274333882308135E-2</c:v>
                </c:pt>
                <c:pt idx="22">
                  <c:v>3.1415926535897934E-2</c:v>
                </c:pt>
                <c:pt idx="23">
                  <c:v>3.4557519189487719E-2</c:v>
                </c:pt>
                <c:pt idx="24">
                  <c:v>3.7699111843077518E-2</c:v>
                </c:pt>
                <c:pt idx="25">
                  <c:v>4.084070449666731E-2</c:v>
                </c:pt>
                <c:pt idx="26">
                  <c:v>4.3982297150257102E-2</c:v>
                </c:pt>
                <c:pt idx="27">
                  <c:v>4.7123889803846894E-2</c:v>
                </c:pt>
                <c:pt idx="28">
                  <c:v>5.0265482457436693E-2</c:v>
                </c:pt>
                <c:pt idx="29">
                  <c:v>5.3407075111026485E-2</c:v>
                </c:pt>
                <c:pt idx="30">
                  <c:v>5.654866776461627E-2</c:v>
                </c:pt>
                <c:pt idx="31">
                  <c:v>5.9690260418206069E-2</c:v>
                </c:pt>
                <c:pt idx="32">
                  <c:v>6.2831853071795868E-2</c:v>
                </c:pt>
                <c:pt idx="33">
                  <c:v>6.597344572538566E-2</c:v>
                </c:pt>
                <c:pt idx="34">
                  <c:v>6.9115038378975438E-2</c:v>
                </c:pt>
                <c:pt idx="35">
                  <c:v>7.2256631032565244E-2</c:v>
                </c:pt>
                <c:pt idx="36">
                  <c:v>7.5398223686155036E-2</c:v>
                </c:pt>
                <c:pt idx="37">
                  <c:v>7.8539816339744828E-2</c:v>
                </c:pt>
                <c:pt idx="38">
                  <c:v>8.168140899333462E-2</c:v>
                </c:pt>
                <c:pt idx="39">
                  <c:v>8.4823001646924412E-2</c:v>
                </c:pt>
                <c:pt idx="40">
                  <c:v>8.7964594300514204E-2</c:v>
                </c:pt>
                <c:pt idx="41">
                  <c:v>9.110618695410401E-2</c:v>
                </c:pt>
                <c:pt idx="42">
                  <c:v>9.4247779607693788E-2</c:v>
                </c:pt>
                <c:pt idx="43">
                  <c:v>9.738937226128358E-2</c:v>
                </c:pt>
                <c:pt idx="44">
                  <c:v>0.10053096491487339</c:v>
                </c:pt>
                <c:pt idx="45">
                  <c:v>0.10367255756846318</c:v>
                </c:pt>
                <c:pt idx="46">
                  <c:v>0.10681415022205297</c:v>
                </c:pt>
                <c:pt idx="47">
                  <c:v>0.10995574287564278</c:v>
                </c:pt>
                <c:pt idx="48">
                  <c:v>0.11309733552923254</c:v>
                </c:pt>
                <c:pt idx="49">
                  <c:v>0.11623892818282235</c:v>
                </c:pt>
                <c:pt idx="50">
                  <c:v>0.11938052083641214</c:v>
                </c:pt>
                <c:pt idx="51">
                  <c:v>0.12252211349000193</c:v>
                </c:pt>
                <c:pt idx="52">
                  <c:v>0.12566370614359174</c:v>
                </c:pt>
                <c:pt idx="53">
                  <c:v>0.12880529879718153</c:v>
                </c:pt>
                <c:pt idx="54">
                  <c:v>0.13194689145077132</c:v>
                </c:pt>
                <c:pt idx="55">
                  <c:v>0.13508848410436108</c:v>
                </c:pt>
                <c:pt idx="56">
                  <c:v>0.13823007675795088</c:v>
                </c:pt>
                <c:pt idx="57">
                  <c:v>0.1413716694115407</c:v>
                </c:pt>
                <c:pt idx="58">
                  <c:v>0.14451326206513049</c:v>
                </c:pt>
                <c:pt idx="59">
                  <c:v>0.14765485471872028</c:v>
                </c:pt>
                <c:pt idx="60">
                  <c:v>0.15079644737231007</c:v>
                </c:pt>
                <c:pt idx="61">
                  <c:v>0.15393804002589986</c:v>
                </c:pt>
                <c:pt idx="62">
                  <c:v>0.15707963267948966</c:v>
                </c:pt>
                <c:pt idx="63">
                  <c:v>0.16022122533307945</c:v>
                </c:pt>
                <c:pt idx="64">
                  <c:v>0.16336281798666924</c:v>
                </c:pt>
                <c:pt idx="65">
                  <c:v>0.16650441064025903</c:v>
                </c:pt>
                <c:pt idx="66">
                  <c:v>0.16964600329384882</c:v>
                </c:pt>
                <c:pt idx="67">
                  <c:v>0.17278759594743862</c:v>
                </c:pt>
                <c:pt idx="68">
                  <c:v>0.17592918860102841</c:v>
                </c:pt>
                <c:pt idx="69">
                  <c:v>0.17907078125461823</c:v>
                </c:pt>
                <c:pt idx="70">
                  <c:v>0.18221237390820802</c:v>
                </c:pt>
                <c:pt idx="71">
                  <c:v>0.18535396656179778</c:v>
                </c:pt>
                <c:pt idx="72">
                  <c:v>0.18849555921538758</c:v>
                </c:pt>
                <c:pt idx="73">
                  <c:v>0.19163715186897737</c:v>
                </c:pt>
                <c:pt idx="74">
                  <c:v>0.19477874452256716</c:v>
                </c:pt>
                <c:pt idx="75">
                  <c:v>0.19792033717615698</c:v>
                </c:pt>
                <c:pt idx="76">
                  <c:v>0.20106192982974677</c:v>
                </c:pt>
                <c:pt idx="77">
                  <c:v>0.20420352248333656</c:v>
                </c:pt>
                <c:pt idx="78">
                  <c:v>0.20734511513692636</c:v>
                </c:pt>
                <c:pt idx="79">
                  <c:v>0.21048670779051615</c:v>
                </c:pt>
                <c:pt idx="80">
                  <c:v>0.21362830044410594</c:v>
                </c:pt>
                <c:pt idx="81">
                  <c:v>0.21676989309769573</c:v>
                </c:pt>
                <c:pt idx="82">
                  <c:v>0.21991148575128555</c:v>
                </c:pt>
                <c:pt idx="83">
                  <c:v>0.22305307840487529</c:v>
                </c:pt>
                <c:pt idx="84">
                  <c:v>0.22619467105846508</c:v>
                </c:pt>
                <c:pt idx="85">
                  <c:v>0.22933626371205487</c:v>
                </c:pt>
                <c:pt idx="86">
                  <c:v>0.23247785636564469</c:v>
                </c:pt>
                <c:pt idx="87">
                  <c:v>0.23561944901923448</c:v>
                </c:pt>
                <c:pt idx="88">
                  <c:v>0.23876104167282428</c:v>
                </c:pt>
                <c:pt idx="89">
                  <c:v>0.24190263432641407</c:v>
                </c:pt>
                <c:pt idx="90">
                  <c:v>0.24504422698000386</c:v>
                </c:pt>
                <c:pt idx="91">
                  <c:v>0.24818581963359365</c:v>
                </c:pt>
                <c:pt idx="92">
                  <c:v>0.25132741228718347</c:v>
                </c:pt>
                <c:pt idx="93">
                  <c:v>0.25446900494077324</c:v>
                </c:pt>
                <c:pt idx="94">
                  <c:v>0.25761059759436306</c:v>
                </c:pt>
                <c:pt idx="95">
                  <c:v>0.26075219024795282</c:v>
                </c:pt>
                <c:pt idx="96">
                  <c:v>0.26389378290154264</c:v>
                </c:pt>
                <c:pt idx="97">
                  <c:v>0.26703537555513246</c:v>
                </c:pt>
                <c:pt idx="98">
                  <c:v>0.27017696820872217</c:v>
                </c:pt>
                <c:pt idx="99">
                  <c:v>0.27331856086231199</c:v>
                </c:pt>
                <c:pt idx="100">
                  <c:v>0.27646015351590175</c:v>
                </c:pt>
                <c:pt idx="101">
                  <c:v>0.27960174616949157</c:v>
                </c:pt>
                <c:pt idx="102">
                  <c:v>0.28274333882308139</c:v>
                </c:pt>
                <c:pt idx="103">
                  <c:v>0.28588493147667116</c:v>
                </c:pt>
                <c:pt idx="104">
                  <c:v>0.28902652413026098</c:v>
                </c:pt>
                <c:pt idx="105">
                  <c:v>0.29216811678385074</c:v>
                </c:pt>
                <c:pt idx="106">
                  <c:v>0.29530970943744056</c:v>
                </c:pt>
                <c:pt idx="107">
                  <c:v>0.29845130209103032</c:v>
                </c:pt>
                <c:pt idx="108">
                  <c:v>0.30159289474462014</c:v>
                </c:pt>
                <c:pt idx="109">
                  <c:v>0.30473448739820996</c:v>
                </c:pt>
                <c:pt idx="110">
                  <c:v>0.30787608005179973</c:v>
                </c:pt>
                <c:pt idx="111">
                  <c:v>0.31101767270538955</c:v>
                </c:pt>
                <c:pt idx="112">
                  <c:v>0.31415926535897931</c:v>
                </c:pt>
                <c:pt idx="113">
                  <c:v>0.31730085801256913</c:v>
                </c:pt>
                <c:pt idx="114">
                  <c:v>0.3204424506661589</c:v>
                </c:pt>
                <c:pt idx="115">
                  <c:v>0.32358404331974866</c:v>
                </c:pt>
                <c:pt idx="116">
                  <c:v>0.32672563597333848</c:v>
                </c:pt>
                <c:pt idx="117">
                  <c:v>0.32986722862692824</c:v>
                </c:pt>
                <c:pt idx="118">
                  <c:v>0.33300882128051806</c:v>
                </c:pt>
                <c:pt idx="119">
                  <c:v>0.33615041393410788</c:v>
                </c:pt>
                <c:pt idx="120">
                  <c:v>0.33929200658769765</c:v>
                </c:pt>
                <c:pt idx="121">
                  <c:v>0.34243359924128747</c:v>
                </c:pt>
                <c:pt idx="122">
                  <c:v>0.34557519189487723</c:v>
                </c:pt>
                <c:pt idx="123">
                  <c:v>0.34871678454846705</c:v>
                </c:pt>
                <c:pt idx="124">
                  <c:v>0.35185837720205682</c:v>
                </c:pt>
                <c:pt idx="125">
                  <c:v>0.35499996985564664</c:v>
                </c:pt>
                <c:pt idx="126">
                  <c:v>0.35814156250923646</c:v>
                </c:pt>
                <c:pt idx="127">
                  <c:v>0.36128315516282622</c:v>
                </c:pt>
                <c:pt idx="128">
                  <c:v>0.36442474781641604</c:v>
                </c:pt>
                <c:pt idx="129">
                  <c:v>0.3675663404700058</c:v>
                </c:pt>
                <c:pt idx="130">
                  <c:v>0.37070793312359557</c:v>
                </c:pt>
                <c:pt idx="131">
                  <c:v>0.37384952577718539</c:v>
                </c:pt>
                <c:pt idx="132">
                  <c:v>0.37699111843077515</c:v>
                </c:pt>
                <c:pt idx="133">
                  <c:v>0.38013271108436497</c:v>
                </c:pt>
                <c:pt idx="134">
                  <c:v>0.38327430373795474</c:v>
                </c:pt>
                <c:pt idx="135">
                  <c:v>0.38641589639154456</c:v>
                </c:pt>
                <c:pt idx="136">
                  <c:v>0.38955748904513432</c:v>
                </c:pt>
                <c:pt idx="137">
                  <c:v>0.39269908169872414</c:v>
                </c:pt>
                <c:pt idx="138">
                  <c:v>0.39584067435231396</c:v>
                </c:pt>
                <c:pt idx="139">
                  <c:v>0.39898226700590372</c:v>
                </c:pt>
                <c:pt idx="140">
                  <c:v>0.40212385965949354</c:v>
                </c:pt>
                <c:pt idx="141">
                  <c:v>0.40526545231308331</c:v>
                </c:pt>
                <c:pt idx="142">
                  <c:v>0.40840704496667313</c:v>
                </c:pt>
                <c:pt idx="143">
                  <c:v>0.41154863762026289</c:v>
                </c:pt>
                <c:pt idx="144">
                  <c:v>0.41469023027385271</c:v>
                </c:pt>
                <c:pt idx="145">
                  <c:v>0.41783182292744253</c:v>
                </c:pt>
                <c:pt idx="146">
                  <c:v>0.4209734155810323</c:v>
                </c:pt>
                <c:pt idx="147">
                  <c:v>0.42411500823462212</c:v>
                </c:pt>
                <c:pt idx="148">
                  <c:v>0.42725660088821188</c:v>
                </c:pt>
                <c:pt idx="149">
                  <c:v>0.4303981935418017</c:v>
                </c:pt>
                <c:pt idx="150">
                  <c:v>0.43353978619539146</c:v>
                </c:pt>
                <c:pt idx="151">
                  <c:v>0.43668137884898128</c:v>
                </c:pt>
                <c:pt idx="152">
                  <c:v>0.4398229715025711</c:v>
                </c:pt>
                <c:pt idx="153">
                  <c:v>0.44296456415616081</c:v>
                </c:pt>
                <c:pt idx="154">
                  <c:v>0.44610615680975058</c:v>
                </c:pt>
                <c:pt idx="155">
                  <c:v>0.4492477494633404</c:v>
                </c:pt>
                <c:pt idx="156">
                  <c:v>0.45238934211693016</c:v>
                </c:pt>
                <c:pt idx="157">
                  <c:v>0.45553093477051998</c:v>
                </c:pt>
                <c:pt idx="158">
                  <c:v>0.45867252742410974</c:v>
                </c:pt>
                <c:pt idx="159">
                  <c:v>0.46181412007769956</c:v>
                </c:pt>
                <c:pt idx="160">
                  <c:v>0.46495571273128938</c:v>
                </c:pt>
                <c:pt idx="161">
                  <c:v>0.46809730538487915</c:v>
                </c:pt>
                <c:pt idx="162">
                  <c:v>0.47123889803846897</c:v>
                </c:pt>
                <c:pt idx="163">
                  <c:v>0.47438049069205873</c:v>
                </c:pt>
                <c:pt idx="164">
                  <c:v>0.47752208334564855</c:v>
                </c:pt>
                <c:pt idx="165">
                  <c:v>0.48066367599923832</c:v>
                </c:pt>
                <c:pt idx="166">
                  <c:v>0.48380526865282814</c:v>
                </c:pt>
                <c:pt idx="167">
                  <c:v>0.48694686130641796</c:v>
                </c:pt>
                <c:pt idx="168">
                  <c:v>0.49008845396000772</c:v>
                </c:pt>
                <c:pt idx="169">
                  <c:v>0.49323004661359754</c:v>
                </c:pt>
                <c:pt idx="170">
                  <c:v>0.4963716392671873</c:v>
                </c:pt>
                <c:pt idx="171">
                  <c:v>0.49951323192077712</c:v>
                </c:pt>
                <c:pt idx="172">
                  <c:v>0.50265482457436694</c:v>
                </c:pt>
                <c:pt idx="173">
                  <c:v>0.50579641722795665</c:v>
                </c:pt>
                <c:pt idx="174">
                  <c:v>0.50893800988154647</c:v>
                </c:pt>
                <c:pt idx="175">
                  <c:v>0.51207960253513629</c:v>
                </c:pt>
                <c:pt idx="176">
                  <c:v>0.51522119518872611</c:v>
                </c:pt>
                <c:pt idx="177">
                  <c:v>0.51836278784231593</c:v>
                </c:pt>
                <c:pt idx="178">
                  <c:v>0.52150438049590564</c:v>
                </c:pt>
                <c:pt idx="179">
                  <c:v>0.52464597314949546</c:v>
                </c:pt>
                <c:pt idx="180">
                  <c:v>0.52778756580308528</c:v>
                </c:pt>
                <c:pt idx="181">
                  <c:v>0.5309291584566751</c:v>
                </c:pt>
                <c:pt idx="182">
                  <c:v>0.53407075111026492</c:v>
                </c:pt>
                <c:pt idx="183">
                  <c:v>0.53721234376385463</c:v>
                </c:pt>
                <c:pt idx="184">
                  <c:v>0.54035393641744434</c:v>
                </c:pt>
                <c:pt idx="185">
                  <c:v>0.54349552907103416</c:v>
                </c:pt>
                <c:pt idx="186">
                  <c:v>0.54663712172462398</c:v>
                </c:pt>
                <c:pt idx="187">
                  <c:v>0.5497787143782138</c:v>
                </c:pt>
                <c:pt idx="188">
                  <c:v>0.5529203070318035</c:v>
                </c:pt>
                <c:pt idx="189">
                  <c:v>0.55606189968539332</c:v>
                </c:pt>
                <c:pt idx="190">
                  <c:v>0.55920349233898314</c:v>
                </c:pt>
                <c:pt idx="191">
                  <c:v>0.56234508499257296</c:v>
                </c:pt>
                <c:pt idx="192">
                  <c:v>0.56548667764616278</c:v>
                </c:pt>
                <c:pt idx="193">
                  <c:v>0.56862827029975249</c:v>
                </c:pt>
                <c:pt idx="194">
                  <c:v>0.57176986295334231</c:v>
                </c:pt>
                <c:pt idx="195">
                  <c:v>0.57491145560693213</c:v>
                </c:pt>
                <c:pt idx="196">
                  <c:v>0.57805304826052195</c:v>
                </c:pt>
                <c:pt idx="197">
                  <c:v>0.58119464091411177</c:v>
                </c:pt>
                <c:pt idx="198">
                  <c:v>0.58433623356770148</c:v>
                </c:pt>
                <c:pt idx="199">
                  <c:v>0.5874778262212913</c:v>
                </c:pt>
                <c:pt idx="200">
                  <c:v>0.59061941887488112</c:v>
                </c:pt>
                <c:pt idx="201">
                  <c:v>0.59376101152847094</c:v>
                </c:pt>
                <c:pt idx="202">
                  <c:v>0.59690260418206065</c:v>
                </c:pt>
                <c:pt idx="203">
                  <c:v>0.60004419683565047</c:v>
                </c:pt>
                <c:pt idx="204">
                  <c:v>0.60318578948924029</c:v>
                </c:pt>
                <c:pt idx="205">
                  <c:v>0.60632738214283011</c:v>
                </c:pt>
                <c:pt idx="206">
                  <c:v>0.60946897479641993</c:v>
                </c:pt>
                <c:pt idx="207">
                  <c:v>0.61261056745000964</c:v>
                </c:pt>
                <c:pt idx="208">
                  <c:v>0.61575216010359946</c:v>
                </c:pt>
                <c:pt idx="209">
                  <c:v>0.61889375275718927</c:v>
                </c:pt>
                <c:pt idx="210">
                  <c:v>0.62203534541077909</c:v>
                </c:pt>
                <c:pt idx="211">
                  <c:v>0.62517693806436891</c:v>
                </c:pt>
                <c:pt idx="212">
                  <c:v>0.62831853071795862</c:v>
                </c:pt>
                <c:pt idx="213">
                  <c:v>0.63146012337154844</c:v>
                </c:pt>
                <c:pt idx="214">
                  <c:v>0.63460171602513826</c:v>
                </c:pt>
                <c:pt idx="215">
                  <c:v>0.63774330867872808</c:v>
                </c:pt>
                <c:pt idx="216">
                  <c:v>0.64088490133231779</c:v>
                </c:pt>
                <c:pt idx="217">
                  <c:v>0.6440264939859075</c:v>
                </c:pt>
                <c:pt idx="218">
                  <c:v>0.64716808663949732</c:v>
                </c:pt>
                <c:pt idx="219">
                  <c:v>0.65030967929308714</c:v>
                </c:pt>
                <c:pt idx="220">
                  <c:v>0.65345127194667696</c:v>
                </c:pt>
                <c:pt idx="221">
                  <c:v>0.65659286460026678</c:v>
                </c:pt>
                <c:pt idx="222">
                  <c:v>0.65973445725385649</c:v>
                </c:pt>
                <c:pt idx="223">
                  <c:v>0.66287604990744631</c:v>
                </c:pt>
                <c:pt idx="224">
                  <c:v>0.66601764256103613</c:v>
                </c:pt>
                <c:pt idx="225">
                  <c:v>0.66915923521462595</c:v>
                </c:pt>
                <c:pt idx="226">
                  <c:v>0.67230082786821577</c:v>
                </c:pt>
                <c:pt idx="227">
                  <c:v>0.67544242052180548</c:v>
                </c:pt>
                <c:pt idx="228">
                  <c:v>0.6785840131753953</c:v>
                </c:pt>
                <c:pt idx="229">
                  <c:v>0.68172560582898512</c:v>
                </c:pt>
                <c:pt idx="230">
                  <c:v>0.68486719848257493</c:v>
                </c:pt>
                <c:pt idx="231">
                  <c:v>0.68800879113616464</c:v>
                </c:pt>
                <c:pt idx="232">
                  <c:v>0.69115038378975446</c:v>
                </c:pt>
                <c:pt idx="233">
                  <c:v>0.69429197644334428</c:v>
                </c:pt>
                <c:pt idx="234">
                  <c:v>0.6974335690969341</c:v>
                </c:pt>
                <c:pt idx="235">
                  <c:v>0.70057516175052392</c:v>
                </c:pt>
                <c:pt idx="236">
                  <c:v>0.70371675440411363</c:v>
                </c:pt>
                <c:pt idx="237">
                  <c:v>0.70685834705770345</c:v>
                </c:pt>
                <c:pt idx="238">
                  <c:v>0.70999993971129327</c:v>
                </c:pt>
                <c:pt idx="239">
                  <c:v>0.71314153236488309</c:v>
                </c:pt>
                <c:pt idx="240">
                  <c:v>0.71628312501847291</c:v>
                </c:pt>
                <c:pt idx="241">
                  <c:v>0.71942471767206262</c:v>
                </c:pt>
                <c:pt idx="242">
                  <c:v>0.72256631032565244</c:v>
                </c:pt>
                <c:pt idx="243">
                  <c:v>0.72570790297924226</c:v>
                </c:pt>
                <c:pt idx="244">
                  <c:v>0.72884949563283208</c:v>
                </c:pt>
                <c:pt idx="245">
                  <c:v>0.73199108828642179</c:v>
                </c:pt>
                <c:pt idx="246">
                  <c:v>0.73513268094001161</c:v>
                </c:pt>
                <c:pt idx="247">
                  <c:v>0.73827427359360132</c:v>
                </c:pt>
                <c:pt idx="248">
                  <c:v>0.74141586624719114</c:v>
                </c:pt>
                <c:pt idx="249">
                  <c:v>0.74455745890078096</c:v>
                </c:pt>
                <c:pt idx="250">
                  <c:v>0.74769905155437077</c:v>
                </c:pt>
                <c:pt idx="251">
                  <c:v>0.75084064420796048</c:v>
                </c:pt>
                <c:pt idx="252">
                  <c:v>0.7539822368615503</c:v>
                </c:pt>
                <c:pt idx="253">
                  <c:v>0.75712382951514012</c:v>
                </c:pt>
                <c:pt idx="254">
                  <c:v>0.76026542216872994</c:v>
                </c:pt>
                <c:pt idx="255">
                  <c:v>0.76340701482231976</c:v>
                </c:pt>
                <c:pt idx="256">
                  <c:v>0.76654860747590947</c:v>
                </c:pt>
                <c:pt idx="257">
                  <c:v>0.76969020012949929</c:v>
                </c:pt>
                <c:pt idx="258">
                  <c:v>0.77283179278308911</c:v>
                </c:pt>
                <c:pt idx="259">
                  <c:v>0.77597338543667893</c:v>
                </c:pt>
                <c:pt idx="260">
                  <c:v>0.77911497809026864</c:v>
                </c:pt>
                <c:pt idx="261">
                  <c:v>0.78225657074385846</c:v>
                </c:pt>
                <c:pt idx="262">
                  <c:v>0.78539816339744828</c:v>
                </c:pt>
                <c:pt idx="263">
                  <c:v>0.7885397560510381</c:v>
                </c:pt>
                <c:pt idx="264">
                  <c:v>0.79168134870462792</c:v>
                </c:pt>
                <c:pt idx="265">
                  <c:v>0.79482294135821763</c:v>
                </c:pt>
                <c:pt idx="266">
                  <c:v>0.79796453401180745</c:v>
                </c:pt>
                <c:pt idx="267">
                  <c:v>0.80110612666539727</c:v>
                </c:pt>
                <c:pt idx="268">
                  <c:v>0.80424771931898709</c:v>
                </c:pt>
                <c:pt idx="269">
                  <c:v>0.8073893119725768</c:v>
                </c:pt>
                <c:pt idx="270">
                  <c:v>0.81053090462616662</c:v>
                </c:pt>
                <c:pt idx="271">
                  <c:v>0.81367249727975643</c:v>
                </c:pt>
                <c:pt idx="272">
                  <c:v>0.81681408993334625</c:v>
                </c:pt>
                <c:pt idx="273">
                  <c:v>0.81995568258693607</c:v>
                </c:pt>
                <c:pt idx="274">
                  <c:v>0.82309727524052578</c:v>
                </c:pt>
                <c:pt idx="275">
                  <c:v>0.8262388678941156</c:v>
                </c:pt>
                <c:pt idx="276">
                  <c:v>0.82938046054770542</c:v>
                </c:pt>
                <c:pt idx="277">
                  <c:v>0.83252205320129524</c:v>
                </c:pt>
                <c:pt idx="278">
                  <c:v>0.83566364585488506</c:v>
                </c:pt>
                <c:pt idx="279">
                  <c:v>0.83880523850847477</c:v>
                </c:pt>
                <c:pt idx="280">
                  <c:v>0.84194683116206459</c:v>
                </c:pt>
                <c:pt idx="281">
                  <c:v>0.84508842381565441</c:v>
                </c:pt>
                <c:pt idx="282">
                  <c:v>0.84823001646924423</c:v>
                </c:pt>
                <c:pt idx="283">
                  <c:v>0.85137160912283394</c:v>
                </c:pt>
                <c:pt idx="284">
                  <c:v>0.85451320177642376</c:v>
                </c:pt>
                <c:pt idx="285">
                  <c:v>0.85765479443001358</c:v>
                </c:pt>
                <c:pt idx="286">
                  <c:v>0.8607963870836034</c:v>
                </c:pt>
                <c:pt idx="287">
                  <c:v>0.86393797973719322</c:v>
                </c:pt>
                <c:pt idx="288">
                  <c:v>0.86707957239078293</c:v>
                </c:pt>
                <c:pt idx="289">
                  <c:v>0.87022116504437275</c:v>
                </c:pt>
                <c:pt idx="290">
                  <c:v>0.87336275769796257</c:v>
                </c:pt>
                <c:pt idx="291">
                  <c:v>0.87650435035155239</c:v>
                </c:pt>
                <c:pt idx="292">
                  <c:v>0.87964594300514221</c:v>
                </c:pt>
                <c:pt idx="293">
                  <c:v>0.88278753565873191</c:v>
                </c:pt>
                <c:pt idx="294">
                  <c:v>0.88592912831232162</c:v>
                </c:pt>
                <c:pt idx="295">
                  <c:v>0.88907072096591133</c:v>
                </c:pt>
                <c:pt idx="296">
                  <c:v>0.89221231361950115</c:v>
                </c:pt>
                <c:pt idx="297">
                  <c:v>0.89535390627309097</c:v>
                </c:pt>
                <c:pt idx="298">
                  <c:v>0.89849549892668079</c:v>
                </c:pt>
                <c:pt idx="299">
                  <c:v>0.9016370915802705</c:v>
                </c:pt>
                <c:pt idx="300">
                  <c:v>0.90477868423386032</c:v>
                </c:pt>
                <c:pt idx="301">
                  <c:v>0.90792027688745014</c:v>
                </c:pt>
                <c:pt idx="302">
                  <c:v>0.91106186954103996</c:v>
                </c:pt>
                <c:pt idx="303">
                  <c:v>0.91420346219462978</c:v>
                </c:pt>
                <c:pt idx="304">
                  <c:v>0.91734505484821949</c:v>
                </c:pt>
                <c:pt idx="305">
                  <c:v>0.92048664750180931</c:v>
                </c:pt>
                <c:pt idx="306">
                  <c:v>0.92362824015539913</c:v>
                </c:pt>
                <c:pt idx="307">
                  <c:v>0.92676983280898895</c:v>
                </c:pt>
                <c:pt idx="308">
                  <c:v>0.92991142546257877</c:v>
                </c:pt>
                <c:pt idx="309">
                  <c:v>0.93305301811616848</c:v>
                </c:pt>
                <c:pt idx="310">
                  <c:v>0.9361946107697583</c:v>
                </c:pt>
                <c:pt idx="311">
                  <c:v>0.93933620342334812</c:v>
                </c:pt>
                <c:pt idx="312">
                  <c:v>0.94247779607693793</c:v>
                </c:pt>
                <c:pt idx="313">
                  <c:v>0.94561938873052764</c:v>
                </c:pt>
                <c:pt idx="314">
                  <c:v>0.94876098138411746</c:v>
                </c:pt>
                <c:pt idx="315">
                  <c:v>0.95190257403770728</c:v>
                </c:pt>
                <c:pt idx="316">
                  <c:v>0.9550441666912971</c:v>
                </c:pt>
                <c:pt idx="317">
                  <c:v>0.95818575934488692</c:v>
                </c:pt>
                <c:pt idx="318">
                  <c:v>0.96132735199847663</c:v>
                </c:pt>
                <c:pt idx="319">
                  <c:v>0.96446894465206645</c:v>
                </c:pt>
                <c:pt idx="320">
                  <c:v>0.96761053730565627</c:v>
                </c:pt>
                <c:pt idx="321">
                  <c:v>0.97075212995924609</c:v>
                </c:pt>
                <c:pt idx="322">
                  <c:v>0.97389372261283591</c:v>
                </c:pt>
                <c:pt idx="323">
                  <c:v>0.97703531526642562</c:v>
                </c:pt>
                <c:pt idx="324">
                  <c:v>0.98017690792001544</c:v>
                </c:pt>
                <c:pt idx="325">
                  <c:v>0.98331850057360526</c:v>
                </c:pt>
                <c:pt idx="326">
                  <c:v>0.98646009322719508</c:v>
                </c:pt>
                <c:pt idx="327">
                  <c:v>0.98960168588078479</c:v>
                </c:pt>
                <c:pt idx="328">
                  <c:v>0.99274327853437461</c:v>
                </c:pt>
                <c:pt idx="329">
                  <c:v>0.99588487118796443</c:v>
                </c:pt>
                <c:pt idx="330">
                  <c:v>0.99902646384155425</c:v>
                </c:pt>
                <c:pt idx="331">
                  <c:v>1.0021680564951441</c:v>
                </c:pt>
                <c:pt idx="332">
                  <c:v>1.0053096491487339</c:v>
                </c:pt>
                <c:pt idx="333">
                  <c:v>1.0084512418023237</c:v>
                </c:pt>
                <c:pt idx="334">
                  <c:v>1.0115928344559133</c:v>
                </c:pt>
                <c:pt idx="335">
                  <c:v>1.0147344271095031</c:v>
                </c:pt>
                <c:pt idx="336">
                  <c:v>1.0178760197630929</c:v>
                </c:pt>
                <c:pt idx="337">
                  <c:v>1.0210176124166828</c:v>
                </c:pt>
                <c:pt idx="338">
                  <c:v>1.0241592050702726</c:v>
                </c:pt>
                <c:pt idx="339">
                  <c:v>1.0273007977238624</c:v>
                </c:pt>
                <c:pt idx="340">
                  <c:v>1.0304423903774522</c:v>
                </c:pt>
                <c:pt idx="341">
                  <c:v>1.033583983031042</c:v>
                </c:pt>
                <c:pt idx="342">
                  <c:v>1.0367255756846319</c:v>
                </c:pt>
                <c:pt idx="343">
                  <c:v>1.0398671683382217</c:v>
                </c:pt>
                <c:pt idx="344">
                  <c:v>1.0430087609918113</c:v>
                </c:pt>
                <c:pt idx="345">
                  <c:v>1.0461503536454011</c:v>
                </c:pt>
                <c:pt idx="346">
                  <c:v>1.0492919462989909</c:v>
                </c:pt>
                <c:pt idx="347">
                  <c:v>1.0524335389525807</c:v>
                </c:pt>
                <c:pt idx="348">
                  <c:v>1.0555751316061706</c:v>
                </c:pt>
                <c:pt idx="349">
                  <c:v>1.0587167242597604</c:v>
                </c:pt>
                <c:pt idx="350">
                  <c:v>1.0618583169133502</c:v>
                </c:pt>
                <c:pt idx="351">
                  <c:v>1.06499990956694</c:v>
                </c:pt>
                <c:pt idx="352">
                  <c:v>1.0681415022205298</c:v>
                </c:pt>
                <c:pt idx="353">
                  <c:v>1.0712830948741194</c:v>
                </c:pt>
                <c:pt idx="354">
                  <c:v>1.0744246875277093</c:v>
                </c:pt>
                <c:pt idx="355">
                  <c:v>1.0775662801812991</c:v>
                </c:pt>
                <c:pt idx="356">
                  <c:v>1.0807078728348887</c:v>
                </c:pt>
                <c:pt idx="357">
                  <c:v>1.0838494654884785</c:v>
                </c:pt>
                <c:pt idx="358">
                  <c:v>1.0869910581420683</c:v>
                </c:pt>
                <c:pt idx="359">
                  <c:v>1.0901326507956581</c:v>
                </c:pt>
                <c:pt idx="360">
                  <c:v>1.093274243449248</c:v>
                </c:pt>
                <c:pt idx="361">
                  <c:v>1.0964158361028378</c:v>
                </c:pt>
                <c:pt idx="362">
                  <c:v>1.0995574287564276</c:v>
                </c:pt>
                <c:pt idx="363">
                  <c:v>1.1026990214100174</c:v>
                </c:pt>
                <c:pt idx="364">
                  <c:v>1.105840614063607</c:v>
                </c:pt>
                <c:pt idx="365">
                  <c:v>1.1089822067171968</c:v>
                </c:pt>
                <c:pt idx="366">
                  <c:v>1.1121237993707866</c:v>
                </c:pt>
                <c:pt idx="367">
                  <c:v>1.1152653920243765</c:v>
                </c:pt>
                <c:pt idx="368">
                  <c:v>1.1184069846779663</c:v>
                </c:pt>
                <c:pt idx="369">
                  <c:v>1.1215485773315561</c:v>
                </c:pt>
                <c:pt idx="370">
                  <c:v>1.1246901699851459</c:v>
                </c:pt>
                <c:pt idx="371">
                  <c:v>1.1278317626387357</c:v>
                </c:pt>
                <c:pt idx="372">
                  <c:v>1.1309733552923256</c:v>
                </c:pt>
                <c:pt idx="373">
                  <c:v>1.1341149479459154</c:v>
                </c:pt>
                <c:pt idx="374">
                  <c:v>1.137256540599505</c:v>
                </c:pt>
                <c:pt idx="375">
                  <c:v>1.1403981332530948</c:v>
                </c:pt>
                <c:pt idx="376">
                  <c:v>1.1435397259066846</c:v>
                </c:pt>
                <c:pt idx="377">
                  <c:v>1.1466813185602744</c:v>
                </c:pt>
                <c:pt idx="378">
                  <c:v>1.1498229112138643</c:v>
                </c:pt>
                <c:pt idx="379">
                  <c:v>1.1529645038674541</c:v>
                </c:pt>
                <c:pt idx="380">
                  <c:v>1.1561060965210439</c:v>
                </c:pt>
                <c:pt idx="381">
                  <c:v>1.1592476891746337</c:v>
                </c:pt>
                <c:pt idx="382">
                  <c:v>1.1623892818282235</c:v>
                </c:pt>
                <c:pt idx="383">
                  <c:v>1.1655308744818131</c:v>
                </c:pt>
                <c:pt idx="384">
                  <c:v>1.168672467135403</c:v>
                </c:pt>
                <c:pt idx="385">
                  <c:v>1.1718140597889928</c:v>
                </c:pt>
                <c:pt idx="386">
                  <c:v>1.1749556524425826</c:v>
                </c:pt>
                <c:pt idx="387">
                  <c:v>1.1780972450961724</c:v>
                </c:pt>
                <c:pt idx="388">
                  <c:v>1.1812388377497622</c:v>
                </c:pt>
                <c:pt idx="389">
                  <c:v>1.1843804304033521</c:v>
                </c:pt>
                <c:pt idx="390">
                  <c:v>1.1875220230569419</c:v>
                </c:pt>
                <c:pt idx="391">
                  <c:v>1.1906636157105317</c:v>
                </c:pt>
                <c:pt idx="392">
                  <c:v>1.1938052083641213</c:v>
                </c:pt>
                <c:pt idx="393">
                  <c:v>1.1969468010177111</c:v>
                </c:pt>
                <c:pt idx="394">
                  <c:v>1.2000883936713009</c:v>
                </c:pt>
                <c:pt idx="395">
                  <c:v>1.2032299863248908</c:v>
                </c:pt>
                <c:pt idx="396">
                  <c:v>1.2063715789784806</c:v>
                </c:pt>
                <c:pt idx="397">
                  <c:v>1.2095131716320704</c:v>
                </c:pt>
                <c:pt idx="398">
                  <c:v>1.2126547642856602</c:v>
                </c:pt>
                <c:pt idx="399">
                  <c:v>1.21579635693925</c:v>
                </c:pt>
                <c:pt idx="400">
                  <c:v>1.2189379495928399</c:v>
                </c:pt>
                <c:pt idx="401">
                  <c:v>1.2220795422464295</c:v>
                </c:pt>
                <c:pt idx="402">
                  <c:v>1.2252211349000193</c:v>
                </c:pt>
                <c:pt idx="403">
                  <c:v>1.2283627275536091</c:v>
                </c:pt>
                <c:pt idx="404">
                  <c:v>1.2315043202071989</c:v>
                </c:pt>
                <c:pt idx="405">
                  <c:v>1.2346459128607887</c:v>
                </c:pt>
                <c:pt idx="406">
                  <c:v>1.2377875055143785</c:v>
                </c:pt>
                <c:pt idx="407">
                  <c:v>1.2409290981679684</c:v>
                </c:pt>
                <c:pt idx="408">
                  <c:v>1.2440706908215582</c:v>
                </c:pt>
                <c:pt idx="409">
                  <c:v>1.247212283475148</c:v>
                </c:pt>
                <c:pt idx="410">
                  <c:v>1.2503538761287378</c:v>
                </c:pt>
                <c:pt idx="411">
                  <c:v>1.2534954687823274</c:v>
                </c:pt>
                <c:pt idx="412">
                  <c:v>1.2566370614359172</c:v>
                </c:pt>
                <c:pt idx="413">
                  <c:v>1.2597786540895071</c:v>
                </c:pt>
                <c:pt idx="414">
                  <c:v>1.2629202467430969</c:v>
                </c:pt>
                <c:pt idx="415">
                  <c:v>1.2660618393966867</c:v>
                </c:pt>
                <c:pt idx="416">
                  <c:v>1.2692034320502765</c:v>
                </c:pt>
                <c:pt idx="417">
                  <c:v>1.2723450247038663</c:v>
                </c:pt>
                <c:pt idx="418">
                  <c:v>1.2754866173574562</c:v>
                </c:pt>
                <c:pt idx="419">
                  <c:v>1.2786282100110458</c:v>
                </c:pt>
                <c:pt idx="420">
                  <c:v>1.2817698026646356</c:v>
                </c:pt>
                <c:pt idx="421">
                  <c:v>1.2849113953182254</c:v>
                </c:pt>
                <c:pt idx="422">
                  <c:v>1.288052987971815</c:v>
                </c:pt>
                <c:pt idx="423">
                  <c:v>1.2911945806254048</c:v>
                </c:pt>
                <c:pt idx="424">
                  <c:v>1.2943361732789946</c:v>
                </c:pt>
                <c:pt idx="425">
                  <c:v>1.2974777659325845</c:v>
                </c:pt>
                <c:pt idx="426">
                  <c:v>1.3006193585861743</c:v>
                </c:pt>
                <c:pt idx="427">
                  <c:v>1.3037609512397641</c:v>
                </c:pt>
                <c:pt idx="428">
                  <c:v>1.3069025438933539</c:v>
                </c:pt>
                <c:pt idx="429">
                  <c:v>1.3100441365469437</c:v>
                </c:pt>
                <c:pt idx="430">
                  <c:v>1.3131857292005336</c:v>
                </c:pt>
                <c:pt idx="431">
                  <c:v>1.3163273218541232</c:v>
                </c:pt>
                <c:pt idx="432">
                  <c:v>1.319468914507713</c:v>
                </c:pt>
                <c:pt idx="433">
                  <c:v>1.3226105071613028</c:v>
                </c:pt>
                <c:pt idx="434">
                  <c:v>1.3257520998148926</c:v>
                </c:pt>
                <c:pt idx="435">
                  <c:v>1.3288936924684824</c:v>
                </c:pt>
                <c:pt idx="436">
                  <c:v>1.3320352851220723</c:v>
                </c:pt>
                <c:pt idx="437">
                  <c:v>1.3351768777756621</c:v>
                </c:pt>
                <c:pt idx="438">
                  <c:v>1.3383184704292519</c:v>
                </c:pt>
                <c:pt idx="439">
                  <c:v>1.3414600630828417</c:v>
                </c:pt>
                <c:pt idx="440">
                  <c:v>1.3446016557364315</c:v>
                </c:pt>
                <c:pt idx="441">
                  <c:v>1.3477432483900211</c:v>
                </c:pt>
                <c:pt idx="442">
                  <c:v>1.350884841043611</c:v>
                </c:pt>
                <c:pt idx="443">
                  <c:v>1.3540264336972008</c:v>
                </c:pt>
                <c:pt idx="444">
                  <c:v>1.3571680263507906</c:v>
                </c:pt>
                <c:pt idx="445">
                  <c:v>1.3603096190043804</c:v>
                </c:pt>
                <c:pt idx="446">
                  <c:v>1.3634512116579702</c:v>
                </c:pt>
                <c:pt idx="447">
                  <c:v>1.36659280431156</c:v>
                </c:pt>
                <c:pt idx="448">
                  <c:v>1.3697343969651499</c:v>
                </c:pt>
                <c:pt idx="449">
                  <c:v>1.3728759896187397</c:v>
                </c:pt>
                <c:pt idx="450">
                  <c:v>1.3760175822723293</c:v>
                </c:pt>
                <c:pt idx="451">
                  <c:v>1.3791591749259191</c:v>
                </c:pt>
                <c:pt idx="452">
                  <c:v>1.3823007675795089</c:v>
                </c:pt>
                <c:pt idx="453">
                  <c:v>1.3854423602330987</c:v>
                </c:pt>
                <c:pt idx="454">
                  <c:v>1.3885839528866886</c:v>
                </c:pt>
                <c:pt idx="455">
                  <c:v>1.3917255455402784</c:v>
                </c:pt>
                <c:pt idx="456">
                  <c:v>1.3948671381938682</c:v>
                </c:pt>
                <c:pt idx="457">
                  <c:v>1.398008730847458</c:v>
                </c:pt>
                <c:pt idx="458">
                  <c:v>1.4011503235010478</c:v>
                </c:pt>
                <c:pt idx="459">
                  <c:v>1.4042919161546374</c:v>
                </c:pt>
                <c:pt idx="460">
                  <c:v>1.4074335088082273</c:v>
                </c:pt>
                <c:pt idx="461">
                  <c:v>1.4105751014618171</c:v>
                </c:pt>
                <c:pt idx="462">
                  <c:v>1.4137166941154069</c:v>
                </c:pt>
                <c:pt idx="463">
                  <c:v>1.4168582867689967</c:v>
                </c:pt>
                <c:pt idx="464">
                  <c:v>1.4199998794225865</c:v>
                </c:pt>
                <c:pt idx="465">
                  <c:v>1.4231414720761764</c:v>
                </c:pt>
                <c:pt idx="466">
                  <c:v>1.4262830647297662</c:v>
                </c:pt>
                <c:pt idx="467">
                  <c:v>1.429424657383356</c:v>
                </c:pt>
                <c:pt idx="468">
                  <c:v>1.4325662500369458</c:v>
                </c:pt>
                <c:pt idx="469">
                  <c:v>1.4357078426905354</c:v>
                </c:pt>
                <c:pt idx="470">
                  <c:v>1.4388494353441252</c:v>
                </c:pt>
                <c:pt idx="471">
                  <c:v>1.4419910279977151</c:v>
                </c:pt>
                <c:pt idx="472">
                  <c:v>1.4451326206513049</c:v>
                </c:pt>
                <c:pt idx="473">
                  <c:v>1.4482742133048947</c:v>
                </c:pt>
                <c:pt idx="474">
                  <c:v>1.4514158059584845</c:v>
                </c:pt>
                <c:pt idx="475">
                  <c:v>1.4545573986120743</c:v>
                </c:pt>
                <c:pt idx="476">
                  <c:v>1.4576989912656642</c:v>
                </c:pt>
                <c:pt idx="477">
                  <c:v>1.460840583919254</c:v>
                </c:pt>
                <c:pt idx="478">
                  <c:v>1.4639821765728436</c:v>
                </c:pt>
                <c:pt idx="479">
                  <c:v>1.4671237692264334</c:v>
                </c:pt>
                <c:pt idx="480">
                  <c:v>1.4702653618800232</c:v>
                </c:pt>
                <c:pt idx="481">
                  <c:v>1.4734069545336128</c:v>
                </c:pt>
                <c:pt idx="482">
                  <c:v>1.4765485471872026</c:v>
                </c:pt>
                <c:pt idx="483">
                  <c:v>1.4796901398407925</c:v>
                </c:pt>
                <c:pt idx="484">
                  <c:v>1.4828317324943823</c:v>
                </c:pt>
                <c:pt idx="485">
                  <c:v>1.4859733251479721</c:v>
                </c:pt>
                <c:pt idx="486">
                  <c:v>1.4891149178015619</c:v>
                </c:pt>
                <c:pt idx="487">
                  <c:v>1.4922565104551517</c:v>
                </c:pt>
                <c:pt idx="488">
                  <c:v>1.4953981031087415</c:v>
                </c:pt>
                <c:pt idx="489">
                  <c:v>1.4985396957623311</c:v>
                </c:pt>
                <c:pt idx="490">
                  <c:v>1.501681288415921</c:v>
                </c:pt>
                <c:pt idx="491">
                  <c:v>1.5048228810695108</c:v>
                </c:pt>
                <c:pt idx="492">
                  <c:v>1.5079644737231006</c:v>
                </c:pt>
                <c:pt idx="493">
                  <c:v>1.5111060663766904</c:v>
                </c:pt>
                <c:pt idx="494">
                  <c:v>1.5142476590302802</c:v>
                </c:pt>
                <c:pt idx="495">
                  <c:v>1.5173892516838701</c:v>
                </c:pt>
                <c:pt idx="496">
                  <c:v>1.5205308443374599</c:v>
                </c:pt>
                <c:pt idx="497">
                  <c:v>1.5236724369910497</c:v>
                </c:pt>
                <c:pt idx="498">
                  <c:v>1.5268140296446395</c:v>
                </c:pt>
                <c:pt idx="499">
                  <c:v>1.5299556222982291</c:v>
                </c:pt>
                <c:pt idx="500">
                  <c:v>1.5330972149518189</c:v>
                </c:pt>
                <c:pt idx="501">
                  <c:v>1.5362388076054088</c:v>
                </c:pt>
                <c:pt idx="502">
                  <c:v>1.5393804002589986</c:v>
                </c:pt>
                <c:pt idx="503">
                  <c:v>1.5425219929125884</c:v>
                </c:pt>
                <c:pt idx="504">
                  <c:v>1.5456635855661782</c:v>
                </c:pt>
                <c:pt idx="505">
                  <c:v>1.548805178219768</c:v>
                </c:pt>
                <c:pt idx="506">
                  <c:v>1.5519467708733579</c:v>
                </c:pt>
                <c:pt idx="507">
                  <c:v>1.5550883635269477</c:v>
                </c:pt>
                <c:pt idx="508">
                  <c:v>1.5582299561805373</c:v>
                </c:pt>
                <c:pt idx="509">
                  <c:v>1.5613715488341271</c:v>
                </c:pt>
                <c:pt idx="510">
                  <c:v>1.5645131414877169</c:v>
                </c:pt>
                <c:pt idx="511">
                  <c:v>1.5676547341413067</c:v>
                </c:pt>
                <c:pt idx="512">
                  <c:v>1.5707963267948966</c:v>
                </c:pt>
                <c:pt idx="513">
                  <c:v>1.5739379194484864</c:v>
                </c:pt>
                <c:pt idx="514">
                  <c:v>1.5770795121020762</c:v>
                </c:pt>
                <c:pt idx="515">
                  <c:v>1.580221104755666</c:v>
                </c:pt>
                <c:pt idx="516">
                  <c:v>1.5833626974092558</c:v>
                </c:pt>
                <c:pt idx="517">
                  <c:v>1.5865042900628454</c:v>
                </c:pt>
                <c:pt idx="518">
                  <c:v>1.5896458827164353</c:v>
                </c:pt>
                <c:pt idx="519">
                  <c:v>1.5927874753700251</c:v>
                </c:pt>
                <c:pt idx="520">
                  <c:v>1.5959290680236149</c:v>
                </c:pt>
                <c:pt idx="521">
                  <c:v>1.5990706606772047</c:v>
                </c:pt>
                <c:pt idx="522">
                  <c:v>1.6022122533307945</c:v>
                </c:pt>
                <c:pt idx="523">
                  <c:v>1.6053538459843844</c:v>
                </c:pt>
                <c:pt idx="524">
                  <c:v>1.6084954386379742</c:v>
                </c:pt>
                <c:pt idx="525">
                  <c:v>1.611637031291564</c:v>
                </c:pt>
                <c:pt idx="526">
                  <c:v>1.6147786239451536</c:v>
                </c:pt>
                <c:pt idx="527">
                  <c:v>1.6179202165987434</c:v>
                </c:pt>
                <c:pt idx="528">
                  <c:v>1.6210618092523332</c:v>
                </c:pt>
                <c:pt idx="529">
                  <c:v>1.624203401905923</c:v>
                </c:pt>
                <c:pt idx="530">
                  <c:v>1.6273449945595129</c:v>
                </c:pt>
                <c:pt idx="531">
                  <c:v>1.6304865872131027</c:v>
                </c:pt>
                <c:pt idx="532">
                  <c:v>1.6336281798666925</c:v>
                </c:pt>
                <c:pt idx="533">
                  <c:v>1.6367697725202823</c:v>
                </c:pt>
                <c:pt idx="534">
                  <c:v>1.6399113651738721</c:v>
                </c:pt>
                <c:pt idx="535">
                  <c:v>1.643052957827462</c:v>
                </c:pt>
                <c:pt idx="536">
                  <c:v>1.6461945504810516</c:v>
                </c:pt>
                <c:pt idx="537">
                  <c:v>1.6493361431346414</c:v>
                </c:pt>
                <c:pt idx="538">
                  <c:v>1.6524777357882312</c:v>
                </c:pt>
                <c:pt idx="539">
                  <c:v>1.655619328441821</c:v>
                </c:pt>
                <c:pt idx="540">
                  <c:v>1.6587609210954108</c:v>
                </c:pt>
                <c:pt idx="541">
                  <c:v>1.6619025137490007</c:v>
                </c:pt>
                <c:pt idx="542">
                  <c:v>1.6650441064025905</c:v>
                </c:pt>
                <c:pt idx="543">
                  <c:v>1.6681856990561803</c:v>
                </c:pt>
                <c:pt idx="544">
                  <c:v>1.6713272917097701</c:v>
                </c:pt>
                <c:pt idx="545">
                  <c:v>1.6744688843633597</c:v>
                </c:pt>
                <c:pt idx="546">
                  <c:v>1.6776104770169495</c:v>
                </c:pt>
                <c:pt idx="547">
                  <c:v>1.6807520696705394</c:v>
                </c:pt>
                <c:pt idx="548">
                  <c:v>1.6838936623241292</c:v>
                </c:pt>
                <c:pt idx="549">
                  <c:v>1.687035254977719</c:v>
                </c:pt>
                <c:pt idx="550">
                  <c:v>1.6901768476313088</c:v>
                </c:pt>
                <c:pt idx="551">
                  <c:v>1.6933184402848986</c:v>
                </c:pt>
                <c:pt idx="552">
                  <c:v>1.6964600329384885</c:v>
                </c:pt>
                <c:pt idx="553">
                  <c:v>1.6996016255920783</c:v>
                </c:pt>
                <c:pt idx="554">
                  <c:v>1.7027432182456679</c:v>
                </c:pt>
                <c:pt idx="555">
                  <c:v>1.7058848108992577</c:v>
                </c:pt>
                <c:pt idx="556">
                  <c:v>1.7090264035528475</c:v>
                </c:pt>
                <c:pt idx="557">
                  <c:v>1.7121679962064373</c:v>
                </c:pt>
                <c:pt idx="558">
                  <c:v>1.7153095888600272</c:v>
                </c:pt>
                <c:pt idx="559">
                  <c:v>1.718451181513617</c:v>
                </c:pt>
                <c:pt idx="560">
                  <c:v>1.7215927741672068</c:v>
                </c:pt>
                <c:pt idx="561">
                  <c:v>1.7247343668207966</c:v>
                </c:pt>
                <c:pt idx="562">
                  <c:v>1.7278759594743864</c:v>
                </c:pt>
                <c:pt idx="563">
                  <c:v>1.7310175521279763</c:v>
                </c:pt>
                <c:pt idx="564">
                  <c:v>1.7341591447815659</c:v>
                </c:pt>
                <c:pt idx="565">
                  <c:v>1.7373007374351557</c:v>
                </c:pt>
                <c:pt idx="566">
                  <c:v>1.7404423300887455</c:v>
                </c:pt>
                <c:pt idx="567">
                  <c:v>1.7435839227423353</c:v>
                </c:pt>
                <c:pt idx="568">
                  <c:v>1.7467255153959251</c:v>
                </c:pt>
                <c:pt idx="569">
                  <c:v>1.749867108049515</c:v>
                </c:pt>
                <c:pt idx="570">
                  <c:v>1.7530087007031048</c:v>
                </c:pt>
                <c:pt idx="571">
                  <c:v>1.7561502933566946</c:v>
                </c:pt>
                <c:pt idx="572">
                  <c:v>1.7592918860102844</c:v>
                </c:pt>
                <c:pt idx="573">
                  <c:v>1.762433478663874</c:v>
                </c:pt>
                <c:pt idx="574">
                  <c:v>1.7655750713174638</c:v>
                </c:pt>
                <c:pt idx="575">
                  <c:v>1.7687166639710534</c:v>
                </c:pt>
                <c:pt idx="576">
                  <c:v>1.7718582566246432</c:v>
                </c:pt>
                <c:pt idx="577">
                  <c:v>1.7749998492782328</c:v>
                </c:pt>
                <c:pt idx="578">
                  <c:v>1.7781414419318227</c:v>
                </c:pt>
                <c:pt idx="579">
                  <c:v>1.7812830345854125</c:v>
                </c:pt>
                <c:pt idx="580">
                  <c:v>1.7844246272390023</c:v>
                </c:pt>
                <c:pt idx="581">
                  <c:v>1.7875662198925921</c:v>
                </c:pt>
                <c:pt idx="582">
                  <c:v>1.7907078125461819</c:v>
                </c:pt>
                <c:pt idx="583">
                  <c:v>1.7938494051997718</c:v>
                </c:pt>
                <c:pt idx="584">
                  <c:v>1.7969909978533616</c:v>
                </c:pt>
                <c:pt idx="585">
                  <c:v>1.8001325905069514</c:v>
                </c:pt>
                <c:pt idx="586">
                  <c:v>1.803274183160541</c:v>
                </c:pt>
                <c:pt idx="587">
                  <c:v>1.8064157758141308</c:v>
                </c:pt>
                <c:pt idx="588">
                  <c:v>1.8095573684677206</c:v>
                </c:pt>
                <c:pt idx="589">
                  <c:v>1.8126989611213105</c:v>
                </c:pt>
                <c:pt idx="590">
                  <c:v>1.8158405537749003</c:v>
                </c:pt>
                <c:pt idx="591">
                  <c:v>1.8189821464284901</c:v>
                </c:pt>
                <c:pt idx="592">
                  <c:v>1.8221237390820799</c:v>
                </c:pt>
                <c:pt idx="593">
                  <c:v>1.8252653317356697</c:v>
                </c:pt>
                <c:pt idx="594">
                  <c:v>1.8284069243892596</c:v>
                </c:pt>
                <c:pt idx="595">
                  <c:v>1.8315485170428494</c:v>
                </c:pt>
                <c:pt idx="596">
                  <c:v>1.834690109696439</c:v>
                </c:pt>
                <c:pt idx="597">
                  <c:v>1.8378317023500288</c:v>
                </c:pt>
                <c:pt idx="598">
                  <c:v>1.8409732950036186</c:v>
                </c:pt>
                <c:pt idx="599">
                  <c:v>1.8441148876572084</c:v>
                </c:pt>
                <c:pt idx="600">
                  <c:v>1.8472564803107983</c:v>
                </c:pt>
                <c:pt idx="601">
                  <c:v>1.8503980729643881</c:v>
                </c:pt>
                <c:pt idx="602">
                  <c:v>1.8535396656179779</c:v>
                </c:pt>
                <c:pt idx="603">
                  <c:v>1.8566812582715677</c:v>
                </c:pt>
                <c:pt idx="604">
                  <c:v>1.8598228509251575</c:v>
                </c:pt>
                <c:pt idx="605">
                  <c:v>1.8629644435787471</c:v>
                </c:pt>
                <c:pt idx="606">
                  <c:v>1.866106036232337</c:v>
                </c:pt>
                <c:pt idx="607">
                  <c:v>1.8692476288859268</c:v>
                </c:pt>
                <c:pt idx="608">
                  <c:v>1.8723892215395166</c:v>
                </c:pt>
                <c:pt idx="609">
                  <c:v>1.8755308141931064</c:v>
                </c:pt>
                <c:pt idx="610">
                  <c:v>1.8786724068466962</c:v>
                </c:pt>
                <c:pt idx="611">
                  <c:v>1.881813999500286</c:v>
                </c:pt>
                <c:pt idx="612">
                  <c:v>1.8849555921538759</c:v>
                </c:pt>
                <c:pt idx="613">
                  <c:v>1.8880971848074657</c:v>
                </c:pt>
                <c:pt idx="614">
                  <c:v>1.8912387774610553</c:v>
                </c:pt>
                <c:pt idx="615">
                  <c:v>1.8943803701146451</c:v>
                </c:pt>
                <c:pt idx="616">
                  <c:v>1.8975219627682349</c:v>
                </c:pt>
                <c:pt idx="617">
                  <c:v>1.9006635554218247</c:v>
                </c:pt>
                <c:pt idx="618">
                  <c:v>1.9038051480754146</c:v>
                </c:pt>
                <c:pt idx="619">
                  <c:v>1.9069467407290044</c:v>
                </c:pt>
                <c:pt idx="620">
                  <c:v>1.9100883333825942</c:v>
                </c:pt>
                <c:pt idx="621">
                  <c:v>1.913229926036184</c:v>
                </c:pt>
                <c:pt idx="622">
                  <c:v>1.9163715186897738</c:v>
                </c:pt>
                <c:pt idx="623">
                  <c:v>1.9195131113433637</c:v>
                </c:pt>
                <c:pt idx="624">
                  <c:v>1.9226547039969533</c:v>
                </c:pt>
                <c:pt idx="625">
                  <c:v>1.9257962966505431</c:v>
                </c:pt>
                <c:pt idx="626">
                  <c:v>1.9289378893041329</c:v>
                </c:pt>
                <c:pt idx="627">
                  <c:v>1.9320794819577227</c:v>
                </c:pt>
                <c:pt idx="628">
                  <c:v>1.9352210746113125</c:v>
                </c:pt>
                <c:pt idx="629">
                  <c:v>1.9383626672649024</c:v>
                </c:pt>
                <c:pt idx="630">
                  <c:v>1.9415042599184922</c:v>
                </c:pt>
                <c:pt idx="631">
                  <c:v>1.944645852572082</c:v>
                </c:pt>
                <c:pt idx="632">
                  <c:v>1.9477874452256718</c:v>
                </c:pt>
                <c:pt idx="633">
                  <c:v>1.9509290378792614</c:v>
                </c:pt>
                <c:pt idx="634">
                  <c:v>1.9540706305328512</c:v>
                </c:pt>
                <c:pt idx="635">
                  <c:v>1.9572122231864411</c:v>
                </c:pt>
                <c:pt idx="636">
                  <c:v>1.9603538158400309</c:v>
                </c:pt>
                <c:pt idx="637">
                  <c:v>1.9634954084936207</c:v>
                </c:pt>
                <c:pt idx="638">
                  <c:v>1.9666370011472105</c:v>
                </c:pt>
                <c:pt idx="639">
                  <c:v>1.9697785938008003</c:v>
                </c:pt>
                <c:pt idx="640">
                  <c:v>1.9729201864543902</c:v>
                </c:pt>
                <c:pt idx="641">
                  <c:v>1.97606177910798</c:v>
                </c:pt>
                <c:pt idx="642">
                  <c:v>1.9792033717615696</c:v>
                </c:pt>
                <c:pt idx="643">
                  <c:v>1.9823449644151594</c:v>
                </c:pt>
                <c:pt idx="644">
                  <c:v>1.9854865570687492</c:v>
                </c:pt>
                <c:pt idx="645">
                  <c:v>1.988628149722339</c:v>
                </c:pt>
                <c:pt idx="646">
                  <c:v>1.9917697423759289</c:v>
                </c:pt>
                <c:pt idx="647">
                  <c:v>1.9949113350295187</c:v>
                </c:pt>
                <c:pt idx="648">
                  <c:v>1.9980529276831085</c:v>
                </c:pt>
                <c:pt idx="649">
                  <c:v>2.0011945203366981</c:v>
                </c:pt>
                <c:pt idx="650">
                  <c:v>2.0043361129902881</c:v>
                </c:pt>
                <c:pt idx="651">
                  <c:v>2.0074777056438777</c:v>
                </c:pt>
                <c:pt idx="652">
                  <c:v>2.0106192982974678</c:v>
                </c:pt>
                <c:pt idx="653">
                  <c:v>2.0137608909510574</c:v>
                </c:pt>
                <c:pt idx="654">
                  <c:v>2.0169024836046474</c:v>
                </c:pt>
                <c:pt idx="655">
                  <c:v>2.020044076258237</c:v>
                </c:pt>
                <c:pt idx="656">
                  <c:v>2.0231856689118266</c:v>
                </c:pt>
                <c:pt idx="657">
                  <c:v>2.0263272615654166</c:v>
                </c:pt>
                <c:pt idx="658">
                  <c:v>2.0294688542190062</c:v>
                </c:pt>
                <c:pt idx="659">
                  <c:v>2.0326104468725963</c:v>
                </c:pt>
                <c:pt idx="660">
                  <c:v>2.0357520395261859</c:v>
                </c:pt>
                <c:pt idx="661">
                  <c:v>2.0388936321797759</c:v>
                </c:pt>
                <c:pt idx="662">
                  <c:v>2.0420352248333655</c:v>
                </c:pt>
                <c:pt idx="663">
                  <c:v>2.0451768174869556</c:v>
                </c:pt>
                <c:pt idx="664">
                  <c:v>2.0483184101405452</c:v>
                </c:pt>
                <c:pt idx="665">
                  <c:v>2.0514600027941348</c:v>
                </c:pt>
                <c:pt idx="666">
                  <c:v>2.0546015954477248</c:v>
                </c:pt>
                <c:pt idx="667">
                  <c:v>2.0577431881013144</c:v>
                </c:pt>
                <c:pt idx="668">
                  <c:v>2.0608847807549044</c:v>
                </c:pt>
                <c:pt idx="669">
                  <c:v>2.064026373408494</c:v>
                </c:pt>
                <c:pt idx="670">
                  <c:v>2.0671679660620841</c:v>
                </c:pt>
                <c:pt idx="671">
                  <c:v>2.0703095587156737</c:v>
                </c:pt>
                <c:pt idx="672">
                  <c:v>2.0734511513692637</c:v>
                </c:pt>
                <c:pt idx="673">
                  <c:v>2.0765927440228533</c:v>
                </c:pt>
                <c:pt idx="674">
                  <c:v>2.0797343366764434</c:v>
                </c:pt>
                <c:pt idx="675">
                  <c:v>2.082875929330033</c:v>
                </c:pt>
                <c:pt idx="676">
                  <c:v>2.0860175219836226</c:v>
                </c:pt>
                <c:pt idx="677">
                  <c:v>2.0891591146372126</c:v>
                </c:pt>
                <c:pt idx="678">
                  <c:v>2.0923007072908022</c:v>
                </c:pt>
                <c:pt idx="679">
                  <c:v>2.0954422999443922</c:v>
                </c:pt>
                <c:pt idx="680">
                  <c:v>2.0985838925979818</c:v>
                </c:pt>
                <c:pt idx="681">
                  <c:v>2.1017254852515719</c:v>
                </c:pt>
                <c:pt idx="682">
                  <c:v>2.1048670779051615</c:v>
                </c:pt>
                <c:pt idx="683">
                  <c:v>2.1080086705587515</c:v>
                </c:pt>
                <c:pt idx="684">
                  <c:v>2.1111502632123411</c:v>
                </c:pt>
                <c:pt idx="685">
                  <c:v>2.1142918558659307</c:v>
                </c:pt>
                <c:pt idx="686">
                  <c:v>2.1174334485195208</c:v>
                </c:pt>
                <c:pt idx="687">
                  <c:v>2.1205750411731104</c:v>
                </c:pt>
                <c:pt idx="688">
                  <c:v>2.1237166338267004</c:v>
                </c:pt>
                <c:pt idx="689">
                  <c:v>2.12685822648029</c:v>
                </c:pt>
                <c:pt idx="690">
                  <c:v>2.12999981913388</c:v>
                </c:pt>
                <c:pt idx="691">
                  <c:v>2.1331414117874696</c:v>
                </c:pt>
                <c:pt idx="692">
                  <c:v>2.1362830044410597</c:v>
                </c:pt>
                <c:pt idx="693">
                  <c:v>2.1394245970946493</c:v>
                </c:pt>
                <c:pt idx="694">
                  <c:v>2.1425661897482389</c:v>
                </c:pt>
                <c:pt idx="695">
                  <c:v>2.1457077824018289</c:v>
                </c:pt>
                <c:pt idx="696">
                  <c:v>2.1488493750554185</c:v>
                </c:pt>
                <c:pt idx="697">
                  <c:v>2.1519909677090086</c:v>
                </c:pt>
                <c:pt idx="698">
                  <c:v>2.1551325603625981</c:v>
                </c:pt>
                <c:pt idx="699">
                  <c:v>2.1582741530161882</c:v>
                </c:pt>
                <c:pt idx="700">
                  <c:v>2.1614157456697773</c:v>
                </c:pt>
                <c:pt idx="701">
                  <c:v>2.1645573383233674</c:v>
                </c:pt>
                <c:pt idx="702">
                  <c:v>2.167698930976957</c:v>
                </c:pt>
                <c:pt idx="703">
                  <c:v>2.170840523630547</c:v>
                </c:pt>
                <c:pt idx="704">
                  <c:v>2.1739821162841366</c:v>
                </c:pt>
                <c:pt idx="705">
                  <c:v>2.1771237089377267</c:v>
                </c:pt>
                <c:pt idx="706">
                  <c:v>2.1802653015913163</c:v>
                </c:pt>
                <c:pt idx="707">
                  <c:v>2.1834068942449059</c:v>
                </c:pt>
                <c:pt idx="708">
                  <c:v>2.1865484868984959</c:v>
                </c:pt>
                <c:pt idx="709">
                  <c:v>2.1896900795520855</c:v>
                </c:pt>
                <c:pt idx="710">
                  <c:v>2.1928316722056755</c:v>
                </c:pt>
                <c:pt idx="711">
                  <c:v>2.1959732648592651</c:v>
                </c:pt>
                <c:pt idx="712">
                  <c:v>2.1991148575128552</c:v>
                </c:pt>
                <c:pt idx="713">
                  <c:v>2.2022564501664448</c:v>
                </c:pt>
                <c:pt idx="714">
                  <c:v>2.2053980428200348</c:v>
                </c:pt>
                <c:pt idx="715">
                  <c:v>2.2085396354736244</c:v>
                </c:pt>
                <c:pt idx="716">
                  <c:v>2.211681228127214</c:v>
                </c:pt>
                <c:pt idx="717">
                  <c:v>2.2148228207808041</c:v>
                </c:pt>
                <c:pt idx="718">
                  <c:v>2.2179644134343937</c:v>
                </c:pt>
                <c:pt idx="719">
                  <c:v>2.2211060060879837</c:v>
                </c:pt>
                <c:pt idx="720">
                  <c:v>2.2242475987415733</c:v>
                </c:pt>
                <c:pt idx="721">
                  <c:v>2.2273891913951633</c:v>
                </c:pt>
                <c:pt idx="722">
                  <c:v>2.2305307840487529</c:v>
                </c:pt>
                <c:pt idx="723">
                  <c:v>2.233672376702343</c:v>
                </c:pt>
                <c:pt idx="724">
                  <c:v>2.2368139693559326</c:v>
                </c:pt>
                <c:pt idx="725">
                  <c:v>2.2399555620095222</c:v>
                </c:pt>
                <c:pt idx="726">
                  <c:v>2.2430971546631122</c:v>
                </c:pt>
                <c:pt idx="727">
                  <c:v>2.2462387473167018</c:v>
                </c:pt>
                <c:pt idx="728">
                  <c:v>2.2493803399702919</c:v>
                </c:pt>
                <c:pt idx="729">
                  <c:v>2.2525219326238815</c:v>
                </c:pt>
                <c:pt idx="730">
                  <c:v>2.2556635252774715</c:v>
                </c:pt>
                <c:pt idx="731">
                  <c:v>2.2588051179310611</c:v>
                </c:pt>
                <c:pt idx="732">
                  <c:v>2.2619467105846511</c:v>
                </c:pt>
                <c:pt idx="733">
                  <c:v>2.2650883032382407</c:v>
                </c:pt>
                <c:pt idx="734">
                  <c:v>2.2682298958918308</c:v>
                </c:pt>
                <c:pt idx="735">
                  <c:v>2.2713714885454204</c:v>
                </c:pt>
                <c:pt idx="736">
                  <c:v>2.27451308119901</c:v>
                </c:pt>
                <c:pt idx="737">
                  <c:v>2.2776546738526</c:v>
                </c:pt>
                <c:pt idx="738">
                  <c:v>2.2807962665061896</c:v>
                </c:pt>
                <c:pt idx="739">
                  <c:v>2.2839378591597796</c:v>
                </c:pt>
                <c:pt idx="740">
                  <c:v>2.2870794518133692</c:v>
                </c:pt>
                <c:pt idx="741">
                  <c:v>2.2902210444669593</c:v>
                </c:pt>
                <c:pt idx="742">
                  <c:v>2.2933626371205489</c:v>
                </c:pt>
                <c:pt idx="743">
                  <c:v>2.2965042297741389</c:v>
                </c:pt>
                <c:pt idx="744">
                  <c:v>2.2996458224277285</c:v>
                </c:pt>
                <c:pt idx="745">
                  <c:v>2.3027874150813181</c:v>
                </c:pt>
                <c:pt idx="746">
                  <c:v>2.3059290077349082</c:v>
                </c:pt>
                <c:pt idx="747">
                  <c:v>2.3090706003884978</c:v>
                </c:pt>
                <c:pt idx="748">
                  <c:v>2.3122121930420878</c:v>
                </c:pt>
                <c:pt idx="749">
                  <c:v>2.3153537856956774</c:v>
                </c:pt>
                <c:pt idx="750">
                  <c:v>2.3184953783492674</c:v>
                </c:pt>
                <c:pt idx="751">
                  <c:v>2.321636971002857</c:v>
                </c:pt>
                <c:pt idx="752">
                  <c:v>2.3247785636564471</c:v>
                </c:pt>
                <c:pt idx="753">
                  <c:v>2.3279201563100367</c:v>
                </c:pt>
                <c:pt idx="754">
                  <c:v>2.3310617489636263</c:v>
                </c:pt>
                <c:pt idx="755">
                  <c:v>2.3342033416172163</c:v>
                </c:pt>
                <c:pt idx="756">
                  <c:v>2.3373449342708059</c:v>
                </c:pt>
                <c:pt idx="757">
                  <c:v>2.340486526924396</c:v>
                </c:pt>
                <c:pt idx="758">
                  <c:v>2.3436281195779856</c:v>
                </c:pt>
                <c:pt idx="759">
                  <c:v>2.3467697122315756</c:v>
                </c:pt>
                <c:pt idx="760">
                  <c:v>2.3499113048851652</c:v>
                </c:pt>
                <c:pt idx="761">
                  <c:v>2.3530528975387552</c:v>
                </c:pt>
                <c:pt idx="762">
                  <c:v>2.3561944901923448</c:v>
                </c:pt>
                <c:pt idx="763">
                  <c:v>2.3593360828459344</c:v>
                </c:pt>
                <c:pt idx="764">
                  <c:v>2.3624776754995245</c:v>
                </c:pt>
                <c:pt idx="765">
                  <c:v>2.3656192681531141</c:v>
                </c:pt>
                <c:pt idx="766">
                  <c:v>2.3687608608067041</c:v>
                </c:pt>
                <c:pt idx="767">
                  <c:v>2.3719024534602937</c:v>
                </c:pt>
                <c:pt idx="768">
                  <c:v>2.3750440461138838</c:v>
                </c:pt>
                <c:pt idx="769">
                  <c:v>2.3781856387674734</c:v>
                </c:pt>
                <c:pt idx="770">
                  <c:v>2.3813272314210634</c:v>
                </c:pt>
                <c:pt idx="771">
                  <c:v>2.384468824074653</c:v>
                </c:pt>
                <c:pt idx="772">
                  <c:v>2.3876104167282426</c:v>
                </c:pt>
                <c:pt idx="773">
                  <c:v>2.3907520093818326</c:v>
                </c:pt>
                <c:pt idx="774">
                  <c:v>2.3938936020354222</c:v>
                </c:pt>
                <c:pt idx="775">
                  <c:v>2.3970351946890123</c:v>
                </c:pt>
                <c:pt idx="776">
                  <c:v>2.4001767873426019</c:v>
                </c:pt>
                <c:pt idx="777">
                  <c:v>2.4033183799961919</c:v>
                </c:pt>
                <c:pt idx="778">
                  <c:v>2.4064599726497815</c:v>
                </c:pt>
                <c:pt idx="779">
                  <c:v>2.4096015653033716</c:v>
                </c:pt>
                <c:pt idx="780">
                  <c:v>2.4127431579569611</c:v>
                </c:pt>
                <c:pt idx="781">
                  <c:v>2.4158847506105507</c:v>
                </c:pt>
                <c:pt idx="782">
                  <c:v>2.4190263432641408</c:v>
                </c:pt>
                <c:pt idx="783">
                  <c:v>2.4221679359177304</c:v>
                </c:pt>
                <c:pt idx="784">
                  <c:v>2.4253095285713204</c:v>
                </c:pt>
                <c:pt idx="785">
                  <c:v>2.42845112122491</c:v>
                </c:pt>
                <c:pt idx="786">
                  <c:v>2.4315927138785001</c:v>
                </c:pt>
                <c:pt idx="787">
                  <c:v>2.4347343065320897</c:v>
                </c:pt>
                <c:pt idx="788">
                  <c:v>2.4378758991856797</c:v>
                </c:pt>
                <c:pt idx="789">
                  <c:v>2.4410174918392693</c:v>
                </c:pt>
                <c:pt idx="790">
                  <c:v>2.4441590844928589</c:v>
                </c:pt>
                <c:pt idx="791">
                  <c:v>2.4473006771464489</c:v>
                </c:pt>
                <c:pt idx="792">
                  <c:v>2.4504422698000385</c:v>
                </c:pt>
                <c:pt idx="793">
                  <c:v>2.4535838624536286</c:v>
                </c:pt>
                <c:pt idx="794">
                  <c:v>2.4567254551072182</c:v>
                </c:pt>
                <c:pt idx="795">
                  <c:v>2.4598670477608082</c:v>
                </c:pt>
                <c:pt idx="796">
                  <c:v>2.4630086404143978</c:v>
                </c:pt>
                <c:pt idx="797">
                  <c:v>2.4661502330679879</c:v>
                </c:pt>
                <c:pt idx="798">
                  <c:v>2.4692918257215775</c:v>
                </c:pt>
                <c:pt idx="799">
                  <c:v>2.4724334183751675</c:v>
                </c:pt>
                <c:pt idx="800">
                  <c:v>2.4755750110287571</c:v>
                </c:pt>
                <c:pt idx="801">
                  <c:v>2.4787166036823467</c:v>
                </c:pt>
                <c:pt idx="802">
                  <c:v>2.4818581963359367</c:v>
                </c:pt>
                <c:pt idx="803">
                  <c:v>2.4849997889895263</c:v>
                </c:pt>
                <c:pt idx="804">
                  <c:v>2.4881413816431164</c:v>
                </c:pt>
                <c:pt idx="805">
                  <c:v>2.491282974296706</c:v>
                </c:pt>
                <c:pt idx="806">
                  <c:v>2.494424566950296</c:v>
                </c:pt>
                <c:pt idx="807">
                  <c:v>2.4975661596038856</c:v>
                </c:pt>
                <c:pt idx="808">
                  <c:v>2.5007077522574757</c:v>
                </c:pt>
                <c:pt idx="809">
                  <c:v>2.5038493449110653</c:v>
                </c:pt>
                <c:pt idx="810">
                  <c:v>2.5069909375646549</c:v>
                </c:pt>
                <c:pt idx="811">
                  <c:v>2.5101325302182449</c:v>
                </c:pt>
                <c:pt idx="812">
                  <c:v>2.5132741228718345</c:v>
                </c:pt>
                <c:pt idx="813">
                  <c:v>2.5164157155254245</c:v>
                </c:pt>
                <c:pt idx="814">
                  <c:v>2.5195573081790141</c:v>
                </c:pt>
                <c:pt idx="815">
                  <c:v>2.5226989008326042</c:v>
                </c:pt>
                <c:pt idx="816">
                  <c:v>2.5258404934861938</c:v>
                </c:pt>
                <c:pt idx="817">
                  <c:v>2.5289820861397838</c:v>
                </c:pt>
                <c:pt idx="818">
                  <c:v>2.5321236787933734</c:v>
                </c:pt>
                <c:pt idx="819">
                  <c:v>2.535265271446963</c:v>
                </c:pt>
                <c:pt idx="820">
                  <c:v>2.5384068641005531</c:v>
                </c:pt>
                <c:pt idx="821">
                  <c:v>2.5415484567541426</c:v>
                </c:pt>
                <c:pt idx="822">
                  <c:v>2.5446900494077327</c:v>
                </c:pt>
                <c:pt idx="823">
                  <c:v>2.5478316420613223</c:v>
                </c:pt>
                <c:pt idx="824">
                  <c:v>2.5509732347149123</c:v>
                </c:pt>
                <c:pt idx="825">
                  <c:v>2.5541148273685015</c:v>
                </c:pt>
                <c:pt idx="826">
                  <c:v>2.5572564200220915</c:v>
                </c:pt>
                <c:pt idx="827">
                  <c:v>2.5603980126756811</c:v>
                </c:pt>
                <c:pt idx="828">
                  <c:v>2.5635396053292712</c:v>
                </c:pt>
                <c:pt idx="829">
                  <c:v>2.5666811979828608</c:v>
                </c:pt>
                <c:pt idx="830">
                  <c:v>2.5698227906364508</c:v>
                </c:pt>
                <c:pt idx="831">
                  <c:v>2.5729643832900404</c:v>
                </c:pt>
                <c:pt idx="832">
                  <c:v>2.57610597594363</c:v>
                </c:pt>
                <c:pt idx="833">
                  <c:v>2.57924756859722</c:v>
                </c:pt>
                <c:pt idx="834">
                  <c:v>2.5823891612508096</c:v>
                </c:pt>
                <c:pt idx="835">
                  <c:v>2.5855307539043997</c:v>
                </c:pt>
                <c:pt idx="836">
                  <c:v>2.5886723465579893</c:v>
                </c:pt>
                <c:pt idx="837">
                  <c:v>2.5918139392115793</c:v>
                </c:pt>
                <c:pt idx="838">
                  <c:v>2.5949555318651689</c:v>
                </c:pt>
                <c:pt idx="839">
                  <c:v>2.598097124518759</c:v>
                </c:pt>
                <c:pt idx="840">
                  <c:v>2.6012387171723486</c:v>
                </c:pt>
                <c:pt idx="841">
                  <c:v>2.6043803098259382</c:v>
                </c:pt>
                <c:pt idx="842">
                  <c:v>2.6075219024795282</c:v>
                </c:pt>
                <c:pt idx="843">
                  <c:v>2.6106634951331178</c:v>
                </c:pt>
                <c:pt idx="844">
                  <c:v>2.6138050877867078</c:v>
                </c:pt>
                <c:pt idx="845">
                  <c:v>2.6169466804402974</c:v>
                </c:pt>
                <c:pt idx="846">
                  <c:v>2.6200882730938875</c:v>
                </c:pt>
                <c:pt idx="847">
                  <c:v>2.6232298657474771</c:v>
                </c:pt>
                <c:pt idx="848">
                  <c:v>2.6263714584010671</c:v>
                </c:pt>
                <c:pt idx="849">
                  <c:v>2.6295130510546567</c:v>
                </c:pt>
                <c:pt idx="850">
                  <c:v>2.6326546437082463</c:v>
                </c:pt>
                <c:pt idx="851">
                  <c:v>2.6357962363618364</c:v>
                </c:pt>
                <c:pt idx="852">
                  <c:v>2.638937829015426</c:v>
                </c:pt>
                <c:pt idx="853">
                  <c:v>2.642079421669016</c:v>
                </c:pt>
                <c:pt idx="854">
                  <c:v>2.6452210143226056</c:v>
                </c:pt>
                <c:pt idx="855">
                  <c:v>2.6483626069761956</c:v>
                </c:pt>
                <c:pt idx="856">
                  <c:v>2.6515041996297852</c:v>
                </c:pt>
                <c:pt idx="857">
                  <c:v>2.6546457922833753</c:v>
                </c:pt>
                <c:pt idx="858">
                  <c:v>2.6577873849369649</c:v>
                </c:pt>
                <c:pt idx="859">
                  <c:v>2.6609289775905549</c:v>
                </c:pt>
                <c:pt idx="860">
                  <c:v>2.6640705702441445</c:v>
                </c:pt>
                <c:pt idx="861">
                  <c:v>2.6672121628977341</c:v>
                </c:pt>
                <c:pt idx="862">
                  <c:v>2.6703537555513241</c:v>
                </c:pt>
                <c:pt idx="863">
                  <c:v>2.6734953482049137</c:v>
                </c:pt>
                <c:pt idx="864">
                  <c:v>2.6766369408585038</c:v>
                </c:pt>
                <c:pt idx="865">
                  <c:v>2.6797785335120934</c:v>
                </c:pt>
                <c:pt idx="866">
                  <c:v>2.6829201261656834</c:v>
                </c:pt>
                <c:pt idx="867">
                  <c:v>2.686061718819273</c:v>
                </c:pt>
                <c:pt idx="868">
                  <c:v>2.6892033114728631</c:v>
                </c:pt>
                <c:pt idx="869">
                  <c:v>2.6923449041264527</c:v>
                </c:pt>
                <c:pt idx="870">
                  <c:v>2.6954864967800423</c:v>
                </c:pt>
                <c:pt idx="871">
                  <c:v>2.6986280894336323</c:v>
                </c:pt>
                <c:pt idx="872">
                  <c:v>2.7017696820872219</c:v>
                </c:pt>
                <c:pt idx="873">
                  <c:v>2.7049112747408119</c:v>
                </c:pt>
                <c:pt idx="874">
                  <c:v>2.7080528673944015</c:v>
                </c:pt>
                <c:pt idx="875">
                  <c:v>2.7111944600479916</c:v>
                </c:pt>
                <c:pt idx="876">
                  <c:v>2.7143360527015812</c:v>
                </c:pt>
                <c:pt idx="877">
                  <c:v>2.7174776453551712</c:v>
                </c:pt>
                <c:pt idx="878">
                  <c:v>2.7206192380087608</c:v>
                </c:pt>
                <c:pt idx="879">
                  <c:v>2.7237608306623504</c:v>
                </c:pt>
                <c:pt idx="880">
                  <c:v>2.7269024233159405</c:v>
                </c:pt>
                <c:pt idx="881">
                  <c:v>2.7300440159695301</c:v>
                </c:pt>
                <c:pt idx="882">
                  <c:v>2.7331856086231201</c:v>
                </c:pt>
                <c:pt idx="883">
                  <c:v>2.7363272012767097</c:v>
                </c:pt>
                <c:pt idx="884">
                  <c:v>2.7394687939302997</c:v>
                </c:pt>
                <c:pt idx="885">
                  <c:v>2.7426103865838893</c:v>
                </c:pt>
                <c:pt idx="886">
                  <c:v>2.7457519792374794</c:v>
                </c:pt>
                <c:pt idx="887">
                  <c:v>2.748893571891069</c:v>
                </c:pt>
                <c:pt idx="888">
                  <c:v>2.7520351645446586</c:v>
                </c:pt>
                <c:pt idx="889">
                  <c:v>2.7551767571982486</c:v>
                </c:pt>
                <c:pt idx="890">
                  <c:v>2.7583183498518382</c:v>
                </c:pt>
                <c:pt idx="891">
                  <c:v>2.7614599425054283</c:v>
                </c:pt>
                <c:pt idx="892">
                  <c:v>2.7646015351590179</c:v>
                </c:pt>
                <c:pt idx="893">
                  <c:v>2.7677431278126079</c:v>
                </c:pt>
                <c:pt idx="894">
                  <c:v>2.7708847204661975</c:v>
                </c:pt>
                <c:pt idx="895">
                  <c:v>2.7740263131197875</c:v>
                </c:pt>
                <c:pt idx="896">
                  <c:v>2.7771679057733771</c:v>
                </c:pt>
                <c:pt idx="897">
                  <c:v>2.7803094984269667</c:v>
                </c:pt>
                <c:pt idx="898">
                  <c:v>2.7834510910805568</c:v>
                </c:pt>
                <c:pt idx="899">
                  <c:v>2.7865926837341464</c:v>
                </c:pt>
                <c:pt idx="900">
                  <c:v>2.7897342763877364</c:v>
                </c:pt>
                <c:pt idx="901">
                  <c:v>2.792875869041326</c:v>
                </c:pt>
                <c:pt idx="902">
                  <c:v>2.7960174616949161</c:v>
                </c:pt>
                <c:pt idx="903">
                  <c:v>2.7991590543485056</c:v>
                </c:pt>
                <c:pt idx="904">
                  <c:v>2.8023006470020957</c:v>
                </c:pt>
                <c:pt idx="905">
                  <c:v>2.8054422396556853</c:v>
                </c:pt>
                <c:pt idx="906">
                  <c:v>2.8085838323092749</c:v>
                </c:pt>
                <c:pt idx="907">
                  <c:v>2.8117254249628649</c:v>
                </c:pt>
                <c:pt idx="908">
                  <c:v>2.8148670176164545</c:v>
                </c:pt>
                <c:pt idx="909">
                  <c:v>2.8180086102700446</c:v>
                </c:pt>
                <c:pt idx="910">
                  <c:v>2.8211502029236342</c:v>
                </c:pt>
                <c:pt idx="911">
                  <c:v>2.8242917955772242</c:v>
                </c:pt>
                <c:pt idx="912">
                  <c:v>2.8274333882308138</c:v>
                </c:pt>
                <c:pt idx="913">
                  <c:v>2.8305749808844038</c:v>
                </c:pt>
                <c:pt idx="914">
                  <c:v>2.8337165735379934</c:v>
                </c:pt>
                <c:pt idx="915">
                  <c:v>2.836858166191583</c:v>
                </c:pt>
                <c:pt idx="916">
                  <c:v>2.8399997588451731</c:v>
                </c:pt>
                <c:pt idx="917">
                  <c:v>2.8431413514987627</c:v>
                </c:pt>
                <c:pt idx="918">
                  <c:v>2.8462829441523527</c:v>
                </c:pt>
                <c:pt idx="919">
                  <c:v>2.8494245368059423</c:v>
                </c:pt>
                <c:pt idx="920">
                  <c:v>2.8525661294595324</c:v>
                </c:pt>
                <c:pt idx="921">
                  <c:v>2.855707722113122</c:v>
                </c:pt>
                <c:pt idx="922">
                  <c:v>2.858849314766712</c:v>
                </c:pt>
                <c:pt idx="923">
                  <c:v>2.8619909074203016</c:v>
                </c:pt>
                <c:pt idx="924">
                  <c:v>2.8651325000738916</c:v>
                </c:pt>
                <c:pt idx="925">
                  <c:v>2.8682740927274812</c:v>
                </c:pt>
                <c:pt idx="926">
                  <c:v>2.8714156853810708</c:v>
                </c:pt>
                <c:pt idx="927">
                  <c:v>2.8745572780346609</c:v>
                </c:pt>
                <c:pt idx="928">
                  <c:v>2.8776988706882505</c:v>
                </c:pt>
                <c:pt idx="929">
                  <c:v>2.8808404633418405</c:v>
                </c:pt>
                <c:pt idx="930">
                  <c:v>2.8839820559954301</c:v>
                </c:pt>
                <c:pt idx="931">
                  <c:v>2.8871236486490202</c:v>
                </c:pt>
                <c:pt idx="932">
                  <c:v>2.8902652413026098</c:v>
                </c:pt>
                <c:pt idx="933">
                  <c:v>2.8934068339561998</c:v>
                </c:pt>
                <c:pt idx="934">
                  <c:v>2.8965484266097894</c:v>
                </c:pt>
                <c:pt idx="935">
                  <c:v>2.899690019263379</c:v>
                </c:pt>
                <c:pt idx="936">
                  <c:v>2.902831611916969</c:v>
                </c:pt>
                <c:pt idx="937">
                  <c:v>2.9059732045705586</c:v>
                </c:pt>
                <c:pt idx="938">
                  <c:v>2.9091147972241487</c:v>
                </c:pt>
                <c:pt idx="939">
                  <c:v>2.9122563898777383</c:v>
                </c:pt>
                <c:pt idx="940">
                  <c:v>2.9153979825313283</c:v>
                </c:pt>
                <c:pt idx="941">
                  <c:v>2.9185395751849179</c:v>
                </c:pt>
                <c:pt idx="942">
                  <c:v>2.921681167838508</c:v>
                </c:pt>
                <c:pt idx="943">
                  <c:v>2.9248227604920976</c:v>
                </c:pt>
                <c:pt idx="944">
                  <c:v>2.9279643531456871</c:v>
                </c:pt>
                <c:pt idx="945">
                  <c:v>2.9311059457992772</c:v>
                </c:pt>
                <c:pt idx="946">
                  <c:v>2.9342475384528668</c:v>
                </c:pt>
                <c:pt idx="947">
                  <c:v>2.9373891311064568</c:v>
                </c:pt>
                <c:pt idx="948">
                  <c:v>2.9405307237600464</c:v>
                </c:pt>
                <c:pt idx="949">
                  <c:v>2.9436723164136365</c:v>
                </c:pt>
                <c:pt idx="950">
                  <c:v>2.9468139090672256</c:v>
                </c:pt>
                <c:pt idx="951">
                  <c:v>2.9499555017208157</c:v>
                </c:pt>
                <c:pt idx="952">
                  <c:v>2.9530970943744053</c:v>
                </c:pt>
                <c:pt idx="953">
                  <c:v>2.9562386870279953</c:v>
                </c:pt>
                <c:pt idx="954">
                  <c:v>2.9593802796815849</c:v>
                </c:pt>
                <c:pt idx="955">
                  <c:v>2.9625218723351749</c:v>
                </c:pt>
                <c:pt idx="956">
                  <c:v>2.9656634649887645</c:v>
                </c:pt>
                <c:pt idx="957">
                  <c:v>2.9688050576423541</c:v>
                </c:pt>
                <c:pt idx="958">
                  <c:v>2.9719466502959442</c:v>
                </c:pt>
                <c:pt idx="959">
                  <c:v>2.9750882429495338</c:v>
                </c:pt>
                <c:pt idx="960">
                  <c:v>2.9782298356031238</c:v>
                </c:pt>
                <c:pt idx="961">
                  <c:v>2.9813714282567134</c:v>
                </c:pt>
                <c:pt idx="962">
                  <c:v>2.9845130209103035</c:v>
                </c:pt>
                <c:pt idx="963">
                  <c:v>2.9876546135638931</c:v>
                </c:pt>
                <c:pt idx="964">
                  <c:v>2.9907962062174831</c:v>
                </c:pt>
                <c:pt idx="965">
                  <c:v>2.9939377988710727</c:v>
                </c:pt>
                <c:pt idx="966">
                  <c:v>2.9970793915246623</c:v>
                </c:pt>
                <c:pt idx="967">
                  <c:v>3.0002209841782523</c:v>
                </c:pt>
                <c:pt idx="968">
                  <c:v>3.0033625768318419</c:v>
                </c:pt>
                <c:pt idx="969">
                  <c:v>3.006504169485432</c:v>
                </c:pt>
                <c:pt idx="970">
                  <c:v>3.0096457621390216</c:v>
                </c:pt>
                <c:pt idx="971">
                  <c:v>3.0127873547926116</c:v>
                </c:pt>
                <c:pt idx="972">
                  <c:v>3.0159289474462012</c:v>
                </c:pt>
                <c:pt idx="973">
                  <c:v>3.0190705400997913</c:v>
                </c:pt>
                <c:pt idx="974">
                  <c:v>3.0222121327533809</c:v>
                </c:pt>
                <c:pt idx="975">
                  <c:v>3.0253537254069705</c:v>
                </c:pt>
                <c:pt idx="976">
                  <c:v>3.0284953180605605</c:v>
                </c:pt>
                <c:pt idx="977">
                  <c:v>3.0316369107141501</c:v>
                </c:pt>
                <c:pt idx="978">
                  <c:v>3.0347785033677401</c:v>
                </c:pt>
                <c:pt idx="979">
                  <c:v>3.0379200960213297</c:v>
                </c:pt>
                <c:pt idx="980">
                  <c:v>3.0410616886749198</c:v>
                </c:pt>
                <c:pt idx="981">
                  <c:v>3.0442032813285094</c:v>
                </c:pt>
                <c:pt idx="982">
                  <c:v>3.0473448739820994</c:v>
                </c:pt>
                <c:pt idx="983">
                  <c:v>3.050486466635689</c:v>
                </c:pt>
                <c:pt idx="984">
                  <c:v>3.0536280592892791</c:v>
                </c:pt>
                <c:pt idx="985">
                  <c:v>3.0567696519428686</c:v>
                </c:pt>
                <c:pt idx="986">
                  <c:v>3.0599112445964582</c:v>
                </c:pt>
                <c:pt idx="987">
                  <c:v>3.0630528372500483</c:v>
                </c:pt>
                <c:pt idx="988">
                  <c:v>3.0661944299036379</c:v>
                </c:pt>
                <c:pt idx="989">
                  <c:v>3.0693360225572279</c:v>
                </c:pt>
                <c:pt idx="990">
                  <c:v>3.0724776152108175</c:v>
                </c:pt>
                <c:pt idx="991">
                  <c:v>3.0756192078644076</c:v>
                </c:pt>
                <c:pt idx="992">
                  <c:v>3.0787608005179972</c:v>
                </c:pt>
                <c:pt idx="993">
                  <c:v>3.0819023931715872</c:v>
                </c:pt>
                <c:pt idx="994">
                  <c:v>3.0850439858251768</c:v>
                </c:pt>
                <c:pt idx="995">
                  <c:v>3.0881855784787664</c:v>
                </c:pt>
                <c:pt idx="996">
                  <c:v>3.0913271711323564</c:v>
                </c:pt>
                <c:pt idx="997">
                  <c:v>3.094468763785946</c:v>
                </c:pt>
                <c:pt idx="998">
                  <c:v>3.0976103564395361</c:v>
                </c:pt>
                <c:pt idx="999">
                  <c:v>3.1007519490931257</c:v>
                </c:pt>
                <c:pt idx="1000">
                  <c:v>3.1038935417467157</c:v>
                </c:pt>
                <c:pt idx="1001">
                  <c:v>3.1070351344003053</c:v>
                </c:pt>
                <c:pt idx="1002">
                  <c:v>3.1101767270538954</c:v>
                </c:pt>
                <c:pt idx="1003">
                  <c:v>3.113318319707485</c:v>
                </c:pt>
                <c:pt idx="1004">
                  <c:v>3.1164599123610746</c:v>
                </c:pt>
                <c:pt idx="1005">
                  <c:v>3.1196015050146646</c:v>
                </c:pt>
                <c:pt idx="1006">
                  <c:v>3.1227430976682542</c:v>
                </c:pt>
                <c:pt idx="1007">
                  <c:v>3.1258846903218442</c:v>
                </c:pt>
                <c:pt idx="1008">
                  <c:v>3.1290262829754338</c:v>
                </c:pt>
                <c:pt idx="1009">
                  <c:v>3.1321678756290239</c:v>
                </c:pt>
                <c:pt idx="1010">
                  <c:v>3.1353094682826135</c:v>
                </c:pt>
                <c:pt idx="1011">
                  <c:v>3.1384510609362035</c:v>
                </c:pt>
                <c:pt idx="1012">
                  <c:v>3.1412784943244341</c:v>
                </c:pt>
                <c:pt idx="1013">
                  <c:v>3.1415612376632573</c:v>
                </c:pt>
                <c:pt idx="1014">
                  <c:v>3.1415895119971395</c:v>
                </c:pt>
                <c:pt idx="1015">
                  <c:v>3.1415923394305278</c:v>
                </c:pt>
                <c:pt idx="1016">
                  <c:v>3.1415926221738664</c:v>
                </c:pt>
                <c:pt idx="1017">
                  <c:v>3.1415926504482004</c:v>
                </c:pt>
                <c:pt idx="1018">
                  <c:v>3.1415926532756338</c:v>
                </c:pt>
                <c:pt idx="1019">
                  <c:v>3.1415926535897931</c:v>
                </c:pt>
              </c:numCache>
            </c:numRef>
          </c:xVal>
          <c:yVal>
            <c:numRef>
              <c:f>Sheet1!$AC$25:$AC$1044</c:f>
              <c:numCache>
                <c:formatCode>General</c:formatCode>
                <c:ptCount val="1020"/>
                <c:pt idx="0">
                  <c:v>0.69314718055994518</c:v>
                </c:pt>
                <c:pt idx="1">
                  <c:v>0.69314718055994429</c:v>
                </c:pt>
                <c:pt idx="2">
                  <c:v>0.69314718055993529</c:v>
                </c:pt>
                <c:pt idx="3">
                  <c:v>0.69314718055984537</c:v>
                </c:pt>
                <c:pt idx="4">
                  <c:v>0.69314718055894531</c:v>
                </c:pt>
                <c:pt idx="5">
                  <c:v>0.69314718054994529</c:v>
                </c:pt>
                <c:pt idx="6">
                  <c:v>0.69314718045994528</c:v>
                </c:pt>
                <c:pt idx="7">
                  <c:v>0.6931471795599452</c:v>
                </c:pt>
                <c:pt idx="8">
                  <c:v>0.69314717055994524</c:v>
                </c:pt>
                <c:pt idx="9">
                  <c:v>0.69314708055994034</c:v>
                </c:pt>
                <c:pt idx="10">
                  <c:v>0.69314618055944532</c:v>
                </c:pt>
                <c:pt idx="11">
                  <c:v>0.69313718050994499</c:v>
                </c:pt>
                <c:pt idx="12">
                  <c:v>0.69304717555961193</c:v>
                </c:pt>
                <c:pt idx="13">
                  <c:v>0.69214668022636183</c:v>
                </c:pt>
                <c:pt idx="14">
                  <c:v>0.69114517788927221</c:v>
                </c:pt>
                <c:pt idx="15">
                  <c:v>0.69014267153964659</c:v>
                </c:pt>
                <c:pt idx="16">
                  <c:v>0.68913915916240653</c:v>
                </c:pt>
                <c:pt idx="17">
                  <c:v>0.68813463873640102</c:v>
                </c:pt>
                <c:pt idx="18">
                  <c:v>0.68712910823438234</c:v>
                </c:pt>
                <c:pt idx="19">
                  <c:v>0.6861225656229808</c:v>
                </c:pt>
                <c:pt idx="20">
                  <c:v>0.68511500886268095</c:v>
                </c:pt>
                <c:pt idx="21">
                  <c:v>0.68410643590779618</c:v>
                </c:pt>
                <c:pt idx="22">
                  <c:v>0.68309684470644394</c:v>
                </c:pt>
                <c:pt idx="23">
                  <c:v>0.68208623320052031</c:v>
                </c:pt>
                <c:pt idx="24">
                  <c:v>0.68107459932567604</c:v>
                </c:pt>
                <c:pt idx="25">
                  <c:v>0.68006194101128981</c:v>
                </c:pt>
                <c:pt idx="26">
                  <c:v>0.67904825618044362</c:v>
                </c:pt>
                <c:pt idx="27">
                  <c:v>0.67803354274989713</c:v>
                </c:pt>
                <c:pt idx="28">
                  <c:v>0.67701779863006162</c:v>
                </c:pt>
                <c:pt idx="29">
                  <c:v>0.67600102172497489</c:v>
                </c:pt>
                <c:pt idx="30">
                  <c:v>0.67498320993227412</c:v>
                </c:pt>
                <c:pt idx="31">
                  <c:v>0.67396436114317149</c:v>
                </c:pt>
                <c:pt idx="32">
                  <c:v>0.67294447324242579</c:v>
                </c:pt>
                <c:pt idx="33">
                  <c:v>0.67192354410831867</c:v>
                </c:pt>
                <c:pt idx="34">
                  <c:v>0.67090157161262554</c:v>
                </c:pt>
                <c:pt idx="35">
                  <c:v>0.66987855362059101</c:v>
                </c:pt>
                <c:pt idx="36">
                  <c:v>0.66885448799090075</c:v>
                </c:pt>
                <c:pt idx="37">
                  <c:v>0.66782937257565544</c:v>
                </c:pt>
                <c:pt idx="38">
                  <c:v>0.66680320522034342</c:v>
                </c:pt>
                <c:pt idx="39">
                  <c:v>0.66577598376381331</c:v>
                </c:pt>
                <c:pt idx="40">
                  <c:v>0.6647477060382474</c:v>
                </c:pt>
                <c:pt idx="41">
                  <c:v>0.66371836986913313</c:v>
                </c:pt>
                <c:pt idx="42">
                  <c:v>0.66268797307523675</c:v>
                </c:pt>
                <c:pt idx="43">
                  <c:v>0.66165651346857446</c:v>
                </c:pt>
                <c:pt idx="44">
                  <c:v>0.66062398885438522</c:v>
                </c:pt>
                <c:pt idx="45">
                  <c:v>0.65959039703110256</c:v>
                </c:pt>
                <c:pt idx="46">
                  <c:v>0.65855573579032622</c:v>
                </c:pt>
                <c:pt idx="47">
                  <c:v>0.65752000291679424</c:v>
                </c:pt>
                <c:pt idx="48">
                  <c:v>0.65648319618835382</c:v>
                </c:pt>
                <c:pt idx="49">
                  <c:v>0.65544531337593392</c:v>
                </c:pt>
                <c:pt idx="50">
                  <c:v>0.65440635224351473</c:v>
                </c:pt>
                <c:pt idx="51">
                  <c:v>0.65336631054810079</c:v>
                </c:pt>
                <c:pt idx="52">
                  <c:v>0.65232518603969014</c:v>
                </c:pt>
                <c:pt idx="53">
                  <c:v>0.65128297646124644</c:v>
                </c:pt>
                <c:pt idx="54">
                  <c:v>0.6502396795486689</c:v>
                </c:pt>
                <c:pt idx="55">
                  <c:v>0.64919529303076251</c:v>
                </c:pt>
                <c:pt idx="56">
                  <c:v>0.64814981462920962</c:v>
                </c:pt>
                <c:pt idx="57">
                  <c:v>0.64710324205853842</c:v>
                </c:pt>
                <c:pt idx="58">
                  <c:v>0.64605557302609484</c:v>
                </c:pt>
                <c:pt idx="59">
                  <c:v>0.64500680523201037</c:v>
                </c:pt>
                <c:pt idx="60">
                  <c:v>0.64395693636917362</c:v>
                </c:pt>
                <c:pt idx="61">
                  <c:v>0.64290596412319856</c:v>
                </c:pt>
                <c:pt idx="62">
                  <c:v>0.64185388617239469</c:v>
                </c:pt>
                <c:pt idx="63">
                  <c:v>0.64080070018773616</c:v>
                </c:pt>
                <c:pt idx="64">
                  <c:v>0.63974640383282999</c:v>
                </c:pt>
                <c:pt idx="65">
                  <c:v>0.63869099476388658</c:v>
                </c:pt>
                <c:pt idx="66">
                  <c:v>0.63763447062968648</c:v>
                </c:pt>
                <c:pt idx="67">
                  <c:v>0.63657682907155111</c:v>
                </c:pt>
                <c:pt idx="68">
                  <c:v>0.63551806772330888</c:v>
                </c:pt>
                <c:pt idx="69">
                  <c:v>0.63445818421126576</c:v>
                </c:pt>
                <c:pt idx="70">
                  <c:v>0.63339717615417124</c:v>
                </c:pt>
                <c:pt idx="71">
                  <c:v>0.63233504116318784</c:v>
                </c:pt>
                <c:pt idx="72">
                  <c:v>0.63127177684185787</c:v>
                </c:pt>
                <c:pt idx="73">
                  <c:v>0.63020738078607108</c:v>
                </c:pt>
                <c:pt idx="74">
                  <c:v>0.62914185058403305</c:v>
                </c:pt>
                <c:pt idx="75">
                  <c:v>0.6280751838162304</c:v>
                </c:pt>
                <c:pt idx="76">
                  <c:v>0.62700737805540041</c:v>
                </c:pt>
                <c:pt idx="77">
                  <c:v>0.62593843086649514</c:v>
                </c:pt>
                <c:pt idx="78">
                  <c:v>0.62486833980665091</c:v>
                </c:pt>
                <c:pt idx="79">
                  <c:v>0.62379710242515207</c:v>
                </c:pt>
                <c:pt idx="80">
                  <c:v>0.62272471626339942</c:v>
                </c:pt>
                <c:pt idx="81">
                  <c:v>0.62165117885487542</c:v>
                </c:pt>
                <c:pt idx="82">
                  <c:v>0.62057648772510976</c:v>
                </c:pt>
                <c:pt idx="83">
                  <c:v>0.61950064039164687</c:v>
                </c:pt>
                <c:pt idx="84">
                  <c:v>0.61842363436400871</c:v>
                </c:pt>
                <c:pt idx="85">
                  <c:v>0.61734546714366345</c:v>
                </c:pt>
                <c:pt idx="86">
                  <c:v>0.61626613622398752</c:v>
                </c:pt>
                <c:pt idx="87">
                  <c:v>0.61518563909023349</c:v>
                </c:pt>
                <c:pt idx="88">
                  <c:v>0.6141039732194925</c:v>
                </c:pt>
                <c:pt idx="89">
                  <c:v>0.61302113608066033</c:v>
                </c:pt>
                <c:pt idx="90">
                  <c:v>0.61193712513440213</c:v>
                </c:pt>
                <c:pt idx="91">
                  <c:v>0.61085193783311498</c:v>
                </c:pt>
                <c:pt idx="92">
                  <c:v>0.60976557162089429</c:v>
                </c:pt>
                <c:pt idx="93">
                  <c:v>0.60867802393349524</c:v>
                </c:pt>
                <c:pt idx="94">
                  <c:v>0.60758929219829871</c:v>
                </c:pt>
                <c:pt idx="95">
                  <c:v>0.6064993738342731</c:v>
                </c:pt>
                <c:pt idx="96">
                  <c:v>0.60540826625193855</c:v>
                </c:pt>
                <c:pt idx="97">
                  <c:v>0.60431596685332944</c:v>
                </c:pt>
                <c:pt idx="98">
                  <c:v>0.6032224730319582</c:v>
                </c:pt>
                <c:pt idx="99">
                  <c:v>0.60212778217277674</c:v>
                </c:pt>
                <c:pt idx="100">
                  <c:v>0.60103189165213955</c:v>
                </c:pt>
                <c:pt idx="101">
                  <c:v>0.59993479883776657</c:v>
                </c:pt>
                <c:pt idx="102">
                  <c:v>0.5988365010887039</c:v>
                </c:pt>
                <c:pt idx="103">
                  <c:v>0.59773699575528716</c:v>
                </c:pt>
                <c:pt idx="104">
                  <c:v>0.59663628017910153</c:v>
                </c:pt>
                <c:pt idx="105">
                  <c:v>0.59553435169294489</c:v>
                </c:pt>
                <c:pt idx="106">
                  <c:v>0.5944312076207876</c:v>
                </c:pt>
                <c:pt idx="107">
                  <c:v>0.59332684527773438</c:v>
                </c:pt>
                <c:pt idx="108">
                  <c:v>0.59222126196998481</c:v>
                </c:pt>
                <c:pt idx="109">
                  <c:v>0.59111445499479354</c:v>
                </c:pt>
                <c:pt idx="110">
                  <c:v>0.59000642164043193</c:v>
                </c:pt>
                <c:pt idx="111">
                  <c:v>0.58889715918614605</c:v>
                </c:pt>
                <c:pt idx="112">
                  <c:v>0.58778666490211906</c:v>
                </c:pt>
                <c:pt idx="113">
                  <c:v>0.58667493604942855</c:v>
                </c:pt>
                <c:pt idx="114">
                  <c:v>0.58556196988000786</c:v>
                </c:pt>
                <c:pt idx="115">
                  <c:v>0.58444776363660444</c:v>
                </c:pt>
                <c:pt idx="116">
                  <c:v>0.58333231455273871</c:v>
                </c:pt>
                <c:pt idx="117">
                  <c:v>0.58221561985266368</c:v>
                </c:pt>
                <c:pt idx="118">
                  <c:v>0.58109767675132229</c:v>
                </c:pt>
                <c:pt idx="119">
                  <c:v>0.57997848245430728</c:v>
                </c:pt>
                <c:pt idx="120">
                  <c:v>0.57885803415781756</c:v>
                </c:pt>
                <c:pt idx="121">
                  <c:v>0.5777363290486176</c:v>
                </c:pt>
                <c:pt idx="122">
                  <c:v>0.57661336430399379</c:v>
                </c:pt>
                <c:pt idx="123">
                  <c:v>0.5754891370917129</c:v>
                </c:pt>
                <c:pt idx="124">
                  <c:v>0.57436364456997835</c:v>
                </c:pt>
                <c:pt idx="125">
                  <c:v>0.5732368838873878</c:v>
                </c:pt>
                <c:pt idx="126">
                  <c:v>0.5721088521828892</c:v>
                </c:pt>
                <c:pt idx="127">
                  <c:v>0.57097954658573769</c:v>
                </c:pt>
                <c:pt idx="128">
                  <c:v>0.56984896421545173</c:v>
                </c:pt>
                <c:pt idx="129">
                  <c:v>0.56871710218176819</c:v>
                </c:pt>
                <c:pt idx="130">
                  <c:v>0.56758395758459956</c:v>
                </c:pt>
                <c:pt idx="131">
                  <c:v>0.5664495275139878</c:v>
                </c:pt>
                <c:pt idx="132">
                  <c:v>0.56531380905006046</c:v>
                </c:pt>
                <c:pt idx="133">
                  <c:v>0.56417679926298525</c:v>
                </c:pt>
                <c:pt idx="134">
                  <c:v>0.56303849521292493</c:v>
                </c:pt>
                <c:pt idx="135">
                  <c:v>0.56189889394999126</c:v>
                </c:pt>
                <c:pt idx="136">
                  <c:v>0.56075799251419978</c:v>
                </c:pt>
                <c:pt idx="137">
                  <c:v>0.55961578793542266</c:v>
                </c:pt>
                <c:pt idx="138">
                  <c:v>0.55847227723334358</c:v>
                </c:pt>
                <c:pt idx="139">
                  <c:v>0.55732745741741041</c:v>
                </c:pt>
                <c:pt idx="140">
                  <c:v>0.55618132548678789</c:v>
                </c:pt>
                <c:pt idx="141">
                  <c:v>0.55503387843031105</c:v>
                </c:pt>
                <c:pt idx="142">
                  <c:v>0.55388511322643763</c:v>
                </c:pt>
                <c:pt idx="143">
                  <c:v>0.55273502684320031</c:v>
                </c:pt>
                <c:pt idx="144">
                  <c:v>0.55158361623815844</c:v>
                </c:pt>
                <c:pt idx="145">
                  <c:v>0.55043087835834992</c:v>
                </c:pt>
                <c:pt idx="146">
                  <c:v>0.54927681014024343</c:v>
                </c:pt>
                <c:pt idx="147">
                  <c:v>0.54812140850968749</c:v>
                </c:pt>
                <c:pt idx="148">
                  <c:v>0.54696467038186392</c:v>
                </c:pt>
                <c:pt idx="149">
                  <c:v>0.54580659266123621</c:v>
                </c:pt>
                <c:pt idx="150">
                  <c:v>0.54464717224150139</c:v>
                </c:pt>
                <c:pt idx="151">
                  <c:v>0.54348640600553899</c:v>
                </c:pt>
                <c:pt idx="152">
                  <c:v>0.54232429082536171</c:v>
                </c:pt>
                <c:pt idx="153">
                  <c:v>0.54116082356206363</c:v>
                </c:pt>
                <c:pt idx="154">
                  <c:v>0.53999600106577061</c:v>
                </c:pt>
                <c:pt idx="155">
                  <c:v>0.538829820175588</c:v>
                </c:pt>
                <c:pt idx="156">
                  <c:v>0.53766227771955044</c:v>
                </c:pt>
                <c:pt idx="157">
                  <c:v>0.53649337051456847</c:v>
                </c:pt>
                <c:pt idx="158">
                  <c:v>0.53532309536637812</c:v>
                </c:pt>
                <c:pt idx="159">
                  <c:v>0.53415144906948731</c:v>
                </c:pt>
                <c:pt idx="160">
                  <c:v>0.53297842840712395</c:v>
                </c:pt>
                <c:pt idx="161">
                  <c:v>0.53180403015118238</c:v>
                </c:pt>
                <c:pt idx="162">
                  <c:v>0.53062825106217038</c:v>
                </c:pt>
                <c:pt idx="163">
                  <c:v>0.52945108788915562</c:v>
                </c:pt>
                <c:pt idx="164">
                  <c:v>0.52827253736971125</c:v>
                </c:pt>
                <c:pt idx="165">
                  <c:v>0.52709259622986271</c:v>
                </c:pt>
                <c:pt idx="166">
                  <c:v>0.52591126118403153</c:v>
                </c:pt>
                <c:pt idx="167">
                  <c:v>0.52472852893498212</c:v>
                </c:pt>
                <c:pt idx="168">
                  <c:v>0.52354439617376536</c:v>
                </c:pt>
                <c:pt idx="169">
                  <c:v>0.52235885957966366</c:v>
                </c:pt>
                <c:pt idx="170">
                  <c:v>0.521171915820135</c:v>
                </c:pt>
                <c:pt idx="171">
                  <c:v>0.51998356155075631</c:v>
                </c:pt>
                <c:pt idx="172">
                  <c:v>0.51879379341516763</c:v>
                </c:pt>
                <c:pt idx="173">
                  <c:v>0.51760260804501435</c:v>
                </c:pt>
                <c:pt idx="174">
                  <c:v>0.5164100020598914</c:v>
                </c:pt>
                <c:pt idx="175">
                  <c:v>0.51521597206728353</c:v>
                </c:pt>
                <c:pt idx="176">
                  <c:v>0.51402051466250998</c:v>
                </c:pt>
                <c:pt idx="177">
                  <c:v>0.51282362642866375</c:v>
                </c:pt>
                <c:pt idx="178">
                  <c:v>0.51162530393655492</c:v>
                </c:pt>
                <c:pt idx="179">
                  <c:v>0.51042554374465088</c:v>
                </c:pt>
                <c:pt idx="180">
                  <c:v>0.50922434239901682</c:v>
                </c:pt>
                <c:pt idx="181">
                  <c:v>0.50802169643325656</c:v>
                </c:pt>
                <c:pt idx="182">
                  <c:v>0.50681760236845186</c:v>
                </c:pt>
                <c:pt idx="183">
                  <c:v>0.50561205671310328</c:v>
                </c:pt>
                <c:pt idx="184">
                  <c:v>0.50440505596306795</c:v>
                </c:pt>
                <c:pt idx="185">
                  <c:v>0.50319659660149962</c:v>
                </c:pt>
                <c:pt idx="186">
                  <c:v>0.50198667509878636</c:v>
                </c:pt>
                <c:pt idx="187">
                  <c:v>0.50077528791248915</c:v>
                </c:pt>
                <c:pt idx="188">
                  <c:v>0.49956243148728002</c:v>
                </c:pt>
                <c:pt idx="189">
                  <c:v>0.49834810225487802</c:v>
                </c:pt>
                <c:pt idx="190">
                  <c:v>0.49713229663398822</c:v>
                </c:pt>
                <c:pt idx="191">
                  <c:v>0.49591501103023644</c:v>
                </c:pt>
                <c:pt idx="192">
                  <c:v>0.49469624183610711</c:v>
                </c:pt>
                <c:pt idx="193">
                  <c:v>0.49347598543087762</c:v>
                </c:pt>
                <c:pt idx="194">
                  <c:v>0.49225423818055536</c:v>
                </c:pt>
                <c:pt idx="195">
                  <c:v>0.49103099643781123</c:v>
                </c:pt>
                <c:pt idx="196">
                  <c:v>0.48980625654191517</c:v>
                </c:pt>
                <c:pt idx="197">
                  <c:v>0.48858001481867092</c:v>
                </c:pt>
                <c:pt idx="198">
                  <c:v>0.4873522675803485</c:v>
                </c:pt>
                <c:pt idx="199">
                  <c:v>0.4861230111256189</c:v>
                </c:pt>
                <c:pt idx="200">
                  <c:v>0.48489224173948614</c:v>
                </c:pt>
                <c:pt idx="201">
                  <c:v>0.48365995569322123</c:v>
                </c:pt>
                <c:pt idx="202">
                  <c:v>0.48242614924429261</c:v>
                </c:pt>
                <c:pt idx="203">
                  <c:v>0.48119081863630003</c:v>
                </c:pt>
                <c:pt idx="204">
                  <c:v>0.47995396009890368</c:v>
                </c:pt>
                <c:pt idx="205">
                  <c:v>0.47871556984775698</c:v>
                </c:pt>
                <c:pt idx="206">
                  <c:v>0.47747564408443649</c:v>
                </c:pt>
                <c:pt idx="207">
                  <c:v>0.47623417899637155</c:v>
                </c:pt>
                <c:pt idx="208">
                  <c:v>0.47499117075677466</c:v>
                </c:pt>
                <c:pt idx="209">
                  <c:v>0.47374661552456987</c:v>
                </c:pt>
                <c:pt idx="210">
                  <c:v>0.47250050944432281</c:v>
                </c:pt>
                <c:pt idx="211">
                  <c:v>0.4712528486461674</c:v>
                </c:pt>
                <c:pt idx="212">
                  <c:v>0.47000362924573563</c:v>
                </c:pt>
                <c:pt idx="213">
                  <c:v>0.46875284734408296</c:v>
                </c:pt>
                <c:pt idx="214">
                  <c:v>0.46750049902761692</c:v>
                </c:pt>
                <c:pt idx="215">
                  <c:v>0.46624658036802319</c:v>
                </c:pt>
                <c:pt idx="216">
                  <c:v>0.4649910874221912</c:v>
                </c:pt>
                <c:pt idx="217">
                  <c:v>0.46373401623214022</c:v>
                </c:pt>
                <c:pt idx="218">
                  <c:v>0.462475362824944</c:v>
                </c:pt>
                <c:pt idx="219">
                  <c:v>0.46121512321265629</c:v>
                </c:pt>
                <c:pt idx="220">
                  <c:v>0.45995329339223401</c:v>
                </c:pt>
                <c:pt idx="221">
                  <c:v>0.45868986934546219</c:v>
                </c:pt>
                <c:pt idx="222">
                  <c:v>0.45742484703887548</c:v>
                </c:pt>
                <c:pt idx="223">
                  <c:v>0.45615822242368242</c:v>
                </c:pt>
                <c:pt idx="224">
                  <c:v>0.45488999143568742</c:v>
                </c:pt>
                <c:pt idx="225">
                  <c:v>0.45362014999521139</c:v>
                </c:pt>
                <c:pt idx="226">
                  <c:v>0.45234869400701483</c:v>
                </c:pt>
                <c:pt idx="227">
                  <c:v>0.45107561936021673</c:v>
                </c:pt>
                <c:pt idx="228">
                  <c:v>0.44980092192821614</c:v>
                </c:pt>
                <c:pt idx="229">
                  <c:v>0.44852459756861124</c:v>
                </c:pt>
                <c:pt idx="230">
                  <c:v>0.44724664212311938</c:v>
                </c:pt>
                <c:pt idx="231">
                  <c:v>0.44596705141749426</c:v>
                </c:pt>
                <c:pt idx="232">
                  <c:v>0.44468582126144574</c:v>
                </c:pt>
                <c:pt idx="233">
                  <c:v>0.44340294744855657</c:v>
                </c:pt>
                <c:pt idx="234">
                  <c:v>0.44211842575619975</c:v>
                </c:pt>
                <c:pt idx="235">
                  <c:v>0.44083225194545572</c:v>
                </c:pt>
                <c:pt idx="236">
                  <c:v>0.4395444217610272</c:v>
                </c:pt>
                <c:pt idx="237">
                  <c:v>0.43825493093115531</c:v>
                </c:pt>
                <c:pt idx="238">
                  <c:v>0.43696377516753526</c:v>
                </c:pt>
                <c:pt idx="239">
                  <c:v>0.43567095016523022</c:v>
                </c:pt>
                <c:pt idx="240">
                  <c:v>0.43437645160258448</c:v>
                </c:pt>
                <c:pt idx="241">
                  <c:v>0.43308027514113778</c:v>
                </c:pt>
                <c:pt idx="242">
                  <c:v>0.43178241642553783</c:v>
                </c:pt>
                <c:pt idx="243">
                  <c:v>0.43048287108345212</c:v>
                </c:pt>
                <c:pt idx="244">
                  <c:v>0.42918163472548043</c:v>
                </c:pt>
                <c:pt idx="245">
                  <c:v>0.42787870294506458</c:v>
                </c:pt>
                <c:pt idx="246">
                  <c:v>0.42657407131839958</c:v>
                </c:pt>
                <c:pt idx="247">
                  <c:v>0.42526773540434409</c:v>
                </c:pt>
                <c:pt idx="248">
                  <c:v>0.42395969074432877</c:v>
                </c:pt>
                <c:pt idx="249">
                  <c:v>0.42264993286226527</c:v>
                </c:pt>
                <c:pt idx="250">
                  <c:v>0.42133845726445457</c:v>
                </c:pt>
                <c:pt idx="251">
                  <c:v>0.42002525943949409</c:v>
                </c:pt>
                <c:pt idx="252">
                  <c:v>0.41871033485818487</c:v>
                </c:pt>
                <c:pt idx="253">
                  <c:v>0.41739367897343821</c:v>
                </c:pt>
                <c:pt idx="254">
                  <c:v>0.41607528722018006</c:v>
                </c:pt>
                <c:pt idx="255">
                  <c:v>0.41475515501525706</c:v>
                </c:pt>
                <c:pt idx="256">
                  <c:v>0.41343327775734129</c:v>
                </c:pt>
                <c:pt idx="257">
                  <c:v>0.41210965082683298</c:v>
                </c:pt>
                <c:pt idx="258">
                  <c:v>0.41078426958576436</c:v>
                </c:pt>
                <c:pt idx="259">
                  <c:v>0.40945712937770185</c:v>
                </c:pt>
                <c:pt idx="260">
                  <c:v>0.4081282255276481</c:v>
                </c:pt>
                <c:pt idx="261">
                  <c:v>0.40679755334194284</c:v>
                </c:pt>
                <c:pt idx="262">
                  <c:v>0.40546510810816438</c:v>
                </c:pt>
                <c:pt idx="263">
                  <c:v>0.40413088509502787</c:v>
                </c:pt>
                <c:pt idx="264">
                  <c:v>0.40279487955228549</c:v>
                </c:pt>
                <c:pt idx="265">
                  <c:v>0.40145708671062558</c:v>
                </c:pt>
                <c:pt idx="266">
                  <c:v>0.40011750178156913</c:v>
                </c:pt>
                <c:pt idx="267">
                  <c:v>0.39877611995736778</c:v>
                </c:pt>
                <c:pt idx="268">
                  <c:v>0.39743293641090011</c:v>
                </c:pt>
                <c:pt idx="269">
                  <c:v>0.39608794629556743</c:v>
                </c:pt>
                <c:pt idx="270">
                  <c:v>0.39474114474518857</c:v>
                </c:pt>
                <c:pt idx="271">
                  <c:v>0.39339252687389514</c:v>
                </c:pt>
                <c:pt idx="272">
                  <c:v>0.39204208777602384</c:v>
                </c:pt>
                <c:pt idx="273">
                  <c:v>0.39068982252601003</c:v>
                </c:pt>
                <c:pt idx="274">
                  <c:v>0.38933572617828072</c:v>
                </c:pt>
                <c:pt idx="275">
                  <c:v>0.38797979376714486</c:v>
                </c:pt>
                <c:pt idx="276">
                  <c:v>0.38662202030668447</c:v>
                </c:pt>
                <c:pt idx="277">
                  <c:v>0.38526240079064489</c:v>
                </c:pt>
                <c:pt idx="278">
                  <c:v>0.3839009301923238</c:v>
                </c:pt>
                <c:pt idx="279">
                  <c:v>0.38253760346445959</c:v>
                </c:pt>
                <c:pt idx="280">
                  <c:v>0.38117241553911979</c:v>
                </c:pt>
                <c:pt idx="281">
                  <c:v>0.37980536132758691</c:v>
                </c:pt>
                <c:pt idx="282">
                  <c:v>0.37843643572024505</c:v>
                </c:pt>
                <c:pt idx="283">
                  <c:v>0.37706563358646639</c:v>
                </c:pt>
                <c:pt idx="284">
                  <c:v>0.37569294977449419</c:v>
                </c:pt>
                <c:pt idx="285">
                  <c:v>0.37431837911132759</c:v>
                </c:pt>
                <c:pt idx="286">
                  <c:v>0.37294191640260432</c:v>
                </c:pt>
                <c:pt idx="287">
                  <c:v>0.37156355643248301</c:v>
                </c:pt>
                <c:pt idx="288">
                  <c:v>0.37018329396352445</c:v>
                </c:pt>
                <c:pt idx="289">
                  <c:v>0.36880112373657292</c:v>
                </c:pt>
                <c:pt idx="290">
                  <c:v>0.36741704047063461</c:v>
                </c:pt>
                <c:pt idx="291">
                  <c:v>0.36603103886275729</c:v>
                </c:pt>
                <c:pt idx="292">
                  <c:v>0.36464311358790907</c:v>
                </c:pt>
                <c:pt idx="293">
                  <c:v>0.36325325929885488</c:v>
                </c:pt>
                <c:pt idx="294">
                  <c:v>0.36186147062603241</c:v>
                </c:pt>
                <c:pt idx="295">
                  <c:v>0.36046774217742872</c:v>
                </c:pt>
                <c:pt idx="296">
                  <c:v>0.3590720685384538</c:v>
                </c:pt>
                <c:pt idx="297">
                  <c:v>0.35767444427181605</c:v>
                </c:pt>
                <c:pt idx="298">
                  <c:v>0.3562748639173926</c:v>
                </c:pt>
                <c:pt idx="299">
                  <c:v>0.35487332199210431</c:v>
                </c:pt>
                <c:pt idx="300">
                  <c:v>0.35346981298978414</c:v>
                </c:pt>
                <c:pt idx="301">
                  <c:v>0.35206433138104926</c:v>
                </c:pt>
                <c:pt idx="302">
                  <c:v>0.35065687161316933</c:v>
                </c:pt>
                <c:pt idx="303">
                  <c:v>0.3492474281099357</c:v>
                </c:pt>
                <c:pt idx="304">
                  <c:v>0.34783599527152814</c:v>
                </c:pt>
                <c:pt idx="305">
                  <c:v>0.34642256747438094</c:v>
                </c:pt>
                <c:pt idx="306">
                  <c:v>0.34500713907105046</c:v>
                </c:pt>
                <c:pt idx="307">
                  <c:v>0.34358970439007686</c:v>
                </c:pt>
                <c:pt idx="308">
                  <c:v>0.34217025773585075</c:v>
                </c:pt>
                <c:pt idx="309">
                  <c:v>0.34074879338847325</c:v>
                </c:pt>
                <c:pt idx="310">
                  <c:v>0.33932530560361945</c:v>
                </c:pt>
                <c:pt idx="311">
                  <c:v>0.33789978861239828</c:v>
                </c:pt>
                <c:pt idx="312">
                  <c:v>0.33647223662121289</c:v>
                </c:pt>
                <c:pt idx="313">
                  <c:v>0.33504264381161863</c:v>
                </c:pt>
                <c:pt idx="314">
                  <c:v>0.33361100434018065</c:v>
                </c:pt>
                <c:pt idx="315">
                  <c:v>0.33217731233833225</c:v>
                </c:pt>
                <c:pt idx="316">
                  <c:v>0.33074156191222781</c:v>
                </c:pt>
                <c:pt idx="317">
                  <c:v>0.32930374714260047</c:v>
                </c:pt>
                <c:pt idx="318">
                  <c:v>0.32786386208461282</c:v>
                </c:pt>
                <c:pt idx="319">
                  <c:v>0.3264219007677116</c:v>
                </c:pt>
                <c:pt idx="320">
                  <c:v>0.32497785719547773</c:v>
                </c:pt>
                <c:pt idx="321">
                  <c:v>0.32353172534547808</c:v>
                </c:pt>
                <c:pt idx="322">
                  <c:v>0.32208349916911339</c:v>
                </c:pt>
                <c:pt idx="323">
                  <c:v>0.32063317259146673</c:v>
                </c:pt>
                <c:pt idx="324">
                  <c:v>0.319180739511152</c:v>
                </c:pt>
                <c:pt idx="325">
                  <c:v>0.31772619380015754</c:v>
                </c:pt>
                <c:pt idx="326">
                  <c:v>0.31626952930369356</c:v>
                </c:pt>
                <c:pt idx="327">
                  <c:v>0.3148107398400336</c:v>
                </c:pt>
                <c:pt idx="328">
                  <c:v>0.31334981920035881</c:v>
                </c:pt>
                <c:pt idx="329">
                  <c:v>0.31188676114859826</c:v>
                </c:pt>
                <c:pt idx="330">
                  <c:v>0.31042155942127025</c:v>
                </c:pt>
                <c:pt idx="331">
                  <c:v>0.30895420772732068</c:v>
                </c:pt>
                <c:pt idx="332">
                  <c:v>0.30748469974796055</c:v>
                </c:pt>
                <c:pt idx="333">
                  <c:v>0.3060130291365043</c:v>
                </c:pt>
                <c:pt idx="334">
                  <c:v>0.30453918951820375</c:v>
                </c:pt>
                <c:pt idx="335">
                  <c:v>0.3030631744900833</c:v>
                </c:pt>
                <c:pt idx="336">
                  <c:v>0.30158497762077241</c:v>
                </c:pt>
                <c:pt idx="337">
                  <c:v>0.30010459245033816</c:v>
                </c:pt>
                <c:pt idx="338">
                  <c:v>0.29862201249011522</c:v>
                </c:pt>
                <c:pt idx="339">
                  <c:v>0.29713723122253594</c:v>
                </c:pt>
                <c:pt idx="340">
                  <c:v>0.29565024210095786</c:v>
                </c:pt>
                <c:pt idx="341">
                  <c:v>0.29416103854948994</c:v>
                </c:pt>
                <c:pt idx="342">
                  <c:v>0.29266961396281987</c:v>
                </c:pt>
                <c:pt idx="343">
                  <c:v>0.2911759617060366</c:v>
                </c:pt>
                <c:pt idx="344">
                  <c:v>0.28968007511445404</c:v>
                </c:pt>
                <c:pt idx="345">
                  <c:v>0.28818194749343201</c:v>
                </c:pt>
                <c:pt idx="346">
                  <c:v>0.28668157211819745</c:v>
                </c:pt>
                <c:pt idx="347">
                  <c:v>0.2851789422336623</c:v>
                </c:pt>
                <c:pt idx="348">
                  <c:v>0.28367405105424198</c:v>
                </c:pt>
                <c:pt idx="349">
                  <c:v>0.28216689176367082</c:v>
                </c:pt>
                <c:pt idx="350">
                  <c:v>0.28065745751481636</c:v>
                </c:pt>
                <c:pt idx="351">
                  <c:v>0.27914574142949444</c:v>
                </c:pt>
                <c:pt idx="352">
                  <c:v>0.27763173659827939</c:v>
                </c:pt>
                <c:pt idx="353">
                  <c:v>0.27611543608031552</c:v>
                </c:pt>
                <c:pt idx="354">
                  <c:v>0.27459683290312548</c:v>
                </c:pt>
                <c:pt idx="355">
                  <c:v>0.27307592006241882</c:v>
                </c:pt>
                <c:pt idx="356">
                  <c:v>0.27155269052189734</c:v>
                </c:pt>
                <c:pt idx="357">
                  <c:v>0.27002713721306021</c:v>
                </c:pt>
                <c:pt idx="358">
                  <c:v>0.26849925303500699</c:v>
                </c:pt>
                <c:pt idx="359">
                  <c:v>0.26696903085423951</c:v>
                </c:pt>
                <c:pt idx="360">
                  <c:v>0.26543646350446126</c:v>
                </c:pt>
                <c:pt idx="361">
                  <c:v>0.26390154378637737</c:v>
                </c:pt>
                <c:pt idx="362">
                  <c:v>0.26236426446749106</c:v>
                </c:pt>
                <c:pt idx="363">
                  <c:v>0.26082461828189829</c:v>
                </c:pt>
                <c:pt idx="364">
                  <c:v>0.25928259793008318</c:v>
                </c:pt>
                <c:pt idx="365">
                  <c:v>0.25773819607870885</c:v>
                </c:pt>
                <c:pt idx="366">
                  <c:v>0.25619140536041013</c:v>
                </c:pt>
                <c:pt idx="367">
                  <c:v>0.25464221837358075</c:v>
                </c:pt>
                <c:pt idx="368">
                  <c:v>0.25309062768216206</c:v>
                </c:pt>
                <c:pt idx="369">
                  <c:v>0.25153662581542768</c:v>
                </c:pt>
                <c:pt idx="370">
                  <c:v>0.24998020526776929</c:v>
                </c:pt>
                <c:pt idx="371">
                  <c:v>0.24842135849847832</c:v>
                </c:pt>
                <c:pt idx="372">
                  <c:v>0.24686007793152581</c:v>
                </c:pt>
                <c:pt idx="373">
                  <c:v>0.24529635595534308</c:v>
                </c:pt>
                <c:pt idx="374">
                  <c:v>0.24373018492259815</c:v>
                </c:pt>
                <c:pt idx="375">
                  <c:v>0.24216155714997162</c:v>
                </c:pt>
                <c:pt idx="376">
                  <c:v>0.24059046491793043</c:v>
                </c:pt>
                <c:pt idx="377">
                  <c:v>0.23901690047049992</c:v>
                </c:pt>
                <c:pt idx="378">
                  <c:v>0.2374408560150342</c:v>
                </c:pt>
                <c:pt idx="379">
                  <c:v>0.23586232372198446</c:v>
                </c:pt>
                <c:pt idx="380">
                  <c:v>0.23428129572466569</c:v>
                </c:pt>
                <c:pt idx="381">
                  <c:v>0.23269776411902143</c:v>
                </c:pt>
                <c:pt idx="382">
                  <c:v>0.23111172096338664</c:v>
                </c:pt>
                <c:pt idx="383">
                  <c:v>0.22952315827824879</c:v>
                </c:pt>
                <c:pt idx="384">
                  <c:v>0.22793206804600694</c:v>
                </c:pt>
                <c:pt idx="385">
                  <c:v>0.22633844221072896</c:v>
                </c:pt>
                <c:pt idx="386">
                  <c:v>0.22474227267790678</c:v>
                </c:pt>
                <c:pt idx="387">
                  <c:v>0.22314355131420976</c:v>
                </c:pt>
                <c:pt idx="388">
                  <c:v>0.22154226994723591</c:v>
                </c:pt>
                <c:pt idx="389">
                  <c:v>0.2199384203652614</c:v>
                </c:pt>
                <c:pt idx="390">
                  <c:v>0.21833199431698769</c:v>
                </c:pt>
                <c:pt idx="391">
                  <c:v>0.21672298351128702</c:v>
                </c:pt>
                <c:pt idx="392">
                  <c:v>0.21511137961694549</c:v>
                </c:pt>
                <c:pt idx="393">
                  <c:v>0.21349717426240436</c:v>
                </c:pt>
                <c:pt idx="394">
                  <c:v>0.21188035903549901</c:v>
                </c:pt>
                <c:pt idx="395">
                  <c:v>0.21026092548319605</c:v>
                </c:pt>
                <c:pt idx="396">
                  <c:v>0.20863886511132801</c:v>
                </c:pt>
                <c:pt idx="397">
                  <c:v>0.20701416938432612</c:v>
                </c:pt>
                <c:pt idx="398">
                  <c:v>0.2053868297249507</c:v>
                </c:pt>
                <c:pt idx="399">
                  <c:v>0.20375683751401963</c:v>
                </c:pt>
                <c:pt idx="400">
                  <c:v>0.20212418409013433</c:v>
                </c:pt>
                <c:pt idx="401">
                  <c:v>0.20048886074940356</c:v>
                </c:pt>
                <c:pt idx="402">
                  <c:v>0.19885085874516517</c:v>
                </c:pt>
                <c:pt idx="403">
                  <c:v>0.19721016928770527</c:v>
                </c:pt>
                <c:pt idx="404">
                  <c:v>0.19556678354397525</c:v>
                </c:pt>
                <c:pt idx="405">
                  <c:v>0.19392069263730649</c:v>
                </c:pt>
                <c:pt idx="406">
                  <c:v>0.19227188764712269</c:v>
                </c:pt>
                <c:pt idx="407">
                  <c:v>0.1906203596086497</c:v>
                </c:pt>
                <c:pt idx="408">
                  <c:v>0.18896609951262316</c:v>
                </c:pt>
                <c:pt idx="409">
                  <c:v>0.18730909830499368</c:v>
                </c:pt>
                <c:pt idx="410">
                  <c:v>0.18564934688662926</c:v>
                </c:pt>
                <c:pt idx="411">
                  <c:v>0.18398683611301581</c:v>
                </c:pt>
                <c:pt idx="412">
                  <c:v>0.18232155679395459</c:v>
                </c:pt>
                <c:pt idx="413">
                  <c:v>0.18065349969325756</c:v>
                </c:pt>
                <c:pt idx="414">
                  <c:v>0.17898265552843995</c:v>
                </c:pt>
                <c:pt idx="415">
                  <c:v>0.17730901497041029</c:v>
                </c:pt>
                <c:pt idx="416">
                  <c:v>0.17563256864315796</c:v>
                </c:pt>
                <c:pt idx="417">
                  <c:v>0.17395330712343798</c:v>
                </c:pt>
                <c:pt idx="418">
                  <c:v>0.17227122094045313</c:v>
                </c:pt>
                <c:pt idx="419">
                  <c:v>0.17058630057553367</c:v>
                </c:pt>
                <c:pt idx="420">
                  <c:v>0.16889853646181388</c:v>
                </c:pt>
                <c:pt idx="421">
                  <c:v>0.16720791898390641</c:v>
                </c:pt>
                <c:pt idx="422">
                  <c:v>0.16551443847757352</c:v>
                </c:pt>
                <c:pt idx="423">
                  <c:v>0.16381808522939509</c:v>
                </c:pt>
                <c:pt idx="424">
                  <c:v>0.16211884947643532</c:v>
                </c:pt>
                <c:pt idx="425">
                  <c:v>0.16041672140590485</c:v>
                </c:pt>
                <c:pt idx="426">
                  <c:v>0.15871169115482101</c:v>
                </c:pt>
                <c:pt idx="427">
                  <c:v>0.15700374880966469</c:v>
                </c:pt>
                <c:pt idx="428">
                  <c:v>0.15529288440603525</c:v>
                </c:pt>
                <c:pt idx="429">
                  <c:v>0.15357908792830058</c:v>
                </c:pt>
                <c:pt idx="430">
                  <c:v>0.15186234930924603</c:v>
                </c:pt>
                <c:pt idx="431">
                  <c:v>0.15014265842971961</c:v>
                </c:pt>
                <c:pt idx="432">
                  <c:v>0.14842000511827341</c:v>
                </c:pt>
                <c:pt idx="433">
                  <c:v>0.14669437915080363</c:v>
                </c:pt>
                <c:pt idx="434">
                  <c:v>0.14496577025018584</c:v>
                </c:pt>
                <c:pt idx="435">
                  <c:v>0.14323416808590794</c:v>
                </c:pt>
                <c:pt idx="436">
                  <c:v>0.14149956227369942</c:v>
                </c:pt>
                <c:pt idx="437">
                  <c:v>0.13976194237515863</c:v>
                </c:pt>
                <c:pt idx="438">
                  <c:v>0.13802129789737461</c:v>
                </c:pt>
                <c:pt idx="439">
                  <c:v>0.13627761829254775</c:v>
                </c:pt>
                <c:pt idx="440">
                  <c:v>0.13453089295760606</c:v>
                </c:pt>
                <c:pt idx="441">
                  <c:v>0.13278111123381858</c:v>
                </c:pt>
                <c:pt idx="442">
                  <c:v>0.13102826240640419</c:v>
                </c:pt>
                <c:pt idx="443">
                  <c:v>0.12927233570413929</c:v>
                </c:pt>
                <c:pt idx="444">
                  <c:v>0.1275133202989597</c:v>
                </c:pt>
                <c:pt idx="445">
                  <c:v>0.12575120530556025</c:v>
                </c:pt>
                <c:pt idx="446">
                  <c:v>0.1239859797809911</c:v>
                </c:pt>
                <c:pt idx="447">
                  <c:v>0.12221763272424911</c:v>
                </c:pt>
                <c:pt idx="448">
                  <c:v>0.12044615307586706</c:v>
                </c:pt>
                <c:pt idx="449">
                  <c:v>0.11867152971749854</c:v>
                </c:pt>
                <c:pt idx="450">
                  <c:v>0.11689375147149943</c:v>
                </c:pt>
                <c:pt idx="451">
                  <c:v>0.11511280710050467</c:v>
                </c:pt>
                <c:pt idx="452">
                  <c:v>0.11332868530700327</c:v>
                </c:pt>
                <c:pt idx="453">
                  <c:v>0.11154137473290751</c:v>
                </c:pt>
                <c:pt idx="454">
                  <c:v>0.10975086395911929</c:v>
                </c:pt>
                <c:pt idx="455">
                  <c:v>0.10795714150509217</c:v>
                </c:pt>
                <c:pt idx="456">
                  <c:v>0.10616019582839052</c:v>
                </c:pt>
                <c:pt idx="457">
                  <c:v>0.10436001532424266</c:v>
                </c:pt>
                <c:pt idx="458">
                  <c:v>0.10255658832509196</c:v>
                </c:pt>
                <c:pt idx="459">
                  <c:v>0.10074990310014315</c:v>
                </c:pt>
                <c:pt idx="460">
                  <c:v>9.8939947854903648E-2</c:v>
                </c:pt>
                <c:pt idx="461">
                  <c:v>9.7126710730722821E-2</c:v>
                </c:pt>
                <c:pt idx="462">
                  <c:v>9.5310179804324935E-2</c:v>
                </c:pt>
                <c:pt idx="463">
                  <c:v>9.3490343087338973E-2</c:v>
                </c:pt>
                <c:pt idx="464">
                  <c:v>9.1667188525823673E-2</c:v>
                </c:pt>
                <c:pt idx="465">
                  <c:v>8.9840703999789343E-2</c:v>
                </c:pt>
                <c:pt idx="466">
                  <c:v>8.8010877322713177E-2</c:v>
                </c:pt>
                <c:pt idx="467">
                  <c:v>8.6177696241052204E-2</c:v>
                </c:pt>
                <c:pt idx="468">
                  <c:v>8.4341148433750748E-2</c:v>
                </c:pt>
                <c:pt idx="469">
                  <c:v>8.2501221511743772E-2</c:v>
                </c:pt>
                <c:pt idx="470">
                  <c:v>8.0657903017454541E-2</c:v>
                </c:pt>
                <c:pt idx="471">
                  <c:v>7.8811180424289848E-2</c:v>
                </c:pt>
                <c:pt idx="472">
                  <c:v>7.6961041136128394E-2</c:v>
                </c:pt>
                <c:pt idx="473">
                  <c:v>7.5107472486805271E-2</c:v>
                </c:pt>
                <c:pt idx="474">
                  <c:v>7.3250461739592529E-2</c:v>
                </c:pt>
                <c:pt idx="475">
                  <c:v>7.1389996086672805E-2</c:v>
                </c:pt>
                <c:pt idx="476">
                  <c:v>6.9526062648610096E-2</c:v>
                </c:pt>
                <c:pt idx="477">
                  <c:v>6.7658648473814656E-2</c:v>
                </c:pt>
                <c:pt idx="478">
                  <c:v>6.5787740538003153E-2</c:v>
                </c:pt>
                <c:pt idx="479">
                  <c:v>6.3913325743652855E-2</c:v>
                </c:pt>
                <c:pt idx="480">
                  <c:v>6.2035390919452697E-2</c:v>
                </c:pt>
                <c:pt idx="481">
                  <c:v>6.0153922819747144E-2</c:v>
                </c:pt>
                <c:pt idx="482">
                  <c:v>5.8268908123975824E-2</c:v>
                </c:pt>
                <c:pt idx="483">
                  <c:v>5.6380333436107689E-2</c:v>
                </c:pt>
                <c:pt idx="484">
                  <c:v>5.4488185284069776E-2</c:v>
                </c:pt>
                <c:pt idx="485">
                  <c:v>5.2592450119170631E-2</c:v>
                </c:pt>
                <c:pt idx="486">
                  <c:v>5.0693114315518165E-2</c:v>
                </c:pt>
                <c:pt idx="487">
                  <c:v>4.8790164169432049E-2</c:v>
                </c:pt>
                <c:pt idx="488">
                  <c:v>4.6883585898850458E-2</c:v>
                </c:pt>
                <c:pt idx="489">
                  <c:v>4.4973365642731196E-2</c:v>
                </c:pt>
                <c:pt idx="490">
                  <c:v>4.3059489460447013E-2</c:v>
                </c:pt>
                <c:pt idx="491">
                  <c:v>4.1141943331175213E-2</c:v>
                </c:pt>
                <c:pt idx="492">
                  <c:v>3.9220713153281329E-2</c:v>
                </c:pt>
                <c:pt idx="493">
                  <c:v>3.7295784743696929E-2</c:v>
                </c:pt>
                <c:pt idx="494">
                  <c:v>3.5367143837291344E-2</c:v>
                </c:pt>
                <c:pt idx="495">
                  <c:v>3.3434776086237419E-2</c:v>
                </c:pt>
                <c:pt idx="496">
                  <c:v>3.1498667059371016E-2</c:v>
                </c:pt>
                <c:pt idx="497">
                  <c:v>2.9558802241544429E-2</c:v>
                </c:pt>
                <c:pt idx="498">
                  <c:v>2.7615167032973391E-2</c:v>
                </c:pt>
                <c:pt idx="499">
                  <c:v>2.5667746748577813E-2</c:v>
                </c:pt>
                <c:pt idx="500">
                  <c:v>2.3716526617316065E-2</c:v>
                </c:pt>
                <c:pt idx="501">
                  <c:v>2.176149178151271E-2</c:v>
                </c:pt>
                <c:pt idx="502">
                  <c:v>1.980262729617973E-2</c:v>
                </c:pt>
                <c:pt idx="503">
                  <c:v>1.7839918128331016E-2</c:v>
                </c:pt>
                <c:pt idx="504">
                  <c:v>1.5873349156290163E-2</c:v>
                </c:pt>
                <c:pt idx="505">
                  <c:v>1.3902905168991434E-2</c:v>
                </c:pt>
                <c:pt idx="506">
                  <c:v>1.1928570865273812E-2</c:v>
                </c:pt>
                <c:pt idx="507">
                  <c:v>9.950330853168092E-3</c:v>
                </c:pt>
                <c:pt idx="508">
                  <c:v>7.9681696491768813E-3</c:v>
                </c:pt>
                <c:pt idx="509">
                  <c:v>5.9820716775474689E-3</c:v>
                </c:pt>
                <c:pt idx="510">
                  <c:v>3.9920212695374567E-3</c:v>
                </c:pt>
                <c:pt idx="511">
                  <c:v>1.9980026626730579E-3</c:v>
                </c:pt>
                <c:pt idx="512">
                  <c:v>0</c:v>
                </c:pt>
                <c:pt idx="513">
                  <c:v>-2.0020026706730793E-3</c:v>
                </c:pt>
                <c:pt idx="514">
                  <c:v>-4.0080213975388218E-3</c:v>
                </c:pt>
                <c:pt idx="515">
                  <c:v>-6.0180723255630212E-3</c:v>
                </c:pt>
                <c:pt idx="516">
                  <c:v>-8.0321716972643776E-3</c:v>
                </c:pt>
                <c:pt idx="517">
                  <c:v>-1.0050335853501338E-2</c:v>
                </c:pt>
                <c:pt idx="518">
                  <c:v>-1.2072581234269249E-2</c:v>
                </c:pt>
                <c:pt idx="519">
                  <c:v>-1.4098924379501648E-2</c:v>
                </c:pt>
                <c:pt idx="520">
                  <c:v>-1.6129381929883644E-2</c:v>
                </c:pt>
                <c:pt idx="521">
                  <c:v>-1.816397062767118E-2</c:v>
                </c:pt>
                <c:pt idx="522">
                  <c:v>-2.0202707317519466E-2</c:v>
                </c:pt>
                <c:pt idx="523">
                  <c:v>-2.2245608947319737E-2</c:v>
                </c:pt>
                <c:pt idx="524">
                  <c:v>-2.4292692569044587E-2</c:v>
                </c:pt>
                <c:pt idx="525">
                  <c:v>-2.6343975339602088E-2</c:v>
                </c:pt>
                <c:pt idx="526">
                  <c:v>-2.8399474521697887E-2</c:v>
                </c:pt>
                <c:pt idx="527">
                  <c:v>-3.0459207484708574E-2</c:v>
                </c:pt>
                <c:pt idx="528">
                  <c:v>-3.2523191705560062E-2</c:v>
                </c:pt>
                <c:pt idx="529">
                  <c:v>-3.459144476961909E-2</c:v>
                </c:pt>
                <c:pt idx="530">
                  <c:v>-3.666398437159147E-2</c:v>
                </c:pt>
                <c:pt idx="531">
                  <c:v>-3.8740828316430595E-2</c:v>
                </c:pt>
                <c:pt idx="532">
                  <c:v>-4.0821994520255166E-2</c:v>
                </c:pt>
                <c:pt idx="533">
                  <c:v>-4.290750101127655E-2</c:v>
                </c:pt>
                <c:pt idx="534">
                  <c:v>-4.4997365930735805E-2</c:v>
                </c:pt>
                <c:pt idx="535">
                  <c:v>-4.7091607533850686E-2</c:v>
                </c:pt>
                <c:pt idx="536">
                  <c:v>-4.9190244190771663E-2</c:v>
                </c:pt>
                <c:pt idx="537">
                  <c:v>-5.1293294387550578E-2</c:v>
                </c:pt>
                <c:pt idx="538">
                  <c:v>-5.3400776727115296E-2</c:v>
                </c:pt>
                <c:pt idx="539">
                  <c:v>-5.5512709930258829E-2</c:v>
                </c:pt>
                <c:pt idx="540">
                  <c:v>-5.7629112836636416E-2</c:v>
                </c:pt>
                <c:pt idx="541">
                  <c:v>-5.9750004405774049E-2</c:v>
                </c:pt>
                <c:pt idx="542">
                  <c:v>-6.1875403718087529E-2</c:v>
                </c:pt>
                <c:pt idx="543">
                  <c:v>-6.4005329975912434E-2</c:v>
                </c:pt>
                <c:pt idx="544">
                  <c:v>-6.6139802504545181E-2</c:v>
                </c:pt>
                <c:pt idx="545">
                  <c:v>-6.8278840753294379E-2</c:v>
                </c:pt>
                <c:pt idx="546">
                  <c:v>-7.0422464296545931E-2</c:v>
                </c:pt>
                <c:pt idx="547">
                  <c:v>-7.2570692834835498E-2</c:v>
                </c:pt>
                <c:pt idx="548">
                  <c:v>-7.4723546195936547E-2</c:v>
                </c:pt>
                <c:pt idx="549">
                  <c:v>-7.6881044335957743E-2</c:v>
                </c:pt>
                <c:pt idx="550">
                  <c:v>-7.9043207340452962E-2</c:v>
                </c:pt>
                <c:pt idx="551">
                  <c:v>-8.1210055425543298E-2</c:v>
                </c:pt>
                <c:pt idx="552">
                  <c:v>-8.3381608939051138E-2</c:v>
                </c:pt>
                <c:pt idx="553">
                  <c:v>-8.5557888361646794E-2</c:v>
                </c:pt>
                <c:pt idx="554">
                  <c:v>-8.7738914308006746E-2</c:v>
                </c:pt>
                <c:pt idx="555">
                  <c:v>-8.9924707527987133E-2</c:v>
                </c:pt>
                <c:pt idx="556">
                  <c:v>-9.2115288907805751E-2</c:v>
                </c:pt>
                <c:pt idx="557">
                  <c:v>-9.4310679471241415E-2</c:v>
                </c:pt>
                <c:pt idx="558">
                  <c:v>-9.6510900380843853E-2</c:v>
                </c:pt>
                <c:pt idx="559">
                  <c:v>-9.871597293915782E-2</c:v>
                </c:pt>
                <c:pt idx="560">
                  <c:v>-0.10092591858996065</c:v>
                </c:pt>
                <c:pt idx="561">
                  <c:v>-0.10314075891951349</c:v>
                </c:pt>
                <c:pt idx="562">
                  <c:v>-0.10536051565782641</c:v>
                </c:pt>
                <c:pt idx="563">
                  <c:v>-0.10758521067993768</c:v>
                </c:pt>
                <c:pt idx="564">
                  <c:v>-0.10981486600720657</c:v>
                </c:pt>
                <c:pt idx="565">
                  <c:v>-0.11204950380862301</c:v>
                </c:pt>
                <c:pt idx="566">
                  <c:v>-0.11428914640212778</c:v>
                </c:pt>
                <c:pt idx="567">
                  <c:v>-0.11653381625595163</c:v>
                </c:pt>
                <c:pt idx="568">
                  <c:v>-0.1187835359899671</c:v>
                </c:pt>
                <c:pt idx="569">
                  <c:v>-0.12103832837705622</c:v>
                </c:pt>
                <c:pt idx="570">
                  <c:v>-0.12329821634449373</c:v>
                </c:pt>
                <c:pt idx="571">
                  <c:v>-0.12556322297534586</c:v>
                </c:pt>
                <c:pt idx="572">
                  <c:v>-0.12783337150988514</c:v>
                </c:pt>
                <c:pt idx="573">
                  <c:v>-0.13010868534702039</c:v>
                </c:pt>
                <c:pt idx="574">
                  <c:v>-0.13238918804574573</c:v>
                </c:pt>
                <c:pt idx="575">
                  <c:v>-0.13467490332660145</c:v>
                </c:pt>
                <c:pt idx="576">
                  <c:v>-0.13696585507315742</c:v>
                </c:pt>
                <c:pt idx="577">
                  <c:v>-0.13926206733350741</c:v>
                </c:pt>
                <c:pt idx="578">
                  <c:v>-0.14156356432178677</c:v>
                </c:pt>
                <c:pt idx="579">
                  <c:v>-0.14387037041970177</c:v>
                </c:pt>
                <c:pt idx="580">
                  <c:v>-0.14618251017808132</c:v>
                </c:pt>
                <c:pt idx="581">
                  <c:v>-0.14850000831844384</c:v>
                </c:pt>
                <c:pt idx="582">
                  <c:v>-0.15082288973458352</c:v>
                </c:pt>
                <c:pt idx="583">
                  <c:v>-0.15315117949417467</c:v>
                </c:pt>
                <c:pt idx="584">
                  <c:v>-0.15548490284039485</c:v>
                </c:pt>
                <c:pt idx="585">
                  <c:v>-0.15782408519356722</c:v>
                </c:pt>
                <c:pt idx="586">
                  <c:v>-0.16016875215282109</c:v>
                </c:pt>
                <c:pt idx="587">
                  <c:v>-0.1625189294977748</c:v>
                </c:pt>
                <c:pt idx="588">
                  <c:v>-0.16487464319023387</c:v>
                </c:pt>
                <c:pt idx="589">
                  <c:v>-0.16723591937591367</c:v>
                </c:pt>
                <c:pt idx="590">
                  <c:v>-0.16960278438617984</c:v>
                </c:pt>
                <c:pt idx="591">
                  <c:v>-0.17197526473981023</c:v>
                </c:pt>
                <c:pt idx="592">
                  <c:v>-0.17435338714477766</c:v>
                </c:pt>
                <c:pt idx="593">
                  <c:v>-0.17673717850005391</c:v>
                </c:pt>
                <c:pt idx="594">
                  <c:v>-0.17912666589743534</c:v>
                </c:pt>
                <c:pt idx="595">
                  <c:v>-0.18152187662339034</c:v>
                </c:pt>
                <c:pt idx="596">
                  <c:v>-0.18392283816092825</c:v>
                </c:pt>
                <c:pt idx="597">
                  <c:v>-0.18632957819149337</c:v>
                </c:pt>
                <c:pt idx="598">
                  <c:v>-0.18874212459687728</c:v>
                </c:pt>
                <c:pt idx="599">
                  <c:v>-0.1911605054611589</c:v>
                </c:pt>
                <c:pt idx="600">
                  <c:v>-0.19358474907266526</c:v>
                </c:pt>
                <c:pt idx="601">
                  <c:v>-0.19601488392595706</c:v>
                </c:pt>
                <c:pt idx="602">
                  <c:v>-0.19845093872383818</c:v>
                </c:pt>
                <c:pt idx="603">
                  <c:v>-0.20089294237938993</c:v>
                </c:pt>
                <c:pt idx="604">
                  <c:v>-0.20334092401803011</c:v>
                </c:pt>
                <c:pt idx="605">
                  <c:v>-0.20579491297959654</c:v>
                </c:pt>
                <c:pt idx="606">
                  <c:v>-0.20825493882045903</c:v>
                </c:pt>
                <c:pt idx="607">
                  <c:v>-0.21072103131565253</c:v>
                </c:pt>
                <c:pt idx="608">
                  <c:v>-0.21319322046104161</c:v>
                </c:pt>
                <c:pt idx="609">
                  <c:v>-0.21567153647550871</c:v>
                </c:pt>
                <c:pt idx="610">
                  <c:v>-0.21815600980317063</c:v>
                </c:pt>
                <c:pt idx="611">
                  <c:v>-0.2206466711156225</c:v>
                </c:pt>
                <c:pt idx="612">
                  <c:v>-0.22314355131420971</c:v>
                </c:pt>
                <c:pt idx="613">
                  <c:v>-0.22564668153232836</c:v>
                </c:pt>
                <c:pt idx="614">
                  <c:v>-0.22815609313775384</c:v>
                </c:pt>
                <c:pt idx="615">
                  <c:v>-0.23067181773500128</c:v>
                </c:pt>
                <c:pt idx="616">
                  <c:v>-0.23319388716771114</c:v>
                </c:pt>
                <c:pt idx="617">
                  <c:v>-0.23572233352106983</c:v>
                </c:pt>
                <c:pt idx="618">
                  <c:v>-0.23825718912425789</c:v>
                </c:pt>
                <c:pt idx="619">
                  <c:v>-0.24079848655293046</c:v>
                </c:pt>
                <c:pt idx="620">
                  <c:v>-0.24334625863172918</c:v>
                </c:pt>
                <c:pt idx="621">
                  <c:v>-0.24590053843682594</c:v>
                </c:pt>
                <c:pt idx="622">
                  <c:v>-0.24846135929849961</c:v>
                </c:pt>
                <c:pt idx="623">
                  <c:v>-0.25102875480374554</c:v>
                </c:pt>
                <c:pt idx="624">
                  <c:v>-0.25360275879891814</c:v>
                </c:pt>
                <c:pt idx="625">
                  <c:v>-0.25618340539240991</c:v>
                </c:pt>
                <c:pt idx="626">
                  <c:v>-0.25877072895736086</c:v>
                </c:pt>
                <c:pt idx="627">
                  <c:v>-0.26136476413440751</c:v>
                </c:pt>
                <c:pt idx="628">
                  <c:v>-0.26396554583446485</c:v>
                </c:pt>
                <c:pt idx="629">
                  <c:v>-0.26657310924154576</c:v>
                </c:pt>
                <c:pt idx="630">
                  <c:v>-0.26918748981561652</c:v>
                </c:pt>
                <c:pt idx="631">
                  <c:v>-0.27180872329549077</c:v>
                </c:pt>
                <c:pt idx="632">
                  <c:v>-0.27443684570176041</c:v>
                </c:pt>
                <c:pt idx="633">
                  <c:v>-0.27707189333976523</c:v>
                </c:pt>
                <c:pt idx="634">
                  <c:v>-0.27971390280260405</c:v>
                </c:pt>
                <c:pt idx="635">
                  <c:v>-0.28236291097418098</c:v>
                </c:pt>
                <c:pt idx="636">
                  <c:v>-0.28501895503229724</c:v>
                </c:pt>
                <c:pt idx="637">
                  <c:v>-0.2876820724517809</c:v>
                </c:pt>
                <c:pt idx="638">
                  <c:v>-0.2903523010076598</c:v>
                </c:pt>
                <c:pt idx="639">
                  <c:v>-0.29302967877837621</c:v>
                </c:pt>
                <c:pt idx="640">
                  <c:v>-0.29571424414904518</c:v>
                </c:pt>
                <c:pt idx="641">
                  <c:v>-0.29840603581475678</c:v>
                </c:pt>
                <c:pt idx="642">
                  <c:v>-0.3011050927839215</c:v>
                </c:pt>
                <c:pt idx="643">
                  <c:v>-0.30381145438166457</c:v>
                </c:pt>
                <c:pt idx="644">
                  <c:v>-0.30652516025326082</c:v>
                </c:pt>
                <c:pt idx="645">
                  <c:v>-0.30924625036762149</c:v>
                </c:pt>
                <c:pt idx="646">
                  <c:v>-0.3119747650208255</c:v>
                </c:pt>
                <c:pt idx="647">
                  <c:v>-0.31471074483970024</c:v>
                </c:pt>
                <c:pt idx="648">
                  <c:v>-0.3174542307854511</c:v>
                </c:pt>
                <c:pt idx="649">
                  <c:v>-0.32020526415734085</c:v>
                </c:pt>
                <c:pt idx="650">
                  <c:v>-0.32296388659642089</c:v>
                </c:pt>
                <c:pt idx="651">
                  <c:v>-0.32573014008931073</c:v>
                </c:pt>
                <c:pt idx="652">
                  <c:v>-0.32850406697203627</c:v>
                </c:pt>
                <c:pt idx="653">
                  <c:v>-0.33128570993391293</c:v>
                </c:pt>
                <c:pt idx="654">
                  <c:v>-0.33407511202149165</c:v>
                </c:pt>
                <c:pt idx="655">
                  <c:v>-0.33687231664255274</c:v>
                </c:pt>
                <c:pt idx="656">
                  <c:v>-0.3396773675701612</c:v>
                </c:pt>
                <c:pt idx="657">
                  <c:v>-0.34249030894677601</c:v>
                </c:pt>
                <c:pt idx="658">
                  <c:v>-0.3453111852884172</c:v>
                </c:pt>
                <c:pt idx="659">
                  <c:v>-0.34814004148889505</c:v>
                </c:pt>
                <c:pt idx="660">
                  <c:v>-0.35097692282409454</c:v>
                </c:pt>
                <c:pt idx="661">
                  <c:v>-0.35382187495632617</c:v>
                </c:pt>
                <c:pt idx="662">
                  <c:v>-0.35667494393873245</c:v>
                </c:pt>
                <c:pt idx="663">
                  <c:v>-0.3595361762197648</c:v>
                </c:pt>
                <c:pt idx="664">
                  <c:v>-0.36240561864771748</c:v>
                </c:pt>
                <c:pt idx="665">
                  <c:v>-0.36528331847533246</c:v>
                </c:pt>
                <c:pt idx="666">
                  <c:v>-0.36816932336446756</c:v>
                </c:pt>
                <c:pt idx="667">
                  <c:v>-0.3710636813908319</c:v>
                </c:pt>
                <c:pt idx="668">
                  <c:v>-0.37396644104879345</c:v>
                </c:pt>
                <c:pt idx="669">
                  <c:v>-0.37687765125625172</c:v>
                </c:pt>
                <c:pt idx="670">
                  <c:v>-0.37979736135958686</c:v>
                </c:pt>
                <c:pt idx="671">
                  <c:v>-0.38272562113867503</c:v>
                </c:pt>
                <c:pt idx="672">
                  <c:v>-0.3856624808119849</c:v>
                </c:pt>
                <c:pt idx="673">
                  <c:v>-0.3886079910417416</c:v>
                </c:pt>
                <c:pt idx="674">
                  <c:v>-0.39156220293917321</c:v>
                </c:pt>
                <c:pt idx="675">
                  <c:v>-0.39452516806983012</c:v>
                </c:pt>
                <c:pt idx="676">
                  <c:v>-0.39749693845898743</c:v>
                </c:pt>
                <c:pt idx="677">
                  <c:v>-0.40047756659712541</c:v>
                </c:pt>
                <c:pt idx="678">
                  <c:v>-0.40346710544549125</c:v>
                </c:pt>
                <c:pt idx="679">
                  <c:v>-0.40646560844174817</c:v>
                </c:pt>
                <c:pt idx="680">
                  <c:v>-0.4094731295057033</c:v>
                </c:pt>
                <c:pt idx="681">
                  <c:v>-0.41248972304512915</c:v>
                </c:pt>
                <c:pt idx="682">
                  <c:v>-0.41551544396166595</c:v>
                </c:pt>
                <c:pt idx="683">
                  <c:v>-0.41855034765682014</c:v>
                </c:pt>
                <c:pt idx="684">
                  <c:v>-0.42159449003804816</c:v>
                </c:pt>
                <c:pt idx="685">
                  <c:v>-0.4246479275249383</c:v>
                </c:pt>
                <c:pt idx="686">
                  <c:v>-0.42771071705548425</c:v>
                </c:pt>
                <c:pt idx="687">
                  <c:v>-0.43078291609245423</c:v>
                </c:pt>
                <c:pt idx="688">
                  <c:v>-0.43386458262986266</c:v>
                </c:pt>
                <c:pt idx="689">
                  <c:v>-0.43695577519953516</c:v>
                </c:pt>
                <c:pt idx="690">
                  <c:v>-0.44005655287778378</c:v>
                </c:pt>
                <c:pt idx="691">
                  <c:v>-0.44316697529217602</c:v>
                </c:pt>
                <c:pt idx="692">
                  <c:v>-0.44628710262841986</c:v>
                </c:pt>
                <c:pt idx="693">
                  <c:v>-0.44941699563734733</c:v>
                </c:pt>
                <c:pt idx="694">
                  <c:v>-0.45255671564201488</c:v>
                </c:pt>
                <c:pt idx="695">
                  <c:v>-0.45570632454491128</c:v>
                </c:pt>
                <c:pt idx="696">
                  <c:v>-0.45886588483527962</c:v>
                </c:pt>
                <c:pt idx="697">
                  <c:v>-0.46203545959655901</c:v>
                </c:pt>
                <c:pt idx="698">
                  <c:v>-0.46521511251393838</c:v>
                </c:pt>
                <c:pt idx="699">
                  <c:v>-0.46840490788203887</c:v>
                </c:pt>
                <c:pt idx="700">
                  <c:v>-0.47160491061270904</c:v>
                </c:pt>
                <c:pt idx="701">
                  <c:v>-0.4748151862429576</c:v>
                </c:pt>
                <c:pt idx="702">
                  <c:v>-0.47803580094299947</c:v>
                </c:pt>
                <c:pt idx="703">
                  <c:v>-0.48126682152444628</c:v>
                </c:pt>
                <c:pt idx="704">
                  <c:v>-0.48450831544861711</c:v>
                </c:pt>
                <c:pt idx="705">
                  <c:v>-0.48776035083499458</c:v>
                </c:pt>
                <c:pt idx="706">
                  <c:v>-0.49102299646981079</c:v>
                </c:pt>
                <c:pt idx="707">
                  <c:v>-0.49429632181477978</c:v>
                </c:pt>
                <c:pt idx="708">
                  <c:v>-0.4975803970159699</c:v>
                </c:pt>
                <c:pt idx="709">
                  <c:v>-0.50087529291282229</c:v>
                </c:pt>
                <c:pt idx="710">
                  <c:v>-0.50418108104732218</c:v>
                </c:pt>
                <c:pt idx="711">
                  <c:v>-0.50749783367331569</c:v>
                </c:pt>
                <c:pt idx="712">
                  <c:v>-0.51082562376599072</c:v>
                </c:pt>
                <c:pt idx="713">
                  <c:v>-0.51416452503150512</c:v>
                </c:pt>
                <c:pt idx="714">
                  <c:v>-0.51751461191678738</c:v>
                </c:pt>
                <c:pt idx="715">
                  <c:v>-0.52087595961949196</c:v>
                </c:pt>
                <c:pt idx="716">
                  <c:v>-0.52424864409813099</c:v>
                </c:pt>
                <c:pt idx="717">
                  <c:v>-0.52763274208237176</c:v>
                </c:pt>
                <c:pt idx="718">
                  <c:v>-0.53102833108350977</c:v>
                </c:pt>
                <c:pt idx="719">
                  <c:v>-0.53443548940512431</c:v>
                </c:pt>
                <c:pt idx="720">
                  <c:v>-0.53785429615390967</c:v>
                </c:pt>
                <c:pt idx="721">
                  <c:v>-0.54128483125069926</c:v>
                </c:pt>
                <c:pt idx="722">
                  <c:v>-0.54472717544167193</c:v>
                </c:pt>
                <c:pt idx="723">
                  <c:v>-0.54818141030975964</c:v>
                </c:pt>
                <c:pt idx="724">
                  <c:v>-0.55164761828624564</c:v>
                </c:pt>
                <c:pt idx="725">
                  <c:v>-0.55512588266257035</c:v>
                </c:pt>
                <c:pt idx="726">
                  <c:v>-0.55861628760233906</c:v>
                </c:pt>
                <c:pt idx="727">
                  <c:v>-0.56211891815354087</c:v>
                </c:pt>
                <c:pt idx="728">
                  <c:v>-0.56563386026098561</c:v>
                </c:pt>
                <c:pt idx="729">
                  <c:v>-0.56916120077895382</c:v>
                </c:pt>
                <c:pt idx="730">
                  <c:v>-0.57270102748407825</c:v>
                </c:pt>
                <c:pt idx="731">
                  <c:v>-0.5762534290884459</c:v>
                </c:pt>
                <c:pt idx="732">
                  <c:v>-0.57981849525294227</c:v>
                </c:pt>
                <c:pt idx="733">
                  <c:v>-0.58339631660082603</c:v>
                </c:pt>
                <c:pt idx="734">
                  <c:v>-0.58698698473155475</c:v>
                </c:pt>
                <c:pt idx="735">
                  <c:v>-0.59059059223485311</c:v>
                </c:pt>
                <c:pt idx="736">
                  <c:v>-0.5942072327050415</c:v>
                </c:pt>
                <c:pt idx="737">
                  <c:v>-0.59783700075562041</c:v>
                </c:pt>
                <c:pt idx="738">
                  <c:v>-0.60147999203412128</c:v>
                </c:pt>
                <c:pt idx="739">
                  <c:v>-0.60513630323723211</c:v>
                </c:pt>
                <c:pt idx="740">
                  <c:v>-0.60880603212619433</c:v>
                </c:pt>
                <c:pt idx="741">
                  <c:v>-0.61248927754249094</c:v>
                </c:pt>
                <c:pt idx="742">
                  <c:v>-0.61618613942381695</c:v>
                </c:pt>
                <c:pt idx="743">
                  <c:v>-0.6198967188203528</c:v>
                </c:pt>
                <c:pt idx="744">
                  <c:v>-0.62362111791133501</c:v>
                </c:pt>
                <c:pt idx="745">
                  <c:v>-0.62735944002194199</c:v>
                </c:pt>
                <c:pt idx="746">
                  <c:v>-0.63111178964049264</c:v>
                </c:pt>
                <c:pt idx="747">
                  <c:v>-0.63487827243596928</c:v>
                </c:pt>
                <c:pt idx="748">
                  <c:v>-0.63865899527587577</c:v>
                </c:pt>
                <c:pt idx="749">
                  <c:v>-0.64245406624442691</c:v>
                </c:pt>
                <c:pt idx="750">
                  <c:v>-0.64626359466109506</c:v>
                </c:pt>
                <c:pt idx="751">
                  <c:v>-0.65008769109949827</c:v>
                </c:pt>
                <c:pt idx="752">
                  <c:v>-0.65392646740666416</c:v>
                </c:pt>
                <c:pt idx="753">
                  <c:v>-0.65778003672265395</c:v>
                </c:pt>
                <c:pt idx="754">
                  <c:v>-0.66164851350057408</c:v>
                </c:pt>
                <c:pt idx="755">
                  <c:v>-0.66553201352697189</c:v>
                </c:pt>
                <c:pt idx="756">
                  <c:v>-0.66943065394262902</c:v>
                </c:pt>
                <c:pt idx="757">
                  <c:v>-0.67334455326376574</c:v>
                </c:pt>
                <c:pt idx="758">
                  <c:v>-0.67727383140365494</c:v>
                </c:pt>
                <c:pt idx="759">
                  <c:v>-0.68121860969467174</c:v>
                </c:pt>
                <c:pt idx="760">
                  <c:v>-0.68517901091076838</c:v>
                </c:pt>
                <c:pt idx="761">
                  <c:v>-0.68915515929040805</c:v>
                </c:pt>
                <c:pt idx="762">
                  <c:v>-0.69314718055994529</c:v>
                </c:pt>
                <c:pt idx="763">
                  <c:v>-0.69715520195748393</c:v>
                </c:pt>
                <c:pt idx="764">
                  <c:v>-0.70117935225720973</c:v>
                </c:pt>
                <c:pt idx="765">
                  <c:v>-0.70521976179421431</c:v>
                </c:pt>
                <c:pt idx="766">
                  <c:v>-0.70927656248982907</c:v>
                </c:pt>
                <c:pt idx="767">
                  <c:v>-0.71334988787746467</c:v>
                </c:pt>
                <c:pt idx="768">
                  <c:v>-0.71743987312899016</c:v>
                </c:pt>
                <c:pt idx="769">
                  <c:v>-0.72154665508164317</c:v>
                </c:pt>
                <c:pt idx="770">
                  <c:v>-0.72567037226550557</c:v>
                </c:pt>
                <c:pt idx="771">
                  <c:v>-0.72981116493153675</c:v>
                </c:pt>
                <c:pt idx="772">
                  <c:v>-0.73396917508020021</c:v>
                </c:pt>
                <c:pt idx="773">
                  <c:v>-0.73814454649068106</c:v>
                </c:pt>
                <c:pt idx="774">
                  <c:v>-0.74233742475071685</c:v>
                </c:pt>
                <c:pt idx="775">
                  <c:v>-0.74654795728706069</c:v>
                </c:pt>
                <c:pt idx="776">
                  <c:v>-0.75077629339658158</c:v>
                </c:pt>
                <c:pt idx="777">
                  <c:v>-0.75502258427803304</c:v>
                </c:pt>
                <c:pt idx="778">
                  <c:v>-0.75928698306449027</c:v>
                </c:pt>
                <c:pt idx="779">
                  <c:v>-0.76356964485649148</c:v>
                </c:pt>
                <c:pt idx="780">
                  <c:v>-0.76787072675588186</c:v>
                </c:pt>
                <c:pt idx="781">
                  <c:v>-0.77219038790039807</c:v>
                </c:pt>
                <c:pt idx="782">
                  <c:v>-0.7765287894989964</c:v>
                </c:pt>
                <c:pt idx="783">
                  <c:v>-0.78088609486795191</c:v>
                </c:pt>
                <c:pt idx="784">
                  <c:v>-0.78526246946775113</c:v>
                </c:pt>
                <c:pt idx="785">
                  <c:v>-0.78965808094078904</c:v>
                </c:pt>
                <c:pt idx="786">
                  <c:v>-0.79407309914990609</c:v>
                </c:pt>
                <c:pt idx="787">
                  <c:v>-0.79850769621777162</c:v>
                </c:pt>
                <c:pt idx="788">
                  <c:v>-0.8029620465671522</c:v>
                </c:pt>
                <c:pt idx="789">
                  <c:v>-0.80743632696207313</c:v>
                </c:pt>
                <c:pt idx="790">
                  <c:v>-0.811930716549912</c:v>
                </c:pt>
                <c:pt idx="791">
                  <c:v>-0.81644539690443907</c:v>
                </c:pt>
                <c:pt idx="792">
                  <c:v>-0.82098055206983012</c:v>
                </c:pt>
                <c:pt idx="793">
                  <c:v>-0.82553636860569113</c:v>
                </c:pt>
                <c:pt idx="794">
                  <c:v>-0.83011303563310268</c:v>
                </c:pt>
                <c:pt idx="795">
                  <c:v>-0.83471074488173247</c:v>
                </c:pt>
                <c:pt idx="796">
                  <c:v>-0.83932969073802677</c:v>
                </c:pt>
                <c:pt idx="797">
                  <c:v>-0.84397007029452931</c:v>
                </c:pt>
                <c:pt idx="798">
                  <c:v>-0.84863208340034046</c:v>
                </c:pt>
                <c:pt idx="799">
                  <c:v>-0.85331593271276707</c:v>
                </c:pt>
                <c:pt idx="800">
                  <c:v>-0.85802182375017944</c:v>
                </c:pt>
                <c:pt idx="801">
                  <c:v>-0.8627499649461251</c:v>
                </c:pt>
                <c:pt idx="802">
                  <c:v>-0.86750056770472339</c:v>
                </c:pt>
                <c:pt idx="803">
                  <c:v>-0.8722738464573806</c:v>
                </c:pt>
                <c:pt idx="804">
                  <c:v>-0.87707001872087409</c:v>
                </c:pt>
                <c:pt idx="805">
                  <c:v>-0.88188930515682273</c:v>
                </c:pt>
                <c:pt idx="806">
                  <c:v>-0.88673192963261116</c:v>
                </c:pt>
                <c:pt idx="807">
                  <c:v>-0.89159811928378374</c:v>
                </c:pt>
                <c:pt idx="808">
                  <c:v>-0.89648810457797579</c:v>
                </c:pt>
                <c:pt idx="809">
                  <c:v>-0.9014021193804046</c:v>
                </c:pt>
                <c:pt idx="810">
                  <c:v>-0.9063404010209869</c:v>
                </c:pt>
                <c:pt idx="811">
                  <c:v>-0.91130319036311636</c:v>
                </c:pt>
                <c:pt idx="812">
                  <c:v>-0.916290731874155</c:v>
                </c:pt>
                <c:pt idx="813">
                  <c:v>-0.92130327369769971</c:v>
                </c:pt>
                <c:pt idx="814">
                  <c:v>-0.92634106772765656</c:v>
                </c:pt>
                <c:pt idx="815">
                  <c:v>-0.9314043696842037</c:v>
                </c:pt>
                <c:pt idx="816">
                  <c:v>-0.9364934391916746</c:v>
                </c:pt>
                <c:pt idx="817">
                  <c:v>-0.9416085398584455</c:v>
                </c:pt>
                <c:pt idx="818">
                  <c:v>-0.94674993935886387</c:v>
                </c:pt>
                <c:pt idx="819">
                  <c:v>-0.95191790951730615</c:v>
                </c:pt>
                <c:pt idx="820">
                  <c:v>-0.95711272639441058</c:v>
                </c:pt>
                <c:pt idx="821">
                  <c:v>-0.96233467037556186</c:v>
                </c:pt>
                <c:pt idx="822">
                  <c:v>-0.96758402626170603</c:v>
                </c:pt>
                <c:pt idx="823">
                  <c:v>-0.97286108336254951</c:v>
                </c:pt>
                <c:pt idx="824">
                  <c:v>-0.97816613559224308</c:v>
                </c:pt>
                <c:pt idx="825">
                  <c:v>-0.98349948156760447</c:v>
                </c:pt>
                <c:pt idx="826">
                  <c:v>-0.9888614247089903</c:v>
                </c:pt>
                <c:pt idx="827">
                  <c:v>-0.99425227334386646</c:v>
                </c:pt>
                <c:pt idx="828">
                  <c:v>-0.99967234081320611</c:v>
                </c:pt>
                <c:pt idx="829">
                  <c:v>-1.0051219455807703</c:v>
                </c:pt>
                <c:pt idx="830">
                  <c:v>-1.0106014113453965</c:v>
                </c:pt>
                <c:pt idx="831">
                  <c:v>-1.0161110671563658</c:v>
                </c:pt>
                <c:pt idx="832">
                  <c:v>-1.0216512475319808</c:v>
                </c:pt>
                <c:pt idx="833">
                  <c:v>-1.0272222925814367</c:v>
                </c:pt>
                <c:pt idx="834">
                  <c:v>-1.0328245481301059</c:v>
                </c:pt>
                <c:pt idx="835">
                  <c:v>-1.0384583658483626</c:v>
                </c:pt>
                <c:pt idx="836">
                  <c:v>-1.0441241033840396</c:v>
                </c:pt>
                <c:pt idx="837">
                  <c:v>-1.0498221244986778</c:v>
                </c:pt>
                <c:pt idx="838">
                  <c:v>-1.0555527992076623</c:v>
                </c:pt>
                <c:pt idx="839">
                  <c:v>-1.0613165039244128</c:v>
                </c:pt>
                <c:pt idx="840">
                  <c:v>-1.0671136216087385</c:v>
                </c:pt>
                <c:pt idx="841">
                  <c:v>-1.0729445419195314</c:v>
                </c:pt>
                <c:pt idx="842">
                  <c:v>-1.0788096613719298</c:v>
                </c:pt>
                <c:pt idx="843">
                  <c:v>-1.0847093834991177</c:v>
                </c:pt>
                <c:pt idx="844">
                  <c:v>-1.0906441190189327</c:v>
                </c:pt>
                <c:pt idx="845">
                  <c:v>-1.0966142860054362</c:v>
                </c:pt>
                <c:pt idx="846">
                  <c:v>-1.1026203100656486</c:v>
                </c:pt>
                <c:pt idx="847">
                  <c:v>-1.1086626245216107</c:v>
                </c:pt>
                <c:pt idx="848">
                  <c:v>-1.1147416705979933</c:v>
                </c:pt>
                <c:pt idx="849">
                  <c:v>-1.1208578976154293</c:v>
                </c:pt>
                <c:pt idx="850">
                  <c:v>-1.1270117631898071</c:v>
                </c:pt>
                <c:pt idx="851">
                  <c:v>-1.1332037334377285</c:v>
                </c:pt>
                <c:pt idx="852">
                  <c:v>-1.1394342831883644</c:v>
                </c:pt>
                <c:pt idx="853">
                  <c:v>-1.1457038962019601</c:v>
                </c:pt>
                <c:pt idx="854">
                  <c:v>-1.1520130653952245</c:v>
                </c:pt>
                <c:pt idx="855">
                  <c:v>-1.1583622930738837</c:v>
                </c:pt>
                <c:pt idx="856">
                  <c:v>-1.1647520911726543</c:v>
                </c:pt>
                <c:pt idx="857">
                  <c:v>-1.1711829815029453</c:v>
                </c:pt>
                <c:pt idx="858">
                  <c:v>-1.1776554960085623</c:v>
                </c:pt>
                <c:pt idx="859">
                  <c:v>-1.1841701770297566</c:v>
                </c:pt>
                <c:pt idx="860">
                  <c:v>-1.1907275775759152</c:v>
                </c:pt>
                <c:pt idx="861">
                  <c:v>-1.1973282616072669</c:v>
                </c:pt>
                <c:pt idx="862">
                  <c:v>-1.2039728043259361</c:v>
                </c:pt>
                <c:pt idx="863">
                  <c:v>-1.2106617924767322</c:v>
                </c:pt>
                <c:pt idx="864">
                  <c:v>-1.2173958246580767</c:v>
                </c:pt>
                <c:pt idx="865">
                  <c:v>-1.2241755116434552</c:v>
                </c:pt>
                <c:pt idx="866">
                  <c:v>-1.2310014767138555</c:v>
                </c:pt>
                <c:pt idx="867">
                  <c:v>-1.2378743560016172</c:v>
                </c:pt>
                <c:pt idx="868">
                  <c:v>-1.2447947988461914</c:v>
                </c:pt>
                <c:pt idx="869">
                  <c:v>-1.2517634681622845</c:v>
                </c:pt>
                <c:pt idx="870">
                  <c:v>-1.2587810408209306</c:v>
                </c:pt>
                <c:pt idx="871">
                  <c:v>-1.2658482080440236</c:v>
                </c:pt>
                <c:pt idx="872">
                  <c:v>-1.2729656758128869</c:v>
                </c:pt>
                <c:pt idx="873">
                  <c:v>-1.2801341652915001</c:v>
                </c:pt>
                <c:pt idx="874">
                  <c:v>-1.2873544132649868</c:v>
                </c:pt>
                <c:pt idx="875">
                  <c:v>-1.2946271725940672</c:v>
                </c:pt>
                <c:pt idx="876">
                  <c:v>-1.3019532126861397</c:v>
                </c:pt>
                <c:pt idx="877">
                  <c:v>-1.3093333199837627</c:v>
                </c:pt>
                <c:pt idx="878">
                  <c:v>-1.3167682984712803</c:v>
                </c:pt>
                <c:pt idx="879">
                  <c:v>-1.3242589702004375</c:v>
                </c:pt>
                <c:pt idx="880">
                  <c:v>-1.3318061758358211</c:v>
                </c:pt>
                <c:pt idx="881">
                  <c:v>-1.3394107752210398</c:v>
                </c:pt>
                <c:pt idx="882">
                  <c:v>-1.3470736479666094</c:v>
                </c:pt>
                <c:pt idx="883">
                  <c:v>-1.3547956940605195</c:v>
                </c:pt>
                <c:pt idx="884">
                  <c:v>-1.362577834502575</c:v>
                </c:pt>
                <c:pt idx="885">
                  <c:v>-1.3704210119636002</c:v>
                </c:pt>
                <c:pt idx="886">
                  <c:v>-1.3783261914707141</c:v>
                </c:pt>
                <c:pt idx="887">
                  <c:v>-1.3862943611198906</c:v>
                </c:pt>
                <c:pt idx="888">
                  <c:v>-1.3943265328171544</c:v>
                </c:pt>
                <c:pt idx="889">
                  <c:v>-1.4024237430497744</c:v>
                </c:pt>
                <c:pt idx="890">
                  <c:v>-1.4105870536889349</c:v>
                </c:pt>
                <c:pt idx="891">
                  <c:v>-1.418817552825451</c:v>
                </c:pt>
                <c:pt idx="892">
                  <c:v>-1.4271163556401456</c:v>
                </c:pt>
                <c:pt idx="893">
                  <c:v>-1.4354846053106627</c:v>
                </c:pt>
                <c:pt idx="894">
                  <c:v>-1.443923473956527</c:v>
                </c:pt>
                <c:pt idx="895">
                  <c:v>-1.4524341636244362</c:v>
                </c:pt>
                <c:pt idx="896">
                  <c:v>-1.4610179073158271</c:v>
                </c:pt>
                <c:pt idx="897">
                  <c:v>-1.4696759700589412</c:v>
                </c:pt>
                <c:pt idx="898">
                  <c:v>-1.4784096500276964</c:v>
                </c:pt>
                <c:pt idx="899">
                  <c:v>-1.4872202797098508</c:v>
                </c:pt>
                <c:pt idx="900">
                  <c:v>-1.4961092271270975</c:v>
                </c:pt>
                <c:pt idx="901">
                  <c:v>-1.5050778971098573</c:v>
                </c:pt>
                <c:pt idx="902">
                  <c:v>-1.514127732629776</c:v>
                </c:pt>
                <c:pt idx="903">
                  <c:v>-1.523260216193048</c:v>
                </c:pt>
                <c:pt idx="904">
                  <c:v>-1.5324768712979726</c:v>
                </c:pt>
                <c:pt idx="905">
                  <c:v>-1.5417792639602856</c:v>
                </c:pt>
                <c:pt idx="906">
                  <c:v>-1.5511690043101241</c:v>
                </c:pt>
                <c:pt idx="907">
                  <c:v>-1.5606477482646686</c:v>
                </c:pt>
                <c:pt idx="908">
                  <c:v>-1.5702171992808187</c:v>
                </c:pt>
                <c:pt idx="909">
                  <c:v>-1.5798791101925564</c:v>
                </c:pt>
                <c:pt idx="910">
                  <c:v>-1.5896352851379205</c:v>
                </c:pt>
                <c:pt idx="911">
                  <c:v>-1.5994875815809328</c:v>
                </c:pt>
                <c:pt idx="912">
                  <c:v>-1.6094379124341003</c:v>
                </c:pt>
                <c:pt idx="913">
                  <c:v>-1.6194882482876025</c:v>
                </c:pt>
                <c:pt idx="914">
                  <c:v>-1.62964061975162</c:v>
                </c:pt>
                <c:pt idx="915">
                  <c:v>-1.6398971199188084</c:v>
                </c:pt>
                <c:pt idx="916">
                  <c:v>-1.650259906954356</c:v>
                </c:pt>
                <c:pt idx="917">
                  <c:v>-1.6607312068216507</c:v>
                </c:pt>
                <c:pt idx="918">
                  <c:v>-1.6713133161521885</c:v>
                </c:pt>
                <c:pt idx="919">
                  <c:v>-1.6820086052689356</c:v>
                </c:pt>
                <c:pt idx="920">
                  <c:v>-1.6928195213731523</c:v>
                </c:pt>
                <c:pt idx="921">
                  <c:v>-1.7037485919053417</c:v>
                </c:pt>
                <c:pt idx="922">
                  <c:v>-1.7147984280919277</c:v>
                </c:pt>
                <c:pt idx="923">
                  <c:v>-1.725971728690052</c:v>
                </c:pt>
                <c:pt idx="924">
                  <c:v>-1.7372712839439863</c:v>
                </c:pt>
                <c:pt idx="925">
                  <c:v>-1.7486999797676084</c:v>
                </c:pt>
                <c:pt idx="926">
                  <c:v>-1.7602608021686839</c:v>
                </c:pt>
                <c:pt idx="927">
                  <c:v>-1.7719568419318761</c:v>
                </c:pt>
                <c:pt idx="928">
                  <c:v>-1.7837912995788781</c:v>
                </c:pt>
                <c:pt idx="929">
                  <c:v>-1.7957674906255947</c:v>
                </c:pt>
                <c:pt idx="930">
                  <c:v>-1.8078888511579387</c:v>
                </c:pt>
                <c:pt idx="931">
                  <c:v>-1.8201589437497541</c:v>
                </c:pt>
                <c:pt idx="932">
                  <c:v>-1.8325814637483104</c:v>
                </c:pt>
                <c:pt idx="933">
                  <c:v>-1.8451602459551717</c:v>
                </c:pt>
                <c:pt idx="934">
                  <c:v>-1.8578992717326006</c:v>
                </c:pt>
                <c:pt idx="935">
                  <c:v>-1.8708026765685077</c:v>
                </c:pt>
                <c:pt idx="936">
                  <c:v>-1.8838747581358615</c:v>
                </c:pt>
                <c:pt idx="937">
                  <c:v>-1.8971199848858813</c:v>
                </c:pt>
                <c:pt idx="938">
                  <c:v>-1.910543005218023</c:v>
                </c:pt>
                <c:pt idx="939">
                  <c:v>-1.9241486572738009</c:v>
                </c:pt>
                <c:pt idx="940">
                  <c:v>-1.9379419794061379</c:v>
                </c:pt>
                <c:pt idx="941">
                  <c:v>-1.9519282213808768</c:v>
                </c:pt>
                <c:pt idx="942">
                  <c:v>-1.9661128563728345</c:v>
                </c:pt>
                <c:pt idx="943">
                  <c:v>-1.9805015938249331</c:v>
                </c:pt>
                <c:pt idx="944">
                  <c:v>-1.9951003932460849</c:v>
                </c:pt>
                <c:pt idx="945">
                  <c:v>-2.0099154790312266</c:v>
                </c:pt>
                <c:pt idx="946">
                  <c:v>-2.0249533563957662</c:v>
                </c:pt>
                <c:pt idx="947">
                  <c:v>-2.040220828526556</c:v>
                </c:pt>
                <c:pt idx="948">
                  <c:v>-2.0557250150625204</c:v>
                </c:pt>
                <c:pt idx="949">
                  <c:v>-2.0714733720306606</c:v>
                </c:pt>
                <c:pt idx="950">
                  <c:v>-2.0874737133770984</c:v>
                </c:pt>
                <c:pt idx="951">
                  <c:v>-2.1037342342488801</c:v>
                </c:pt>
                <c:pt idx="952">
                  <c:v>-2.1202635362000897</c:v>
                </c:pt>
                <c:pt idx="953">
                  <c:v>-2.1370706545164722</c:v>
                </c:pt>
                <c:pt idx="954">
                  <c:v>-2.1541650878757714</c:v>
                </c:pt>
                <c:pt idx="955">
                  <c:v>-2.1715568305876416</c:v>
                </c:pt>
                <c:pt idx="956">
                  <c:v>-2.1892564076870418</c:v>
                </c:pt>
                <c:pt idx="957">
                  <c:v>-2.2072749131897189</c:v>
                </c:pt>
                <c:pt idx="958">
                  <c:v>-2.2256240518579169</c:v>
                </c:pt>
                <c:pt idx="959">
                  <c:v>-2.2443161848700681</c:v>
                </c:pt>
                <c:pt idx="960">
                  <c:v>-2.2633643798407639</c:v>
                </c:pt>
                <c:pt idx="961">
                  <c:v>-2.2827824656978644</c:v>
                </c:pt>
                <c:pt idx="962">
                  <c:v>-2.3025850929940455</c:v>
                </c:pt>
                <c:pt idx="963">
                  <c:v>-2.3227878003115636</c:v>
                </c:pt>
                <c:pt idx="964">
                  <c:v>-2.3434070875143012</c:v>
                </c:pt>
                <c:pt idx="965">
                  <c:v>-2.3644604967121321</c:v>
                </c:pt>
                <c:pt idx="966">
                  <c:v>-2.3859667019330941</c:v>
                </c:pt>
                <c:pt idx="967">
                  <c:v>-2.4079456086518713</c:v>
                </c:pt>
                <c:pt idx="968">
                  <c:v>-2.4304184645039286</c:v>
                </c:pt>
                <c:pt idx="969">
                  <c:v>-2.453407982728629</c:v>
                </c:pt>
                <c:pt idx="970">
                  <c:v>-2.4769384801388217</c:v>
                </c:pt>
                <c:pt idx="971">
                  <c:v>-2.5010360317178839</c:v>
                </c:pt>
                <c:pt idx="972">
                  <c:v>-2.5257286443082538</c:v>
                </c:pt>
                <c:pt idx="973">
                  <c:v>-2.551046452292546</c:v>
                </c:pt>
                <c:pt idx="974">
                  <c:v>-2.5770219386958049</c:v>
                </c:pt>
                <c:pt idx="975">
                  <c:v>-2.6036901857779644</c:v>
                </c:pt>
                <c:pt idx="976">
                  <c:v>-2.6310891599660811</c:v>
                </c:pt>
                <c:pt idx="977">
                  <c:v>-2.6592600369327757</c:v>
                </c:pt>
                <c:pt idx="978">
                  <c:v>-2.6882475738060303</c:v>
                </c:pt>
                <c:pt idx="979">
                  <c:v>-2.7181005369557094</c:v>
                </c:pt>
                <c:pt idx="980">
                  <c:v>-2.7488721956224658</c:v>
                </c:pt>
                <c:pt idx="981">
                  <c:v>-2.7806208939370438</c:v>
                </c:pt>
                <c:pt idx="982">
                  <c:v>-2.8134107167600373</c:v>
                </c:pt>
                <c:pt idx="983">
                  <c:v>-2.8473122684357164</c:v>
                </c:pt>
                <c:pt idx="984">
                  <c:v>-2.8824035882469894</c:v>
                </c:pt>
                <c:pt idx="985">
                  <c:v>-2.9187712324178618</c:v>
                </c:pt>
                <c:pt idx="986">
                  <c:v>-2.9565115604007066</c:v>
                </c:pt>
                <c:pt idx="987">
                  <c:v>-2.9957322735539909</c:v>
                </c:pt>
                <c:pt idx="988">
                  <c:v>-3.0365542680742434</c:v>
                </c:pt>
                <c:pt idx="989">
                  <c:v>-3.0791138824930426</c:v>
                </c:pt>
                <c:pt idx="990">
                  <c:v>-3.123565645063874</c:v>
                </c:pt>
                <c:pt idx="991">
                  <c:v>-3.1700856606987702</c:v>
                </c:pt>
                <c:pt idx="992">
                  <c:v>-3.2188758248681992</c:v>
                </c:pt>
                <c:pt idx="993">
                  <c:v>-3.2701691192557543</c:v>
                </c:pt>
                <c:pt idx="994">
                  <c:v>-3.3242363405260265</c:v>
                </c:pt>
                <c:pt idx="995">
                  <c:v>-3.3813947543659713</c:v>
                </c:pt>
                <c:pt idx="996">
                  <c:v>-3.4420193761824107</c:v>
                </c:pt>
                <c:pt idx="997">
                  <c:v>-3.5065578973199778</c:v>
                </c:pt>
                <c:pt idx="998">
                  <c:v>-3.5755507688069348</c:v>
                </c:pt>
                <c:pt idx="999">
                  <c:v>-3.649658740960652</c:v>
                </c:pt>
                <c:pt idx="1000">
                  <c:v>-3.7297014486341946</c:v>
                </c:pt>
                <c:pt idx="1001">
                  <c:v>-3.8167128256238194</c:v>
                </c:pt>
                <c:pt idx="1002">
                  <c:v>-3.9120230054281517</c:v>
                </c:pt>
                <c:pt idx="1003">
                  <c:v>-4.0173835210859714</c:v>
                </c:pt>
                <c:pt idx="1004">
                  <c:v>-4.1351665567423472</c:v>
                </c:pt>
                <c:pt idx="1005">
                  <c:v>-4.2686979493668797</c:v>
                </c:pt>
                <c:pt idx="1006">
                  <c:v>-4.422848629194128</c:v>
                </c:pt>
                <c:pt idx="1007">
                  <c:v>-4.6051701859880971</c:v>
                </c:pt>
                <c:pt idx="1008">
                  <c:v>-4.8283137373022926</c:v>
                </c:pt>
                <c:pt idx="1009">
                  <c:v>-5.1159958097540974</c:v>
                </c:pt>
                <c:pt idx="1010">
                  <c:v>-5.521460917862238</c:v>
                </c:pt>
                <c:pt idx="1011">
                  <c:v>-6.2146080984222536</c:v>
                </c:pt>
                <c:pt idx="1012">
                  <c:v>-8.5171931914160162</c:v>
                </c:pt>
                <c:pt idx="1013">
                  <c:v>-10.819778284414303</c:v>
                </c:pt>
                <c:pt idx="1014">
                  <c:v>-13.12236337740835</c:v>
                </c:pt>
                <c:pt idx="1015">
                  <c:v>-15.424948470685111</c:v>
                </c:pt>
                <c:pt idx="1016">
                  <c:v>-17.727533556611256</c:v>
                </c:pt>
                <c:pt idx="1017">
                  <c:v>-20.030118621333706</c:v>
                </c:pt>
                <c:pt idx="1018">
                  <c:v>-22.332703431611829</c:v>
                </c:pt>
                <c:pt idx="1019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Sheet1!$AJ$21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Sheet1!$B$25:$B$1044</c:f>
              <c:numCache>
                <c:formatCode>General</c:formatCode>
                <c:ptCount val="1020"/>
                <c:pt idx="0">
                  <c:v>3.1415926535897933E-16</c:v>
                </c:pt>
                <c:pt idx="1">
                  <c:v>3.1415926535897933E-15</c:v>
                </c:pt>
                <c:pt idx="2">
                  <c:v>3.1415926535897934E-14</c:v>
                </c:pt>
                <c:pt idx="3">
                  <c:v>3.1415926535897937E-13</c:v>
                </c:pt>
                <c:pt idx="4">
                  <c:v>3.1415926535897939E-12</c:v>
                </c:pt>
                <c:pt idx="5">
                  <c:v>3.1415926535897936E-11</c:v>
                </c:pt>
                <c:pt idx="6">
                  <c:v>3.1415926535897939E-10</c:v>
                </c:pt>
                <c:pt idx="7">
                  <c:v>3.141592653589794E-9</c:v>
                </c:pt>
                <c:pt idx="8">
                  <c:v>3.1415926535897938E-8</c:v>
                </c:pt>
                <c:pt idx="9">
                  <c:v>3.1415926535897938E-7</c:v>
                </c:pt>
                <c:pt idx="10">
                  <c:v>3.1415926535897938E-6</c:v>
                </c:pt>
                <c:pt idx="11">
                  <c:v>3.1415926535897935E-5</c:v>
                </c:pt>
                <c:pt idx="12">
                  <c:v>3.1415926535897931E-4</c:v>
                </c:pt>
                <c:pt idx="13">
                  <c:v>3.1415926535897933E-3</c:v>
                </c:pt>
                <c:pt idx="14">
                  <c:v>6.2831853071795866E-3</c:v>
                </c:pt>
                <c:pt idx="15">
                  <c:v>9.4247779607693795E-3</c:v>
                </c:pt>
                <c:pt idx="16">
                  <c:v>1.2566370614359173E-2</c:v>
                </c:pt>
                <c:pt idx="17">
                  <c:v>1.5707963267948967E-2</c:v>
                </c:pt>
                <c:pt idx="18">
                  <c:v>1.8849555921538759E-2</c:v>
                </c:pt>
                <c:pt idx="19">
                  <c:v>2.1991148575128551E-2</c:v>
                </c:pt>
                <c:pt idx="20">
                  <c:v>2.5132741228718346E-2</c:v>
                </c:pt>
                <c:pt idx="21">
                  <c:v>2.8274333882308135E-2</c:v>
                </c:pt>
                <c:pt idx="22">
                  <c:v>3.1415926535897934E-2</c:v>
                </c:pt>
                <c:pt idx="23">
                  <c:v>3.4557519189487719E-2</c:v>
                </c:pt>
                <c:pt idx="24">
                  <c:v>3.7699111843077518E-2</c:v>
                </c:pt>
                <c:pt idx="25">
                  <c:v>4.084070449666731E-2</c:v>
                </c:pt>
                <c:pt idx="26">
                  <c:v>4.3982297150257102E-2</c:v>
                </c:pt>
                <c:pt idx="27">
                  <c:v>4.7123889803846894E-2</c:v>
                </c:pt>
                <c:pt idx="28">
                  <c:v>5.0265482457436693E-2</c:v>
                </c:pt>
                <c:pt idx="29">
                  <c:v>5.3407075111026485E-2</c:v>
                </c:pt>
                <c:pt idx="30">
                  <c:v>5.654866776461627E-2</c:v>
                </c:pt>
                <c:pt idx="31">
                  <c:v>5.9690260418206069E-2</c:v>
                </c:pt>
                <c:pt idx="32">
                  <c:v>6.2831853071795868E-2</c:v>
                </c:pt>
                <c:pt idx="33">
                  <c:v>6.597344572538566E-2</c:v>
                </c:pt>
                <c:pt idx="34">
                  <c:v>6.9115038378975438E-2</c:v>
                </c:pt>
                <c:pt idx="35">
                  <c:v>7.2256631032565244E-2</c:v>
                </c:pt>
                <c:pt idx="36">
                  <c:v>7.5398223686155036E-2</c:v>
                </c:pt>
                <c:pt idx="37">
                  <c:v>7.8539816339744828E-2</c:v>
                </c:pt>
                <c:pt idx="38">
                  <c:v>8.168140899333462E-2</c:v>
                </c:pt>
                <c:pt idx="39">
                  <c:v>8.4823001646924412E-2</c:v>
                </c:pt>
                <c:pt idx="40">
                  <c:v>8.7964594300514204E-2</c:v>
                </c:pt>
                <c:pt idx="41">
                  <c:v>9.110618695410401E-2</c:v>
                </c:pt>
                <c:pt idx="42">
                  <c:v>9.4247779607693788E-2</c:v>
                </c:pt>
                <c:pt idx="43">
                  <c:v>9.738937226128358E-2</c:v>
                </c:pt>
                <c:pt idx="44">
                  <c:v>0.10053096491487339</c:v>
                </c:pt>
                <c:pt idx="45">
                  <c:v>0.10367255756846318</c:v>
                </c:pt>
                <c:pt idx="46">
                  <c:v>0.10681415022205297</c:v>
                </c:pt>
                <c:pt idx="47">
                  <c:v>0.10995574287564278</c:v>
                </c:pt>
                <c:pt idx="48">
                  <c:v>0.11309733552923254</c:v>
                </c:pt>
                <c:pt idx="49">
                  <c:v>0.11623892818282235</c:v>
                </c:pt>
                <c:pt idx="50">
                  <c:v>0.11938052083641214</c:v>
                </c:pt>
                <c:pt idx="51">
                  <c:v>0.12252211349000193</c:v>
                </c:pt>
                <c:pt idx="52">
                  <c:v>0.12566370614359174</c:v>
                </c:pt>
                <c:pt idx="53">
                  <c:v>0.12880529879718153</c:v>
                </c:pt>
                <c:pt idx="54">
                  <c:v>0.13194689145077132</c:v>
                </c:pt>
                <c:pt idx="55">
                  <c:v>0.13508848410436108</c:v>
                </c:pt>
                <c:pt idx="56">
                  <c:v>0.13823007675795088</c:v>
                </c:pt>
                <c:pt idx="57">
                  <c:v>0.1413716694115407</c:v>
                </c:pt>
                <c:pt idx="58">
                  <c:v>0.14451326206513049</c:v>
                </c:pt>
                <c:pt idx="59">
                  <c:v>0.14765485471872028</c:v>
                </c:pt>
                <c:pt idx="60">
                  <c:v>0.15079644737231007</c:v>
                </c:pt>
                <c:pt idx="61">
                  <c:v>0.15393804002589986</c:v>
                </c:pt>
                <c:pt idx="62">
                  <c:v>0.15707963267948966</c:v>
                </c:pt>
                <c:pt idx="63">
                  <c:v>0.16022122533307945</c:v>
                </c:pt>
                <c:pt idx="64">
                  <c:v>0.16336281798666924</c:v>
                </c:pt>
                <c:pt idx="65">
                  <c:v>0.16650441064025903</c:v>
                </c:pt>
                <c:pt idx="66">
                  <c:v>0.16964600329384882</c:v>
                </c:pt>
                <c:pt idx="67">
                  <c:v>0.17278759594743862</c:v>
                </c:pt>
                <c:pt idx="68">
                  <c:v>0.17592918860102841</c:v>
                </c:pt>
                <c:pt idx="69">
                  <c:v>0.17907078125461823</c:v>
                </c:pt>
                <c:pt idx="70">
                  <c:v>0.18221237390820802</c:v>
                </c:pt>
                <c:pt idx="71">
                  <c:v>0.18535396656179778</c:v>
                </c:pt>
                <c:pt idx="72">
                  <c:v>0.18849555921538758</c:v>
                </c:pt>
                <c:pt idx="73">
                  <c:v>0.19163715186897737</c:v>
                </c:pt>
                <c:pt idx="74">
                  <c:v>0.19477874452256716</c:v>
                </c:pt>
                <c:pt idx="75">
                  <c:v>0.19792033717615698</c:v>
                </c:pt>
                <c:pt idx="76">
                  <c:v>0.20106192982974677</c:v>
                </c:pt>
                <c:pt idx="77">
                  <c:v>0.20420352248333656</c:v>
                </c:pt>
                <c:pt idx="78">
                  <c:v>0.20734511513692636</c:v>
                </c:pt>
                <c:pt idx="79">
                  <c:v>0.21048670779051615</c:v>
                </c:pt>
                <c:pt idx="80">
                  <c:v>0.21362830044410594</c:v>
                </c:pt>
                <c:pt idx="81">
                  <c:v>0.21676989309769573</c:v>
                </c:pt>
                <c:pt idx="82">
                  <c:v>0.21991148575128555</c:v>
                </c:pt>
                <c:pt idx="83">
                  <c:v>0.22305307840487529</c:v>
                </c:pt>
                <c:pt idx="84">
                  <c:v>0.22619467105846508</c:v>
                </c:pt>
                <c:pt idx="85">
                  <c:v>0.22933626371205487</c:v>
                </c:pt>
                <c:pt idx="86">
                  <c:v>0.23247785636564469</c:v>
                </c:pt>
                <c:pt idx="87">
                  <c:v>0.23561944901923448</c:v>
                </c:pt>
                <c:pt idx="88">
                  <c:v>0.23876104167282428</c:v>
                </c:pt>
                <c:pt idx="89">
                  <c:v>0.24190263432641407</c:v>
                </c:pt>
                <c:pt idx="90">
                  <c:v>0.24504422698000386</c:v>
                </c:pt>
                <c:pt idx="91">
                  <c:v>0.24818581963359365</c:v>
                </c:pt>
                <c:pt idx="92">
                  <c:v>0.25132741228718347</c:v>
                </c:pt>
                <c:pt idx="93">
                  <c:v>0.25446900494077324</c:v>
                </c:pt>
                <c:pt idx="94">
                  <c:v>0.25761059759436306</c:v>
                </c:pt>
                <c:pt idx="95">
                  <c:v>0.26075219024795282</c:v>
                </c:pt>
                <c:pt idx="96">
                  <c:v>0.26389378290154264</c:v>
                </c:pt>
                <c:pt idx="97">
                  <c:v>0.26703537555513246</c:v>
                </c:pt>
                <c:pt idx="98">
                  <c:v>0.27017696820872217</c:v>
                </c:pt>
                <c:pt idx="99">
                  <c:v>0.27331856086231199</c:v>
                </c:pt>
                <c:pt idx="100">
                  <c:v>0.27646015351590175</c:v>
                </c:pt>
                <c:pt idx="101">
                  <c:v>0.27960174616949157</c:v>
                </c:pt>
                <c:pt idx="102">
                  <c:v>0.28274333882308139</c:v>
                </c:pt>
                <c:pt idx="103">
                  <c:v>0.28588493147667116</c:v>
                </c:pt>
                <c:pt idx="104">
                  <c:v>0.28902652413026098</c:v>
                </c:pt>
                <c:pt idx="105">
                  <c:v>0.29216811678385074</c:v>
                </c:pt>
                <c:pt idx="106">
                  <c:v>0.29530970943744056</c:v>
                </c:pt>
                <c:pt idx="107">
                  <c:v>0.29845130209103032</c:v>
                </c:pt>
                <c:pt idx="108">
                  <c:v>0.30159289474462014</c:v>
                </c:pt>
                <c:pt idx="109">
                  <c:v>0.30473448739820996</c:v>
                </c:pt>
                <c:pt idx="110">
                  <c:v>0.30787608005179973</c:v>
                </c:pt>
                <c:pt idx="111">
                  <c:v>0.31101767270538955</c:v>
                </c:pt>
                <c:pt idx="112">
                  <c:v>0.31415926535897931</c:v>
                </c:pt>
                <c:pt idx="113">
                  <c:v>0.31730085801256913</c:v>
                </c:pt>
                <c:pt idx="114">
                  <c:v>0.3204424506661589</c:v>
                </c:pt>
                <c:pt idx="115">
                  <c:v>0.32358404331974866</c:v>
                </c:pt>
                <c:pt idx="116">
                  <c:v>0.32672563597333848</c:v>
                </c:pt>
                <c:pt idx="117">
                  <c:v>0.32986722862692824</c:v>
                </c:pt>
                <c:pt idx="118">
                  <c:v>0.33300882128051806</c:v>
                </c:pt>
                <c:pt idx="119">
                  <c:v>0.33615041393410788</c:v>
                </c:pt>
                <c:pt idx="120">
                  <c:v>0.33929200658769765</c:v>
                </c:pt>
                <c:pt idx="121">
                  <c:v>0.34243359924128747</c:v>
                </c:pt>
                <c:pt idx="122">
                  <c:v>0.34557519189487723</c:v>
                </c:pt>
                <c:pt idx="123">
                  <c:v>0.34871678454846705</c:v>
                </c:pt>
                <c:pt idx="124">
                  <c:v>0.35185837720205682</c:v>
                </c:pt>
                <c:pt idx="125">
                  <c:v>0.35499996985564664</c:v>
                </c:pt>
                <c:pt idx="126">
                  <c:v>0.35814156250923646</c:v>
                </c:pt>
                <c:pt idx="127">
                  <c:v>0.36128315516282622</c:v>
                </c:pt>
                <c:pt idx="128">
                  <c:v>0.36442474781641604</c:v>
                </c:pt>
                <c:pt idx="129">
                  <c:v>0.3675663404700058</c:v>
                </c:pt>
                <c:pt idx="130">
                  <c:v>0.37070793312359557</c:v>
                </c:pt>
                <c:pt idx="131">
                  <c:v>0.37384952577718539</c:v>
                </c:pt>
                <c:pt idx="132">
                  <c:v>0.37699111843077515</c:v>
                </c:pt>
                <c:pt idx="133">
                  <c:v>0.38013271108436497</c:v>
                </c:pt>
                <c:pt idx="134">
                  <c:v>0.38327430373795474</c:v>
                </c:pt>
                <c:pt idx="135">
                  <c:v>0.38641589639154456</c:v>
                </c:pt>
                <c:pt idx="136">
                  <c:v>0.38955748904513432</c:v>
                </c:pt>
                <c:pt idx="137">
                  <c:v>0.39269908169872414</c:v>
                </c:pt>
                <c:pt idx="138">
                  <c:v>0.39584067435231396</c:v>
                </c:pt>
                <c:pt idx="139">
                  <c:v>0.39898226700590372</c:v>
                </c:pt>
                <c:pt idx="140">
                  <c:v>0.40212385965949354</c:v>
                </c:pt>
                <c:pt idx="141">
                  <c:v>0.40526545231308331</c:v>
                </c:pt>
                <c:pt idx="142">
                  <c:v>0.40840704496667313</c:v>
                </c:pt>
                <c:pt idx="143">
                  <c:v>0.41154863762026289</c:v>
                </c:pt>
                <c:pt idx="144">
                  <c:v>0.41469023027385271</c:v>
                </c:pt>
                <c:pt idx="145">
                  <c:v>0.41783182292744253</c:v>
                </c:pt>
                <c:pt idx="146">
                  <c:v>0.4209734155810323</c:v>
                </c:pt>
                <c:pt idx="147">
                  <c:v>0.42411500823462212</c:v>
                </c:pt>
                <c:pt idx="148">
                  <c:v>0.42725660088821188</c:v>
                </c:pt>
                <c:pt idx="149">
                  <c:v>0.4303981935418017</c:v>
                </c:pt>
                <c:pt idx="150">
                  <c:v>0.43353978619539146</c:v>
                </c:pt>
                <c:pt idx="151">
                  <c:v>0.43668137884898128</c:v>
                </c:pt>
                <c:pt idx="152">
                  <c:v>0.4398229715025711</c:v>
                </c:pt>
                <c:pt idx="153">
                  <c:v>0.44296456415616081</c:v>
                </c:pt>
                <c:pt idx="154">
                  <c:v>0.44610615680975058</c:v>
                </c:pt>
                <c:pt idx="155">
                  <c:v>0.4492477494633404</c:v>
                </c:pt>
                <c:pt idx="156">
                  <c:v>0.45238934211693016</c:v>
                </c:pt>
                <c:pt idx="157">
                  <c:v>0.45553093477051998</c:v>
                </c:pt>
                <c:pt idx="158">
                  <c:v>0.45867252742410974</c:v>
                </c:pt>
                <c:pt idx="159">
                  <c:v>0.46181412007769956</c:v>
                </c:pt>
                <c:pt idx="160">
                  <c:v>0.46495571273128938</c:v>
                </c:pt>
                <c:pt idx="161">
                  <c:v>0.46809730538487915</c:v>
                </c:pt>
                <c:pt idx="162">
                  <c:v>0.47123889803846897</c:v>
                </c:pt>
                <c:pt idx="163">
                  <c:v>0.47438049069205873</c:v>
                </c:pt>
                <c:pt idx="164">
                  <c:v>0.47752208334564855</c:v>
                </c:pt>
                <c:pt idx="165">
                  <c:v>0.48066367599923832</c:v>
                </c:pt>
                <c:pt idx="166">
                  <c:v>0.48380526865282814</c:v>
                </c:pt>
                <c:pt idx="167">
                  <c:v>0.48694686130641796</c:v>
                </c:pt>
                <c:pt idx="168">
                  <c:v>0.49008845396000772</c:v>
                </c:pt>
                <c:pt idx="169">
                  <c:v>0.49323004661359754</c:v>
                </c:pt>
                <c:pt idx="170">
                  <c:v>0.4963716392671873</c:v>
                </c:pt>
                <c:pt idx="171">
                  <c:v>0.49951323192077712</c:v>
                </c:pt>
                <c:pt idx="172">
                  <c:v>0.50265482457436694</c:v>
                </c:pt>
                <c:pt idx="173">
                  <c:v>0.50579641722795665</c:v>
                </c:pt>
                <c:pt idx="174">
                  <c:v>0.50893800988154647</c:v>
                </c:pt>
                <c:pt idx="175">
                  <c:v>0.51207960253513629</c:v>
                </c:pt>
                <c:pt idx="176">
                  <c:v>0.51522119518872611</c:v>
                </c:pt>
                <c:pt idx="177">
                  <c:v>0.51836278784231593</c:v>
                </c:pt>
                <c:pt idx="178">
                  <c:v>0.52150438049590564</c:v>
                </c:pt>
                <c:pt idx="179">
                  <c:v>0.52464597314949546</c:v>
                </c:pt>
                <c:pt idx="180">
                  <c:v>0.52778756580308528</c:v>
                </c:pt>
                <c:pt idx="181">
                  <c:v>0.5309291584566751</c:v>
                </c:pt>
                <c:pt idx="182">
                  <c:v>0.53407075111026492</c:v>
                </c:pt>
                <c:pt idx="183">
                  <c:v>0.53721234376385463</c:v>
                </c:pt>
                <c:pt idx="184">
                  <c:v>0.54035393641744434</c:v>
                </c:pt>
                <c:pt idx="185">
                  <c:v>0.54349552907103416</c:v>
                </c:pt>
                <c:pt idx="186">
                  <c:v>0.54663712172462398</c:v>
                </c:pt>
                <c:pt idx="187">
                  <c:v>0.5497787143782138</c:v>
                </c:pt>
                <c:pt idx="188">
                  <c:v>0.5529203070318035</c:v>
                </c:pt>
                <c:pt idx="189">
                  <c:v>0.55606189968539332</c:v>
                </c:pt>
                <c:pt idx="190">
                  <c:v>0.55920349233898314</c:v>
                </c:pt>
                <c:pt idx="191">
                  <c:v>0.56234508499257296</c:v>
                </c:pt>
                <c:pt idx="192">
                  <c:v>0.56548667764616278</c:v>
                </c:pt>
                <c:pt idx="193">
                  <c:v>0.56862827029975249</c:v>
                </c:pt>
                <c:pt idx="194">
                  <c:v>0.57176986295334231</c:v>
                </c:pt>
                <c:pt idx="195">
                  <c:v>0.57491145560693213</c:v>
                </c:pt>
                <c:pt idx="196">
                  <c:v>0.57805304826052195</c:v>
                </c:pt>
                <c:pt idx="197">
                  <c:v>0.58119464091411177</c:v>
                </c:pt>
                <c:pt idx="198">
                  <c:v>0.58433623356770148</c:v>
                </c:pt>
                <c:pt idx="199">
                  <c:v>0.5874778262212913</c:v>
                </c:pt>
                <c:pt idx="200">
                  <c:v>0.59061941887488112</c:v>
                </c:pt>
                <c:pt idx="201">
                  <c:v>0.59376101152847094</c:v>
                </c:pt>
                <c:pt idx="202">
                  <c:v>0.59690260418206065</c:v>
                </c:pt>
                <c:pt idx="203">
                  <c:v>0.60004419683565047</c:v>
                </c:pt>
                <c:pt idx="204">
                  <c:v>0.60318578948924029</c:v>
                </c:pt>
                <c:pt idx="205">
                  <c:v>0.60632738214283011</c:v>
                </c:pt>
                <c:pt idx="206">
                  <c:v>0.60946897479641993</c:v>
                </c:pt>
                <c:pt idx="207">
                  <c:v>0.61261056745000964</c:v>
                </c:pt>
                <c:pt idx="208">
                  <c:v>0.61575216010359946</c:v>
                </c:pt>
                <c:pt idx="209">
                  <c:v>0.61889375275718927</c:v>
                </c:pt>
                <c:pt idx="210">
                  <c:v>0.62203534541077909</c:v>
                </c:pt>
                <c:pt idx="211">
                  <c:v>0.62517693806436891</c:v>
                </c:pt>
                <c:pt idx="212">
                  <c:v>0.62831853071795862</c:v>
                </c:pt>
                <c:pt idx="213">
                  <c:v>0.63146012337154844</c:v>
                </c:pt>
                <c:pt idx="214">
                  <c:v>0.63460171602513826</c:v>
                </c:pt>
                <c:pt idx="215">
                  <c:v>0.63774330867872808</c:v>
                </c:pt>
                <c:pt idx="216">
                  <c:v>0.64088490133231779</c:v>
                </c:pt>
                <c:pt idx="217">
                  <c:v>0.6440264939859075</c:v>
                </c:pt>
                <c:pt idx="218">
                  <c:v>0.64716808663949732</c:v>
                </c:pt>
                <c:pt idx="219">
                  <c:v>0.65030967929308714</c:v>
                </c:pt>
                <c:pt idx="220">
                  <c:v>0.65345127194667696</c:v>
                </c:pt>
                <c:pt idx="221">
                  <c:v>0.65659286460026678</c:v>
                </c:pt>
                <c:pt idx="222">
                  <c:v>0.65973445725385649</c:v>
                </c:pt>
                <c:pt idx="223">
                  <c:v>0.66287604990744631</c:v>
                </c:pt>
                <c:pt idx="224">
                  <c:v>0.66601764256103613</c:v>
                </c:pt>
                <c:pt idx="225">
                  <c:v>0.66915923521462595</c:v>
                </c:pt>
                <c:pt idx="226">
                  <c:v>0.67230082786821577</c:v>
                </c:pt>
                <c:pt idx="227">
                  <c:v>0.67544242052180548</c:v>
                </c:pt>
                <c:pt idx="228">
                  <c:v>0.6785840131753953</c:v>
                </c:pt>
                <c:pt idx="229">
                  <c:v>0.68172560582898512</c:v>
                </c:pt>
                <c:pt idx="230">
                  <c:v>0.68486719848257493</c:v>
                </c:pt>
                <c:pt idx="231">
                  <c:v>0.68800879113616464</c:v>
                </c:pt>
                <c:pt idx="232">
                  <c:v>0.69115038378975446</c:v>
                </c:pt>
                <c:pt idx="233">
                  <c:v>0.69429197644334428</c:v>
                </c:pt>
                <c:pt idx="234">
                  <c:v>0.6974335690969341</c:v>
                </c:pt>
                <c:pt idx="235">
                  <c:v>0.70057516175052392</c:v>
                </c:pt>
                <c:pt idx="236">
                  <c:v>0.70371675440411363</c:v>
                </c:pt>
                <c:pt idx="237">
                  <c:v>0.70685834705770345</c:v>
                </c:pt>
                <c:pt idx="238">
                  <c:v>0.70999993971129327</c:v>
                </c:pt>
                <c:pt idx="239">
                  <c:v>0.71314153236488309</c:v>
                </c:pt>
                <c:pt idx="240">
                  <c:v>0.71628312501847291</c:v>
                </c:pt>
                <c:pt idx="241">
                  <c:v>0.71942471767206262</c:v>
                </c:pt>
                <c:pt idx="242">
                  <c:v>0.72256631032565244</c:v>
                </c:pt>
                <c:pt idx="243">
                  <c:v>0.72570790297924226</c:v>
                </c:pt>
                <c:pt idx="244">
                  <c:v>0.72884949563283208</c:v>
                </c:pt>
                <c:pt idx="245">
                  <c:v>0.73199108828642179</c:v>
                </c:pt>
                <c:pt idx="246">
                  <c:v>0.73513268094001161</c:v>
                </c:pt>
                <c:pt idx="247">
                  <c:v>0.73827427359360132</c:v>
                </c:pt>
                <c:pt idx="248">
                  <c:v>0.74141586624719114</c:v>
                </c:pt>
                <c:pt idx="249">
                  <c:v>0.74455745890078096</c:v>
                </c:pt>
                <c:pt idx="250">
                  <c:v>0.74769905155437077</c:v>
                </c:pt>
                <c:pt idx="251">
                  <c:v>0.75084064420796048</c:v>
                </c:pt>
                <c:pt idx="252">
                  <c:v>0.7539822368615503</c:v>
                </c:pt>
                <c:pt idx="253">
                  <c:v>0.75712382951514012</c:v>
                </c:pt>
                <c:pt idx="254">
                  <c:v>0.76026542216872994</c:v>
                </c:pt>
                <c:pt idx="255">
                  <c:v>0.76340701482231976</c:v>
                </c:pt>
                <c:pt idx="256">
                  <c:v>0.76654860747590947</c:v>
                </c:pt>
                <c:pt idx="257">
                  <c:v>0.76969020012949929</c:v>
                </c:pt>
                <c:pt idx="258">
                  <c:v>0.77283179278308911</c:v>
                </c:pt>
                <c:pt idx="259">
                  <c:v>0.77597338543667893</c:v>
                </c:pt>
                <c:pt idx="260">
                  <c:v>0.77911497809026864</c:v>
                </c:pt>
                <c:pt idx="261">
                  <c:v>0.78225657074385846</c:v>
                </c:pt>
                <c:pt idx="262">
                  <c:v>0.78539816339744828</c:v>
                </c:pt>
                <c:pt idx="263">
                  <c:v>0.7885397560510381</c:v>
                </c:pt>
                <c:pt idx="264">
                  <c:v>0.79168134870462792</c:v>
                </c:pt>
                <c:pt idx="265">
                  <c:v>0.79482294135821763</c:v>
                </c:pt>
                <c:pt idx="266">
                  <c:v>0.79796453401180745</c:v>
                </c:pt>
                <c:pt idx="267">
                  <c:v>0.80110612666539727</c:v>
                </c:pt>
                <c:pt idx="268">
                  <c:v>0.80424771931898709</c:v>
                </c:pt>
                <c:pt idx="269">
                  <c:v>0.8073893119725768</c:v>
                </c:pt>
                <c:pt idx="270">
                  <c:v>0.81053090462616662</c:v>
                </c:pt>
                <c:pt idx="271">
                  <c:v>0.81367249727975643</c:v>
                </c:pt>
                <c:pt idx="272">
                  <c:v>0.81681408993334625</c:v>
                </c:pt>
                <c:pt idx="273">
                  <c:v>0.81995568258693607</c:v>
                </c:pt>
                <c:pt idx="274">
                  <c:v>0.82309727524052578</c:v>
                </c:pt>
                <c:pt idx="275">
                  <c:v>0.8262388678941156</c:v>
                </c:pt>
                <c:pt idx="276">
                  <c:v>0.82938046054770542</c:v>
                </c:pt>
                <c:pt idx="277">
                  <c:v>0.83252205320129524</c:v>
                </c:pt>
                <c:pt idx="278">
                  <c:v>0.83566364585488506</c:v>
                </c:pt>
                <c:pt idx="279">
                  <c:v>0.83880523850847477</c:v>
                </c:pt>
                <c:pt idx="280">
                  <c:v>0.84194683116206459</c:v>
                </c:pt>
                <c:pt idx="281">
                  <c:v>0.84508842381565441</c:v>
                </c:pt>
                <c:pt idx="282">
                  <c:v>0.84823001646924423</c:v>
                </c:pt>
                <c:pt idx="283">
                  <c:v>0.85137160912283394</c:v>
                </c:pt>
                <c:pt idx="284">
                  <c:v>0.85451320177642376</c:v>
                </c:pt>
                <c:pt idx="285">
                  <c:v>0.85765479443001358</c:v>
                </c:pt>
                <c:pt idx="286">
                  <c:v>0.8607963870836034</c:v>
                </c:pt>
                <c:pt idx="287">
                  <c:v>0.86393797973719322</c:v>
                </c:pt>
                <c:pt idx="288">
                  <c:v>0.86707957239078293</c:v>
                </c:pt>
                <c:pt idx="289">
                  <c:v>0.87022116504437275</c:v>
                </c:pt>
                <c:pt idx="290">
                  <c:v>0.87336275769796257</c:v>
                </c:pt>
                <c:pt idx="291">
                  <c:v>0.87650435035155239</c:v>
                </c:pt>
                <c:pt idx="292">
                  <c:v>0.87964594300514221</c:v>
                </c:pt>
                <c:pt idx="293">
                  <c:v>0.88278753565873191</c:v>
                </c:pt>
                <c:pt idx="294">
                  <c:v>0.88592912831232162</c:v>
                </c:pt>
                <c:pt idx="295">
                  <c:v>0.88907072096591133</c:v>
                </c:pt>
                <c:pt idx="296">
                  <c:v>0.89221231361950115</c:v>
                </c:pt>
                <c:pt idx="297">
                  <c:v>0.89535390627309097</c:v>
                </c:pt>
                <c:pt idx="298">
                  <c:v>0.89849549892668079</c:v>
                </c:pt>
                <c:pt idx="299">
                  <c:v>0.9016370915802705</c:v>
                </c:pt>
                <c:pt idx="300">
                  <c:v>0.90477868423386032</c:v>
                </c:pt>
                <c:pt idx="301">
                  <c:v>0.90792027688745014</c:v>
                </c:pt>
                <c:pt idx="302">
                  <c:v>0.91106186954103996</c:v>
                </c:pt>
                <c:pt idx="303">
                  <c:v>0.91420346219462978</c:v>
                </c:pt>
                <c:pt idx="304">
                  <c:v>0.91734505484821949</c:v>
                </c:pt>
                <c:pt idx="305">
                  <c:v>0.92048664750180931</c:v>
                </c:pt>
                <c:pt idx="306">
                  <c:v>0.92362824015539913</c:v>
                </c:pt>
                <c:pt idx="307">
                  <c:v>0.92676983280898895</c:v>
                </c:pt>
                <c:pt idx="308">
                  <c:v>0.92991142546257877</c:v>
                </c:pt>
                <c:pt idx="309">
                  <c:v>0.93305301811616848</c:v>
                </c:pt>
                <c:pt idx="310">
                  <c:v>0.9361946107697583</c:v>
                </c:pt>
                <c:pt idx="311">
                  <c:v>0.93933620342334812</c:v>
                </c:pt>
                <c:pt idx="312">
                  <c:v>0.94247779607693793</c:v>
                </c:pt>
                <c:pt idx="313">
                  <c:v>0.94561938873052764</c:v>
                </c:pt>
                <c:pt idx="314">
                  <c:v>0.94876098138411746</c:v>
                </c:pt>
                <c:pt idx="315">
                  <c:v>0.95190257403770728</c:v>
                </c:pt>
                <c:pt idx="316">
                  <c:v>0.9550441666912971</c:v>
                </c:pt>
                <c:pt idx="317">
                  <c:v>0.95818575934488692</c:v>
                </c:pt>
                <c:pt idx="318">
                  <c:v>0.96132735199847663</c:v>
                </c:pt>
                <c:pt idx="319">
                  <c:v>0.96446894465206645</c:v>
                </c:pt>
                <c:pt idx="320">
                  <c:v>0.96761053730565627</c:v>
                </c:pt>
                <c:pt idx="321">
                  <c:v>0.97075212995924609</c:v>
                </c:pt>
                <c:pt idx="322">
                  <c:v>0.97389372261283591</c:v>
                </c:pt>
                <c:pt idx="323">
                  <c:v>0.97703531526642562</c:v>
                </c:pt>
                <c:pt idx="324">
                  <c:v>0.98017690792001544</c:v>
                </c:pt>
                <c:pt idx="325">
                  <c:v>0.98331850057360526</c:v>
                </c:pt>
                <c:pt idx="326">
                  <c:v>0.98646009322719508</c:v>
                </c:pt>
                <c:pt idx="327">
                  <c:v>0.98960168588078479</c:v>
                </c:pt>
                <c:pt idx="328">
                  <c:v>0.99274327853437461</c:v>
                </c:pt>
                <c:pt idx="329">
                  <c:v>0.99588487118796443</c:v>
                </c:pt>
                <c:pt idx="330">
                  <c:v>0.99902646384155425</c:v>
                </c:pt>
                <c:pt idx="331">
                  <c:v>1.0021680564951441</c:v>
                </c:pt>
                <c:pt idx="332">
                  <c:v>1.0053096491487339</c:v>
                </c:pt>
                <c:pt idx="333">
                  <c:v>1.0084512418023237</c:v>
                </c:pt>
                <c:pt idx="334">
                  <c:v>1.0115928344559133</c:v>
                </c:pt>
                <c:pt idx="335">
                  <c:v>1.0147344271095031</c:v>
                </c:pt>
                <c:pt idx="336">
                  <c:v>1.0178760197630929</c:v>
                </c:pt>
                <c:pt idx="337">
                  <c:v>1.0210176124166828</c:v>
                </c:pt>
                <c:pt idx="338">
                  <c:v>1.0241592050702726</c:v>
                </c:pt>
                <c:pt idx="339">
                  <c:v>1.0273007977238624</c:v>
                </c:pt>
                <c:pt idx="340">
                  <c:v>1.0304423903774522</c:v>
                </c:pt>
                <c:pt idx="341">
                  <c:v>1.033583983031042</c:v>
                </c:pt>
                <c:pt idx="342">
                  <c:v>1.0367255756846319</c:v>
                </c:pt>
                <c:pt idx="343">
                  <c:v>1.0398671683382217</c:v>
                </c:pt>
                <c:pt idx="344">
                  <c:v>1.0430087609918113</c:v>
                </c:pt>
                <c:pt idx="345">
                  <c:v>1.0461503536454011</c:v>
                </c:pt>
                <c:pt idx="346">
                  <c:v>1.0492919462989909</c:v>
                </c:pt>
                <c:pt idx="347">
                  <c:v>1.0524335389525807</c:v>
                </c:pt>
                <c:pt idx="348">
                  <c:v>1.0555751316061706</c:v>
                </c:pt>
                <c:pt idx="349">
                  <c:v>1.0587167242597604</c:v>
                </c:pt>
                <c:pt idx="350">
                  <c:v>1.0618583169133502</c:v>
                </c:pt>
                <c:pt idx="351">
                  <c:v>1.06499990956694</c:v>
                </c:pt>
                <c:pt idx="352">
                  <c:v>1.0681415022205298</c:v>
                </c:pt>
                <c:pt idx="353">
                  <c:v>1.0712830948741194</c:v>
                </c:pt>
                <c:pt idx="354">
                  <c:v>1.0744246875277093</c:v>
                </c:pt>
                <c:pt idx="355">
                  <c:v>1.0775662801812991</c:v>
                </c:pt>
                <c:pt idx="356">
                  <c:v>1.0807078728348887</c:v>
                </c:pt>
                <c:pt idx="357">
                  <c:v>1.0838494654884785</c:v>
                </c:pt>
                <c:pt idx="358">
                  <c:v>1.0869910581420683</c:v>
                </c:pt>
                <c:pt idx="359">
                  <c:v>1.0901326507956581</c:v>
                </c:pt>
                <c:pt idx="360">
                  <c:v>1.093274243449248</c:v>
                </c:pt>
                <c:pt idx="361">
                  <c:v>1.0964158361028378</c:v>
                </c:pt>
                <c:pt idx="362">
                  <c:v>1.0995574287564276</c:v>
                </c:pt>
                <c:pt idx="363">
                  <c:v>1.1026990214100174</c:v>
                </c:pt>
                <c:pt idx="364">
                  <c:v>1.105840614063607</c:v>
                </c:pt>
                <c:pt idx="365">
                  <c:v>1.1089822067171968</c:v>
                </c:pt>
                <c:pt idx="366">
                  <c:v>1.1121237993707866</c:v>
                </c:pt>
                <c:pt idx="367">
                  <c:v>1.1152653920243765</c:v>
                </c:pt>
                <c:pt idx="368">
                  <c:v>1.1184069846779663</c:v>
                </c:pt>
                <c:pt idx="369">
                  <c:v>1.1215485773315561</c:v>
                </c:pt>
                <c:pt idx="370">
                  <c:v>1.1246901699851459</c:v>
                </c:pt>
                <c:pt idx="371">
                  <c:v>1.1278317626387357</c:v>
                </c:pt>
                <c:pt idx="372">
                  <c:v>1.1309733552923256</c:v>
                </c:pt>
                <c:pt idx="373">
                  <c:v>1.1341149479459154</c:v>
                </c:pt>
                <c:pt idx="374">
                  <c:v>1.137256540599505</c:v>
                </c:pt>
                <c:pt idx="375">
                  <c:v>1.1403981332530948</c:v>
                </c:pt>
                <c:pt idx="376">
                  <c:v>1.1435397259066846</c:v>
                </c:pt>
                <c:pt idx="377">
                  <c:v>1.1466813185602744</c:v>
                </c:pt>
                <c:pt idx="378">
                  <c:v>1.1498229112138643</c:v>
                </c:pt>
                <c:pt idx="379">
                  <c:v>1.1529645038674541</c:v>
                </c:pt>
                <c:pt idx="380">
                  <c:v>1.1561060965210439</c:v>
                </c:pt>
                <c:pt idx="381">
                  <c:v>1.1592476891746337</c:v>
                </c:pt>
                <c:pt idx="382">
                  <c:v>1.1623892818282235</c:v>
                </c:pt>
                <c:pt idx="383">
                  <c:v>1.1655308744818131</c:v>
                </c:pt>
                <c:pt idx="384">
                  <c:v>1.168672467135403</c:v>
                </c:pt>
                <c:pt idx="385">
                  <c:v>1.1718140597889928</c:v>
                </c:pt>
                <c:pt idx="386">
                  <c:v>1.1749556524425826</c:v>
                </c:pt>
                <c:pt idx="387">
                  <c:v>1.1780972450961724</c:v>
                </c:pt>
                <c:pt idx="388">
                  <c:v>1.1812388377497622</c:v>
                </c:pt>
                <c:pt idx="389">
                  <c:v>1.1843804304033521</c:v>
                </c:pt>
                <c:pt idx="390">
                  <c:v>1.1875220230569419</c:v>
                </c:pt>
                <c:pt idx="391">
                  <c:v>1.1906636157105317</c:v>
                </c:pt>
                <c:pt idx="392">
                  <c:v>1.1938052083641213</c:v>
                </c:pt>
                <c:pt idx="393">
                  <c:v>1.1969468010177111</c:v>
                </c:pt>
                <c:pt idx="394">
                  <c:v>1.2000883936713009</c:v>
                </c:pt>
                <c:pt idx="395">
                  <c:v>1.2032299863248908</c:v>
                </c:pt>
                <c:pt idx="396">
                  <c:v>1.2063715789784806</c:v>
                </c:pt>
                <c:pt idx="397">
                  <c:v>1.2095131716320704</c:v>
                </c:pt>
                <c:pt idx="398">
                  <c:v>1.2126547642856602</c:v>
                </c:pt>
                <c:pt idx="399">
                  <c:v>1.21579635693925</c:v>
                </c:pt>
                <c:pt idx="400">
                  <c:v>1.2189379495928399</c:v>
                </c:pt>
                <c:pt idx="401">
                  <c:v>1.2220795422464295</c:v>
                </c:pt>
                <c:pt idx="402">
                  <c:v>1.2252211349000193</c:v>
                </c:pt>
                <c:pt idx="403">
                  <c:v>1.2283627275536091</c:v>
                </c:pt>
                <c:pt idx="404">
                  <c:v>1.2315043202071989</c:v>
                </c:pt>
                <c:pt idx="405">
                  <c:v>1.2346459128607887</c:v>
                </c:pt>
                <c:pt idx="406">
                  <c:v>1.2377875055143785</c:v>
                </c:pt>
                <c:pt idx="407">
                  <c:v>1.2409290981679684</c:v>
                </c:pt>
                <c:pt idx="408">
                  <c:v>1.2440706908215582</c:v>
                </c:pt>
                <c:pt idx="409">
                  <c:v>1.247212283475148</c:v>
                </c:pt>
                <c:pt idx="410">
                  <c:v>1.2503538761287378</c:v>
                </c:pt>
                <c:pt idx="411">
                  <c:v>1.2534954687823274</c:v>
                </c:pt>
                <c:pt idx="412">
                  <c:v>1.2566370614359172</c:v>
                </c:pt>
                <c:pt idx="413">
                  <c:v>1.2597786540895071</c:v>
                </c:pt>
                <c:pt idx="414">
                  <c:v>1.2629202467430969</c:v>
                </c:pt>
                <c:pt idx="415">
                  <c:v>1.2660618393966867</c:v>
                </c:pt>
                <c:pt idx="416">
                  <c:v>1.2692034320502765</c:v>
                </c:pt>
                <c:pt idx="417">
                  <c:v>1.2723450247038663</c:v>
                </c:pt>
                <c:pt idx="418">
                  <c:v>1.2754866173574562</c:v>
                </c:pt>
                <c:pt idx="419">
                  <c:v>1.2786282100110458</c:v>
                </c:pt>
                <c:pt idx="420">
                  <c:v>1.2817698026646356</c:v>
                </c:pt>
                <c:pt idx="421">
                  <c:v>1.2849113953182254</c:v>
                </c:pt>
                <c:pt idx="422">
                  <c:v>1.288052987971815</c:v>
                </c:pt>
                <c:pt idx="423">
                  <c:v>1.2911945806254048</c:v>
                </c:pt>
                <c:pt idx="424">
                  <c:v>1.2943361732789946</c:v>
                </c:pt>
                <c:pt idx="425">
                  <c:v>1.2974777659325845</c:v>
                </c:pt>
                <c:pt idx="426">
                  <c:v>1.3006193585861743</c:v>
                </c:pt>
                <c:pt idx="427">
                  <c:v>1.3037609512397641</c:v>
                </c:pt>
                <c:pt idx="428">
                  <c:v>1.3069025438933539</c:v>
                </c:pt>
                <c:pt idx="429">
                  <c:v>1.3100441365469437</c:v>
                </c:pt>
                <c:pt idx="430">
                  <c:v>1.3131857292005336</c:v>
                </c:pt>
                <c:pt idx="431">
                  <c:v>1.3163273218541232</c:v>
                </c:pt>
                <c:pt idx="432">
                  <c:v>1.319468914507713</c:v>
                </c:pt>
                <c:pt idx="433">
                  <c:v>1.3226105071613028</c:v>
                </c:pt>
                <c:pt idx="434">
                  <c:v>1.3257520998148926</c:v>
                </c:pt>
                <c:pt idx="435">
                  <c:v>1.3288936924684824</c:v>
                </c:pt>
                <c:pt idx="436">
                  <c:v>1.3320352851220723</c:v>
                </c:pt>
                <c:pt idx="437">
                  <c:v>1.3351768777756621</c:v>
                </c:pt>
                <c:pt idx="438">
                  <c:v>1.3383184704292519</c:v>
                </c:pt>
                <c:pt idx="439">
                  <c:v>1.3414600630828417</c:v>
                </c:pt>
                <c:pt idx="440">
                  <c:v>1.3446016557364315</c:v>
                </c:pt>
                <c:pt idx="441">
                  <c:v>1.3477432483900211</c:v>
                </c:pt>
                <c:pt idx="442">
                  <c:v>1.350884841043611</c:v>
                </c:pt>
                <c:pt idx="443">
                  <c:v>1.3540264336972008</c:v>
                </c:pt>
                <c:pt idx="444">
                  <c:v>1.3571680263507906</c:v>
                </c:pt>
                <c:pt idx="445">
                  <c:v>1.3603096190043804</c:v>
                </c:pt>
                <c:pt idx="446">
                  <c:v>1.3634512116579702</c:v>
                </c:pt>
                <c:pt idx="447">
                  <c:v>1.36659280431156</c:v>
                </c:pt>
                <c:pt idx="448">
                  <c:v>1.3697343969651499</c:v>
                </c:pt>
                <c:pt idx="449">
                  <c:v>1.3728759896187397</c:v>
                </c:pt>
                <c:pt idx="450">
                  <c:v>1.3760175822723293</c:v>
                </c:pt>
                <c:pt idx="451">
                  <c:v>1.3791591749259191</c:v>
                </c:pt>
                <c:pt idx="452">
                  <c:v>1.3823007675795089</c:v>
                </c:pt>
                <c:pt idx="453">
                  <c:v>1.3854423602330987</c:v>
                </c:pt>
                <c:pt idx="454">
                  <c:v>1.3885839528866886</c:v>
                </c:pt>
                <c:pt idx="455">
                  <c:v>1.3917255455402784</c:v>
                </c:pt>
                <c:pt idx="456">
                  <c:v>1.3948671381938682</c:v>
                </c:pt>
                <c:pt idx="457">
                  <c:v>1.398008730847458</c:v>
                </c:pt>
                <c:pt idx="458">
                  <c:v>1.4011503235010478</c:v>
                </c:pt>
                <c:pt idx="459">
                  <c:v>1.4042919161546374</c:v>
                </c:pt>
                <c:pt idx="460">
                  <c:v>1.4074335088082273</c:v>
                </c:pt>
                <c:pt idx="461">
                  <c:v>1.4105751014618171</c:v>
                </c:pt>
                <c:pt idx="462">
                  <c:v>1.4137166941154069</c:v>
                </c:pt>
                <c:pt idx="463">
                  <c:v>1.4168582867689967</c:v>
                </c:pt>
                <c:pt idx="464">
                  <c:v>1.4199998794225865</c:v>
                </c:pt>
                <c:pt idx="465">
                  <c:v>1.4231414720761764</c:v>
                </c:pt>
                <c:pt idx="466">
                  <c:v>1.4262830647297662</c:v>
                </c:pt>
                <c:pt idx="467">
                  <c:v>1.429424657383356</c:v>
                </c:pt>
                <c:pt idx="468">
                  <c:v>1.4325662500369458</c:v>
                </c:pt>
                <c:pt idx="469">
                  <c:v>1.4357078426905354</c:v>
                </c:pt>
                <c:pt idx="470">
                  <c:v>1.4388494353441252</c:v>
                </c:pt>
                <c:pt idx="471">
                  <c:v>1.4419910279977151</c:v>
                </c:pt>
                <c:pt idx="472">
                  <c:v>1.4451326206513049</c:v>
                </c:pt>
                <c:pt idx="473">
                  <c:v>1.4482742133048947</c:v>
                </c:pt>
                <c:pt idx="474">
                  <c:v>1.4514158059584845</c:v>
                </c:pt>
                <c:pt idx="475">
                  <c:v>1.4545573986120743</c:v>
                </c:pt>
                <c:pt idx="476">
                  <c:v>1.4576989912656642</c:v>
                </c:pt>
                <c:pt idx="477">
                  <c:v>1.460840583919254</c:v>
                </c:pt>
                <c:pt idx="478">
                  <c:v>1.4639821765728436</c:v>
                </c:pt>
                <c:pt idx="479">
                  <c:v>1.4671237692264334</c:v>
                </c:pt>
                <c:pt idx="480">
                  <c:v>1.4702653618800232</c:v>
                </c:pt>
                <c:pt idx="481">
                  <c:v>1.4734069545336128</c:v>
                </c:pt>
                <c:pt idx="482">
                  <c:v>1.4765485471872026</c:v>
                </c:pt>
                <c:pt idx="483">
                  <c:v>1.4796901398407925</c:v>
                </c:pt>
                <c:pt idx="484">
                  <c:v>1.4828317324943823</c:v>
                </c:pt>
                <c:pt idx="485">
                  <c:v>1.4859733251479721</c:v>
                </c:pt>
                <c:pt idx="486">
                  <c:v>1.4891149178015619</c:v>
                </c:pt>
                <c:pt idx="487">
                  <c:v>1.4922565104551517</c:v>
                </c:pt>
                <c:pt idx="488">
                  <c:v>1.4953981031087415</c:v>
                </c:pt>
                <c:pt idx="489">
                  <c:v>1.4985396957623311</c:v>
                </c:pt>
                <c:pt idx="490">
                  <c:v>1.501681288415921</c:v>
                </c:pt>
                <c:pt idx="491">
                  <c:v>1.5048228810695108</c:v>
                </c:pt>
                <c:pt idx="492">
                  <c:v>1.5079644737231006</c:v>
                </c:pt>
                <c:pt idx="493">
                  <c:v>1.5111060663766904</c:v>
                </c:pt>
                <c:pt idx="494">
                  <c:v>1.5142476590302802</c:v>
                </c:pt>
                <c:pt idx="495">
                  <c:v>1.5173892516838701</c:v>
                </c:pt>
                <c:pt idx="496">
                  <c:v>1.5205308443374599</c:v>
                </c:pt>
                <c:pt idx="497">
                  <c:v>1.5236724369910497</c:v>
                </c:pt>
                <c:pt idx="498">
                  <c:v>1.5268140296446395</c:v>
                </c:pt>
                <c:pt idx="499">
                  <c:v>1.5299556222982291</c:v>
                </c:pt>
                <c:pt idx="500">
                  <c:v>1.5330972149518189</c:v>
                </c:pt>
                <c:pt idx="501">
                  <c:v>1.5362388076054088</c:v>
                </c:pt>
                <c:pt idx="502">
                  <c:v>1.5393804002589986</c:v>
                </c:pt>
                <c:pt idx="503">
                  <c:v>1.5425219929125884</c:v>
                </c:pt>
                <c:pt idx="504">
                  <c:v>1.5456635855661782</c:v>
                </c:pt>
                <c:pt idx="505">
                  <c:v>1.548805178219768</c:v>
                </c:pt>
                <c:pt idx="506">
                  <c:v>1.5519467708733579</c:v>
                </c:pt>
                <c:pt idx="507">
                  <c:v>1.5550883635269477</c:v>
                </c:pt>
                <c:pt idx="508">
                  <c:v>1.5582299561805373</c:v>
                </c:pt>
                <c:pt idx="509">
                  <c:v>1.5613715488341271</c:v>
                </c:pt>
                <c:pt idx="510">
                  <c:v>1.5645131414877169</c:v>
                </c:pt>
                <c:pt idx="511">
                  <c:v>1.5676547341413067</c:v>
                </c:pt>
                <c:pt idx="512">
                  <c:v>1.5707963267948966</c:v>
                </c:pt>
                <c:pt idx="513">
                  <c:v>1.5739379194484864</c:v>
                </c:pt>
                <c:pt idx="514">
                  <c:v>1.5770795121020762</c:v>
                </c:pt>
                <c:pt idx="515">
                  <c:v>1.580221104755666</c:v>
                </c:pt>
                <c:pt idx="516">
                  <c:v>1.5833626974092558</c:v>
                </c:pt>
                <c:pt idx="517">
                  <c:v>1.5865042900628454</c:v>
                </c:pt>
                <c:pt idx="518">
                  <c:v>1.5896458827164353</c:v>
                </c:pt>
                <c:pt idx="519">
                  <c:v>1.5927874753700251</c:v>
                </c:pt>
                <c:pt idx="520">
                  <c:v>1.5959290680236149</c:v>
                </c:pt>
                <c:pt idx="521">
                  <c:v>1.5990706606772047</c:v>
                </c:pt>
                <c:pt idx="522">
                  <c:v>1.6022122533307945</c:v>
                </c:pt>
                <c:pt idx="523">
                  <c:v>1.6053538459843844</c:v>
                </c:pt>
                <c:pt idx="524">
                  <c:v>1.6084954386379742</c:v>
                </c:pt>
                <c:pt idx="525">
                  <c:v>1.611637031291564</c:v>
                </c:pt>
                <c:pt idx="526">
                  <c:v>1.6147786239451536</c:v>
                </c:pt>
                <c:pt idx="527">
                  <c:v>1.6179202165987434</c:v>
                </c:pt>
                <c:pt idx="528">
                  <c:v>1.6210618092523332</c:v>
                </c:pt>
                <c:pt idx="529">
                  <c:v>1.624203401905923</c:v>
                </c:pt>
                <c:pt idx="530">
                  <c:v>1.6273449945595129</c:v>
                </c:pt>
                <c:pt idx="531">
                  <c:v>1.6304865872131027</c:v>
                </c:pt>
                <c:pt idx="532">
                  <c:v>1.6336281798666925</c:v>
                </c:pt>
                <c:pt idx="533">
                  <c:v>1.6367697725202823</c:v>
                </c:pt>
                <c:pt idx="534">
                  <c:v>1.6399113651738721</c:v>
                </c:pt>
                <c:pt idx="535">
                  <c:v>1.643052957827462</c:v>
                </c:pt>
                <c:pt idx="536">
                  <c:v>1.6461945504810516</c:v>
                </c:pt>
                <c:pt idx="537">
                  <c:v>1.6493361431346414</c:v>
                </c:pt>
                <c:pt idx="538">
                  <c:v>1.6524777357882312</c:v>
                </c:pt>
                <c:pt idx="539">
                  <c:v>1.655619328441821</c:v>
                </c:pt>
                <c:pt idx="540">
                  <c:v>1.6587609210954108</c:v>
                </c:pt>
                <c:pt idx="541">
                  <c:v>1.6619025137490007</c:v>
                </c:pt>
                <c:pt idx="542">
                  <c:v>1.6650441064025905</c:v>
                </c:pt>
                <c:pt idx="543">
                  <c:v>1.6681856990561803</c:v>
                </c:pt>
                <c:pt idx="544">
                  <c:v>1.6713272917097701</c:v>
                </c:pt>
                <c:pt idx="545">
                  <c:v>1.6744688843633597</c:v>
                </c:pt>
                <c:pt idx="546">
                  <c:v>1.6776104770169495</c:v>
                </c:pt>
                <c:pt idx="547">
                  <c:v>1.6807520696705394</c:v>
                </c:pt>
                <c:pt idx="548">
                  <c:v>1.6838936623241292</c:v>
                </c:pt>
                <c:pt idx="549">
                  <c:v>1.687035254977719</c:v>
                </c:pt>
                <c:pt idx="550">
                  <c:v>1.6901768476313088</c:v>
                </c:pt>
                <c:pt idx="551">
                  <c:v>1.6933184402848986</c:v>
                </c:pt>
                <c:pt idx="552">
                  <c:v>1.6964600329384885</c:v>
                </c:pt>
                <c:pt idx="553">
                  <c:v>1.6996016255920783</c:v>
                </c:pt>
                <c:pt idx="554">
                  <c:v>1.7027432182456679</c:v>
                </c:pt>
                <c:pt idx="555">
                  <c:v>1.7058848108992577</c:v>
                </c:pt>
                <c:pt idx="556">
                  <c:v>1.7090264035528475</c:v>
                </c:pt>
                <c:pt idx="557">
                  <c:v>1.7121679962064373</c:v>
                </c:pt>
                <c:pt idx="558">
                  <c:v>1.7153095888600272</c:v>
                </c:pt>
                <c:pt idx="559">
                  <c:v>1.718451181513617</c:v>
                </c:pt>
                <c:pt idx="560">
                  <c:v>1.7215927741672068</c:v>
                </c:pt>
                <c:pt idx="561">
                  <c:v>1.7247343668207966</c:v>
                </c:pt>
                <c:pt idx="562">
                  <c:v>1.7278759594743864</c:v>
                </c:pt>
                <c:pt idx="563">
                  <c:v>1.7310175521279763</c:v>
                </c:pt>
                <c:pt idx="564">
                  <c:v>1.7341591447815659</c:v>
                </c:pt>
                <c:pt idx="565">
                  <c:v>1.7373007374351557</c:v>
                </c:pt>
                <c:pt idx="566">
                  <c:v>1.7404423300887455</c:v>
                </c:pt>
                <c:pt idx="567">
                  <c:v>1.7435839227423353</c:v>
                </c:pt>
                <c:pt idx="568">
                  <c:v>1.7467255153959251</c:v>
                </c:pt>
                <c:pt idx="569">
                  <c:v>1.749867108049515</c:v>
                </c:pt>
                <c:pt idx="570">
                  <c:v>1.7530087007031048</c:v>
                </c:pt>
                <c:pt idx="571">
                  <c:v>1.7561502933566946</c:v>
                </c:pt>
                <c:pt idx="572">
                  <c:v>1.7592918860102844</c:v>
                </c:pt>
                <c:pt idx="573">
                  <c:v>1.762433478663874</c:v>
                </c:pt>
                <c:pt idx="574">
                  <c:v>1.7655750713174638</c:v>
                </c:pt>
                <c:pt idx="575">
                  <c:v>1.7687166639710534</c:v>
                </c:pt>
                <c:pt idx="576">
                  <c:v>1.7718582566246432</c:v>
                </c:pt>
                <c:pt idx="577">
                  <c:v>1.7749998492782328</c:v>
                </c:pt>
                <c:pt idx="578">
                  <c:v>1.7781414419318227</c:v>
                </c:pt>
                <c:pt idx="579">
                  <c:v>1.7812830345854125</c:v>
                </c:pt>
                <c:pt idx="580">
                  <c:v>1.7844246272390023</c:v>
                </c:pt>
                <c:pt idx="581">
                  <c:v>1.7875662198925921</c:v>
                </c:pt>
                <c:pt idx="582">
                  <c:v>1.7907078125461819</c:v>
                </c:pt>
                <c:pt idx="583">
                  <c:v>1.7938494051997718</c:v>
                </c:pt>
                <c:pt idx="584">
                  <c:v>1.7969909978533616</c:v>
                </c:pt>
                <c:pt idx="585">
                  <c:v>1.8001325905069514</c:v>
                </c:pt>
                <c:pt idx="586">
                  <c:v>1.803274183160541</c:v>
                </c:pt>
                <c:pt idx="587">
                  <c:v>1.8064157758141308</c:v>
                </c:pt>
                <c:pt idx="588">
                  <c:v>1.8095573684677206</c:v>
                </c:pt>
                <c:pt idx="589">
                  <c:v>1.8126989611213105</c:v>
                </c:pt>
                <c:pt idx="590">
                  <c:v>1.8158405537749003</c:v>
                </c:pt>
                <c:pt idx="591">
                  <c:v>1.8189821464284901</c:v>
                </c:pt>
                <c:pt idx="592">
                  <c:v>1.8221237390820799</c:v>
                </c:pt>
                <c:pt idx="593">
                  <c:v>1.8252653317356697</c:v>
                </c:pt>
                <c:pt idx="594">
                  <c:v>1.8284069243892596</c:v>
                </c:pt>
                <c:pt idx="595">
                  <c:v>1.8315485170428494</c:v>
                </c:pt>
                <c:pt idx="596">
                  <c:v>1.834690109696439</c:v>
                </c:pt>
                <c:pt idx="597">
                  <c:v>1.8378317023500288</c:v>
                </c:pt>
                <c:pt idx="598">
                  <c:v>1.8409732950036186</c:v>
                </c:pt>
                <c:pt idx="599">
                  <c:v>1.8441148876572084</c:v>
                </c:pt>
                <c:pt idx="600">
                  <c:v>1.8472564803107983</c:v>
                </c:pt>
                <c:pt idx="601">
                  <c:v>1.8503980729643881</c:v>
                </c:pt>
                <c:pt idx="602">
                  <c:v>1.8535396656179779</c:v>
                </c:pt>
                <c:pt idx="603">
                  <c:v>1.8566812582715677</c:v>
                </c:pt>
                <c:pt idx="604">
                  <c:v>1.8598228509251575</c:v>
                </c:pt>
                <c:pt idx="605">
                  <c:v>1.8629644435787471</c:v>
                </c:pt>
                <c:pt idx="606">
                  <c:v>1.866106036232337</c:v>
                </c:pt>
                <c:pt idx="607">
                  <c:v>1.8692476288859268</c:v>
                </c:pt>
                <c:pt idx="608">
                  <c:v>1.8723892215395166</c:v>
                </c:pt>
                <c:pt idx="609">
                  <c:v>1.8755308141931064</c:v>
                </c:pt>
                <c:pt idx="610">
                  <c:v>1.8786724068466962</c:v>
                </c:pt>
                <c:pt idx="611">
                  <c:v>1.881813999500286</c:v>
                </c:pt>
                <c:pt idx="612">
                  <c:v>1.8849555921538759</c:v>
                </c:pt>
                <c:pt idx="613">
                  <c:v>1.8880971848074657</c:v>
                </c:pt>
                <c:pt idx="614">
                  <c:v>1.8912387774610553</c:v>
                </c:pt>
                <c:pt idx="615">
                  <c:v>1.8943803701146451</c:v>
                </c:pt>
                <c:pt idx="616">
                  <c:v>1.8975219627682349</c:v>
                </c:pt>
                <c:pt idx="617">
                  <c:v>1.9006635554218247</c:v>
                </c:pt>
                <c:pt idx="618">
                  <c:v>1.9038051480754146</c:v>
                </c:pt>
                <c:pt idx="619">
                  <c:v>1.9069467407290044</c:v>
                </c:pt>
                <c:pt idx="620">
                  <c:v>1.9100883333825942</c:v>
                </c:pt>
                <c:pt idx="621">
                  <c:v>1.913229926036184</c:v>
                </c:pt>
                <c:pt idx="622">
                  <c:v>1.9163715186897738</c:v>
                </c:pt>
                <c:pt idx="623">
                  <c:v>1.9195131113433637</c:v>
                </c:pt>
                <c:pt idx="624">
                  <c:v>1.9226547039969533</c:v>
                </c:pt>
                <c:pt idx="625">
                  <c:v>1.9257962966505431</c:v>
                </c:pt>
                <c:pt idx="626">
                  <c:v>1.9289378893041329</c:v>
                </c:pt>
                <c:pt idx="627">
                  <c:v>1.9320794819577227</c:v>
                </c:pt>
                <c:pt idx="628">
                  <c:v>1.9352210746113125</c:v>
                </c:pt>
                <c:pt idx="629">
                  <c:v>1.9383626672649024</c:v>
                </c:pt>
                <c:pt idx="630">
                  <c:v>1.9415042599184922</c:v>
                </c:pt>
                <c:pt idx="631">
                  <c:v>1.944645852572082</c:v>
                </c:pt>
                <c:pt idx="632">
                  <c:v>1.9477874452256718</c:v>
                </c:pt>
                <c:pt idx="633">
                  <c:v>1.9509290378792614</c:v>
                </c:pt>
                <c:pt idx="634">
                  <c:v>1.9540706305328512</c:v>
                </c:pt>
                <c:pt idx="635">
                  <c:v>1.9572122231864411</c:v>
                </c:pt>
                <c:pt idx="636">
                  <c:v>1.9603538158400309</c:v>
                </c:pt>
                <c:pt idx="637">
                  <c:v>1.9634954084936207</c:v>
                </c:pt>
                <c:pt idx="638">
                  <c:v>1.9666370011472105</c:v>
                </c:pt>
                <c:pt idx="639">
                  <c:v>1.9697785938008003</c:v>
                </c:pt>
                <c:pt idx="640">
                  <c:v>1.9729201864543902</c:v>
                </c:pt>
                <c:pt idx="641">
                  <c:v>1.97606177910798</c:v>
                </c:pt>
                <c:pt idx="642">
                  <c:v>1.9792033717615696</c:v>
                </c:pt>
                <c:pt idx="643">
                  <c:v>1.9823449644151594</c:v>
                </c:pt>
                <c:pt idx="644">
                  <c:v>1.9854865570687492</c:v>
                </c:pt>
                <c:pt idx="645">
                  <c:v>1.988628149722339</c:v>
                </c:pt>
                <c:pt idx="646">
                  <c:v>1.9917697423759289</c:v>
                </c:pt>
                <c:pt idx="647">
                  <c:v>1.9949113350295187</c:v>
                </c:pt>
                <c:pt idx="648">
                  <c:v>1.9980529276831085</c:v>
                </c:pt>
                <c:pt idx="649">
                  <c:v>2.0011945203366981</c:v>
                </c:pt>
                <c:pt idx="650">
                  <c:v>2.0043361129902881</c:v>
                </c:pt>
                <c:pt idx="651">
                  <c:v>2.0074777056438777</c:v>
                </c:pt>
                <c:pt idx="652">
                  <c:v>2.0106192982974678</c:v>
                </c:pt>
                <c:pt idx="653">
                  <c:v>2.0137608909510574</c:v>
                </c:pt>
                <c:pt idx="654">
                  <c:v>2.0169024836046474</c:v>
                </c:pt>
                <c:pt idx="655">
                  <c:v>2.020044076258237</c:v>
                </c:pt>
                <c:pt idx="656">
                  <c:v>2.0231856689118266</c:v>
                </c:pt>
                <c:pt idx="657">
                  <c:v>2.0263272615654166</c:v>
                </c:pt>
                <c:pt idx="658">
                  <c:v>2.0294688542190062</c:v>
                </c:pt>
                <c:pt idx="659">
                  <c:v>2.0326104468725963</c:v>
                </c:pt>
                <c:pt idx="660">
                  <c:v>2.0357520395261859</c:v>
                </c:pt>
                <c:pt idx="661">
                  <c:v>2.0388936321797759</c:v>
                </c:pt>
                <c:pt idx="662">
                  <c:v>2.0420352248333655</c:v>
                </c:pt>
                <c:pt idx="663">
                  <c:v>2.0451768174869556</c:v>
                </c:pt>
                <c:pt idx="664">
                  <c:v>2.0483184101405452</c:v>
                </c:pt>
                <c:pt idx="665">
                  <c:v>2.0514600027941348</c:v>
                </c:pt>
                <c:pt idx="666">
                  <c:v>2.0546015954477248</c:v>
                </c:pt>
                <c:pt idx="667">
                  <c:v>2.0577431881013144</c:v>
                </c:pt>
                <c:pt idx="668">
                  <c:v>2.0608847807549044</c:v>
                </c:pt>
                <c:pt idx="669">
                  <c:v>2.064026373408494</c:v>
                </c:pt>
                <c:pt idx="670">
                  <c:v>2.0671679660620841</c:v>
                </c:pt>
                <c:pt idx="671">
                  <c:v>2.0703095587156737</c:v>
                </c:pt>
                <c:pt idx="672">
                  <c:v>2.0734511513692637</c:v>
                </c:pt>
                <c:pt idx="673">
                  <c:v>2.0765927440228533</c:v>
                </c:pt>
                <c:pt idx="674">
                  <c:v>2.0797343366764434</c:v>
                </c:pt>
                <c:pt idx="675">
                  <c:v>2.082875929330033</c:v>
                </c:pt>
                <c:pt idx="676">
                  <c:v>2.0860175219836226</c:v>
                </c:pt>
                <c:pt idx="677">
                  <c:v>2.0891591146372126</c:v>
                </c:pt>
                <c:pt idx="678">
                  <c:v>2.0923007072908022</c:v>
                </c:pt>
                <c:pt idx="679">
                  <c:v>2.0954422999443922</c:v>
                </c:pt>
                <c:pt idx="680">
                  <c:v>2.0985838925979818</c:v>
                </c:pt>
                <c:pt idx="681">
                  <c:v>2.1017254852515719</c:v>
                </c:pt>
                <c:pt idx="682">
                  <c:v>2.1048670779051615</c:v>
                </c:pt>
                <c:pt idx="683">
                  <c:v>2.1080086705587515</c:v>
                </c:pt>
                <c:pt idx="684">
                  <c:v>2.1111502632123411</c:v>
                </c:pt>
                <c:pt idx="685">
                  <c:v>2.1142918558659307</c:v>
                </c:pt>
                <c:pt idx="686">
                  <c:v>2.1174334485195208</c:v>
                </c:pt>
                <c:pt idx="687">
                  <c:v>2.1205750411731104</c:v>
                </c:pt>
                <c:pt idx="688">
                  <c:v>2.1237166338267004</c:v>
                </c:pt>
                <c:pt idx="689">
                  <c:v>2.12685822648029</c:v>
                </c:pt>
                <c:pt idx="690">
                  <c:v>2.12999981913388</c:v>
                </c:pt>
                <c:pt idx="691">
                  <c:v>2.1331414117874696</c:v>
                </c:pt>
                <c:pt idx="692">
                  <c:v>2.1362830044410597</c:v>
                </c:pt>
                <c:pt idx="693">
                  <c:v>2.1394245970946493</c:v>
                </c:pt>
                <c:pt idx="694">
                  <c:v>2.1425661897482389</c:v>
                </c:pt>
                <c:pt idx="695">
                  <c:v>2.1457077824018289</c:v>
                </c:pt>
                <c:pt idx="696">
                  <c:v>2.1488493750554185</c:v>
                </c:pt>
                <c:pt idx="697">
                  <c:v>2.1519909677090086</c:v>
                </c:pt>
                <c:pt idx="698">
                  <c:v>2.1551325603625981</c:v>
                </c:pt>
                <c:pt idx="699">
                  <c:v>2.1582741530161882</c:v>
                </c:pt>
                <c:pt idx="700">
                  <c:v>2.1614157456697773</c:v>
                </c:pt>
                <c:pt idx="701">
                  <c:v>2.1645573383233674</c:v>
                </c:pt>
                <c:pt idx="702">
                  <c:v>2.167698930976957</c:v>
                </c:pt>
                <c:pt idx="703">
                  <c:v>2.170840523630547</c:v>
                </c:pt>
                <c:pt idx="704">
                  <c:v>2.1739821162841366</c:v>
                </c:pt>
                <c:pt idx="705">
                  <c:v>2.1771237089377267</c:v>
                </c:pt>
                <c:pt idx="706">
                  <c:v>2.1802653015913163</c:v>
                </c:pt>
                <c:pt idx="707">
                  <c:v>2.1834068942449059</c:v>
                </c:pt>
                <c:pt idx="708">
                  <c:v>2.1865484868984959</c:v>
                </c:pt>
                <c:pt idx="709">
                  <c:v>2.1896900795520855</c:v>
                </c:pt>
                <c:pt idx="710">
                  <c:v>2.1928316722056755</c:v>
                </c:pt>
                <c:pt idx="711">
                  <c:v>2.1959732648592651</c:v>
                </c:pt>
                <c:pt idx="712">
                  <c:v>2.1991148575128552</c:v>
                </c:pt>
                <c:pt idx="713">
                  <c:v>2.2022564501664448</c:v>
                </c:pt>
                <c:pt idx="714">
                  <c:v>2.2053980428200348</c:v>
                </c:pt>
                <c:pt idx="715">
                  <c:v>2.2085396354736244</c:v>
                </c:pt>
                <c:pt idx="716">
                  <c:v>2.211681228127214</c:v>
                </c:pt>
                <c:pt idx="717">
                  <c:v>2.2148228207808041</c:v>
                </c:pt>
                <c:pt idx="718">
                  <c:v>2.2179644134343937</c:v>
                </c:pt>
                <c:pt idx="719">
                  <c:v>2.2211060060879837</c:v>
                </c:pt>
                <c:pt idx="720">
                  <c:v>2.2242475987415733</c:v>
                </c:pt>
                <c:pt idx="721">
                  <c:v>2.2273891913951633</c:v>
                </c:pt>
                <c:pt idx="722">
                  <c:v>2.2305307840487529</c:v>
                </c:pt>
                <c:pt idx="723">
                  <c:v>2.233672376702343</c:v>
                </c:pt>
                <c:pt idx="724">
                  <c:v>2.2368139693559326</c:v>
                </c:pt>
                <c:pt idx="725">
                  <c:v>2.2399555620095222</c:v>
                </c:pt>
                <c:pt idx="726">
                  <c:v>2.2430971546631122</c:v>
                </c:pt>
                <c:pt idx="727">
                  <c:v>2.2462387473167018</c:v>
                </c:pt>
                <c:pt idx="728">
                  <c:v>2.2493803399702919</c:v>
                </c:pt>
                <c:pt idx="729">
                  <c:v>2.2525219326238815</c:v>
                </c:pt>
                <c:pt idx="730">
                  <c:v>2.2556635252774715</c:v>
                </c:pt>
                <c:pt idx="731">
                  <c:v>2.2588051179310611</c:v>
                </c:pt>
                <c:pt idx="732">
                  <c:v>2.2619467105846511</c:v>
                </c:pt>
                <c:pt idx="733">
                  <c:v>2.2650883032382407</c:v>
                </c:pt>
                <c:pt idx="734">
                  <c:v>2.2682298958918308</c:v>
                </c:pt>
                <c:pt idx="735">
                  <c:v>2.2713714885454204</c:v>
                </c:pt>
                <c:pt idx="736">
                  <c:v>2.27451308119901</c:v>
                </c:pt>
                <c:pt idx="737">
                  <c:v>2.2776546738526</c:v>
                </c:pt>
                <c:pt idx="738">
                  <c:v>2.2807962665061896</c:v>
                </c:pt>
                <c:pt idx="739">
                  <c:v>2.2839378591597796</c:v>
                </c:pt>
                <c:pt idx="740">
                  <c:v>2.2870794518133692</c:v>
                </c:pt>
                <c:pt idx="741">
                  <c:v>2.2902210444669593</c:v>
                </c:pt>
                <c:pt idx="742">
                  <c:v>2.2933626371205489</c:v>
                </c:pt>
                <c:pt idx="743">
                  <c:v>2.2965042297741389</c:v>
                </c:pt>
                <c:pt idx="744">
                  <c:v>2.2996458224277285</c:v>
                </c:pt>
                <c:pt idx="745">
                  <c:v>2.3027874150813181</c:v>
                </c:pt>
                <c:pt idx="746">
                  <c:v>2.3059290077349082</c:v>
                </c:pt>
                <c:pt idx="747">
                  <c:v>2.3090706003884978</c:v>
                </c:pt>
                <c:pt idx="748">
                  <c:v>2.3122121930420878</c:v>
                </c:pt>
                <c:pt idx="749">
                  <c:v>2.3153537856956774</c:v>
                </c:pt>
                <c:pt idx="750">
                  <c:v>2.3184953783492674</c:v>
                </c:pt>
                <c:pt idx="751">
                  <c:v>2.321636971002857</c:v>
                </c:pt>
                <c:pt idx="752">
                  <c:v>2.3247785636564471</c:v>
                </c:pt>
                <c:pt idx="753">
                  <c:v>2.3279201563100367</c:v>
                </c:pt>
                <c:pt idx="754">
                  <c:v>2.3310617489636263</c:v>
                </c:pt>
                <c:pt idx="755">
                  <c:v>2.3342033416172163</c:v>
                </c:pt>
                <c:pt idx="756">
                  <c:v>2.3373449342708059</c:v>
                </c:pt>
                <c:pt idx="757">
                  <c:v>2.340486526924396</c:v>
                </c:pt>
                <c:pt idx="758">
                  <c:v>2.3436281195779856</c:v>
                </c:pt>
                <c:pt idx="759">
                  <c:v>2.3467697122315756</c:v>
                </c:pt>
                <c:pt idx="760">
                  <c:v>2.3499113048851652</c:v>
                </c:pt>
                <c:pt idx="761">
                  <c:v>2.3530528975387552</c:v>
                </c:pt>
                <c:pt idx="762">
                  <c:v>2.3561944901923448</c:v>
                </c:pt>
                <c:pt idx="763">
                  <c:v>2.3593360828459344</c:v>
                </c:pt>
                <c:pt idx="764">
                  <c:v>2.3624776754995245</c:v>
                </c:pt>
                <c:pt idx="765">
                  <c:v>2.3656192681531141</c:v>
                </c:pt>
                <c:pt idx="766">
                  <c:v>2.3687608608067041</c:v>
                </c:pt>
                <c:pt idx="767">
                  <c:v>2.3719024534602937</c:v>
                </c:pt>
                <c:pt idx="768">
                  <c:v>2.3750440461138838</c:v>
                </c:pt>
                <c:pt idx="769">
                  <c:v>2.3781856387674734</c:v>
                </c:pt>
                <c:pt idx="770">
                  <c:v>2.3813272314210634</c:v>
                </c:pt>
                <c:pt idx="771">
                  <c:v>2.384468824074653</c:v>
                </c:pt>
                <c:pt idx="772">
                  <c:v>2.3876104167282426</c:v>
                </c:pt>
                <c:pt idx="773">
                  <c:v>2.3907520093818326</c:v>
                </c:pt>
                <c:pt idx="774">
                  <c:v>2.3938936020354222</c:v>
                </c:pt>
                <c:pt idx="775">
                  <c:v>2.3970351946890123</c:v>
                </c:pt>
                <c:pt idx="776">
                  <c:v>2.4001767873426019</c:v>
                </c:pt>
                <c:pt idx="777">
                  <c:v>2.4033183799961919</c:v>
                </c:pt>
                <c:pt idx="778">
                  <c:v>2.4064599726497815</c:v>
                </c:pt>
                <c:pt idx="779">
                  <c:v>2.4096015653033716</c:v>
                </c:pt>
                <c:pt idx="780">
                  <c:v>2.4127431579569611</c:v>
                </c:pt>
                <c:pt idx="781">
                  <c:v>2.4158847506105507</c:v>
                </c:pt>
                <c:pt idx="782">
                  <c:v>2.4190263432641408</c:v>
                </c:pt>
                <c:pt idx="783">
                  <c:v>2.4221679359177304</c:v>
                </c:pt>
                <c:pt idx="784">
                  <c:v>2.4253095285713204</c:v>
                </c:pt>
                <c:pt idx="785">
                  <c:v>2.42845112122491</c:v>
                </c:pt>
                <c:pt idx="786">
                  <c:v>2.4315927138785001</c:v>
                </c:pt>
                <c:pt idx="787">
                  <c:v>2.4347343065320897</c:v>
                </c:pt>
                <c:pt idx="788">
                  <c:v>2.4378758991856797</c:v>
                </c:pt>
                <c:pt idx="789">
                  <c:v>2.4410174918392693</c:v>
                </c:pt>
                <c:pt idx="790">
                  <c:v>2.4441590844928589</c:v>
                </c:pt>
                <c:pt idx="791">
                  <c:v>2.4473006771464489</c:v>
                </c:pt>
                <c:pt idx="792">
                  <c:v>2.4504422698000385</c:v>
                </c:pt>
                <c:pt idx="793">
                  <c:v>2.4535838624536286</c:v>
                </c:pt>
                <c:pt idx="794">
                  <c:v>2.4567254551072182</c:v>
                </c:pt>
                <c:pt idx="795">
                  <c:v>2.4598670477608082</c:v>
                </c:pt>
                <c:pt idx="796">
                  <c:v>2.4630086404143978</c:v>
                </c:pt>
                <c:pt idx="797">
                  <c:v>2.4661502330679879</c:v>
                </c:pt>
                <c:pt idx="798">
                  <c:v>2.4692918257215775</c:v>
                </c:pt>
                <c:pt idx="799">
                  <c:v>2.4724334183751675</c:v>
                </c:pt>
                <c:pt idx="800">
                  <c:v>2.4755750110287571</c:v>
                </c:pt>
                <c:pt idx="801">
                  <c:v>2.4787166036823467</c:v>
                </c:pt>
                <c:pt idx="802">
                  <c:v>2.4818581963359367</c:v>
                </c:pt>
                <c:pt idx="803">
                  <c:v>2.4849997889895263</c:v>
                </c:pt>
                <c:pt idx="804">
                  <c:v>2.4881413816431164</c:v>
                </c:pt>
                <c:pt idx="805">
                  <c:v>2.491282974296706</c:v>
                </c:pt>
                <c:pt idx="806">
                  <c:v>2.494424566950296</c:v>
                </c:pt>
                <c:pt idx="807">
                  <c:v>2.4975661596038856</c:v>
                </c:pt>
                <c:pt idx="808">
                  <c:v>2.5007077522574757</c:v>
                </c:pt>
                <c:pt idx="809">
                  <c:v>2.5038493449110653</c:v>
                </c:pt>
                <c:pt idx="810">
                  <c:v>2.5069909375646549</c:v>
                </c:pt>
                <c:pt idx="811">
                  <c:v>2.5101325302182449</c:v>
                </c:pt>
                <c:pt idx="812">
                  <c:v>2.5132741228718345</c:v>
                </c:pt>
                <c:pt idx="813">
                  <c:v>2.5164157155254245</c:v>
                </c:pt>
                <c:pt idx="814">
                  <c:v>2.5195573081790141</c:v>
                </c:pt>
                <c:pt idx="815">
                  <c:v>2.5226989008326042</c:v>
                </c:pt>
                <c:pt idx="816">
                  <c:v>2.5258404934861938</c:v>
                </c:pt>
                <c:pt idx="817">
                  <c:v>2.5289820861397838</c:v>
                </c:pt>
                <c:pt idx="818">
                  <c:v>2.5321236787933734</c:v>
                </c:pt>
                <c:pt idx="819">
                  <c:v>2.535265271446963</c:v>
                </c:pt>
                <c:pt idx="820">
                  <c:v>2.5384068641005531</c:v>
                </c:pt>
                <c:pt idx="821">
                  <c:v>2.5415484567541426</c:v>
                </c:pt>
                <c:pt idx="822">
                  <c:v>2.5446900494077327</c:v>
                </c:pt>
                <c:pt idx="823">
                  <c:v>2.5478316420613223</c:v>
                </c:pt>
                <c:pt idx="824">
                  <c:v>2.5509732347149123</c:v>
                </c:pt>
                <c:pt idx="825">
                  <c:v>2.5541148273685015</c:v>
                </c:pt>
                <c:pt idx="826">
                  <c:v>2.5572564200220915</c:v>
                </c:pt>
                <c:pt idx="827">
                  <c:v>2.5603980126756811</c:v>
                </c:pt>
                <c:pt idx="828">
                  <c:v>2.5635396053292712</c:v>
                </c:pt>
                <c:pt idx="829">
                  <c:v>2.5666811979828608</c:v>
                </c:pt>
                <c:pt idx="830">
                  <c:v>2.5698227906364508</c:v>
                </c:pt>
                <c:pt idx="831">
                  <c:v>2.5729643832900404</c:v>
                </c:pt>
                <c:pt idx="832">
                  <c:v>2.57610597594363</c:v>
                </c:pt>
                <c:pt idx="833">
                  <c:v>2.57924756859722</c:v>
                </c:pt>
                <c:pt idx="834">
                  <c:v>2.5823891612508096</c:v>
                </c:pt>
                <c:pt idx="835">
                  <c:v>2.5855307539043997</c:v>
                </c:pt>
                <c:pt idx="836">
                  <c:v>2.5886723465579893</c:v>
                </c:pt>
                <c:pt idx="837">
                  <c:v>2.5918139392115793</c:v>
                </c:pt>
                <c:pt idx="838">
                  <c:v>2.5949555318651689</c:v>
                </c:pt>
                <c:pt idx="839">
                  <c:v>2.598097124518759</c:v>
                </c:pt>
                <c:pt idx="840">
                  <c:v>2.6012387171723486</c:v>
                </c:pt>
                <c:pt idx="841">
                  <c:v>2.6043803098259382</c:v>
                </c:pt>
                <c:pt idx="842">
                  <c:v>2.6075219024795282</c:v>
                </c:pt>
                <c:pt idx="843">
                  <c:v>2.6106634951331178</c:v>
                </c:pt>
                <c:pt idx="844">
                  <c:v>2.6138050877867078</c:v>
                </c:pt>
                <c:pt idx="845">
                  <c:v>2.6169466804402974</c:v>
                </c:pt>
                <c:pt idx="846">
                  <c:v>2.6200882730938875</c:v>
                </c:pt>
                <c:pt idx="847">
                  <c:v>2.6232298657474771</c:v>
                </c:pt>
                <c:pt idx="848">
                  <c:v>2.6263714584010671</c:v>
                </c:pt>
                <c:pt idx="849">
                  <c:v>2.6295130510546567</c:v>
                </c:pt>
                <c:pt idx="850">
                  <c:v>2.6326546437082463</c:v>
                </c:pt>
                <c:pt idx="851">
                  <c:v>2.6357962363618364</c:v>
                </c:pt>
                <c:pt idx="852">
                  <c:v>2.638937829015426</c:v>
                </c:pt>
                <c:pt idx="853">
                  <c:v>2.642079421669016</c:v>
                </c:pt>
                <c:pt idx="854">
                  <c:v>2.6452210143226056</c:v>
                </c:pt>
                <c:pt idx="855">
                  <c:v>2.6483626069761956</c:v>
                </c:pt>
                <c:pt idx="856">
                  <c:v>2.6515041996297852</c:v>
                </c:pt>
                <c:pt idx="857">
                  <c:v>2.6546457922833753</c:v>
                </c:pt>
                <c:pt idx="858">
                  <c:v>2.6577873849369649</c:v>
                </c:pt>
                <c:pt idx="859">
                  <c:v>2.6609289775905549</c:v>
                </c:pt>
                <c:pt idx="860">
                  <c:v>2.6640705702441445</c:v>
                </c:pt>
                <c:pt idx="861">
                  <c:v>2.6672121628977341</c:v>
                </c:pt>
                <c:pt idx="862">
                  <c:v>2.6703537555513241</c:v>
                </c:pt>
                <c:pt idx="863">
                  <c:v>2.6734953482049137</c:v>
                </c:pt>
                <c:pt idx="864">
                  <c:v>2.6766369408585038</c:v>
                </c:pt>
                <c:pt idx="865">
                  <c:v>2.6797785335120934</c:v>
                </c:pt>
                <c:pt idx="866">
                  <c:v>2.6829201261656834</c:v>
                </c:pt>
                <c:pt idx="867">
                  <c:v>2.686061718819273</c:v>
                </c:pt>
                <c:pt idx="868">
                  <c:v>2.6892033114728631</c:v>
                </c:pt>
                <c:pt idx="869">
                  <c:v>2.6923449041264527</c:v>
                </c:pt>
                <c:pt idx="870">
                  <c:v>2.6954864967800423</c:v>
                </c:pt>
                <c:pt idx="871">
                  <c:v>2.6986280894336323</c:v>
                </c:pt>
                <c:pt idx="872">
                  <c:v>2.7017696820872219</c:v>
                </c:pt>
                <c:pt idx="873">
                  <c:v>2.7049112747408119</c:v>
                </c:pt>
                <c:pt idx="874">
                  <c:v>2.7080528673944015</c:v>
                </c:pt>
                <c:pt idx="875">
                  <c:v>2.7111944600479916</c:v>
                </c:pt>
                <c:pt idx="876">
                  <c:v>2.7143360527015812</c:v>
                </c:pt>
                <c:pt idx="877">
                  <c:v>2.7174776453551712</c:v>
                </c:pt>
                <c:pt idx="878">
                  <c:v>2.7206192380087608</c:v>
                </c:pt>
                <c:pt idx="879">
                  <c:v>2.7237608306623504</c:v>
                </c:pt>
                <c:pt idx="880">
                  <c:v>2.7269024233159405</c:v>
                </c:pt>
                <c:pt idx="881">
                  <c:v>2.7300440159695301</c:v>
                </c:pt>
                <c:pt idx="882">
                  <c:v>2.7331856086231201</c:v>
                </c:pt>
                <c:pt idx="883">
                  <c:v>2.7363272012767097</c:v>
                </c:pt>
                <c:pt idx="884">
                  <c:v>2.7394687939302997</c:v>
                </c:pt>
                <c:pt idx="885">
                  <c:v>2.7426103865838893</c:v>
                </c:pt>
                <c:pt idx="886">
                  <c:v>2.7457519792374794</c:v>
                </c:pt>
                <c:pt idx="887">
                  <c:v>2.748893571891069</c:v>
                </c:pt>
                <c:pt idx="888">
                  <c:v>2.7520351645446586</c:v>
                </c:pt>
                <c:pt idx="889">
                  <c:v>2.7551767571982486</c:v>
                </c:pt>
                <c:pt idx="890">
                  <c:v>2.7583183498518382</c:v>
                </c:pt>
                <c:pt idx="891">
                  <c:v>2.7614599425054283</c:v>
                </c:pt>
                <c:pt idx="892">
                  <c:v>2.7646015351590179</c:v>
                </c:pt>
                <c:pt idx="893">
                  <c:v>2.7677431278126079</c:v>
                </c:pt>
                <c:pt idx="894">
                  <c:v>2.7708847204661975</c:v>
                </c:pt>
                <c:pt idx="895">
                  <c:v>2.7740263131197875</c:v>
                </c:pt>
                <c:pt idx="896">
                  <c:v>2.7771679057733771</c:v>
                </c:pt>
                <c:pt idx="897">
                  <c:v>2.7803094984269667</c:v>
                </c:pt>
                <c:pt idx="898">
                  <c:v>2.7834510910805568</c:v>
                </c:pt>
                <c:pt idx="899">
                  <c:v>2.7865926837341464</c:v>
                </c:pt>
                <c:pt idx="900">
                  <c:v>2.7897342763877364</c:v>
                </c:pt>
                <c:pt idx="901">
                  <c:v>2.792875869041326</c:v>
                </c:pt>
                <c:pt idx="902">
                  <c:v>2.7960174616949161</c:v>
                </c:pt>
                <c:pt idx="903">
                  <c:v>2.7991590543485056</c:v>
                </c:pt>
                <c:pt idx="904">
                  <c:v>2.8023006470020957</c:v>
                </c:pt>
                <c:pt idx="905">
                  <c:v>2.8054422396556853</c:v>
                </c:pt>
                <c:pt idx="906">
                  <c:v>2.8085838323092749</c:v>
                </c:pt>
                <c:pt idx="907">
                  <c:v>2.8117254249628649</c:v>
                </c:pt>
                <c:pt idx="908">
                  <c:v>2.8148670176164545</c:v>
                </c:pt>
                <c:pt idx="909">
                  <c:v>2.8180086102700446</c:v>
                </c:pt>
                <c:pt idx="910">
                  <c:v>2.8211502029236342</c:v>
                </c:pt>
                <c:pt idx="911">
                  <c:v>2.8242917955772242</c:v>
                </c:pt>
                <c:pt idx="912">
                  <c:v>2.8274333882308138</c:v>
                </c:pt>
                <c:pt idx="913">
                  <c:v>2.8305749808844038</c:v>
                </c:pt>
                <c:pt idx="914">
                  <c:v>2.8337165735379934</c:v>
                </c:pt>
                <c:pt idx="915">
                  <c:v>2.836858166191583</c:v>
                </c:pt>
                <c:pt idx="916">
                  <c:v>2.8399997588451731</c:v>
                </c:pt>
                <c:pt idx="917">
                  <c:v>2.8431413514987627</c:v>
                </c:pt>
                <c:pt idx="918">
                  <c:v>2.8462829441523527</c:v>
                </c:pt>
                <c:pt idx="919">
                  <c:v>2.8494245368059423</c:v>
                </c:pt>
                <c:pt idx="920">
                  <c:v>2.8525661294595324</c:v>
                </c:pt>
                <c:pt idx="921">
                  <c:v>2.855707722113122</c:v>
                </c:pt>
                <c:pt idx="922">
                  <c:v>2.858849314766712</c:v>
                </c:pt>
                <c:pt idx="923">
                  <c:v>2.8619909074203016</c:v>
                </c:pt>
                <c:pt idx="924">
                  <c:v>2.8651325000738916</c:v>
                </c:pt>
                <c:pt idx="925">
                  <c:v>2.8682740927274812</c:v>
                </c:pt>
                <c:pt idx="926">
                  <c:v>2.8714156853810708</c:v>
                </c:pt>
                <c:pt idx="927">
                  <c:v>2.8745572780346609</c:v>
                </c:pt>
                <c:pt idx="928">
                  <c:v>2.8776988706882505</c:v>
                </c:pt>
                <c:pt idx="929">
                  <c:v>2.8808404633418405</c:v>
                </c:pt>
                <c:pt idx="930">
                  <c:v>2.8839820559954301</c:v>
                </c:pt>
                <c:pt idx="931">
                  <c:v>2.8871236486490202</c:v>
                </c:pt>
                <c:pt idx="932">
                  <c:v>2.8902652413026098</c:v>
                </c:pt>
                <c:pt idx="933">
                  <c:v>2.8934068339561998</c:v>
                </c:pt>
                <c:pt idx="934">
                  <c:v>2.8965484266097894</c:v>
                </c:pt>
                <c:pt idx="935">
                  <c:v>2.899690019263379</c:v>
                </c:pt>
                <c:pt idx="936">
                  <c:v>2.902831611916969</c:v>
                </c:pt>
                <c:pt idx="937">
                  <c:v>2.9059732045705586</c:v>
                </c:pt>
                <c:pt idx="938">
                  <c:v>2.9091147972241487</c:v>
                </c:pt>
                <c:pt idx="939">
                  <c:v>2.9122563898777383</c:v>
                </c:pt>
                <c:pt idx="940">
                  <c:v>2.9153979825313283</c:v>
                </c:pt>
                <c:pt idx="941">
                  <c:v>2.9185395751849179</c:v>
                </c:pt>
                <c:pt idx="942">
                  <c:v>2.921681167838508</c:v>
                </c:pt>
                <c:pt idx="943">
                  <c:v>2.9248227604920976</c:v>
                </c:pt>
                <c:pt idx="944">
                  <c:v>2.9279643531456871</c:v>
                </c:pt>
                <c:pt idx="945">
                  <c:v>2.9311059457992772</c:v>
                </c:pt>
                <c:pt idx="946">
                  <c:v>2.9342475384528668</c:v>
                </c:pt>
                <c:pt idx="947">
                  <c:v>2.9373891311064568</c:v>
                </c:pt>
                <c:pt idx="948">
                  <c:v>2.9405307237600464</c:v>
                </c:pt>
                <c:pt idx="949">
                  <c:v>2.9436723164136365</c:v>
                </c:pt>
                <c:pt idx="950">
                  <c:v>2.9468139090672256</c:v>
                </c:pt>
                <c:pt idx="951">
                  <c:v>2.9499555017208157</c:v>
                </c:pt>
                <c:pt idx="952">
                  <c:v>2.9530970943744053</c:v>
                </c:pt>
                <c:pt idx="953">
                  <c:v>2.9562386870279953</c:v>
                </c:pt>
                <c:pt idx="954">
                  <c:v>2.9593802796815849</c:v>
                </c:pt>
                <c:pt idx="955">
                  <c:v>2.9625218723351749</c:v>
                </c:pt>
                <c:pt idx="956">
                  <c:v>2.9656634649887645</c:v>
                </c:pt>
                <c:pt idx="957">
                  <c:v>2.9688050576423541</c:v>
                </c:pt>
                <c:pt idx="958">
                  <c:v>2.9719466502959442</c:v>
                </c:pt>
                <c:pt idx="959">
                  <c:v>2.9750882429495338</c:v>
                </c:pt>
                <c:pt idx="960">
                  <c:v>2.9782298356031238</c:v>
                </c:pt>
                <c:pt idx="961">
                  <c:v>2.9813714282567134</c:v>
                </c:pt>
                <c:pt idx="962">
                  <c:v>2.9845130209103035</c:v>
                </c:pt>
                <c:pt idx="963">
                  <c:v>2.9876546135638931</c:v>
                </c:pt>
                <c:pt idx="964">
                  <c:v>2.9907962062174831</c:v>
                </c:pt>
                <c:pt idx="965">
                  <c:v>2.9939377988710727</c:v>
                </c:pt>
                <c:pt idx="966">
                  <c:v>2.9970793915246623</c:v>
                </c:pt>
                <c:pt idx="967">
                  <c:v>3.0002209841782523</c:v>
                </c:pt>
                <c:pt idx="968">
                  <c:v>3.0033625768318419</c:v>
                </c:pt>
                <c:pt idx="969">
                  <c:v>3.006504169485432</c:v>
                </c:pt>
                <c:pt idx="970">
                  <c:v>3.0096457621390216</c:v>
                </c:pt>
                <c:pt idx="971">
                  <c:v>3.0127873547926116</c:v>
                </c:pt>
                <c:pt idx="972">
                  <c:v>3.0159289474462012</c:v>
                </c:pt>
                <c:pt idx="973">
                  <c:v>3.0190705400997913</c:v>
                </c:pt>
                <c:pt idx="974">
                  <c:v>3.0222121327533809</c:v>
                </c:pt>
                <c:pt idx="975">
                  <c:v>3.0253537254069705</c:v>
                </c:pt>
                <c:pt idx="976">
                  <c:v>3.0284953180605605</c:v>
                </c:pt>
                <c:pt idx="977">
                  <c:v>3.0316369107141501</c:v>
                </c:pt>
                <c:pt idx="978">
                  <c:v>3.0347785033677401</c:v>
                </c:pt>
                <c:pt idx="979">
                  <c:v>3.0379200960213297</c:v>
                </c:pt>
                <c:pt idx="980">
                  <c:v>3.0410616886749198</c:v>
                </c:pt>
                <c:pt idx="981">
                  <c:v>3.0442032813285094</c:v>
                </c:pt>
                <c:pt idx="982">
                  <c:v>3.0473448739820994</c:v>
                </c:pt>
                <c:pt idx="983">
                  <c:v>3.050486466635689</c:v>
                </c:pt>
                <c:pt idx="984">
                  <c:v>3.0536280592892791</c:v>
                </c:pt>
                <c:pt idx="985">
                  <c:v>3.0567696519428686</c:v>
                </c:pt>
                <c:pt idx="986">
                  <c:v>3.0599112445964582</c:v>
                </c:pt>
                <c:pt idx="987">
                  <c:v>3.0630528372500483</c:v>
                </c:pt>
                <c:pt idx="988">
                  <c:v>3.0661944299036379</c:v>
                </c:pt>
                <c:pt idx="989">
                  <c:v>3.0693360225572279</c:v>
                </c:pt>
                <c:pt idx="990">
                  <c:v>3.0724776152108175</c:v>
                </c:pt>
                <c:pt idx="991">
                  <c:v>3.0756192078644076</c:v>
                </c:pt>
                <c:pt idx="992">
                  <c:v>3.0787608005179972</c:v>
                </c:pt>
                <c:pt idx="993">
                  <c:v>3.0819023931715872</c:v>
                </c:pt>
                <c:pt idx="994">
                  <c:v>3.0850439858251768</c:v>
                </c:pt>
                <c:pt idx="995">
                  <c:v>3.0881855784787664</c:v>
                </c:pt>
                <c:pt idx="996">
                  <c:v>3.0913271711323564</c:v>
                </c:pt>
                <c:pt idx="997">
                  <c:v>3.094468763785946</c:v>
                </c:pt>
                <c:pt idx="998">
                  <c:v>3.0976103564395361</c:v>
                </c:pt>
                <c:pt idx="999">
                  <c:v>3.1007519490931257</c:v>
                </c:pt>
                <c:pt idx="1000">
                  <c:v>3.1038935417467157</c:v>
                </c:pt>
                <c:pt idx="1001">
                  <c:v>3.1070351344003053</c:v>
                </c:pt>
                <c:pt idx="1002">
                  <c:v>3.1101767270538954</c:v>
                </c:pt>
                <c:pt idx="1003">
                  <c:v>3.113318319707485</c:v>
                </c:pt>
                <c:pt idx="1004">
                  <c:v>3.1164599123610746</c:v>
                </c:pt>
                <c:pt idx="1005">
                  <c:v>3.1196015050146646</c:v>
                </c:pt>
                <c:pt idx="1006">
                  <c:v>3.1227430976682542</c:v>
                </c:pt>
                <c:pt idx="1007">
                  <c:v>3.1258846903218442</c:v>
                </c:pt>
                <c:pt idx="1008">
                  <c:v>3.1290262829754338</c:v>
                </c:pt>
                <c:pt idx="1009">
                  <c:v>3.1321678756290239</c:v>
                </c:pt>
                <c:pt idx="1010">
                  <c:v>3.1353094682826135</c:v>
                </c:pt>
                <c:pt idx="1011">
                  <c:v>3.1384510609362035</c:v>
                </c:pt>
                <c:pt idx="1012">
                  <c:v>3.1412784943244341</c:v>
                </c:pt>
                <c:pt idx="1013">
                  <c:v>3.1415612376632573</c:v>
                </c:pt>
                <c:pt idx="1014">
                  <c:v>3.1415895119971395</c:v>
                </c:pt>
                <c:pt idx="1015">
                  <c:v>3.1415923394305278</c:v>
                </c:pt>
                <c:pt idx="1016">
                  <c:v>3.1415926221738664</c:v>
                </c:pt>
                <c:pt idx="1017">
                  <c:v>3.1415926504482004</c:v>
                </c:pt>
                <c:pt idx="1018">
                  <c:v>3.1415926532756338</c:v>
                </c:pt>
                <c:pt idx="1019">
                  <c:v>3.1415926535897931</c:v>
                </c:pt>
              </c:numCache>
            </c:numRef>
          </c:xVal>
          <c:yVal>
            <c:numRef>
              <c:f>Sheet1!$AJ$25:$AJ$1044</c:f>
              <c:numCache>
                <c:formatCode>General</c:formatCode>
                <c:ptCount val="1020"/>
                <c:pt idx="0">
                  <c:v>0.69314718055994717</c:v>
                </c:pt>
                <c:pt idx="1">
                  <c:v>0.69314718055994717</c:v>
                </c:pt>
                <c:pt idx="2">
                  <c:v>0.69314718055994007</c:v>
                </c:pt>
                <c:pt idx="3">
                  <c:v>0.6931471805598477</c:v>
                </c:pt>
                <c:pt idx="4">
                  <c:v>0.69314718055894531</c:v>
                </c:pt>
                <c:pt idx="5">
                  <c:v>0.69314718054994984</c:v>
                </c:pt>
                <c:pt idx="6">
                  <c:v>0.69314718045994539</c:v>
                </c:pt>
                <c:pt idx="7">
                  <c:v>0.69314717955995064</c:v>
                </c:pt>
                <c:pt idx="8">
                  <c:v>0.69314717055994635</c:v>
                </c:pt>
                <c:pt idx="9">
                  <c:v>0.6931470805599389</c:v>
                </c:pt>
                <c:pt idx="10">
                  <c:v>0.69314618055944521</c:v>
                </c:pt>
                <c:pt idx="11">
                  <c:v>0.69313718050995021</c:v>
                </c:pt>
                <c:pt idx="12">
                  <c:v>0.69304717555961304</c:v>
                </c:pt>
                <c:pt idx="13">
                  <c:v>0.69214668022636516</c:v>
                </c:pt>
                <c:pt idx="14">
                  <c:v>0.69114517788927543</c:v>
                </c:pt>
                <c:pt idx="15">
                  <c:v>0.69014267153964681</c:v>
                </c:pt>
                <c:pt idx="16">
                  <c:v>0.68913915916240853</c:v>
                </c:pt>
                <c:pt idx="17">
                  <c:v>0.68813463873640046</c:v>
                </c:pt>
                <c:pt idx="18">
                  <c:v>0.68712910823438733</c:v>
                </c:pt>
                <c:pt idx="19">
                  <c:v>0.68612256562298057</c:v>
                </c:pt>
                <c:pt idx="20">
                  <c:v>0.68511500886268095</c:v>
                </c:pt>
                <c:pt idx="21">
                  <c:v>0.6841064359078004</c:v>
                </c:pt>
                <c:pt idx="22">
                  <c:v>0.68309684470644783</c:v>
                </c:pt>
                <c:pt idx="23">
                  <c:v>0.68208623320052197</c:v>
                </c:pt>
                <c:pt idx="24">
                  <c:v>0.68107459932567593</c:v>
                </c:pt>
                <c:pt idx="25">
                  <c:v>0.6800619410112887</c:v>
                </c:pt>
                <c:pt idx="26">
                  <c:v>0.67904825618044384</c:v>
                </c:pt>
                <c:pt idx="27">
                  <c:v>0.67803354274990113</c:v>
                </c:pt>
                <c:pt idx="28">
                  <c:v>0.67701779863006095</c:v>
                </c:pt>
                <c:pt idx="29">
                  <c:v>0.67600102172497856</c:v>
                </c:pt>
                <c:pt idx="30">
                  <c:v>0.67498320993227878</c:v>
                </c:pt>
                <c:pt idx="31">
                  <c:v>0.67396436114317027</c:v>
                </c:pt>
                <c:pt idx="32">
                  <c:v>0.67294447324243123</c:v>
                </c:pt>
                <c:pt idx="33">
                  <c:v>0.67192354410831712</c:v>
                </c:pt>
                <c:pt idx="34">
                  <c:v>0.67090157161262454</c:v>
                </c:pt>
                <c:pt idx="35">
                  <c:v>0.66987855362059179</c:v>
                </c:pt>
                <c:pt idx="36">
                  <c:v>0.66885448799090597</c:v>
                </c:pt>
                <c:pt idx="37">
                  <c:v>0.66782937257566033</c:v>
                </c:pt>
                <c:pt idx="38">
                  <c:v>0.66680320522034719</c:v>
                </c:pt>
                <c:pt idx="39">
                  <c:v>0.6657759837638153</c:v>
                </c:pt>
                <c:pt idx="40">
                  <c:v>0.66474770603824851</c:v>
                </c:pt>
                <c:pt idx="41">
                  <c:v>0.66371836986913735</c:v>
                </c:pt>
                <c:pt idx="42">
                  <c:v>0.66268797307523641</c:v>
                </c:pt>
                <c:pt idx="43">
                  <c:v>0.66165651346857857</c:v>
                </c:pt>
                <c:pt idx="44">
                  <c:v>0.66062398885438967</c:v>
                </c:pt>
                <c:pt idx="45">
                  <c:v>0.65959039703110278</c:v>
                </c:pt>
                <c:pt idx="46">
                  <c:v>0.65855573579032978</c:v>
                </c:pt>
                <c:pt idx="47">
                  <c:v>0.65752000291679735</c:v>
                </c:pt>
                <c:pt idx="48">
                  <c:v>0.65648319618835416</c:v>
                </c:pt>
                <c:pt idx="49">
                  <c:v>0.65544531337593526</c:v>
                </c:pt>
                <c:pt idx="50">
                  <c:v>0.65440635224351951</c:v>
                </c:pt>
                <c:pt idx="51">
                  <c:v>0.65336631054810113</c:v>
                </c:pt>
                <c:pt idx="52">
                  <c:v>0.6523251860396897</c:v>
                </c:pt>
                <c:pt idx="53">
                  <c:v>0.65128297646124622</c:v>
                </c:pt>
                <c:pt idx="54">
                  <c:v>0.6502396795486689</c:v>
                </c:pt>
                <c:pt idx="55">
                  <c:v>0.64919529303076473</c:v>
                </c:pt>
                <c:pt idx="56">
                  <c:v>0.64814981462921395</c:v>
                </c:pt>
                <c:pt idx="57">
                  <c:v>0.64710324205854164</c:v>
                </c:pt>
                <c:pt idx="58">
                  <c:v>0.6460555730260964</c:v>
                </c:pt>
                <c:pt idx="59">
                  <c:v>0.64500680523201481</c:v>
                </c:pt>
                <c:pt idx="60">
                  <c:v>0.64395693636917883</c:v>
                </c:pt>
                <c:pt idx="61">
                  <c:v>0.64290596412320156</c:v>
                </c:pt>
                <c:pt idx="62">
                  <c:v>0.6418538861723988</c:v>
                </c:pt>
                <c:pt idx="63">
                  <c:v>0.64080070018773938</c:v>
                </c:pt>
                <c:pt idx="64">
                  <c:v>0.63974640383283088</c:v>
                </c:pt>
                <c:pt idx="65">
                  <c:v>0.63869099476389124</c:v>
                </c:pt>
                <c:pt idx="66">
                  <c:v>0.63763447062969192</c:v>
                </c:pt>
                <c:pt idx="67">
                  <c:v>0.63657682907155078</c:v>
                </c:pt>
                <c:pt idx="68">
                  <c:v>0.63551806772331076</c:v>
                </c:pt>
                <c:pt idx="69">
                  <c:v>0.63445818421126887</c:v>
                </c:pt>
                <c:pt idx="70">
                  <c:v>0.63339717615417612</c:v>
                </c:pt>
                <c:pt idx="71">
                  <c:v>0.63233504116318784</c:v>
                </c:pt>
                <c:pt idx="72">
                  <c:v>0.63127177684185654</c:v>
                </c:pt>
                <c:pt idx="73">
                  <c:v>0.63020738078607508</c:v>
                </c:pt>
                <c:pt idx="74">
                  <c:v>0.62914185058403405</c:v>
                </c:pt>
                <c:pt idx="75">
                  <c:v>0.62807518381623595</c:v>
                </c:pt>
                <c:pt idx="76">
                  <c:v>0.62700737805540285</c:v>
                </c:pt>
                <c:pt idx="77">
                  <c:v>0.6259384308664977</c:v>
                </c:pt>
                <c:pt idx="78">
                  <c:v>0.62486833980665324</c:v>
                </c:pt>
                <c:pt idx="79">
                  <c:v>0.62379710242515074</c:v>
                </c:pt>
                <c:pt idx="80">
                  <c:v>0.62272471626339865</c:v>
                </c:pt>
                <c:pt idx="81">
                  <c:v>0.62165117885487575</c:v>
                </c:pt>
                <c:pt idx="82">
                  <c:v>0.62057648772510987</c:v>
                </c:pt>
                <c:pt idx="83">
                  <c:v>0.61950064039164943</c:v>
                </c:pt>
                <c:pt idx="84">
                  <c:v>0.61842363436401371</c:v>
                </c:pt>
                <c:pt idx="85">
                  <c:v>0.61734546714366445</c:v>
                </c:pt>
                <c:pt idx="86">
                  <c:v>0.61626613622399162</c:v>
                </c:pt>
                <c:pt idx="87">
                  <c:v>0.61518563909023527</c:v>
                </c:pt>
                <c:pt idx="88">
                  <c:v>0.61410397321949262</c:v>
                </c:pt>
                <c:pt idx="89">
                  <c:v>0.61302113608066122</c:v>
                </c:pt>
                <c:pt idx="90">
                  <c:v>0.61193712513440346</c:v>
                </c:pt>
                <c:pt idx="91">
                  <c:v>0.61085193783311809</c:v>
                </c:pt>
                <c:pt idx="92">
                  <c:v>0.60976557162089762</c:v>
                </c:pt>
                <c:pt idx="93">
                  <c:v>0.6086780239334999</c:v>
                </c:pt>
                <c:pt idx="94">
                  <c:v>0.60758929219829838</c:v>
                </c:pt>
                <c:pt idx="95">
                  <c:v>0.60649937383427499</c:v>
                </c:pt>
                <c:pt idx="96">
                  <c:v>0.605408266251942</c:v>
                </c:pt>
                <c:pt idx="97">
                  <c:v>0.60431596685333488</c:v>
                </c:pt>
                <c:pt idx="98">
                  <c:v>0.60322247303196264</c:v>
                </c:pt>
                <c:pt idx="99">
                  <c:v>0.60212778217277929</c:v>
                </c:pt>
                <c:pt idx="100">
                  <c:v>0.60103189165214133</c:v>
                </c:pt>
                <c:pt idx="101">
                  <c:v>0.59993479883776502</c:v>
                </c:pt>
                <c:pt idx="102">
                  <c:v>0.59883650108870512</c:v>
                </c:pt>
                <c:pt idx="103">
                  <c:v>0.59773699575529093</c:v>
                </c:pt>
                <c:pt idx="104">
                  <c:v>0.59663628017910497</c:v>
                </c:pt>
                <c:pt idx="105">
                  <c:v>0.59553435169294744</c:v>
                </c:pt>
                <c:pt idx="106">
                  <c:v>0.59443120762078649</c:v>
                </c:pt>
                <c:pt idx="107">
                  <c:v>0.59332684527773694</c:v>
                </c:pt>
                <c:pt idx="108">
                  <c:v>0.59222126196998914</c:v>
                </c:pt>
                <c:pt idx="109">
                  <c:v>0.59111445499479487</c:v>
                </c:pt>
                <c:pt idx="110">
                  <c:v>0.59000642164043171</c:v>
                </c:pt>
                <c:pt idx="111">
                  <c:v>0.58889715918614627</c:v>
                </c:pt>
                <c:pt idx="112">
                  <c:v>0.58778666490211862</c:v>
                </c:pt>
                <c:pt idx="113">
                  <c:v>0.58667493604943388</c:v>
                </c:pt>
                <c:pt idx="114">
                  <c:v>0.58556196988001119</c:v>
                </c:pt>
                <c:pt idx="115">
                  <c:v>0.58444776363660367</c:v>
                </c:pt>
                <c:pt idx="116">
                  <c:v>0.58333231455274159</c:v>
                </c:pt>
                <c:pt idx="117">
                  <c:v>0.58221561985266845</c:v>
                </c:pt>
                <c:pt idx="118">
                  <c:v>0.58109767675132673</c:v>
                </c:pt>
                <c:pt idx="119">
                  <c:v>0.57997848245430816</c:v>
                </c:pt>
                <c:pt idx="120">
                  <c:v>0.57885803415781822</c:v>
                </c:pt>
                <c:pt idx="121">
                  <c:v>0.57773632904861927</c:v>
                </c:pt>
                <c:pt idx="122">
                  <c:v>0.57661336430399501</c:v>
                </c:pt>
                <c:pt idx="123">
                  <c:v>0.57548913709171501</c:v>
                </c:pt>
                <c:pt idx="124">
                  <c:v>0.57436364456997779</c:v>
                </c:pt>
                <c:pt idx="125">
                  <c:v>0.57323688388738958</c:v>
                </c:pt>
                <c:pt idx="126">
                  <c:v>0.5721088521828932</c:v>
                </c:pt>
                <c:pt idx="127">
                  <c:v>0.57097954658573968</c:v>
                </c:pt>
                <c:pt idx="128">
                  <c:v>0.56984896421545272</c:v>
                </c:pt>
                <c:pt idx="129">
                  <c:v>0.56871710218177185</c:v>
                </c:pt>
                <c:pt idx="130">
                  <c:v>0.56758395758460267</c:v>
                </c:pt>
                <c:pt idx="131">
                  <c:v>0.56644952751398847</c:v>
                </c:pt>
                <c:pt idx="132">
                  <c:v>0.56531380905006046</c:v>
                </c:pt>
                <c:pt idx="133">
                  <c:v>0.56417679926298803</c:v>
                </c:pt>
                <c:pt idx="134">
                  <c:v>0.56303849521292904</c:v>
                </c:pt>
                <c:pt idx="135">
                  <c:v>0.56189889394999426</c:v>
                </c:pt>
                <c:pt idx="136">
                  <c:v>0.56075799251420477</c:v>
                </c:pt>
                <c:pt idx="137">
                  <c:v>0.55961578793542799</c:v>
                </c:pt>
                <c:pt idx="138">
                  <c:v>0.55847227723334214</c:v>
                </c:pt>
                <c:pt idx="139">
                  <c:v>0.55732745741741496</c:v>
                </c:pt>
                <c:pt idx="140">
                  <c:v>0.55618132548679</c:v>
                </c:pt>
                <c:pt idx="141">
                  <c:v>0.55503387843031504</c:v>
                </c:pt>
                <c:pt idx="142">
                  <c:v>0.55388511322644263</c:v>
                </c:pt>
                <c:pt idx="143">
                  <c:v>0.55273502684320164</c:v>
                </c:pt>
                <c:pt idx="144">
                  <c:v>0.55158361623816177</c:v>
                </c:pt>
                <c:pt idx="145">
                  <c:v>0.55043087835835536</c:v>
                </c:pt>
                <c:pt idx="146">
                  <c:v>0.54927681014024898</c:v>
                </c:pt>
                <c:pt idx="147">
                  <c:v>0.5481214085096866</c:v>
                </c:pt>
                <c:pt idx="148">
                  <c:v>0.54696467038186825</c:v>
                </c:pt>
                <c:pt idx="149">
                  <c:v>0.54580659266123632</c:v>
                </c:pt>
                <c:pt idx="150">
                  <c:v>0.54464717224150405</c:v>
                </c:pt>
                <c:pt idx="151">
                  <c:v>0.54348640600554177</c:v>
                </c:pt>
                <c:pt idx="152">
                  <c:v>0.54232429082536271</c:v>
                </c:pt>
                <c:pt idx="153">
                  <c:v>0.54116082356206618</c:v>
                </c:pt>
                <c:pt idx="154">
                  <c:v>0.53999600106577361</c:v>
                </c:pt>
                <c:pt idx="155">
                  <c:v>0.538829820175593</c:v>
                </c:pt>
                <c:pt idx="156">
                  <c:v>0.53766227771955499</c:v>
                </c:pt>
                <c:pt idx="157">
                  <c:v>0.53649337051457024</c:v>
                </c:pt>
                <c:pt idx="158">
                  <c:v>0.53532309536637968</c:v>
                </c:pt>
                <c:pt idx="159">
                  <c:v>0.53415144906949052</c:v>
                </c:pt>
                <c:pt idx="160">
                  <c:v>0.53297842840712661</c:v>
                </c:pt>
                <c:pt idx="161">
                  <c:v>0.53180403015118571</c:v>
                </c:pt>
                <c:pt idx="162">
                  <c:v>0.53062825106217559</c:v>
                </c:pt>
                <c:pt idx="163">
                  <c:v>0.52945108788915718</c:v>
                </c:pt>
                <c:pt idx="164">
                  <c:v>0.52827253736971613</c:v>
                </c:pt>
                <c:pt idx="165">
                  <c:v>0.52709259622986337</c:v>
                </c:pt>
                <c:pt idx="166">
                  <c:v>0.52591126118403508</c:v>
                </c:pt>
                <c:pt idx="167">
                  <c:v>0.52472852893498612</c:v>
                </c:pt>
                <c:pt idx="168">
                  <c:v>0.52354439617376869</c:v>
                </c:pt>
                <c:pt idx="169">
                  <c:v>0.52235885957966843</c:v>
                </c:pt>
                <c:pt idx="170">
                  <c:v>0.52117191582013334</c:v>
                </c:pt>
                <c:pt idx="171">
                  <c:v>0.51998356155075953</c:v>
                </c:pt>
                <c:pt idx="172">
                  <c:v>0.51879379341517051</c:v>
                </c:pt>
                <c:pt idx="173">
                  <c:v>0.51760260804501712</c:v>
                </c:pt>
                <c:pt idx="174">
                  <c:v>0.51641000205989229</c:v>
                </c:pt>
                <c:pt idx="175">
                  <c:v>0.51521597206728842</c:v>
                </c:pt>
                <c:pt idx="176">
                  <c:v>0.51402051466251208</c:v>
                </c:pt>
                <c:pt idx="177">
                  <c:v>0.51282362642866275</c:v>
                </c:pt>
                <c:pt idx="178">
                  <c:v>0.51162530393655459</c:v>
                </c:pt>
                <c:pt idx="179">
                  <c:v>0.51042554374465254</c:v>
                </c:pt>
                <c:pt idx="180">
                  <c:v>0.50922434239901548</c:v>
                </c:pt>
                <c:pt idx="181">
                  <c:v>0.50802169643326067</c:v>
                </c:pt>
                <c:pt idx="182">
                  <c:v>0.50681760236845719</c:v>
                </c:pt>
                <c:pt idx="183">
                  <c:v>0.50561205671310461</c:v>
                </c:pt>
                <c:pt idx="184">
                  <c:v>0.50440505596306906</c:v>
                </c:pt>
                <c:pt idx="185">
                  <c:v>0.50319659660149796</c:v>
                </c:pt>
                <c:pt idx="186">
                  <c:v>0.50198667509879158</c:v>
                </c:pt>
                <c:pt idx="187">
                  <c:v>0.50077528791248938</c:v>
                </c:pt>
                <c:pt idx="188">
                  <c:v>0.49956243148728419</c:v>
                </c:pt>
                <c:pt idx="189">
                  <c:v>0.49834810225488013</c:v>
                </c:pt>
                <c:pt idx="190">
                  <c:v>0.49713229663399261</c:v>
                </c:pt>
                <c:pt idx="191">
                  <c:v>0.49591501103024171</c:v>
                </c:pt>
                <c:pt idx="192">
                  <c:v>0.49469624183610961</c:v>
                </c:pt>
                <c:pt idx="193">
                  <c:v>0.49347598543087656</c:v>
                </c:pt>
                <c:pt idx="194">
                  <c:v>0.49225423818055702</c:v>
                </c:pt>
                <c:pt idx="195">
                  <c:v>0.49103099643781434</c:v>
                </c:pt>
                <c:pt idx="196">
                  <c:v>0.48980625654191812</c:v>
                </c:pt>
                <c:pt idx="197">
                  <c:v>0.48858001481867319</c:v>
                </c:pt>
                <c:pt idx="198">
                  <c:v>0.48735226758034855</c:v>
                </c:pt>
                <c:pt idx="199">
                  <c:v>0.48612301112562051</c:v>
                </c:pt>
                <c:pt idx="200">
                  <c:v>0.48489224173948742</c:v>
                </c:pt>
                <c:pt idx="201">
                  <c:v>0.48365995569321996</c:v>
                </c:pt>
                <c:pt idx="202">
                  <c:v>0.48242614924429716</c:v>
                </c:pt>
                <c:pt idx="203">
                  <c:v>0.48119081863629987</c:v>
                </c:pt>
                <c:pt idx="204">
                  <c:v>0.47995396009890356</c:v>
                </c:pt>
                <c:pt idx="205">
                  <c:v>0.47871556984775765</c:v>
                </c:pt>
                <c:pt idx="206">
                  <c:v>0.47747564408443566</c:v>
                </c:pt>
                <c:pt idx="207">
                  <c:v>0.47623417899637133</c:v>
                </c:pt>
                <c:pt idx="208">
                  <c:v>0.47499117075677333</c:v>
                </c:pt>
                <c:pt idx="209">
                  <c:v>0.47374661552456843</c:v>
                </c:pt>
                <c:pt idx="210">
                  <c:v>0.47250050944432331</c:v>
                </c:pt>
                <c:pt idx="211">
                  <c:v>0.47125284864616646</c:v>
                </c:pt>
                <c:pt idx="212">
                  <c:v>0.47000362924573835</c:v>
                </c:pt>
                <c:pt idx="213">
                  <c:v>0.46875284734408496</c:v>
                </c:pt>
                <c:pt idx="214">
                  <c:v>0.46750049902762214</c:v>
                </c:pt>
                <c:pt idx="215">
                  <c:v>0.46624658036802202</c:v>
                </c:pt>
                <c:pt idx="216">
                  <c:v>0.46499108742219164</c:v>
                </c:pt>
                <c:pt idx="217">
                  <c:v>0.46373401623214505</c:v>
                </c:pt>
                <c:pt idx="218">
                  <c:v>0.4624753628249465</c:v>
                </c:pt>
                <c:pt idx="219">
                  <c:v>0.46121512321266067</c:v>
                </c:pt>
                <c:pt idx="220">
                  <c:v>0.459953293392239</c:v>
                </c:pt>
                <c:pt idx="221">
                  <c:v>0.45868986934546285</c:v>
                </c:pt>
                <c:pt idx="222">
                  <c:v>0.45742484703887953</c:v>
                </c:pt>
                <c:pt idx="223">
                  <c:v>0.45615822242368154</c:v>
                </c:pt>
                <c:pt idx="224">
                  <c:v>0.45488999143569231</c:v>
                </c:pt>
                <c:pt idx="225">
                  <c:v>0.45362014999520994</c:v>
                </c:pt>
                <c:pt idx="226">
                  <c:v>0.45234869400701427</c:v>
                </c:pt>
                <c:pt idx="227">
                  <c:v>0.45107561936021767</c:v>
                </c:pt>
                <c:pt idx="228">
                  <c:v>0.4498009219282153</c:v>
                </c:pt>
                <c:pt idx="229">
                  <c:v>0.44852459756861407</c:v>
                </c:pt>
                <c:pt idx="230">
                  <c:v>0.44724664212311893</c:v>
                </c:pt>
                <c:pt idx="231">
                  <c:v>0.44596705141749737</c:v>
                </c:pt>
                <c:pt idx="232">
                  <c:v>0.4446858212614444</c:v>
                </c:pt>
                <c:pt idx="233">
                  <c:v>0.44340294744856124</c:v>
                </c:pt>
                <c:pt idx="234">
                  <c:v>0.44211842575619897</c:v>
                </c:pt>
                <c:pt idx="235">
                  <c:v>0.44083225194545861</c:v>
                </c:pt>
                <c:pt idx="236">
                  <c:v>0.43954442176102759</c:v>
                </c:pt>
                <c:pt idx="237">
                  <c:v>0.43825493093115853</c:v>
                </c:pt>
                <c:pt idx="238">
                  <c:v>0.43696377516753415</c:v>
                </c:pt>
                <c:pt idx="239">
                  <c:v>0.43567095016523183</c:v>
                </c:pt>
                <c:pt idx="240">
                  <c:v>0.43437645160258853</c:v>
                </c:pt>
                <c:pt idx="241">
                  <c:v>0.43308027514113689</c:v>
                </c:pt>
                <c:pt idx="242">
                  <c:v>0.43178241642554127</c:v>
                </c:pt>
                <c:pt idx="243">
                  <c:v>0.43048287108345562</c:v>
                </c:pt>
                <c:pt idx="244">
                  <c:v>0.42918163472548088</c:v>
                </c:pt>
                <c:pt idx="245">
                  <c:v>0.42787870294506547</c:v>
                </c:pt>
                <c:pt idx="246">
                  <c:v>0.42657407131839875</c:v>
                </c:pt>
                <c:pt idx="247">
                  <c:v>0.42526773540434704</c:v>
                </c:pt>
                <c:pt idx="248">
                  <c:v>0.42395969074433282</c:v>
                </c:pt>
                <c:pt idx="249">
                  <c:v>0.42264993286226371</c:v>
                </c:pt>
                <c:pt idx="250">
                  <c:v>0.42133845726445429</c:v>
                </c:pt>
                <c:pt idx="251">
                  <c:v>0.4200252594394982</c:v>
                </c:pt>
                <c:pt idx="252">
                  <c:v>0.41871033485818998</c:v>
                </c:pt>
                <c:pt idx="253">
                  <c:v>0.41739367897343982</c:v>
                </c:pt>
                <c:pt idx="254">
                  <c:v>0.41607528722018117</c:v>
                </c:pt>
                <c:pt idx="255">
                  <c:v>0.41475515501525706</c:v>
                </c:pt>
                <c:pt idx="256">
                  <c:v>0.41343327775734195</c:v>
                </c:pt>
                <c:pt idx="257">
                  <c:v>0.41210965082683515</c:v>
                </c:pt>
                <c:pt idx="258">
                  <c:v>0.41078426958576841</c:v>
                </c:pt>
                <c:pt idx="259">
                  <c:v>0.40945712937770651</c:v>
                </c:pt>
                <c:pt idx="260">
                  <c:v>0.40812822552764771</c:v>
                </c:pt>
                <c:pt idx="261">
                  <c:v>0.40679755334194567</c:v>
                </c:pt>
                <c:pt idx="262">
                  <c:v>0.40546510810816727</c:v>
                </c:pt>
                <c:pt idx="263">
                  <c:v>0.4041308850950287</c:v>
                </c:pt>
                <c:pt idx="264">
                  <c:v>0.40279487955228888</c:v>
                </c:pt>
                <c:pt idx="265">
                  <c:v>0.40145708671062863</c:v>
                </c:pt>
                <c:pt idx="266">
                  <c:v>0.40011750178157257</c:v>
                </c:pt>
                <c:pt idx="267">
                  <c:v>0.39877611995736828</c:v>
                </c:pt>
                <c:pt idx="268">
                  <c:v>0.39743293641090105</c:v>
                </c:pt>
                <c:pt idx="269">
                  <c:v>0.39608794629556598</c:v>
                </c:pt>
                <c:pt idx="270">
                  <c:v>0.39474114474518984</c:v>
                </c:pt>
                <c:pt idx="271">
                  <c:v>0.39339252687389603</c:v>
                </c:pt>
                <c:pt idx="272">
                  <c:v>0.39204208777602645</c:v>
                </c:pt>
                <c:pt idx="273">
                  <c:v>0.39068982252601359</c:v>
                </c:pt>
                <c:pt idx="274">
                  <c:v>0.38933572617828105</c:v>
                </c:pt>
                <c:pt idx="275">
                  <c:v>0.38797979376714409</c:v>
                </c:pt>
                <c:pt idx="276">
                  <c:v>0.3866220203066888</c:v>
                </c:pt>
                <c:pt idx="277">
                  <c:v>0.38526240079064422</c:v>
                </c:pt>
                <c:pt idx="278">
                  <c:v>0.38390093019232552</c:v>
                </c:pt>
                <c:pt idx="279">
                  <c:v>0.38253760346446342</c:v>
                </c:pt>
                <c:pt idx="280">
                  <c:v>0.38117241553911896</c:v>
                </c:pt>
                <c:pt idx="281">
                  <c:v>0.37980536132759113</c:v>
                </c:pt>
                <c:pt idx="282">
                  <c:v>0.37843643572024632</c:v>
                </c:pt>
                <c:pt idx="283">
                  <c:v>0.37706563358646861</c:v>
                </c:pt>
                <c:pt idx="284">
                  <c:v>0.3756929497744963</c:v>
                </c:pt>
                <c:pt idx="285">
                  <c:v>0.37431837911132959</c:v>
                </c:pt>
                <c:pt idx="286">
                  <c:v>0.37294191640260266</c:v>
                </c:pt>
                <c:pt idx="287">
                  <c:v>0.37156355643248418</c:v>
                </c:pt>
                <c:pt idx="288">
                  <c:v>0.37018329396352812</c:v>
                </c:pt>
                <c:pt idx="289">
                  <c:v>0.36880112373657425</c:v>
                </c:pt>
                <c:pt idx="290">
                  <c:v>0.3674170404706345</c:v>
                </c:pt>
                <c:pt idx="291">
                  <c:v>0.3660310388627579</c:v>
                </c:pt>
                <c:pt idx="292">
                  <c:v>0.3646431135879098</c:v>
                </c:pt>
                <c:pt idx="293">
                  <c:v>0.36325325929885821</c:v>
                </c:pt>
                <c:pt idx="294">
                  <c:v>0.36186147062603169</c:v>
                </c:pt>
                <c:pt idx="295">
                  <c:v>0.36046774217743405</c:v>
                </c:pt>
                <c:pt idx="296">
                  <c:v>0.35907206853845253</c:v>
                </c:pt>
                <c:pt idx="297">
                  <c:v>0.35767444427181516</c:v>
                </c:pt>
                <c:pt idx="298">
                  <c:v>0.35627486391739183</c:v>
                </c:pt>
                <c:pt idx="299">
                  <c:v>0.35487332199210897</c:v>
                </c:pt>
                <c:pt idx="300">
                  <c:v>0.35346981298978619</c:v>
                </c:pt>
                <c:pt idx="301">
                  <c:v>0.35206433138105098</c:v>
                </c:pt>
                <c:pt idx="302">
                  <c:v>0.35065687161316816</c:v>
                </c:pt>
                <c:pt idx="303">
                  <c:v>0.34924742810994047</c:v>
                </c:pt>
                <c:pt idx="304">
                  <c:v>0.34783599527153086</c:v>
                </c:pt>
                <c:pt idx="305">
                  <c:v>0.34642256747438438</c:v>
                </c:pt>
                <c:pt idx="306">
                  <c:v>0.34500713907105052</c:v>
                </c:pt>
                <c:pt idx="307">
                  <c:v>0.34358970439007663</c:v>
                </c:pt>
                <c:pt idx="308">
                  <c:v>0.34217025773585164</c:v>
                </c:pt>
                <c:pt idx="309">
                  <c:v>0.34074879338847808</c:v>
                </c:pt>
                <c:pt idx="310">
                  <c:v>0.33932530560362295</c:v>
                </c:pt>
                <c:pt idx="311">
                  <c:v>0.33789978861239689</c:v>
                </c:pt>
                <c:pt idx="312">
                  <c:v>0.33647223662121206</c:v>
                </c:pt>
                <c:pt idx="313">
                  <c:v>0.33504264381161875</c:v>
                </c:pt>
                <c:pt idx="314">
                  <c:v>0.33361100434018454</c:v>
                </c:pt>
                <c:pt idx="315">
                  <c:v>0.33217731233833092</c:v>
                </c:pt>
                <c:pt idx="316">
                  <c:v>0.3307415619122267</c:v>
                </c:pt>
                <c:pt idx="317">
                  <c:v>0.32930374714260324</c:v>
                </c:pt>
                <c:pt idx="318">
                  <c:v>0.32786386208461238</c:v>
                </c:pt>
                <c:pt idx="319">
                  <c:v>0.32642190076771271</c:v>
                </c:pt>
                <c:pt idx="320">
                  <c:v>0.32497785719547778</c:v>
                </c:pt>
                <c:pt idx="321">
                  <c:v>0.32353172534548236</c:v>
                </c:pt>
                <c:pt idx="322">
                  <c:v>0.32208349916911772</c:v>
                </c:pt>
                <c:pt idx="323">
                  <c:v>0.32063317259147084</c:v>
                </c:pt>
                <c:pt idx="324">
                  <c:v>0.31918073951115389</c:v>
                </c:pt>
                <c:pt idx="325">
                  <c:v>0.31772619380016209</c:v>
                </c:pt>
                <c:pt idx="326">
                  <c:v>0.31626952930369612</c:v>
                </c:pt>
                <c:pt idx="327">
                  <c:v>0.31481073984003416</c:v>
                </c:pt>
                <c:pt idx="328">
                  <c:v>0.31334981920036142</c:v>
                </c:pt>
                <c:pt idx="329">
                  <c:v>0.31188676114859959</c:v>
                </c:pt>
                <c:pt idx="330">
                  <c:v>0.31042155942127181</c:v>
                </c:pt>
                <c:pt idx="331">
                  <c:v>0.30895420772732507</c:v>
                </c:pt>
                <c:pt idx="332">
                  <c:v>0.30748469974795967</c:v>
                </c:pt>
                <c:pt idx="333">
                  <c:v>0.30601302913650841</c:v>
                </c:pt>
                <c:pt idx="334">
                  <c:v>0.30453918951820924</c:v>
                </c:pt>
                <c:pt idx="335">
                  <c:v>0.30306317449008446</c:v>
                </c:pt>
                <c:pt idx="336">
                  <c:v>0.30158497762077729</c:v>
                </c:pt>
                <c:pt idx="337">
                  <c:v>0.30010459245033871</c:v>
                </c:pt>
                <c:pt idx="338">
                  <c:v>0.29862201249011378</c:v>
                </c:pt>
                <c:pt idx="339">
                  <c:v>0.29713723122253555</c:v>
                </c:pt>
                <c:pt idx="340">
                  <c:v>0.29565024210096169</c:v>
                </c:pt>
                <c:pt idx="341">
                  <c:v>0.29416103854948972</c:v>
                </c:pt>
                <c:pt idx="342">
                  <c:v>0.29266961396282198</c:v>
                </c:pt>
                <c:pt idx="343">
                  <c:v>0.29117596170603832</c:v>
                </c:pt>
                <c:pt idx="344">
                  <c:v>0.28968007511445393</c:v>
                </c:pt>
                <c:pt idx="345">
                  <c:v>0.28818194749343462</c:v>
                </c:pt>
                <c:pt idx="346">
                  <c:v>0.28668157211819789</c:v>
                </c:pt>
                <c:pt idx="347">
                  <c:v>0.28517894223366369</c:v>
                </c:pt>
                <c:pt idx="348">
                  <c:v>0.28367405105424126</c:v>
                </c:pt>
                <c:pt idx="349">
                  <c:v>0.28216689176367282</c:v>
                </c:pt>
                <c:pt idx="350">
                  <c:v>0.28065745751482041</c:v>
                </c:pt>
                <c:pt idx="351">
                  <c:v>0.27914574142949533</c:v>
                </c:pt>
                <c:pt idx="352">
                  <c:v>0.27763173659828055</c:v>
                </c:pt>
                <c:pt idx="353">
                  <c:v>0.27611543608031752</c:v>
                </c:pt>
                <c:pt idx="354">
                  <c:v>0.27459683290312853</c:v>
                </c:pt>
                <c:pt idx="355">
                  <c:v>0.27307592006241777</c:v>
                </c:pt>
                <c:pt idx="356">
                  <c:v>0.27155269052190079</c:v>
                </c:pt>
                <c:pt idx="357">
                  <c:v>0.27002713721306293</c:v>
                </c:pt>
                <c:pt idx="358">
                  <c:v>0.2684992530350101</c:v>
                </c:pt>
                <c:pt idx="359">
                  <c:v>0.2669690308542414</c:v>
                </c:pt>
                <c:pt idx="360">
                  <c:v>0.26543646350446437</c:v>
                </c:pt>
                <c:pt idx="361">
                  <c:v>0.26390154378638186</c:v>
                </c:pt>
                <c:pt idx="362">
                  <c:v>0.26236426446749306</c:v>
                </c:pt>
                <c:pt idx="363">
                  <c:v>0.26082461828190162</c:v>
                </c:pt>
                <c:pt idx="364">
                  <c:v>0.25928259793008834</c:v>
                </c:pt>
                <c:pt idx="365">
                  <c:v>0.25773819607871218</c:v>
                </c:pt>
                <c:pt idx="366">
                  <c:v>0.2561914053604113</c:v>
                </c:pt>
                <c:pt idx="367">
                  <c:v>0.25464221837358281</c:v>
                </c:pt>
                <c:pt idx="368">
                  <c:v>0.25309062768216251</c:v>
                </c:pt>
                <c:pt idx="369">
                  <c:v>0.25153662581543301</c:v>
                </c:pt>
                <c:pt idx="370">
                  <c:v>0.24998020526776799</c:v>
                </c:pt>
                <c:pt idx="371">
                  <c:v>0.2484213584984829</c:v>
                </c:pt>
                <c:pt idx="372">
                  <c:v>0.24686007793152953</c:v>
                </c:pt>
                <c:pt idx="373">
                  <c:v>0.24529635595534671</c:v>
                </c:pt>
                <c:pt idx="374">
                  <c:v>0.24373018492259746</c:v>
                </c:pt>
                <c:pt idx="375">
                  <c:v>0.24216155714997711</c:v>
                </c:pt>
                <c:pt idx="376">
                  <c:v>0.24059046491792913</c:v>
                </c:pt>
                <c:pt idx="377">
                  <c:v>0.23901690047050295</c:v>
                </c:pt>
                <c:pt idx="378">
                  <c:v>0.23744085601503429</c:v>
                </c:pt>
                <c:pt idx="379">
                  <c:v>0.23586232372198879</c:v>
                </c:pt>
                <c:pt idx="380">
                  <c:v>0.23428129572467071</c:v>
                </c:pt>
                <c:pt idx="381">
                  <c:v>0.23269776411902399</c:v>
                </c:pt>
                <c:pt idx="382">
                  <c:v>0.23111172096339061</c:v>
                </c:pt>
                <c:pt idx="383">
                  <c:v>0.22952315827824776</c:v>
                </c:pt>
                <c:pt idx="384">
                  <c:v>0.22793206804600885</c:v>
                </c:pt>
                <c:pt idx="385">
                  <c:v>0.22633844221073218</c:v>
                </c:pt>
                <c:pt idx="386">
                  <c:v>0.22474227267790781</c:v>
                </c:pt>
                <c:pt idx="387">
                  <c:v>0.22314355131420882</c:v>
                </c:pt>
                <c:pt idx="388">
                  <c:v>0.22154226994723558</c:v>
                </c:pt>
                <c:pt idx="389">
                  <c:v>0.2199384203652599</c:v>
                </c:pt>
                <c:pt idx="390">
                  <c:v>0.21833199431699057</c:v>
                </c:pt>
                <c:pt idx="391">
                  <c:v>0.21672298351128916</c:v>
                </c:pt>
                <c:pt idx="392">
                  <c:v>0.2151113796169497</c:v>
                </c:pt>
                <c:pt idx="393">
                  <c:v>0.21349717426240744</c:v>
                </c:pt>
                <c:pt idx="394">
                  <c:v>0.21188035903550428</c:v>
                </c:pt>
                <c:pt idx="395">
                  <c:v>0.21026092548319752</c:v>
                </c:pt>
                <c:pt idx="396">
                  <c:v>0.20863886511133245</c:v>
                </c:pt>
                <c:pt idx="397">
                  <c:v>0.2070141693843297</c:v>
                </c:pt>
                <c:pt idx="398">
                  <c:v>0.20538682972495081</c:v>
                </c:pt>
                <c:pt idx="399">
                  <c:v>0.20375683751402107</c:v>
                </c:pt>
                <c:pt idx="400">
                  <c:v>0.20212418409013821</c:v>
                </c:pt>
                <c:pt idx="401">
                  <c:v>0.20048886074940242</c:v>
                </c:pt>
                <c:pt idx="402">
                  <c:v>0.19885085874516761</c:v>
                </c:pt>
                <c:pt idx="403">
                  <c:v>0.19721016928770752</c:v>
                </c:pt>
                <c:pt idx="404">
                  <c:v>0.19556678354397405</c:v>
                </c:pt>
                <c:pt idx="405">
                  <c:v>0.19392069263730605</c:v>
                </c:pt>
                <c:pt idx="406">
                  <c:v>0.19227188764712366</c:v>
                </c:pt>
                <c:pt idx="407">
                  <c:v>0.19062035960865131</c:v>
                </c:pt>
                <c:pt idx="408">
                  <c:v>0.18896609951262633</c:v>
                </c:pt>
                <c:pt idx="409">
                  <c:v>0.18730909830499343</c:v>
                </c:pt>
                <c:pt idx="410">
                  <c:v>0.1856493468866276</c:v>
                </c:pt>
                <c:pt idx="411">
                  <c:v>0.18398683611301436</c:v>
                </c:pt>
                <c:pt idx="412">
                  <c:v>0.18232155679395845</c:v>
                </c:pt>
                <c:pt idx="413">
                  <c:v>0.18065349969325695</c:v>
                </c:pt>
                <c:pt idx="414">
                  <c:v>0.1789826555284435</c:v>
                </c:pt>
                <c:pt idx="415">
                  <c:v>0.17730901497041174</c:v>
                </c:pt>
                <c:pt idx="416">
                  <c:v>0.17563256864315946</c:v>
                </c:pt>
                <c:pt idx="417">
                  <c:v>0.17395330712344048</c:v>
                </c:pt>
                <c:pt idx="418">
                  <c:v>0.172271220940452</c:v>
                </c:pt>
                <c:pt idx="419">
                  <c:v>0.17058630057553614</c:v>
                </c:pt>
                <c:pt idx="420">
                  <c:v>0.16889853646181763</c:v>
                </c:pt>
                <c:pt idx="421">
                  <c:v>0.1672079189839053</c:v>
                </c:pt>
                <c:pt idx="422">
                  <c:v>0.16551443847757241</c:v>
                </c:pt>
                <c:pt idx="423">
                  <c:v>0.16381808522939423</c:v>
                </c:pt>
                <c:pt idx="424">
                  <c:v>0.1621188494764354</c:v>
                </c:pt>
                <c:pt idx="425">
                  <c:v>0.1604167214059089</c:v>
                </c:pt>
                <c:pt idx="426">
                  <c:v>0.15871169115482076</c:v>
                </c:pt>
                <c:pt idx="427">
                  <c:v>0.1570037488096645</c:v>
                </c:pt>
                <c:pt idx="428">
                  <c:v>0.1552928844060375</c:v>
                </c:pt>
                <c:pt idx="429">
                  <c:v>0.15357908792829988</c:v>
                </c:pt>
                <c:pt idx="430">
                  <c:v>0.15186234930924769</c:v>
                </c:pt>
                <c:pt idx="431">
                  <c:v>0.15014265842972208</c:v>
                </c:pt>
                <c:pt idx="432">
                  <c:v>0.14842000511827536</c:v>
                </c:pt>
                <c:pt idx="433">
                  <c:v>0.14669437915080863</c:v>
                </c:pt>
                <c:pt idx="434">
                  <c:v>0.14496577025018809</c:v>
                </c:pt>
                <c:pt idx="435">
                  <c:v>0.14323416808591105</c:v>
                </c:pt>
                <c:pt idx="436">
                  <c:v>0.14149956227370097</c:v>
                </c:pt>
                <c:pt idx="437">
                  <c:v>0.13976194237515926</c:v>
                </c:pt>
                <c:pt idx="438">
                  <c:v>0.1380212978973745</c:v>
                </c:pt>
                <c:pt idx="439">
                  <c:v>0.13627761829255292</c:v>
                </c:pt>
                <c:pt idx="440">
                  <c:v>0.13453089295760634</c:v>
                </c:pt>
                <c:pt idx="441">
                  <c:v>0.13278111123381819</c:v>
                </c:pt>
                <c:pt idx="442">
                  <c:v>0.13102826240640297</c:v>
                </c:pt>
                <c:pt idx="443">
                  <c:v>0.12927233570414387</c:v>
                </c:pt>
                <c:pt idx="444">
                  <c:v>0.12751332029895934</c:v>
                </c:pt>
                <c:pt idx="445">
                  <c:v>0.12575120530556205</c:v>
                </c:pt>
                <c:pt idx="446">
                  <c:v>0.12398597978098991</c:v>
                </c:pt>
                <c:pt idx="447">
                  <c:v>0.12221763272425079</c:v>
                </c:pt>
                <c:pt idx="448">
                  <c:v>0.12044615307586781</c:v>
                </c:pt>
                <c:pt idx="449">
                  <c:v>0.11867152971750272</c:v>
                </c:pt>
                <c:pt idx="450">
                  <c:v>0.11689375147150116</c:v>
                </c:pt>
                <c:pt idx="451">
                  <c:v>0.11511280710050897</c:v>
                </c:pt>
                <c:pt idx="452">
                  <c:v>0.11332868530700324</c:v>
                </c:pt>
                <c:pt idx="453">
                  <c:v>0.11154137473290859</c:v>
                </c:pt>
                <c:pt idx="454">
                  <c:v>0.10975086395912115</c:v>
                </c:pt>
                <c:pt idx="455">
                  <c:v>0.10795714150509639</c:v>
                </c:pt>
                <c:pt idx="456">
                  <c:v>0.10616019582839442</c:v>
                </c:pt>
                <c:pt idx="457">
                  <c:v>0.10436001532424655</c:v>
                </c:pt>
                <c:pt idx="458">
                  <c:v>0.1025565883250934</c:v>
                </c:pt>
                <c:pt idx="459">
                  <c:v>0.10074990310014442</c:v>
                </c:pt>
                <c:pt idx="460">
                  <c:v>9.8939947854908894E-2</c:v>
                </c:pt>
                <c:pt idx="461">
                  <c:v>9.7126710730726984E-2</c:v>
                </c:pt>
                <c:pt idx="462">
                  <c:v>9.5310179804329209E-2</c:v>
                </c:pt>
                <c:pt idx="463">
                  <c:v>9.3490343087339056E-2</c:v>
                </c:pt>
                <c:pt idx="464">
                  <c:v>9.1667188525825338E-2</c:v>
                </c:pt>
                <c:pt idx="465">
                  <c:v>8.9840703999790605E-2</c:v>
                </c:pt>
                <c:pt idx="466">
                  <c:v>8.8010877322716397E-2</c:v>
                </c:pt>
                <c:pt idx="467">
                  <c:v>8.6177696241051649E-2</c:v>
                </c:pt>
                <c:pt idx="468">
                  <c:v>8.4341148433750845E-2</c:v>
                </c:pt>
                <c:pt idx="469">
                  <c:v>8.2501221511748213E-2</c:v>
                </c:pt>
                <c:pt idx="470">
                  <c:v>8.0657903017453236E-2</c:v>
                </c:pt>
                <c:pt idx="471">
                  <c:v>7.8811180424288807E-2</c:v>
                </c:pt>
                <c:pt idx="472">
                  <c:v>7.6961041136129893E-2</c:v>
                </c:pt>
                <c:pt idx="473">
                  <c:v>7.5107472486806159E-2</c:v>
                </c:pt>
                <c:pt idx="474">
                  <c:v>7.3250461739597483E-2</c:v>
                </c:pt>
                <c:pt idx="475">
                  <c:v>7.1389996086672625E-2</c:v>
                </c:pt>
                <c:pt idx="476">
                  <c:v>6.9526062648613163E-2</c:v>
                </c:pt>
                <c:pt idx="477">
                  <c:v>6.765864847381664E-2</c:v>
                </c:pt>
                <c:pt idx="478">
                  <c:v>6.578774053800629E-2</c:v>
                </c:pt>
                <c:pt idx="479">
                  <c:v>6.3913325743655491E-2</c:v>
                </c:pt>
                <c:pt idx="480">
                  <c:v>6.2035390919454869E-2</c:v>
                </c:pt>
                <c:pt idx="481">
                  <c:v>6.015392281975096E-2</c:v>
                </c:pt>
                <c:pt idx="482">
                  <c:v>5.8268908123977781E-2</c:v>
                </c:pt>
                <c:pt idx="483">
                  <c:v>5.6380333436109709E-2</c:v>
                </c:pt>
                <c:pt idx="484">
                  <c:v>5.4488185284071733E-2</c:v>
                </c:pt>
                <c:pt idx="485">
                  <c:v>5.2592450119171019E-2</c:v>
                </c:pt>
                <c:pt idx="486">
                  <c:v>5.069311431552137E-2</c:v>
                </c:pt>
                <c:pt idx="487">
                  <c:v>4.879016416943216E-2</c:v>
                </c:pt>
                <c:pt idx="488">
                  <c:v>4.6883585898854108E-2</c:v>
                </c:pt>
                <c:pt idx="489">
                  <c:v>4.4973365642732688E-2</c:v>
                </c:pt>
                <c:pt idx="490">
                  <c:v>4.3059489460446798E-2</c:v>
                </c:pt>
                <c:pt idx="491">
                  <c:v>4.1141943331176378E-2</c:v>
                </c:pt>
                <c:pt idx="492">
                  <c:v>3.9220713153284237E-2</c:v>
                </c:pt>
                <c:pt idx="493">
                  <c:v>3.729578474369788E-2</c:v>
                </c:pt>
                <c:pt idx="494">
                  <c:v>3.5367143837291337E-2</c:v>
                </c:pt>
                <c:pt idx="495">
                  <c:v>3.3434776086238571E-2</c:v>
                </c:pt>
                <c:pt idx="496">
                  <c:v>3.1498667059373986E-2</c:v>
                </c:pt>
                <c:pt idx="497">
                  <c:v>2.9558802241545834E-2</c:v>
                </c:pt>
                <c:pt idx="498">
                  <c:v>2.7615167032976728E-2</c:v>
                </c:pt>
                <c:pt idx="499">
                  <c:v>2.5667746748581521E-2</c:v>
                </c:pt>
                <c:pt idx="500">
                  <c:v>2.371652661732071E-2</c:v>
                </c:pt>
                <c:pt idx="501">
                  <c:v>2.1761491781511211E-2</c:v>
                </c:pt>
                <c:pt idx="502">
                  <c:v>1.9802627296179764E-2</c:v>
                </c:pt>
                <c:pt idx="503">
                  <c:v>1.7839918128331078E-2</c:v>
                </c:pt>
                <c:pt idx="504">
                  <c:v>1.5873349156294125E-2</c:v>
                </c:pt>
                <c:pt idx="505">
                  <c:v>1.3902905168990287E-2</c:v>
                </c:pt>
                <c:pt idx="506">
                  <c:v>1.1928570865272548E-2</c:v>
                </c:pt>
                <c:pt idx="507">
                  <c:v>9.9503308531723178E-3</c:v>
                </c:pt>
                <c:pt idx="508">
                  <c:v>7.9681696491817888E-3</c:v>
                </c:pt>
                <c:pt idx="509">
                  <c:v>5.9820716775504934E-3</c:v>
                </c:pt>
                <c:pt idx="510">
                  <c:v>3.9920212695392365E-3</c:v>
                </c:pt>
                <c:pt idx="511">
                  <c:v>1.9980026626740255E-3</c:v>
                </c:pt>
                <c:pt idx="512">
                  <c:v>0</c:v>
                </c:pt>
                <c:pt idx="513">
                  <c:v>-2.0020026706717431E-3</c:v>
                </c:pt>
                <c:pt idx="514">
                  <c:v>-4.0080213975386414E-3</c:v>
                </c:pt>
                <c:pt idx="515">
                  <c:v>-6.0180723255598423E-3</c:v>
                </c:pt>
                <c:pt idx="516">
                  <c:v>-8.0321716972591162E-3</c:v>
                </c:pt>
                <c:pt idx="517">
                  <c:v>-1.0050335853499348E-2</c:v>
                </c:pt>
                <c:pt idx="518">
                  <c:v>-1.2072581234264135E-2</c:v>
                </c:pt>
                <c:pt idx="519">
                  <c:v>-1.4098924379496225E-2</c:v>
                </c:pt>
                <c:pt idx="520">
                  <c:v>-1.6129381929879116E-2</c:v>
                </c:pt>
                <c:pt idx="521">
                  <c:v>-1.8163970627668391E-2</c:v>
                </c:pt>
                <c:pt idx="522">
                  <c:v>-2.0202707317515944E-2</c:v>
                </c:pt>
                <c:pt idx="523">
                  <c:v>-2.2245608947315532E-2</c:v>
                </c:pt>
                <c:pt idx="524">
                  <c:v>-2.4292692569041208E-2</c:v>
                </c:pt>
                <c:pt idx="525">
                  <c:v>-2.6343975339599979E-2</c:v>
                </c:pt>
                <c:pt idx="526">
                  <c:v>-2.8399474521698664E-2</c:v>
                </c:pt>
                <c:pt idx="527">
                  <c:v>-3.0459207484703654E-2</c:v>
                </c:pt>
                <c:pt idx="528">
                  <c:v>-3.2523191705557508E-2</c:v>
                </c:pt>
                <c:pt idx="529">
                  <c:v>-3.4591444769617397E-2</c:v>
                </c:pt>
                <c:pt idx="530">
                  <c:v>-3.6663984371593017E-2</c:v>
                </c:pt>
                <c:pt idx="531">
                  <c:v>-3.8740828316427667E-2</c:v>
                </c:pt>
                <c:pt idx="532">
                  <c:v>-4.0821994520250371E-2</c:v>
                </c:pt>
                <c:pt idx="533">
                  <c:v>-4.2907501011278271E-2</c:v>
                </c:pt>
                <c:pt idx="534">
                  <c:v>-4.4997365930733224E-2</c:v>
                </c:pt>
                <c:pt idx="535">
                  <c:v>-4.7091607533850777E-2</c:v>
                </c:pt>
                <c:pt idx="536">
                  <c:v>-4.919024419076834E-2</c:v>
                </c:pt>
                <c:pt idx="537">
                  <c:v>-5.1293294387548372E-2</c:v>
                </c:pt>
                <c:pt idx="538">
                  <c:v>-5.3400776727116295E-2</c:v>
                </c:pt>
                <c:pt idx="539">
                  <c:v>-5.5512709930255255E-2</c:v>
                </c:pt>
                <c:pt idx="540">
                  <c:v>-5.7629112836636409E-2</c:v>
                </c:pt>
                <c:pt idx="541">
                  <c:v>-5.9750004405771051E-2</c:v>
                </c:pt>
                <c:pt idx="542">
                  <c:v>-6.1875403718083533E-2</c:v>
                </c:pt>
                <c:pt idx="543">
                  <c:v>-6.4005329975913128E-2</c:v>
                </c:pt>
                <c:pt idx="544">
                  <c:v>-6.6139802504544321E-2</c:v>
                </c:pt>
                <c:pt idx="545">
                  <c:v>-6.8278840753293935E-2</c:v>
                </c:pt>
                <c:pt idx="546">
                  <c:v>-7.042246429654142E-2</c:v>
                </c:pt>
                <c:pt idx="547">
                  <c:v>-7.2570692834830197E-2</c:v>
                </c:pt>
                <c:pt idx="548">
                  <c:v>-7.4723546195933466E-2</c:v>
                </c:pt>
                <c:pt idx="549">
                  <c:v>-7.6881044335955551E-2</c:v>
                </c:pt>
                <c:pt idx="550">
                  <c:v>-7.9043207340454558E-2</c:v>
                </c:pt>
                <c:pt idx="551">
                  <c:v>-8.1210055425543715E-2</c:v>
                </c:pt>
                <c:pt idx="552">
                  <c:v>-8.3381608939049556E-2</c:v>
                </c:pt>
                <c:pt idx="553">
                  <c:v>-8.5557888361641687E-2</c:v>
                </c:pt>
                <c:pt idx="554">
                  <c:v>-8.7738914308005178E-2</c:v>
                </c:pt>
                <c:pt idx="555">
                  <c:v>-8.9924707527984538E-2</c:v>
                </c:pt>
                <c:pt idx="556">
                  <c:v>-9.2115288907805848E-2</c:v>
                </c:pt>
                <c:pt idx="557">
                  <c:v>-9.4310679471242054E-2</c:v>
                </c:pt>
                <c:pt idx="558">
                  <c:v>-9.6510900380842202E-2</c:v>
                </c:pt>
                <c:pt idx="559">
                  <c:v>-9.8715972939153573E-2</c:v>
                </c:pt>
                <c:pt idx="560">
                  <c:v>-0.10092591858995803</c:v>
                </c:pt>
                <c:pt idx="561">
                  <c:v>-0.10314075891950836</c:v>
                </c:pt>
                <c:pt idx="562">
                  <c:v>-0.10536051565782145</c:v>
                </c:pt>
                <c:pt idx="563">
                  <c:v>-0.10758521067993598</c:v>
                </c:pt>
                <c:pt idx="564">
                  <c:v>-0.10981486600720558</c:v>
                </c:pt>
                <c:pt idx="565">
                  <c:v>-0.11204950380862044</c:v>
                </c:pt>
                <c:pt idx="566">
                  <c:v>-0.11428914640212895</c:v>
                </c:pt>
                <c:pt idx="567">
                  <c:v>-0.11653381625595216</c:v>
                </c:pt>
                <c:pt idx="568">
                  <c:v>-0.11878353598996227</c:v>
                </c:pt>
                <c:pt idx="569">
                  <c:v>-0.12103832837705397</c:v>
                </c:pt>
                <c:pt idx="570">
                  <c:v>-0.12329821634449445</c:v>
                </c:pt>
                <c:pt idx="571">
                  <c:v>-0.1255632229753445</c:v>
                </c:pt>
                <c:pt idx="572">
                  <c:v>-0.12783337150987961</c:v>
                </c:pt>
                <c:pt idx="573">
                  <c:v>-0.13010868534701814</c:v>
                </c:pt>
                <c:pt idx="574">
                  <c:v>-0.1323891880457424</c:v>
                </c:pt>
                <c:pt idx="575">
                  <c:v>-0.13467490332659793</c:v>
                </c:pt>
                <c:pt idx="576">
                  <c:v>-0.13696585507315717</c:v>
                </c:pt>
                <c:pt idx="577">
                  <c:v>-0.13926206733350455</c:v>
                </c:pt>
                <c:pt idx="578">
                  <c:v>-0.14156356432178541</c:v>
                </c:pt>
                <c:pt idx="579">
                  <c:v>-0.14387037041969819</c:v>
                </c:pt>
                <c:pt idx="580">
                  <c:v>-0.14618251017807893</c:v>
                </c:pt>
                <c:pt idx="581">
                  <c:v>-0.14850000831844312</c:v>
                </c:pt>
                <c:pt idx="582">
                  <c:v>-0.15082288973458446</c:v>
                </c:pt>
                <c:pt idx="583">
                  <c:v>-0.15315117949417356</c:v>
                </c:pt>
                <c:pt idx="584">
                  <c:v>-0.15548490284039218</c:v>
                </c:pt>
                <c:pt idx="585">
                  <c:v>-0.1578240851935675</c:v>
                </c:pt>
                <c:pt idx="586">
                  <c:v>-0.16016875215282056</c:v>
                </c:pt>
                <c:pt idx="587">
                  <c:v>-0.16251892949777158</c:v>
                </c:pt>
                <c:pt idx="588">
                  <c:v>-0.16487464319023104</c:v>
                </c:pt>
                <c:pt idx="589">
                  <c:v>-0.16723591937591209</c:v>
                </c:pt>
                <c:pt idx="590">
                  <c:v>-0.16960278438617848</c:v>
                </c:pt>
                <c:pt idx="591">
                  <c:v>-0.17197526473980673</c:v>
                </c:pt>
                <c:pt idx="592">
                  <c:v>-0.17435338714477666</c:v>
                </c:pt>
                <c:pt idx="593">
                  <c:v>-0.17673717850005488</c:v>
                </c:pt>
                <c:pt idx="594">
                  <c:v>-0.17912666589743509</c:v>
                </c:pt>
                <c:pt idx="595">
                  <c:v>-0.18152187662338548</c:v>
                </c:pt>
                <c:pt idx="596">
                  <c:v>-0.18392283816092458</c:v>
                </c:pt>
                <c:pt idx="597">
                  <c:v>-0.18632957819148999</c:v>
                </c:pt>
                <c:pt idx="598">
                  <c:v>-0.18874212459687811</c:v>
                </c:pt>
                <c:pt idx="599">
                  <c:v>-0.19116050546115559</c:v>
                </c:pt>
                <c:pt idx="600">
                  <c:v>-0.19358474907266299</c:v>
                </c:pt>
                <c:pt idx="601">
                  <c:v>-0.19601488392595456</c:v>
                </c:pt>
                <c:pt idx="602">
                  <c:v>-0.19845093872383757</c:v>
                </c:pt>
                <c:pt idx="603">
                  <c:v>-0.20089294237939015</c:v>
                </c:pt>
                <c:pt idx="604">
                  <c:v>-0.20334092401802906</c:v>
                </c:pt>
                <c:pt idx="605">
                  <c:v>-0.20579491297959152</c:v>
                </c:pt>
                <c:pt idx="606">
                  <c:v>-0.20825493882045976</c:v>
                </c:pt>
                <c:pt idx="607">
                  <c:v>-0.21072103131565001</c:v>
                </c:pt>
                <c:pt idx="608">
                  <c:v>-0.2131932204610365</c:v>
                </c:pt>
                <c:pt idx="609">
                  <c:v>-0.21567153647550441</c:v>
                </c:pt>
                <c:pt idx="610">
                  <c:v>-0.21815600980316674</c:v>
                </c:pt>
                <c:pt idx="611">
                  <c:v>-0.22064667111562386</c:v>
                </c:pt>
                <c:pt idx="612">
                  <c:v>-0.22314355131420882</c:v>
                </c:pt>
                <c:pt idx="613">
                  <c:v>-0.22564668153232503</c:v>
                </c:pt>
                <c:pt idx="614">
                  <c:v>-0.22815609313774843</c:v>
                </c:pt>
                <c:pt idx="615">
                  <c:v>-0.23067181773500067</c:v>
                </c:pt>
                <c:pt idx="616">
                  <c:v>-0.23319388716770817</c:v>
                </c:pt>
                <c:pt idx="617">
                  <c:v>-0.23572233352106764</c:v>
                </c:pt>
                <c:pt idx="618">
                  <c:v>-0.23825718912425486</c:v>
                </c:pt>
                <c:pt idx="619">
                  <c:v>-0.24079848655292579</c:v>
                </c:pt>
                <c:pt idx="620">
                  <c:v>-0.24334625863172477</c:v>
                </c:pt>
                <c:pt idx="621">
                  <c:v>-0.24590053843682114</c:v>
                </c:pt>
                <c:pt idx="622">
                  <c:v>-0.24846135929849567</c:v>
                </c:pt>
                <c:pt idx="623">
                  <c:v>-0.25102875480374109</c:v>
                </c:pt>
                <c:pt idx="624">
                  <c:v>-0.25360275879891958</c:v>
                </c:pt>
                <c:pt idx="625">
                  <c:v>-0.25618340539240592</c:v>
                </c:pt>
                <c:pt idx="626">
                  <c:v>-0.25877072895735864</c:v>
                </c:pt>
                <c:pt idx="627">
                  <c:v>-0.2613647641344059</c:v>
                </c:pt>
                <c:pt idx="628">
                  <c:v>-0.2639655458344663</c:v>
                </c:pt>
                <c:pt idx="629">
                  <c:v>-0.26657310924154132</c:v>
                </c:pt>
                <c:pt idx="630">
                  <c:v>-0.26918748981561436</c:v>
                </c:pt>
                <c:pt idx="631">
                  <c:v>-0.27180872329548578</c:v>
                </c:pt>
                <c:pt idx="632">
                  <c:v>-0.27443684570175719</c:v>
                </c:pt>
                <c:pt idx="633">
                  <c:v>-0.27707189333976601</c:v>
                </c:pt>
                <c:pt idx="634">
                  <c:v>-0.27971390280260522</c:v>
                </c:pt>
                <c:pt idx="635">
                  <c:v>-0.28236291097417876</c:v>
                </c:pt>
                <c:pt idx="636">
                  <c:v>-0.28501895503229235</c:v>
                </c:pt>
                <c:pt idx="637">
                  <c:v>-0.2876820724517799</c:v>
                </c:pt>
                <c:pt idx="638">
                  <c:v>-0.2903523010076583</c:v>
                </c:pt>
                <c:pt idx="639">
                  <c:v>-0.2930296787783746</c:v>
                </c:pt>
                <c:pt idx="640">
                  <c:v>-0.29571424414904612</c:v>
                </c:pt>
                <c:pt idx="641">
                  <c:v>-0.29840603581475733</c:v>
                </c:pt>
                <c:pt idx="642">
                  <c:v>-0.30110509278392072</c:v>
                </c:pt>
                <c:pt idx="643">
                  <c:v>-0.30381145438165902</c:v>
                </c:pt>
                <c:pt idx="644">
                  <c:v>-0.30652516025325838</c:v>
                </c:pt>
                <c:pt idx="645">
                  <c:v>-0.30924625036762166</c:v>
                </c:pt>
                <c:pt idx="646">
                  <c:v>-0.31197476502082111</c:v>
                </c:pt>
                <c:pt idx="647">
                  <c:v>-0.31471074483970085</c:v>
                </c:pt>
                <c:pt idx="648">
                  <c:v>-0.31745423078545087</c:v>
                </c:pt>
                <c:pt idx="649">
                  <c:v>-0.32020526415733741</c:v>
                </c:pt>
                <c:pt idx="650">
                  <c:v>-0.32296388659641906</c:v>
                </c:pt>
                <c:pt idx="651">
                  <c:v>-0.32573014008930556</c:v>
                </c:pt>
                <c:pt idx="652">
                  <c:v>-0.32850406697203738</c:v>
                </c:pt>
                <c:pt idx="653">
                  <c:v>-0.33128570993390838</c:v>
                </c:pt>
                <c:pt idx="654">
                  <c:v>-0.33407511202148754</c:v>
                </c:pt>
                <c:pt idx="655">
                  <c:v>-0.33687231664254824</c:v>
                </c:pt>
                <c:pt idx="656">
                  <c:v>-0.33967736757016098</c:v>
                </c:pt>
                <c:pt idx="657">
                  <c:v>-0.3424903089467719</c:v>
                </c:pt>
                <c:pt idx="658">
                  <c:v>-0.34531118528841631</c:v>
                </c:pt>
                <c:pt idx="659">
                  <c:v>-0.34814004148889666</c:v>
                </c:pt>
                <c:pt idx="660">
                  <c:v>-0.35097692282409554</c:v>
                </c:pt>
                <c:pt idx="661">
                  <c:v>-0.35382187495632422</c:v>
                </c:pt>
                <c:pt idx="662">
                  <c:v>-0.35667494393872801</c:v>
                </c:pt>
                <c:pt idx="663">
                  <c:v>-0.35953617621976264</c:v>
                </c:pt>
                <c:pt idx="664">
                  <c:v>-0.36240561864771337</c:v>
                </c:pt>
                <c:pt idx="665">
                  <c:v>-0.36528331847532769</c:v>
                </c:pt>
                <c:pt idx="666">
                  <c:v>-0.36816932336446229</c:v>
                </c:pt>
                <c:pt idx="667">
                  <c:v>-0.37106368139082946</c:v>
                </c:pt>
                <c:pt idx="668">
                  <c:v>-0.37396644104879329</c:v>
                </c:pt>
                <c:pt idx="669">
                  <c:v>-0.37687765125625106</c:v>
                </c:pt>
                <c:pt idx="670">
                  <c:v>-0.37979736135958575</c:v>
                </c:pt>
                <c:pt idx="671">
                  <c:v>-0.38272562113867536</c:v>
                </c:pt>
                <c:pt idx="672">
                  <c:v>-0.3856624808119804</c:v>
                </c:pt>
                <c:pt idx="673">
                  <c:v>-0.38860799104173793</c:v>
                </c:pt>
                <c:pt idx="674">
                  <c:v>-0.39156220293916988</c:v>
                </c:pt>
                <c:pt idx="675">
                  <c:v>-0.39452516806982629</c:v>
                </c:pt>
                <c:pt idx="676">
                  <c:v>-0.39749693845898548</c:v>
                </c:pt>
                <c:pt idx="677">
                  <c:v>-0.40047756659712519</c:v>
                </c:pt>
                <c:pt idx="678">
                  <c:v>-0.40346710544548614</c:v>
                </c:pt>
                <c:pt idx="679">
                  <c:v>-0.40646560844174928</c:v>
                </c:pt>
                <c:pt idx="680">
                  <c:v>-0.40947312950569881</c:v>
                </c:pt>
                <c:pt idx="681">
                  <c:v>-0.41248972304512677</c:v>
                </c:pt>
                <c:pt idx="682">
                  <c:v>-0.41551544396166662</c:v>
                </c:pt>
                <c:pt idx="683">
                  <c:v>-0.41855034765681864</c:v>
                </c:pt>
                <c:pt idx="684">
                  <c:v>-0.42159449003804639</c:v>
                </c:pt>
                <c:pt idx="685">
                  <c:v>-0.42464792752493707</c:v>
                </c:pt>
                <c:pt idx="686">
                  <c:v>-0.4277107170554828</c:v>
                </c:pt>
                <c:pt idx="687">
                  <c:v>-0.43078291609245412</c:v>
                </c:pt>
                <c:pt idx="688">
                  <c:v>-0.43386458262985883</c:v>
                </c:pt>
                <c:pt idx="689">
                  <c:v>-0.43695577519953588</c:v>
                </c:pt>
                <c:pt idx="690">
                  <c:v>-0.44005655287778467</c:v>
                </c:pt>
                <c:pt idx="691">
                  <c:v>-0.44316697529217208</c:v>
                </c:pt>
                <c:pt idx="692">
                  <c:v>-0.44628710262841764</c:v>
                </c:pt>
                <c:pt idx="693">
                  <c:v>-0.44941699563734261</c:v>
                </c:pt>
                <c:pt idx="694">
                  <c:v>-0.45255671564201094</c:v>
                </c:pt>
                <c:pt idx="695">
                  <c:v>-0.45570632454491289</c:v>
                </c:pt>
                <c:pt idx="696">
                  <c:v>-0.45886588483527646</c:v>
                </c:pt>
                <c:pt idx="697">
                  <c:v>-0.46203545959655656</c:v>
                </c:pt>
                <c:pt idx="698">
                  <c:v>-0.46521511251393832</c:v>
                </c:pt>
                <c:pt idx="699">
                  <c:v>-0.46840490788203937</c:v>
                </c:pt>
                <c:pt idx="700">
                  <c:v>-0.47160491061270449</c:v>
                </c:pt>
                <c:pt idx="701">
                  <c:v>-0.4748151862429566</c:v>
                </c:pt>
                <c:pt idx="702">
                  <c:v>-0.47803580094299747</c:v>
                </c:pt>
                <c:pt idx="703">
                  <c:v>-0.48126682152444289</c:v>
                </c:pt>
                <c:pt idx="704">
                  <c:v>-0.48450831544861472</c:v>
                </c:pt>
                <c:pt idx="705">
                  <c:v>-0.48776035083498925</c:v>
                </c:pt>
                <c:pt idx="706">
                  <c:v>-0.49102299646980896</c:v>
                </c:pt>
                <c:pt idx="707">
                  <c:v>-0.49429632181477956</c:v>
                </c:pt>
                <c:pt idx="708">
                  <c:v>-0.49758039701596601</c:v>
                </c:pt>
                <c:pt idx="709">
                  <c:v>-0.50087529291282351</c:v>
                </c:pt>
                <c:pt idx="710">
                  <c:v>-0.50418108104732084</c:v>
                </c:pt>
                <c:pt idx="711">
                  <c:v>-0.50749783367331247</c:v>
                </c:pt>
                <c:pt idx="712">
                  <c:v>-0.51082562376598872</c:v>
                </c:pt>
                <c:pt idx="713">
                  <c:v>-0.51416452503150367</c:v>
                </c:pt>
                <c:pt idx="714">
                  <c:v>-0.51751461191678771</c:v>
                </c:pt>
                <c:pt idx="715">
                  <c:v>-0.52087595961948807</c:v>
                </c:pt>
                <c:pt idx="716">
                  <c:v>-0.52424864409812955</c:v>
                </c:pt>
                <c:pt idx="717">
                  <c:v>-0.52763274208236766</c:v>
                </c:pt>
                <c:pt idx="718">
                  <c:v>-0.53102833108350467</c:v>
                </c:pt>
                <c:pt idx="719">
                  <c:v>-0.53443548940511931</c:v>
                </c:pt>
                <c:pt idx="720">
                  <c:v>-0.53785429615390967</c:v>
                </c:pt>
                <c:pt idx="721">
                  <c:v>-0.54128483125069948</c:v>
                </c:pt>
                <c:pt idx="722">
                  <c:v>-0.54472717544167182</c:v>
                </c:pt>
                <c:pt idx="723">
                  <c:v>-0.54818141030975909</c:v>
                </c:pt>
                <c:pt idx="724">
                  <c:v>-0.5516476182862462</c:v>
                </c:pt>
                <c:pt idx="725">
                  <c:v>-0.55512588266256557</c:v>
                </c:pt>
                <c:pt idx="726">
                  <c:v>-0.55861628760233373</c:v>
                </c:pt>
                <c:pt idx="727">
                  <c:v>-0.56211891815353709</c:v>
                </c:pt>
                <c:pt idx="728">
                  <c:v>-0.56563386026098073</c:v>
                </c:pt>
                <c:pt idx="729">
                  <c:v>-0.56916120077895016</c:v>
                </c:pt>
                <c:pt idx="730">
                  <c:v>-0.57270102748407936</c:v>
                </c:pt>
                <c:pt idx="731">
                  <c:v>-0.57625342908844601</c:v>
                </c:pt>
                <c:pt idx="732">
                  <c:v>-0.57981849525293683</c:v>
                </c:pt>
                <c:pt idx="733">
                  <c:v>-0.58339631660082603</c:v>
                </c:pt>
                <c:pt idx="734">
                  <c:v>-0.58698698473155275</c:v>
                </c:pt>
                <c:pt idx="735">
                  <c:v>-0.59059059223485377</c:v>
                </c:pt>
                <c:pt idx="736">
                  <c:v>-0.59420723270503828</c:v>
                </c:pt>
                <c:pt idx="737">
                  <c:v>-0.59783700075561796</c:v>
                </c:pt>
                <c:pt idx="738">
                  <c:v>-0.60147999203412184</c:v>
                </c:pt>
                <c:pt idx="739">
                  <c:v>-0.60513630323723078</c:v>
                </c:pt>
                <c:pt idx="740">
                  <c:v>-0.60880603212618922</c:v>
                </c:pt>
                <c:pt idx="741">
                  <c:v>-0.61248927754248683</c:v>
                </c:pt>
                <c:pt idx="742">
                  <c:v>-0.61618613942381728</c:v>
                </c:pt>
                <c:pt idx="743">
                  <c:v>-0.61989671882034969</c:v>
                </c:pt>
                <c:pt idx="744">
                  <c:v>-0.62362111791133401</c:v>
                </c:pt>
                <c:pt idx="745">
                  <c:v>-0.62735944002194088</c:v>
                </c:pt>
                <c:pt idx="746">
                  <c:v>-0.6311117896404923</c:v>
                </c:pt>
                <c:pt idx="747">
                  <c:v>-0.63487827243596939</c:v>
                </c:pt>
                <c:pt idx="748">
                  <c:v>-0.63865899527587544</c:v>
                </c:pt>
                <c:pt idx="749">
                  <c:v>-0.6424540662444258</c:v>
                </c:pt>
                <c:pt idx="750">
                  <c:v>-0.64626359466109307</c:v>
                </c:pt>
                <c:pt idx="751">
                  <c:v>-0.65008769109949327</c:v>
                </c:pt>
                <c:pt idx="752">
                  <c:v>-0.65392646740666294</c:v>
                </c:pt>
                <c:pt idx="753">
                  <c:v>-0.65778003672264873</c:v>
                </c:pt>
                <c:pt idx="754">
                  <c:v>-0.66164851350057319</c:v>
                </c:pt>
                <c:pt idx="755">
                  <c:v>-0.66553201352697045</c:v>
                </c:pt>
                <c:pt idx="756">
                  <c:v>-0.66943065394262646</c:v>
                </c:pt>
                <c:pt idx="757">
                  <c:v>-0.6733445532637603</c:v>
                </c:pt>
                <c:pt idx="758">
                  <c:v>-0.67727383140365305</c:v>
                </c:pt>
                <c:pt idx="759">
                  <c:v>-0.68121860969466752</c:v>
                </c:pt>
                <c:pt idx="760">
                  <c:v>-0.68517901091076538</c:v>
                </c:pt>
                <c:pt idx="761">
                  <c:v>-0.68915515929040794</c:v>
                </c:pt>
                <c:pt idx="762">
                  <c:v>-0.69314718055994007</c:v>
                </c:pt>
                <c:pt idx="763">
                  <c:v>-0.69715520195747871</c:v>
                </c:pt>
                <c:pt idx="764">
                  <c:v>-0.70117935225720629</c:v>
                </c:pt>
                <c:pt idx="765">
                  <c:v>-0.70521976179421131</c:v>
                </c:pt>
                <c:pt idx="766">
                  <c:v>-0.70927656248982629</c:v>
                </c:pt>
                <c:pt idx="767">
                  <c:v>-0.71334988787746312</c:v>
                </c:pt>
                <c:pt idx="768">
                  <c:v>-0.71743987312898838</c:v>
                </c:pt>
                <c:pt idx="769">
                  <c:v>-0.72154665508163873</c:v>
                </c:pt>
                <c:pt idx="770">
                  <c:v>-0.72567037226550468</c:v>
                </c:pt>
                <c:pt idx="771">
                  <c:v>-0.72981116493153309</c:v>
                </c:pt>
                <c:pt idx="772">
                  <c:v>-0.73396917508019754</c:v>
                </c:pt>
                <c:pt idx="773">
                  <c:v>-0.7381445464906804</c:v>
                </c:pt>
                <c:pt idx="774">
                  <c:v>-0.74233742475071551</c:v>
                </c:pt>
                <c:pt idx="775">
                  <c:v>-0.74654795728705636</c:v>
                </c:pt>
                <c:pt idx="776">
                  <c:v>-0.75077629339657648</c:v>
                </c:pt>
                <c:pt idx="777">
                  <c:v>-0.75502258427803071</c:v>
                </c:pt>
                <c:pt idx="778">
                  <c:v>-0.75928698306449149</c:v>
                </c:pt>
                <c:pt idx="779">
                  <c:v>-0.76356964485648859</c:v>
                </c:pt>
                <c:pt idx="780">
                  <c:v>-0.76787072675588064</c:v>
                </c:pt>
                <c:pt idx="781">
                  <c:v>-0.77219038790039463</c:v>
                </c:pt>
                <c:pt idx="782">
                  <c:v>-0.77652878949899673</c:v>
                </c:pt>
                <c:pt idx="783">
                  <c:v>-0.78088609486795235</c:v>
                </c:pt>
                <c:pt idx="784">
                  <c:v>-0.78526246946774592</c:v>
                </c:pt>
                <c:pt idx="785">
                  <c:v>-0.78965808094078938</c:v>
                </c:pt>
                <c:pt idx="786">
                  <c:v>-0.7940730991499052</c:v>
                </c:pt>
                <c:pt idx="787">
                  <c:v>-0.79850769621776863</c:v>
                </c:pt>
                <c:pt idx="788">
                  <c:v>-0.80296204656715275</c:v>
                </c:pt>
                <c:pt idx="789">
                  <c:v>-0.80743632696206902</c:v>
                </c:pt>
                <c:pt idx="790">
                  <c:v>-0.81193071654990945</c:v>
                </c:pt>
                <c:pt idx="791">
                  <c:v>-0.81644539690443452</c:v>
                </c:pt>
                <c:pt idx="792">
                  <c:v>-0.82098055206982679</c:v>
                </c:pt>
                <c:pt idx="793">
                  <c:v>-0.82553636860568957</c:v>
                </c:pt>
                <c:pt idx="794">
                  <c:v>-0.83011303563309724</c:v>
                </c:pt>
                <c:pt idx="795">
                  <c:v>-0.83471074488173258</c:v>
                </c:pt>
                <c:pt idx="796">
                  <c:v>-0.8393296907380261</c:v>
                </c:pt>
                <c:pt idx="797">
                  <c:v>-0.84397007029452453</c:v>
                </c:pt>
                <c:pt idx="798">
                  <c:v>-0.84863208340033935</c:v>
                </c:pt>
                <c:pt idx="799">
                  <c:v>-0.85331593271276773</c:v>
                </c:pt>
                <c:pt idx="800">
                  <c:v>-0.85802182375017821</c:v>
                </c:pt>
                <c:pt idx="801">
                  <c:v>-0.86274996494612566</c:v>
                </c:pt>
                <c:pt idx="802">
                  <c:v>-0.86750056770472384</c:v>
                </c:pt>
                <c:pt idx="803">
                  <c:v>-0.87227384645738226</c:v>
                </c:pt>
                <c:pt idx="804">
                  <c:v>-0.87707001872087176</c:v>
                </c:pt>
                <c:pt idx="805">
                  <c:v>-0.88188930515681818</c:v>
                </c:pt>
                <c:pt idx="806">
                  <c:v>-0.88673192963261016</c:v>
                </c:pt>
                <c:pt idx="807">
                  <c:v>-0.89159811928378474</c:v>
                </c:pt>
                <c:pt idx="808">
                  <c:v>-0.89648810457797623</c:v>
                </c:pt>
                <c:pt idx="809">
                  <c:v>-0.90140211938039982</c:v>
                </c:pt>
                <c:pt idx="810">
                  <c:v>-0.90634040102098368</c:v>
                </c:pt>
                <c:pt idx="811">
                  <c:v>-0.91130319036311391</c:v>
                </c:pt>
                <c:pt idx="812">
                  <c:v>-0.91629073187415599</c:v>
                </c:pt>
                <c:pt idx="813">
                  <c:v>-0.9213032736976956</c:v>
                </c:pt>
                <c:pt idx="814">
                  <c:v>-0.92634106772765534</c:v>
                </c:pt>
                <c:pt idx="815">
                  <c:v>-0.93140436968420204</c:v>
                </c:pt>
                <c:pt idx="816">
                  <c:v>-0.93649343919167194</c:v>
                </c:pt>
                <c:pt idx="817">
                  <c:v>-0.94160853985844284</c:v>
                </c:pt>
                <c:pt idx="818">
                  <c:v>-0.94674993935885965</c:v>
                </c:pt>
                <c:pt idx="819">
                  <c:v>-0.95191790951730582</c:v>
                </c:pt>
                <c:pt idx="820">
                  <c:v>-0.95711272639440637</c:v>
                </c:pt>
                <c:pt idx="821">
                  <c:v>-0.96233467037556153</c:v>
                </c:pt>
                <c:pt idx="822">
                  <c:v>-0.96758402626170437</c:v>
                </c:pt>
                <c:pt idx="823">
                  <c:v>-0.97286108336254529</c:v>
                </c:pt>
                <c:pt idx="824">
                  <c:v>-0.97816613559223953</c:v>
                </c:pt>
                <c:pt idx="825">
                  <c:v>-0.98349948156760547</c:v>
                </c:pt>
                <c:pt idx="826">
                  <c:v>-0.98886142470898619</c:v>
                </c:pt>
                <c:pt idx="827">
                  <c:v>-0.9942522733438679</c:v>
                </c:pt>
                <c:pt idx="828">
                  <c:v>-0.99967234081320555</c:v>
                </c:pt>
                <c:pt idx="829">
                  <c:v>-1.0051219455807683</c:v>
                </c:pt>
                <c:pt idx="830">
                  <c:v>-1.010601411345398</c:v>
                </c:pt>
                <c:pt idx="831">
                  <c:v>-1.0161110671563662</c:v>
                </c:pt>
                <c:pt idx="832">
                  <c:v>-1.0216512475319774</c:v>
                </c:pt>
                <c:pt idx="833">
                  <c:v>-1.0272222925814347</c:v>
                </c:pt>
                <c:pt idx="834">
                  <c:v>-1.032824548130101</c:v>
                </c:pt>
                <c:pt idx="835">
                  <c:v>-1.0384583658483635</c:v>
                </c:pt>
                <c:pt idx="836">
                  <c:v>-1.0441241033840356</c:v>
                </c:pt>
                <c:pt idx="837">
                  <c:v>-1.0498221244986752</c:v>
                </c:pt>
                <c:pt idx="838">
                  <c:v>-1.0555527992076605</c:v>
                </c:pt>
                <c:pt idx="839">
                  <c:v>-1.0613165039244095</c:v>
                </c:pt>
                <c:pt idx="840">
                  <c:v>-1.0671136216087334</c:v>
                </c:pt>
                <c:pt idx="841">
                  <c:v>-1.0729445419195329</c:v>
                </c:pt>
                <c:pt idx="842">
                  <c:v>-1.0788096613719276</c:v>
                </c:pt>
                <c:pt idx="843">
                  <c:v>-1.0847093834991171</c:v>
                </c:pt>
                <c:pt idx="844">
                  <c:v>-1.0906441190189327</c:v>
                </c:pt>
                <c:pt idx="845">
                  <c:v>-1.0966142860054333</c:v>
                </c:pt>
                <c:pt idx="846">
                  <c:v>-1.102620310065646</c:v>
                </c:pt>
                <c:pt idx="847">
                  <c:v>-1.1086626245216067</c:v>
                </c:pt>
                <c:pt idx="848">
                  <c:v>-1.1147416705979936</c:v>
                </c:pt>
                <c:pt idx="849">
                  <c:v>-1.12085789761543</c:v>
                </c:pt>
                <c:pt idx="850">
                  <c:v>-1.127011763189806</c:v>
                </c:pt>
                <c:pt idx="851">
                  <c:v>-1.1332037334377247</c:v>
                </c:pt>
                <c:pt idx="852">
                  <c:v>-1.1394342831883648</c:v>
                </c:pt>
                <c:pt idx="853">
                  <c:v>-1.1457038962019581</c:v>
                </c:pt>
                <c:pt idx="854">
                  <c:v>-1.1520130653952236</c:v>
                </c:pt>
                <c:pt idx="855">
                  <c:v>-1.1583622930738784</c:v>
                </c:pt>
                <c:pt idx="856">
                  <c:v>-1.1647520911726517</c:v>
                </c:pt>
                <c:pt idx="857">
                  <c:v>-1.1711829815029446</c:v>
                </c:pt>
                <c:pt idx="858">
                  <c:v>-1.1776554960085619</c:v>
                </c:pt>
                <c:pt idx="859">
                  <c:v>-1.1841701770297561</c:v>
                </c:pt>
                <c:pt idx="860">
                  <c:v>-1.1907275775759132</c:v>
                </c:pt>
                <c:pt idx="861">
                  <c:v>-1.197328261607268</c:v>
                </c:pt>
                <c:pt idx="862">
                  <c:v>-1.2039728043259359</c:v>
                </c:pt>
                <c:pt idx="863">
                  <c:v>-1.2106617924767278</c:v>
                </c:pt>
                <c:pt idx="864">
                  <c:v>-1.2173958246580767</c:v>
                </c:pt>
                <c:pt idx="865">
                  <c:v>-1.2241755116434518</c:v>
                </c:pt>
                <c:pt idx="866">
                  <c:v>-1.2310014767138568</c:v>
                </c:pt>
                <c:pt idx="867">
                  <c:v>-1.2378743560016119</c:v>
                </c:pt>
                <c:pt idx="868">
                  <c:v>-1.2447947988461863</c:v>
                </c:pt>
                <c:pt idx="869">
                  <c:v>-1.2517634681622809</c:v>
                </c:pt>
                <c:pt idx="870">
                  <c:v>-1.2587810408209279</c:v>
                </c:pt>
                <c:pt idx="871">
                  <c:v>-1.2658482080440194</c:v>
                </c:pt>
                <c:pt idx="872">
                  <c:v>-1.272965675812884</c:v>
                </c:pt>
                <c:pt idx="873">
                  <c:v>-1.2801341652914999</c:v>
                </c:pt>
                <c:pt idx="874">
                  <c:v>-1.2873544132649855</c:v>
                </c:pt>
                <c:pt idx="875">
                  <c:v>-1.294627172594069</c:v>
                </c:pt>
                <c:pt idx="876">
                  <c:v>-1.3019532126861364</c:v>
                </c:pt>
                <c:pt idx="877">
                  <c:v>-1.3093333199837573</c:v>
                </c:pt>
                <c:pt idx="878">
                  <c:v>-1.3167682984712812</c:v>
                </c:pt>
                <c:pt idx="879">
                  <c:v>-1.3242589702004324</c:v>
                </c:pt>
                <c:pt idx="880">
                  <c:v>-1.3318061758358155</c:v>
                </c:pt>
                <c:pt idx="881">
                  <c:v>-1.3394107752210402</c:v>
                </c:pt>
                <c:pt idx="882">
                  <c:v>-1.3470736479666101</c:v>
                </c:pt>
                <c:pt idx="883">
                  <c:v>-1.3547956940605204</c:v>
                </c:pt>
                <c:pt idx="884">
                  <c:v>-1.3625778345025736</c:v>
                </c:pt>
                <c:pt idx="885">
                  <c:v>-1.3704210119636002</c:v>
                </c:pt>
                <c:pt idx="886">
                  <c:v>-1.3783261914707126</c:v>
                </c:pt>
                <c:pt idx="887">
                  <c:v>-1.3862943611198872</c:v>
                </c:pt>
                <c:pt idx="888">
                  <c:v>-1.3943265328171535</c:v>
                </c:pt>
                <c:pt idx="889">
                  <c:v>-1.4024237430497735</c:v>
                </c:pt>
                <c:pt idx="890">
                  <c:v>-1.4105870536889356</c:v>
                </c:pt>
                <c:pt idx="891">
                  <c:v>-1.4188175528254519</c:v>
                </c:pt>
                <c:pt idx="892">
                  <c:v>-1.4271163556401447</c:v>
                </c:pt>
                <c:pt idx="893">
                  <c:v>-1.4354846053106627</c:v>
                </c:pt>
                <c:pt idx="894">
                  <c:v>-1.4439234739565237</c:v>
                </c:pt>
                <c:pt idx="895">
                  <c:v>-1.4524341636244316</c:v>
                </c:pt>
                <c:pt idx="896">
                  <c:v>-1.4610179073158278</c:v>
                </c:pt>
                <c:pt idx="897">
                  <c:v>-1.4696759700589368</c:v>
                </c:pt>
                <c:pt idx="898">
                  <c:v>-1.4784096500276931</c:v>
                </c:pt>
                <c:pt idx="899">
                  <c:v>-1.4872202797098453</c:v>
                </c:pt>
                <c:pt idx="900">
                  <c:v>-1.4961092271270999</c:v>
                </c:pt>
                <c:pt idx="901">
                  <c:v>-1.5050778971098566</c:v>
                </c:pt>
                <c:pt idx="902">
                  <c:v>-1.514127732629774</c:v>
                </c:pt>
                <c:pt idx="903">
                  <c:v>-1.5232602161930444</c:v>
                </c:pt>
                <c:pt idx="904">
                  <c:v>-1.5324768712979733</c:v>
                </c:pt>
                <c:pt idx="905">
                  <c:v>-1.5417792639602865</c:v>
                </c:pt>
                <c:pt idx="906">
                  <c:v>-1.5511690043101183</c:v>
                </c:pt>
                <c:pt idx="907">
                  <c:v>-1.560647748264671</c:v>
                </c:pt>
                <c:pt idx="908">
                  <c:v>-1.5702171992808189</c:v>
                </c:pt>
                <c:pt idx="909">
                  <c:v>-1.5798791101925573</c:v>
                </c:pt>
                <c:pt idx="910">
                  <c:v>-1.5896352851379163</c:v>
                </c:pt>
                <c:pt idx="911">
                  <c:v>-1.5994875815809309</c:v>
                </c:pt>
                <c:pt idx="912">
                  <c:v>-1.6094379124340961</c:v>
                </c:pt>
                <c:pt idx="913">
                  <c:v>-1.6194882482876025</c:v>
                </c:pt>
                <c:pt idx="914">
                  <c:v>-1.6296406197516191</c:v>
                </c:pt>
                <c:pt idx="915">
                  <c:v>-1.6398971199188068</c:v>
                </c:pt>
                <c:pt idx="916">
                  <c:v>-1.6502599069543535</c:v>
                </c:pt>
                <c:pt idx="917">
                  <c:v>-1.6607312068216444</c:v>
                </c:pt>
                <c:pt idx="918">
                  <c:v>-1.6713133161521867</c:v>
                </c:pt>
                <c:pt idx="919">
                  <c:v>-1.6820086052689334</c:v>
                </c:pt>
                <c:pt idx="920">
                  <c:v>-1.6928195213731527</c:v>
                </c:pt>
                <c:pt idx="921">
                  <c:v>-1.7037485919053381</c:v>
                </c:pt>
                <c:pt idx="922">
                  <c:v>-1.7147984280919246</c:v>
                </c:pt>
                <c:pt idx="923">
                  <c:v>-1.7259717286900482</c:v>
                </c:pt>
                <c:pt idx="924">
                  <c:v>-1.7372712839439828</c:v>
                </c:pt>
                <c:pt idx="925">
                  <c:v>-1.7486999797676077</c:v>
                </c:pt>
                <c:pt idx="926">
                  <c:v>-1.7602608021686805</c:v>
                </c:pt>
                <c:pt idx="927">
                  <c:v>-1.7719568419318747</c:v>
                </c:pt>
                <c:pt idx="928">
                  <c:v>-1.7837912995788727</c:v>
                </c:pt>
                <c:pt idx="929">
                  <c:v>-1.7957674906255932</c:v>
                </c:pt>
                <c:pt idx="930">
                  <c:v>-1.8078888511579336</c:v>
                </c:pt>
                <c:pt idx="931">
                  <c:v>-1.8201589437497532</c:v>
                </c:pt>
                <c:pt idx="932">
                  <c:v>-1.832581463748312</c:v>
                </c:pt>
                <c:pt idx="933">
                  <c:v>-1.8451602459551708</c:v>
                </c:pt>
                <c:pt idx="934">
                  <c:v>-1.8578992717325988</c:v>
                </c:pt>
                <c:pt idx="935">
                  <c:v>-1.870802676568502</c:v>
                </c:pt>
                <c:pt idx="936">
                  <c:v>-1.8838747581358604</c:v>
                </c:pt>
                <c:pt idx="937">
                  <c:v>-1.897119984885876</c:v>
                </c:pt>
                <c:pt idx="938">
                  <c:v>-1.9105430052180239</c:v>
                </c:pt>
                <c:pt idx="939">
                  <c:v>-1.9241486572737969</c:v>
                </c:pt>
                <c:pt idx="940">
                  <c:v>-1.9379419794061334</c:v>
                </c:pt>
                <c:pt idx="941">
                  <c:v>-1.9519282213808751</c:v>
                </c:pt>
                <c:pt idx="942">
                  <c:v>-1.9661128563728312</c:v>
                </c:pt>
                <c:pt idx="943">
                  <c:v>-1.9805015938249326</c:v>
                </c:pt>
                <c:pt idx="944">
                  <c:v>-1.9951003932460836</c:v>
                </c:pt>
                <c:pt idx="945">
                  <c:v>-2.0099154790312213</c:v>
                </c:pt>
                <c:pt idx="946">
                  <c:v>-2.0249533563957627</c:v>
                </c:pt>
                <c:pt idx="947">
                  <c:v>-2.0402208285265573</c:v>
                </c:pt>
                <c:pt idx="948">
                  <c:v>-2.0557250150625208</c:v>
                </c:pt>
                <c:pt idx="949">
                  <c:v>-2.0714733720306597</c:v>
                </c:pt>
                <c:pt idx="950">
                  <c:v>-2.0874737133771006</c:v>
                </c:pt>
                <c:pt idx="951">
                  <c:v>-2.1037342342488756</c:v>
                </c:pt>
                <c:pt idx="952">
                  <c:v>-2.1202635362000848</c:v>
                </c:pt>
                <c:pt idx="953">
                  <c:v>-2.1370706545164708</c:v>
                </c:pt>
                <c:pt idx="954">
                  <c:v>-2.1541650878757679</c:v>
                </c:pt>
                <c:pt idx="955">
                  <c:v>-2.1715568305876403</c:v>
                </c:pt>
                <c:pt idx="956">
                  <c:v>-2.18925640768704</c:v>
                </c:pt>
                <c:pt idx="957">
                  <c:v>-2.207274913189714</c:v>
                </c:pt>
                <c:pt idx="958">
                  <c:v>-2.2256240518579133</c:v>
                </c:pt>
                <c:pt idx="959">
                  <c:v>-2.2443161848700655</c:v>
                </c:pt>
                <c:pt idx="960">
                  <c:v>-2.263364379840759</c:v>
                </c:pt>
                <c:pt idx="961">
                  <c:v>-2.2827824656978635</c:v>
                </c:pt>
                <c:pt idx="962">
                  <c:v>-2.3025850929940432</c:v>
                </c:pt>
                <c:pt idx="963">
                  <c:v>-2.3227878003115592</c:v>
                </c:pt>
                <c:pt idx="964">
                  <c:v>-2.3434070875142936</c:v>
                </c:pt>
                <c:pt idx="965">
                  <c:v>-2.3644604967121339</c:v>
                </c:pt>
                <c:pt idx="966">
                  <c:v>-2.3859667019330928</c:v>
                </c:pt>
                <c:pt idx="967">
                  <c:v>-2.4079456086518647</c:v>
                </c:pt>
                <c:pt idx="968">
                  <c:v>-2.43041846450393</c:v>
                </c:pt>
                <c:pt idx="969">
                  <c:v>-2.4534079827286277</c:v>
                </c:pt>
                <c:pt idx="970">
                  <c:v>-2.4769384801388199</c:v>
                </c:pt>
                <c:pt idx="971">
                  <c:v>-2.5010360317178808</c:v>
                </c:pt>
                <c:pt idx="972">
                  <c:v>-2.5257286443082521</c:v>
                </c:pt>
                <c:pt idx="973">
                  <c:v>-2.551046452292546</c:v>
                </c:pt>
                <c:pt idx="974">
                  <c:v>-2.5770219386958004</c:v>
                </c:pt>
                <c:pt idx="975">
                  <c:v>-2.603690185777964</c:v>
                </c:pt>
                <c:pt idx="976">
                  <c:v>-2.6310891599660806</c:v>
                </c:pt>
                <c:pt idx="977">
                  <c:v>-2.6592600369327712</c:v>
                </c:pt>
                <c:pt idx="978">
                  <c:v>-2.6882475738060236</c:v>
                </c:pt>
                <c:pt idx="979">
                  <c:v>-2.7181005369557099</c:v>
                </c:pt>
                <c:pt idx="980">
                  <c:v>-2.7488721956224609</c:v>
                </c:pt>
                <c:pt idx="981">
                  <c:v>-2.7806208939370407</c:v>
                </c:pt>
                <c:pt idx="982">
                  <c:v>-2.8134107167600391</c:v>
                </c:pt>
                <c:pt idx="983">
                  <c:v>-2.8473122684357151</c:v>
                </c:pt>
                <c:pt idx="984">
                  <c:v>-2.8824035882469872</c:v>
                </c:pt>
                <c:pt idx="985">
                  <c:v>-2.9187712324178534</c:v>
                </c:pt>
                <c:pt idx="986">
                  <c:v>-2.9565115604007062</c:v>
                </c:pt>
                <c:pt idx="987">
                  <c:v>-2.9957322735539904</c:v>
                </c:pt>
                <c:pt idx="988">
                  <c:v>-3.0365542680742408</c:v>
                </c:pt>
                <c:pt idx="989">
                  <c:v>-3.07911388249304</c:v>
                </c:pt>
                <c:pt idx="990">
                  <c:v>-3.12356564506387</c:v>
                </c:pt>
                <c:pt idx="991">
                  <c:v>-3.1700856606987671</c:v>
                </c:pt>
                <c:pt idx="992">
                  <c:v>-3.2188758248681921</c:v>
                </c:pt>
                <c:pt idx="993">
                  <c:v>-3.2701691192557547</c:v>
                </c:pt>
                <c:pt idx="994">
                  <c:v>-3.3242363405260278</c:v>
                </c:pt>
                <c:pt idx="995">
                  <c:v>-3.3813947543659637</c:v>
                </c:pt>
                <c:pt idx="996">
                  <c:v>-3.4420193761824009</c:v>
                </c:pt>
                <c:pt idx="997">
                  <c:v>-3.5065578973199791</c:v>
                </c:pt>
                <c:pt idx="998">
                  <c:v>-3.5755507688069343</c:v>
                </c:pt>
                <c:pt idx="999">
                  <c:v>-3.6496587409606462</c:v>
                </c:pt>
                <c:pt idx="1000">
                  <c:v>-3.7297014486342022</c:v>
                </c:pt>
                <c:pt idx="1001">
                  <c:v>-3.8167128256238172</c:v>
                </c:pt>
                <c:pt idx="1002">
                  <c:v>-3.9120230054281464</c:v>
                </c:pt>
                <c:pt idx="1003">
                  <c:v>-4.0173835210859608</c:v>
                </c:pt>
                <c:pt idx="1004">
                  <c:v>-4.1351665567423481</c:v>
                </c:pt>
                <c:pt idx="1005">
                  <c:v>-4.2686979493668744</c:v>
                </c:pt>
                <c:pt idx="1006">
                  <c:v>-4.4228486291941138</c:v>
                </c:pt>
                <c:pt idx="1007">
                  <c:v>-4.6051701859881149</c:v>
                </c:pt>
                <c:pt idx="1008">
                  <c:v>-4.8283137373022953</c:v>
                </c:pt>
                <c:pt idx="1009">
                  <c:v>-5.1159958097540894</c:v>
                </c:pt>
                <c:pt idx="1010">
                  <c:v>-5.5214609178621927</c:v>
                </c:pt>
                <c:pt idx="1011">
                  <c:v>-6.2146080984223246</c:v>
                </c:pt>
                <c:pt idx="1012">
                  <c:v>-8.5171931914161831</c:v>
                </c:pt>
                <c:pt idx="1013">
                  <c:v>-10.819778284415975</c:v>
                </c:pt>
                <c:pt idx="1014">
                  <c:v>-13.122363377429181</c:v>
                </c:pt>
                <c:pt idx="1015">
                  <c:v>-15.424948470997954</c:v>
                </c:pt>
                <c:pt idx="1016">
                  <c:v>-17.72753355058169</c:v>
                </c:pt>
                <c:pt idx="1017">
                  <c:v>-20.03011868189089</c:v>
                </c:pt>
                <c:pt idx="1018">
                  <c:v>-22.332703008582037</c:v>
                </c:pt>
                <c:pt idx="101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864688"/>
        <c:axId val="193865248"/>
      </c:scatterChart>
      <c:valAx>
        <c:axId val="193864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865248"/>
        <c:crosses val="autoZero"/>
        <c:crossBetween val="midCat"/>
      </c:valAx>
      <c:valAx>
        <c:axId val="19386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864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'ddx_pdf extrema'!$I$11:$I$362</c:f>
              <c:numCache>
                <c:formatCode>0.00</c:formatCode>
                <c:ptCount val="352"/>
                <c:pt idx="0">
                  <c:v>0</c:v>
                </c:pt>
                <c:pt idx="1">
                  <c:v>1E-10</c:v>
                </c:pt>
                <c:pt idx="2">
                  <c:v>1.0000000000000001E-9</c:v>
                </c:pt>
                <c:pt idx="3">
                  <c:v>1E-8</c:v>
                </c:pt>
                <c:pt idx="4">
                  <c:v>9.9999999999999995E-8</c:v>
                </c:pt>
                <c:pt idx="5">
                  <c:v>9.9999999999999995E-7</c:v>
                </c:pt>
                <c:pt idx="6">
                  <c:v>9.9999999999999991E-6</c:v>
                </c:pt>
                <c:pt idx="7">
                  <c:v>9.9999999999999991E-5</c:v>
                </c:pt>
                <c:pt idx="8">
                  <c:v>1E-3</c:v>
                </c:pt>
                <c:pt idx="9">
                  <c:v>0.01</c:v>
                </c:pt>
                <c:pt idx="10">
                  <c:v>0.1</c:v>
                </c:pt>
                <c:pt idx="11">
                  <c:v>0.2</c:v>
                </c:pt>
                <c:pt idx="12">
                  <c:v>0.30000000000000004</c:v>
                </c:pt>
                <c:pt idx="13">
                  <c:v>0.4</c:v>
                </c:pt>
                <c:pt idx="14">
                  <c:v>0.5</c:v>
                </c:pt>
                <c:pt idx="15">
                  <c:v>0.6</c:v>
                </c:pt>
                <c:pt idx="16">
                  <c:v>0.7</c:v>
                </c:pt>
                <c:pt idx="17">
                  <c:v>0.79999999999999993</c:v>
                </c:pt>
                <c:pt idx="18">
                  <c:v>0.89999999999999991</c:v>
                </c:pt>
                <c:pt idx="19">
                  <c:v>0.99999999999999989</c:v>
                </c:pt>
                <c:pt idx="20">
                  <c:v>1.0999999999999999</c:v>
                </c:pt>
                <c:pt idx="21">
                  <c:v>1.2</c:v>
                </c:pt>
                <c:pt idx="22">
                  <c:v>1.3</c:v>
                </c:pt>
                <c:pt idx="23">
                  <c:v>1.4000000000000001</c:v>
                </c:pt>
                <c:pt idx="24">
                  <c:v>1.5000000000000002</c:v>
                </c:pt>
                <c:pt idx="25">
                  <c:v>1.6000000000000003</c:v>
                </c:pt>
                <c:pt idx="26">
                  <c:v>1.7000000000000004</c:v>
                </c:pt>
                <c:pt idx="27">
                  <c:v>1.8000000000000005</c:v>
                </c:pt>
                <c:pt idx="28">
                  <c:v>1.9000000000000006</c:v>
                </c:pt>
                <c:pt idx="29">
                  <c:v>2.0000000000000004</c:v>
                </c:pt>
                <c:pt idx="30">
                  <c:v>2.1000000000000005</c:v>
                </c:pt>
                <c:pt idx="31">
                  <c:v>2.2000000000000006</c:v>
                </c:pt>
                <c:pt idx="32">
                  <c:v>2.3000000000000007</c:v>
                </c:pt>
                <c:pt idx="33">
                  <c:v>2.4000000000000008</c:v>
                </c:pt>
                <c:pt idx="34">
                  <c:v>2.5000000000000009</c:v>
                </c:pt>
                <c:pt idx="35">
                  <c:v>2.600000000000001</c:v>
                </c:pt>
                <c:pt idx="36">
                  <c:v>2.7000000000000011</c:v>
                </c:pt>
                <c:pt idx="37">
                  <c:v>2.8000000000000012</c:v>
                </c:pt>
                <c:pt idx="38">
                  <c:v>2.9000000000000012</c:v>
                </c:pt>
                <c:pt idx="39">
                  <c:v>3.0000000000000013</c:v>
                </c:pt>
                <c:pt idx="40">
                  <c:v>3.1000000000000014</c:v>
                </c:pt>
                <c:pt idx="41">
                  <c:v>3.2000000000000015</c:v>
                </c:pt>
                <c:pt idx="42">
                  <c:v>3.3000000000000016</c:v>
                </c:pt>
                <c:pt idx="43">
                  <c:v>3.4000000000000017</c:v>
                </c:pt>
                <c:pt idx="44">
                  <c:v>3.5000000000000018</c:v>
                </c:pt>
                <c:pt idx="45">
                  <c:v>3.6000000000000019</c:v>
                </c:pt>
                <c:pt idx="46">
                  <c:v>3.700000000000002</c:v>
                </c:pt>
                <c:pt idx="47">
                  <c:v>3.800000000000002</c:v>
                </c:pt>
                <c:pt idx="48">
                  <c:v>3.9000000000000021</c:v>
                </c:pt>
                <c:pt idx="49">
                  <c:v>4.0000000000000018</c:v>
                </c:pt>
                <c:pt idx="50">
                  <c:v>4.1000000000000014</c:v>
                </c:pt>
                <c:pt idx="51">
                  <c:v>4.2000000000000011</c:v>
                </c:pt>
                <c:pt idx="52">
                  <c:v>4.3000000000000007</c:v>
                </c:pt>
                <c:pt idx="53">
                  <c:v>4.4000000000000004</c:v>
                </c:pt>
                <c:pt idx="54">
                  <c:v>4.5</c:v>
                </c:pt>
                <c:pt idx="55">
                  <c:v>4.5999999999999996</c:v>
                </c:pt>
                <c:pt idx="56">
                  <c:v>4.6999999999999993</c:v>
                </c:pt>
                <c:pt idx="57">
                  <c:v>4.7999999999999989</c:v>
                </c:pt>
                <c:pt idx="58">
                  <c:v>4.8999999999999986</c:v>
                </c:pt>
                <c:pt idx="59">
                  <c:v>4.9999999999999982</c:v>
                </c:pt>
                <c:pt idx="60">
                  <c:v>5.0999999999999979</c:v>
                </c:pt>
                <c:pt idx="61">
                  <c:v>5.1999999999999975</c:v>
                </c:pt>
                <c:pt idx="62">
                  <c:v>5.2999999999999972</c:v>
                </c:pt>
                <c:pt idx="63">
                  <c:v>5.3999999999999968</c:v>
                </c:pt>
                <c:pt idx="64">
                  <c:v>5.4999999999999964</c:v>
                </c:pt>
                <c:pt idx="65">
                  <c:v>5.5999999999999961</c:v>
                </c:pt>
                <c:pt idx="66">
                  <c:v>5.6999999999999957</c:v>
                </c:pt>
                <c:pt idx="67">
                  <c:v>5.7999999999999954</c:v>
                </c:pt>
                <c:pt idx="68">
                  <c:v>5.899999999999995</c:v>
                </c:pt>
                <c:pt idx="69">
                  <c:v>5.9999999999999947</c:v>
                </c:pt>
                <c:pt idx="70">
                  <c:v>6.0999999999999943</c:v>
                </c:pt>
                <c:pt idx="71">
                  <c:v>6.199999999999994</c:v>
                </c:pt>
                <c:pt idx="72">
                  <c:v>6.2999999999999936</c:v>
                </c:pt>
                <c:pt idx="73">
                  <c:v>6.3999999999999932</c:v>
                </c:pt>
                <c:pt idx="74">
                  <c:v>6.4999999999999929</c:v>
                </c:pt>
                <c:pt idx="75">
                  <c:v>6.5999999999999925</c:v>
                </c:pt>
                <c:pt idx="76">
                  <c:v>6.6999999999999922</c:v>
                </c:pt>
                <c:pt idx="77">
                  <c:v>6.7999999999999918</c:v>
                </c:pt>
                <c:pt idx="78">
                  <c:v>6.8999999999999915</c:v>
                </c:pt>
                <c:pt idx="79">
                  <c:v>6.9999999999999911</c:v>
                </c:pt>
                <c:pt idx="80">
                  <c:v>7.0999999999999908</c:v>
                </c:pt>
                <c:pt idx="81">
                  <c:v>7.1999999999999904</c:v>
                </c:pt>
                <c:pt idx="82">
                  <c:v>7.2999999999999901</c:v>
                </c:pt>
                <c:pt idx="83">
                  <c:v>7.3999999999999897</c:v>
                </c:pt>
                <c:pt idx="84">
                  <c:v>7.4999999999999893</c:v>
                </c:pt>
                <c:pt idx="85">
                  <c:v>7.599999999999989</c:v>
                </c:pt>
                <c:pt idx="86">
                  <c:v>7.6999999999999886</c:v>
                </c:pt>
                <c:pt idx="87">
                  <c:v>7.7999999999999883</c:v>
                </c:pt>
                <c:pt idx="88">
                  <c:v>7.8999999999999879</c:v>
                </c:pt>
                <c:pt idx="89">
                  <c:v>7.9999999999999876</c:v>
                </c:pt>
                <c:pt idx="90">
                  <c:v>8.0999999999999872</c:v>
                </c:pt>
                <c:pt idx="91">
                  <c:v>8.1999999999999869</c:v>
                </c:pt>
                <c:pt idx="92">
                  <c:v>8.2999999999999865</c:v>
                </c:pt>
                <c:pt idx="93">
                  <c:v>8.3999999999999861</c:v>
                </c:pt>
                <c:pt idx="94">
                  <c:v>8.4999999999999858</c:v>
                </c:pt>
                <c:pt idx="95">
                  <c:v>8.5999999999999854</c:v>
                </c:pt>
                <c:pt idx="96">
                  <c:v>8.6999999999999851</c:v>
                </c:pt>
                <c:pt idx="97">
                  <c:v>8.7999999999999847</c:v>
                </c:pt>
                <c:pt idx="98">
                  <c:v>8.8999999999999844</c:v>
                </c:pt>
                <c:pt idx="99">
                  <c:v>8.999999999999984</c:v>
                </c:pt>
                <c:pt idx="100">
                  <c:v>9.0999999999999837</c:v>
                </c:pt>
                <c:pt idx="101">
                  <c:v>9.1999999999999833</c:v>
                </c:pt>
                <c:pt idx="102">
                  <c:v>9.2999999999999829</c:v>
                </c:pt>
                <c:pt idx="103">
                  <c:v>9.3999999999999826</c:v>
                </c:pt>
                <c:pt idx="104">
                  <c:v>9.4999999999999822</c:v>
                </c:pt>
                <c:pt idx="105">
                  <c:v>9.5999999999999819</c:v>
                </c:pt>
                <c:pt idx="106">
                  <c:v>9.6999999999999815</c:v>
                </c:pt>
                <c:pt idx="107">
                  <c:v>9.7999999999999812</c:v>
                </c:pt>
                <c:pt idx="108">
                  <c:v>9.8999999999999808</c:v>
                </c:pt>
                <c:pt idx="109">
                  <c:v>9.9999999999999805</c:v>
                </c:pt>
                <c:pt idx="110">
                  <c:v>10.99999999999998</c:v>
                </c:pt>
                <c:pt idx="111">
                  <c:v>11.99999999999998</c:v>
                </c:pt>
                <c:pt idx="112">
                  <c:v>12.99999999999998</c:v>
                </c:pt>
                <c:pt idx="113">
                  <c:v>13.99999999999998</c:v>
                </c:pt>
                <c:pt idx="114">
                  <c:v>14.99999999999998</c:v>
                </c:pt>
                <c:pt idx="115">
                  <c:v>15.99999999999998</c:v>
                </c:pt>
                <c:pt idx="116">
                  <c:v>16.999999999999979</c:v>
                </c:pt>
                <c:pt idx="117">
                  <c:v>17.999999999999979</c:v>
                </c:pt>
                <c:pt idx="118">
                  <c:v>18.999999999999979</c:v>
                </c:pt>
                <c:pt idx="119">
                  <c:v>19.999999999999979</c:v>
                </c:pt>
                <c:pt idx="120">
                  <c:v>20.999999999999979</c:v>
                </c:pt>
                <c:pt idx="121">
                  <c:v>21.999999999999979</c:v>
                </c:pt>
                <c:pt idx="122">
                  <c:v>22.999999999999979</c:v>
                </c:pt>
                <c:pt idx="123">
                  <c:v>23.999999999999979</c:v>
                </c:pt>
                <c:pt idx="124">
                  <c:v>24.999999999999979</c:v>
                </c:pt>
                <c:pt idx="125">
                  <c:v>25.999999999999979</c:v>
                </c:pt>
                <c:pt idx="126">
                  <c:v>26.999999999999979</c:v>
                </c:pt>
                <c:pt idx="127">
                  <c:v>27.999999999999979</c:v>
                </c:pt>
                <c:pt idx="128">
                  <c:v>28.999999999999979</c:v>
                </c:pt>
                <c:pt idx="129">
                  <c:v>29.999999999999979</c:v>
                </c:pt>
                <c:pt idx="130">
                  <c:v>30.999999999999979</c:v>
                </c:pt>
                <c:pt idx="131">
                  <c:v>31.999999999999979</c:v>
                </c:pt>
                <c:pt idx="132">
                  <c:v>32.999999999999979</c:v>
                </c:pt>
                <c:pt idx="133">
                  <c:v>33.999999999999979</c:v>
                </c:pt>
                <c:pt idx="134">
                  <c:v>34.999999999999979</c:v>
                </c:pt>
                <c:pt idx="135">
                  <c:v>35.999999999999979</c:v>
                </c:pt>
                <c:pt idx="136">
                  <c:v>36.999999999999979</c:v>
                </c:pt>
                <c:pt idx="137">
                  <c:v>37.999999999999979</c:v>
                </c:pt>
                <c:pt idx="138">
                  <c:v>38.999999999999979</c:v>
                </c:pt>
                <c:pt idx="139">
                  <c:v>39.999999999999979</c:v>
                </c:pt>
                <c:pt idx="140">
                  <c:v>40.999999999999979</c:v>
                </c:pt>
                <c:pt idx="141">
                  <c:v>41.999999999999979</c:v>
                </c:pt>
                <c:pt idx="142">
                  <c:v>42.999999999999979</c:v>
                </c:pt>
                <c:pt idx="143">
                  <c:v>43.999999999999979</c:v>
                </c:pt>
                <c:pt idx="144">
                  <c:v>44.999999999999979</c:v>
                </c:pt>
                <c:pt idx="145">
                  <c:v>45.999999999999979</c:v>
                </c:pt>
                <c:pt idx="146">
                  <c:v>46.999999999999979</c:v>
                </c:pt>
                <c:pt idx="147">
                  <c:v>47.999999999999979</c:v>
                </c:pt>
                <c:pt idx="148">
                  <c:v>48.999999999999979</c:v>
                </c:pt>
                <c:pt idx="149">
                  <c:v>49.999999999999979</c:v>
                </c:pt>
                <c:pt idx="150">
                  <c:v>50.999999999999979</c:v>
                </c:pt>
                <c:pt idx="151">
                  <c:v>51.999999999999979</c:v>
                </c:pt>
                <c:pt idx="152">
                  <c:v>52.999999999999979</c:v>
                </c:pt>
                <c:pt idx="153">
                  <c:v>53.999999999999979</c:v>
                </c:pt>
                <c:pt idx="154">
                  <c:v>54.999999999999979</c:v>
                </c:pt>
                <c:pt idx="155">
                  <c:v>55.999999999999979</c:v>
                </c:pt>
                <c:pt idx="156">
                  <c:v>56.999999999999979</c:v>
                </c:pt>
                <c:pt idx="157">
                  <c:v>57.999999999999979</c:v>
                </c:pt>
                <c:pt idx="158">
                  <c:v>58.999999999999979</c:v>
                </c:pt>
                <c:pt idx="159">
                  <c:v>59.999999999999979</c:v>
                </c:pt>
                <c:pt idx="160">
                  <c:v>60.999999999999979</c:v>
                </c:pt>
                <c:pt idx="161">
                  <c:v>61.999999999999979</c:v>
                </c:pt>
                <c:pt idx="162">
                  <c:v>62.999999999999979</c:v>
                </c:pt>
                <c:pt idx="163">
                  <c:v>63.999999999999979</c:v>
                </c:pt>
                <c:pt idx="164">
                  <c:v>64.999999999999972</c:v>
                </c:pt>
                <c:pt idx="165">
                  <c:v>65.999999999999972</c:v>
                </c:pt>
                <c:pt idx="166">
                  <c:v>66.999999999999972</c:v>
                </c:pt>
                <c:pt idx="167">
                  <c:v>67.999999999999972</c:v>
                </c:pt>
                <c:pt idx="168">
                  <c:v>68.999999999999972</c:v>
                </c:pt>
                <c:pt idx="169">
                  <c:v>69.999999999999972</c:v>
                </c:pt>
                <c:pt idx="170">
                  <c:v>70.999999999999972</c:v>
                </c:pt>
                <c:pt idx="171">
                  <c:v>71.999999999999972</c:v>
                </c:pt>
                <c:pt idx="172">
                  <c:v>72.999999999999972</c:v>
                </c:pt>
                <c:pt idx="173">
                  <c:v>73.999999999999972</c:v>
                </c:pt>
                <c:pt idx="174">
                  <c:v>74.999999999999972</c:v>
                </c:pt>
                <c:pt idx="175">
                  <c:v>75.999999999999972</c:v>
                </c:pt>
                <c:pt idx="176">
                  <c:v>76.999999999999972</c:v>
                </c:pt>
                <c:pt idx="177">
                  <c:v>77.999999999999972</c:v>
                </c:pt>
                <c:pt idx="178">
                  <c:v>78.999999999999972</c:v>
                </c:pt>
                <c:pt idx="179">
                  <c:v>79.999999999999972</c:v>
                </c:pt>
                <c:pt idx="180">
                  <c:v>80.999999999999972</c:v>
                </c:pt>
                <c:pt idx="181">
                  <c:v>81.999999999999972</c:v>
                </c:pt>
                <c:pt idx="182">
                  <c:v>82.999999999999972</c:v>
                </c:pt>
                <c:pt idx="183">
                  <c:v>83.999999999999972</c:v>
                </c:pt>
                <c:pt idx="184">
                  <c:v>84.999999999999972</c:v>
                </c:pt>
                <c:pt idx="185">
                  <c:v>85.999999999999972</c:v>
                </c:pt>
                <c:pt idx="186">
                  <c:v>86.999999999999972</c:v>
                </c:pt>
                <c:pt idx="187">
                  <c:v>87.999999999999972</c:v>
                </c:pt>
                <c:pt idx="188">
                  <c:v>88.999999999999972</c:v>
                </c:pt>
                <c:pt idx="189">
                  <c:v>89.999999999999972</c:v>
                </c:pt>
                <c:pt idx="190">
                  <c:v>90.999999999999972</c:v>
                </c:pt>
                <c:pt idx="191">
                  <c:v>91.999999999999972</c:v>
                </c:pt>
                <c:pt idx="192">
                  <c:v>92.999999999999972</c:v>
                </c:pt>
                <c:pt idx="193">
                  <c:v>93.999999999999972</c:v>
                </c:pt>
                <c:pt idx="194">
                  <c:v>94.999999999999972</c:v>
                </c:pt>
                <c:pt idx="195">
                  <c:v>95.999999999999972</c:v>
                </c:pt>
                <c:pt idx="196">
                  <c:v>96.999999999999972</c:v>
                </c:pt>
                <c:pt idx="197">
                  <c:v>97.999999999999972</c:v>
                </c:pt>
                <c:pt idx="198">
                  <c:v>98.999999999999972</c:v>
                </c:pt>
                <c:pt idx="199">
                  <c:v>99.999999999999972</c:v>
                </c:pt>
                <c:pt idx="200" formatCode="0.00E+00">
                  <c:v>999.99999999999977</c:v>
                </c:pt>
                <c:pt idx="201" formatCode="0.00E+00">
                  <c:v>9999.9999999999982</c:v>
                </c:pt>
                <c:pt idx="202" formatCode="0.00E+00">
                  <c:v>99999.999999999985</c:v>
                </c:pt>
                <c:pt idx="203" formatCode="0.00E+00">
                  <c:v>999999.99999999988</c:v>
                </c:pt>
                <c:pt idx="204" formatCode="0.00E+00">
                  <c:v>9999999.9999999981</c:v>
                </c:pt>
                <c:pt idx="205" formatCode="0.00E+00">
                  <c:v>99999999.999999985</c:v>
                </c:pt>
                <c:pt idx="206" formatCode="0.00E+00">
                  <c:v>999999999.99999988</c:v>
                </c:pt>
                <c:pt idx="207" formatCode="0.00E+00">
                  <c:v>9999999999.9999981</c:v>
                </c:pt>
                <c:pt idx="208" formatCode="0.00E+00">
                  <c:v>99999999999.999985</c:v>
                </c:pt>
                <c:pt idx="209" formatCode="0.00E+00">
                  <c:v>999999999999.99988</c:v>
                </c:pt>
                <c:pt idx="210" formatCode="0.00E+00">
                  <c:v>9999999999999.998</c:v>
                </c:pt>
                <c:pt idx="211" formatCode="0.00E+00">
                  <c:v>99999999999999.984</c:v>
                </c:pt>
                <c:pt idx="212" formatCode="0.00E+00">
                  <c:v>999999999999999.87</c:v>
                </c:pt>
                <c:pt idx="213" formatCode="0.00E+00">
                  <c:v>9999999999999998</c:v>
                </c:pt>
                <c:pt idx="214" formatCode="0.00E+00">
                  <c:v>9.9999999999999984E+16</c:v>
                </c:pt>
                <c:pt idx="215" formatCode="0.00E+00">
                  <c:v>9.9999999999999987E+17</c:v>
                </c:pt>
                <c:pt idx="216" formatCode="0.00E+00">
                  <c:v>9.999999999999998E+18</c:v>
                </c:pt>
                <c:pt idx="217" formatCode="0.00E+00">
                  <c:v>9.9999999999999984E+19</c:v>
                </c:pt>
                <c:pt idx="218" formatCode="0.00E+00">
                  <c:v>9.9999999999999987E+20</c:v>
                </c:pt>
                <c:pt idx="219" formatCode="0.00E+00">
                  <c:v>9.9999999999999979E+21</c:v>
                </c:pt>
                <c:pt idx="220" formatCode="0.00E+00">
                  <c:v>9.9999999999999975E+22</c:v>
                </c:pt>
                <c:pt idx="221" formatCode="0.00E+00">
                  <c:v>9.9999999999999971E+23</c:v>
                </c:pt>
                <c:pt idx="222" formatCode="0.00E+00">
                  <c:v>9.9999999999999966E+24</c:v>
                </c:pt>
                <c:pt idx="223" formatCode="0.00E+00">
                  <c:v>9.999999999999997E+25</c:v>
                </c:pt>
                <c:pt idx="224" formatCode="0.00E+00">
                  <c:v>9.9999999999999974E+26</c:v>
                </c:pt>
                <c:pt idx="225" formatCode="0.00E+00">
                  <c:v>9.9999999999999974E+27</c:v>
                </c:pt>
                <c:pt idx="226" formatCode="0.00E+00">
                  <c:v>9.9999999999999974E+28</c:v>
                </c:pt>
                <c:pt idx="227" formatCode="0.00E+00">
                  <c:v>9.9999999999999974E+29</c:v>
                </c:pt>
                <c:pt idx="228" formatCode="0.00E+00">
                  <c:v>9.9999999999999974E+30</c:v>
                </c:pt>
                <c:pt idx="229" formatCode="0.00E+00">
                  <c:v>9.9999999999999969E+31</c:v>
                </c:pt>
                <c:pt idx="230" formatCode="0.00E+00">
                  <c:v>9.9999999999999966E+32</c:v>
                </c:pt>
                <c:pt idx="231" formatCode="0.00E+00">
                  <c:v>9.999999999999996E+33</c:v>
                </c:pt>
                <c:pt idx="232" formatCode="0.00E+00">
                  <c:v>9.999999999999996E+34</c:v>
                </c:pt>
                <c:pt idx="233" formatCode="0.00E+00">
                  <c:v>9.999999999999996E+35</c:v>
                </c:pt>
                <c:pt idx="234" formatCode="0.00E+00">
                  <c:v>9.999999999999996E+36</c:v>
                </c:pt>
                <c:pt idx="235" formatCode="0.00E+00">
                  <c:v>9.999999999999996E+37</c:v>
                </c:pt>
                <c:pt idx="236" formatCode="0.00E+00">
                  <c:v>9.9999999999999964E+38</c:v>
                </c:pt>
                <c:pt idx="237" formatCode="0.00E+00">
                  <c:v>9.9999999999999967E+39</c:v>
                </c:pt>
                <c:pt idx="238" formatCode="0.00E+00">
                  <c:v>9.9999999999999962E+40</c:v>
                </c:pt>
                <c:pt idx="239" formatCode="0.00E+00">
                  <c:v>9.9999999999999958E+41</c:v>
                </c:pt>
                <c:pt idx="240" formatCode="0.00E+00">
                  <c:v>9.9999999999999964E+42</c:v>
                </c:pt>
                <c:pt idx="241" formatCode="0.00E+00">
                  <c:v>9.9999999999999969E+43</c:v>
                </c:pt>
                <c:pt idx="242" formatCode="0.00E+00">
                  <c:v>9.9999999999999961E+44</c:v>
                </c:pt>
                <c:pt idx="243" formatCode="0.00E+00">
                  <c:v>9.9999999999999961E+45</c:v>
                </c:pt>
                <c:pt idx="244" formatCode="0.00E+00">
                  <c:v>9.9999999999999964E+46</c:v>
                </c:pt>
                <c:pt idx="245" formatCode="0.00E+00">
                  <c:v>9.9999999999999956E+47</c:v>
                </c:pt>
                <c:pt idx="246" formatCode="0.00E+00">
                  <c:v>9.9999999999999956E+48</c:v>
                </c:pt>
                <c:pt idx="247" formatCode="0.00E+00">
                  <c:v>9.9999999999999966E+49</c:v>
                </c:pt>
                <c:pt idx="248" formatCode="0.00E+00">
                  <c:v>9.9999999999999966E+50</c:v>
                </c:pt>
                <c:pt idx="249" formatCode="0.00E+00">
                  <c:v>9.9999999999999973E+51</c:v>
                </c:pt>
                <c:pt idx="250" formatCode="0.00E+00">
                  <c:v>9.9999999999999978E+52</c:v>
                </c:pt>
                <c:pt idx="251" formatCode="0.00E+00">
                  <c:v>9.9999999999999974E+53</c:v>
                </c:pt>
                <c:pt idx="252" formatCode="0.00E+00">
                  <c:v>9.9999999999999974E+54</c:v>
                </c:pt>
                <c:pt idx="253" formatCode="0.00E+00">
                  <c:v>9.9999999999999966E+55</c:v>
                </c:pt>
                <c:pt idx="254" formatCode="0.00E+00">
                  <c:v>9.999999999999997E+56</c:v>
                </c:pt>
                <c:pt idx="255" formatCode="0.00E+00">
                  <c:v>9.9999999999999967E+57</c:v>
                </c:pt>
                <c:pt idx="256" formatCode="0.00E+00">
                  <c:v>9.9999999999999964E+58</c:v>
                </c:pt>
                <c:pt idx="257" formatCode="0.00E+00">
                  <c:v>9.9999999999999959E+59</c:v>
                </c:pt>
                <c:pt idx="258" formatCode="0.00E+00">
                  <c:v>9.9999999999999952E+60</c:v>
                </c:pt>
                <c:pt idx="259" formatCode="0.00E+00">
                  <c:v>9.9999999999999946E+61</c:v>
                </c:pt>
                <c:pt idx="260" formatCode="0.00E+00">
                  <c:v>9.9999999999999951E+62</c:v>
                </c:pt>
                <c:pt idx="261" formatCode="0.00E+00">
                  <c:v>9.9999999999999958E+63</c:v>
                </c:pt>
                <c:pt idx="262" formatCode="0.00E+00">
                  <c:v>9.9999999999999952E+64</c:v>
                </c:pt>
                <c:pt idx="263" formatCode="0.00E+00">
                  <c:v>9.9999999999999957E+65</c:v>
                </c:pt>
                <c:pt idx="264" formatCode="0.00E+00">
                  <c:v>9.9999999999999953E+66</c:v>
                </c:pt>
                <c:pt idx="265" formatCode="0.00E+00">
                  <c:v>9.9999999999999959E+67</c:v>
                </c:pt>
                <c:pt idx="266" formatCode="0.00E+00">
                  <c:v>9.9999999999999969E+68</c:v>
                </c:pt>
                <c:pt idx="267" formatCode="0.00E+00">
                  <c:v>9.9999999999999961E+69</c:v>
                </c:pt>
                <c:pt idx="268" formatCode="0.00E+00">
                  <c:v>9.9999999999999955E+70</c:v>
                </c:pt>
                <c:pt idx="269" formatCode="0.00E+00">
                  <c:v>9.9999999999999955E+71</c:v>
                </c:pt>
                <c:pt idx="270" formatCode="0.00E+00">
                  <c:v>9.9999999999999951E+72</c:v>
                </c:pt>
                <c:pt idx="271" formatCode="0.00E+00">
                  <c:v>9.9999999999999958E+73</c:v>
                </c:pt>
                <c:pt idx="272" formatCode="0.00E+00">
                  <c:v>9.9999999999999952E+74</c:v>
                </c:pt>
                <c:pt idx="273" formatCode="0.00E+00">
                  <c:v>9.9999999999999956E+75</c:v>
                </c:pt>
                <c:pt idx="274" formatCode="0.00E+00">
                  <c:v>9.999999999999996E+76</c:v>
                </c:pt>
                <c:pt idx="275" formatCode="0.00E+00">
                  <c:v>9.999999999999996E+77</c:v>
                </c:pt>
                <c:pt idx="276" formatCode="0.00E+00">
                  <c:v>9.9999999999999964E+78</c:v>
                </c:pt>
                <c:pt idx="277" formatCode="0.00E+00">
                  <c:v>9.9999999999999961E+79</c:v>
                </c:pt>
                <c:pt idx="278" formatCode="0.00E+00">
                  <c:v>9.9999999999999971E+80</c:v>
                </c:pt>
                <c:pt idx="279" formatCode="0.00E+00">
                  <c:v>9.9999999999999963E+81</c:v>
                </c:pt>
                <c:pt idx="280" formatCode="0.00E+00">
                  <c:v>9.9999999999999963E+82</c:v>
                </c:pt>
                <c:pt idx="281" formatCode="0.00E+00">
                  <c:v>9.9999999999999963E+83</c:v>
                </c:pt>
                <c:pt idx="282" formatCode="0.00E+00">
                  <c:v>9.9999999999999967E+84</c:v>
                </c:pt>
                <c:pt idx="283" formatCode="0.00E+00">
                  <c:v>9.9999999999999974E+85</c:v>
                </c:pt>
                <c:pt idx="284" formatCode="0.00E+00">
                  <c:v>9.9999999999999974E+86</c:v>
                </c:pt>
                <c:pt idx="285" formatCode="0.00E+00">
                  <c:v>9.9999999999999978E+87</c:v>
                </c:pt>
                <c:pt idx="286" formatCode="0.00E+00">
                  <c:v>9.9999999999999985E+88</c:v>
                </c:pt>
                <c:pt idx="287" formatCode="0.00E+00">
                  <c:v>9.9999999999999985E+89</c:v>
                </c:pt>
                <c:pt idx="288" formatCode="0.00E+00">
                  <c:v>9.999999999999999E+90</c:v>
                </c:pt>
                <c:pt idx="289" formatCode="0.00E+00">
                  <c:v>9.999999999999999E+91</c:v>
                </c:pt>
                <c:pt idx="290" formatCode="0.00E+00">
                  <c:v>9.9999999999999993E+92</c:v>
                </c:pt>
                <c:pt idx="291" formatCode="0.00E+00">
                  <c:v>1E+94</c:v>
                </c:pt>
                <c:pt idx="292" formatCode="0.00E+00">
                  <c:v>1E+95</c:v>
                </c:pt>
                <c:pt idx="293" formatCode="0.00E+00">
                  <c:v>1E+96</c:v>
                </c:pt>
                <c:pt idx="294" formatCode="0.00E+00">
                  <c:v>1.0000000000000001E+97</c:v>
                </c:pt>
                <c:pt idx="295" formatCode="0.00E+00">
                  <c:v>1.0000000000000001E+98</c:v>
                </c:pt>
                <c:pt idx="296" formatCode="0.00E+00">
                  <c:v>1.0000000000000002E+99</c:v>
                </c:pt>
                <c:pt idx="297" formatCode="0.00E+00">
                  <c:v>1.0000000000000002E+100</c:v>
                </c:pt>
                <c:pt idx="298" formatCode="0.00E+00">
                  <c:v>1.0000000000000003E+101</c:v>
                </c:pt>
                <c:pt idx="299" formatCode="0.00E+00">
                  <c:v>1.0000000000000004E+102</c:v>
                </c:pt>
                <c:pt idx="300" formatCode="0.00E+00">
                  <c:v>1.0000000000000004E+103</c:v>
                </c:pt>
                <c:pt idx="301" formatCode="0.00E+00">
                  <c:v>1.0000000000000003E+104</c:v>
                </c:pt>
                <c:pt idx="302" formatCode="0.00E+00">
                  <c:v>1.0000000000000003E+105</c:v>
                </c:pt>
                <c:pt idx="303" formatCode="0.00E+00">
                  <c:v>1.0000000000000003E+106</c:v>
                </c:pt>
                <c:pt idx="304" formatCode="0.00E+00">
                  <c:v>1.0000000000000003E+107</c:v>
                </c:pt>
                <c:pt idx="305" formatCode="0.00E+00">
                  <c:v>1.0000000000000003E+108</c:v>
                </c:pt>
                <c:pt idx="306" formatCode="0.00E+00">
                  <c:v>1.0000000000000002E+109</c:v>
                </c:pt>
                <c:pt idx="307" formatCode="0.00E+00">
                  <c:v>1.0000000000000002E+110</c:v>
                </c:pt>
                <c:pt idx="308" formatCode="0.00E+00">
                  <c:v>1.0000000000000002E+111</c:v>
                </c:pt>
                <c:pt idx="309" formatCode="0.00E+00">
                  <c:v>1.0000000000000001E+112</c:v>
                </c:pt>
                <c:pt idx="310" formatCode="0.00E+00">
                  <c:v>1.0000000000000002E+113</c:v>
                </c:pt>
                <c:pt idx="311" formatCode="0.00E+00">
                  <c:v>1.0000000000000002E+114</c:v>
                </c:pt>
                <c:pt idx="312" formatCode="0.00E+00">
                  <c:v>1.0000000000000002E+115</c:v>
                </c:pt>
                <c:pt idx="313" formatCode="0.00E+00">
                  <c:v>1.0000000000000002E+116</c:v>
                </c:pt>
                <c:pt idx="314" formatCode="0.00E+00">
                  <c:v>1.0000000000000002E+117</c:v>
                </c:pt>
                <c:pt idx="315" formatCode="0.00E+00">
                  <c:v>1.0000000000000002E+118</c:v>
                </c:pt>
                <c:pt idx="316" formatCode="0.00E+00">
                  <c:v>1.0000000000000001E+119</c:v>
                </c:pt>
                <c:pt idx="317" formatCode="0.00E+00">
                  <c:v>1.0000000000000001E+120</c:v>
                </c:pt>
                <c:pt idx="318" formatCode="0.00E+00">
                  <c:v>1.0000000000000002E+121</c:v>
                </c:pt>
                <c:pt idx="319" formatCode="0.00E+00">
                  <c:v>1.0000000000000002E+122</c:v>
                </c:pt>
                <c:pt idx="320" formatCode="0.00E+00">
                  <c:v>1.0000000000000001E+123</c:v>
                </c:pt>
                <c:pt idx="321" formatCode="0.00E+00">
                  <c:v>1.0000000000000001E+124</c:v>
                </c:pt>
                <c:pt idx="322" formatCode="0.00E+00">
                  <c:v>1.0000000000000001E+125</c:v>
                </c:pt>
                <c:pt idx="323" formatCode="0.00E+00">
                  <c:v>1.0000000000000001E+126</c:v>
                </c:pt>
                <c:pt idx="324" formatCode="0.00E+00">
                  <c:v>1.0000000000000001E+127</c:v>
                </c:pt>
                <c:pt idx="325" formatCode="0.00E+00">
                  <c:v>1.0000000000000001E+128</c:v>
                </c:pt>
                <c:pt idx="326" formatCode="0.00E+00">
                  <c:v>1E+129</c:v>
                </c:pt>
                <c:pt idx="327" formatCode="0.00E+00">
                  <c:v>1.0000000000000001E+130</c:v>
                </c:pt>
                <c:pt idx="328" formatCode="0.00E+00">
                  <c:v>1.0000000000000001E+131</c:v>
                </c:pt>
                <c:pt idx="329" formatCode="0.00E+00">
                  <c:v>1.0000000000000001E+132</c:v>
                </c:pt>
                <c:pt idx="330" formatCode="0.00E+00">
                  <c:v>1.0000000000000001E+133</c:v>
                </c:pt>
                <c:pt idx="331" formatCode="0.00E+00">
                  <c:v>1.0000000000000001E+134</c:v>
                </c:pt>
                <c:pt idx="332" formatCode="0.00E+00">
                  <c:v>1.0000000000000001E+135</c:v>
                </c:pt>
                <c:pt idx="333" formatCode="0.00E+00">
                  <c:v>1.0000000000000002E+136</c:v>
                </c:pt>
                <c:pt idx="334" formatCode="0.00E+00">
                  <c:v>1.0000000000000002E+137</c:v>
                </c:pt>
                <c:pt idx="335" formatCode="0.00E+00">
                  <c:v>1.0000000000000002E+138</c:v>
                </c:pt>
                <c:pt idx="336" formatCode="0.00E+00">
                  <c:v>1.0000000000000002E+139</c:v>
                </c:pt>
                <c:pt idx="337" formatCode="0.00E+00">
                  <c:v>1.0000000000000003E+140</c:v>
                </c:pt>
                <c:pt idx="338" formatCode="0.00E+00">
                  <c:v>1.0000000000000002E+141</c:v>
                </c:pt>
                <c:pt idx="339" formatCode="0.00E+00">
                  <c:v>1.0000000000000002E+142</c:v>
                </c:pt>
                <c:pt idx="340" formatCode="0.00E+00">
                  <c:v>1.0000000000000002E+143</c:v>
                </c:pt>
                <c:pt idx="341" formatCode="0.00E+00">
                  <c:v>1.0000000000000002E+144</c:v>
                </c:pt>
                <c:pt idx="342" formatCode="0.00E+00">
                  <c:v>1.0000000000000003E+145</c:v>
                </c:pt>
                <c:pt idx="343" formatCode="0.00E+00">
                  <c:v>1.0000000000000002E+146</c:v>
                </c:pt>
                <c:pt idx="344" formatCode="0.00E+00">
                  <c:v>1.0000000000000002E+147</c:v>
                </c:pt>
                <c:pt idx="345" formatCode="0.00E+00">
                  <c:v>1.0000000000000002E+148</c:v>
                </c:pt>
                <c:pt idx="346" formatCode="0.00E+00">
                  <c:v>1.0000000000000002E+149</c:v>
                </c:pt>
                <c:pt idx="347" formatCode="0.00E+00">
                  <c:v>1.0000000000000002E+150</c:v>
                </c:pt>
                <c:pt idx="348" formatCode="0.00E+00">
                  <c:v>1.0000000000000002E+151</c:v>
                </c:pt>
                <c:pt idx="349" formatCode="0.00E+00">
                  <c:v>1.0000000000000002E+152</c:v>
                </c:pt>
                <c:pt idx="350" formatCode="0.00E+00">
                  <c:v>1.0000000000000002E+153</c:v>
                </c:pt>
                <c:pt idx="351" formatCode="0.00E+00">
                  <c:v>1.0000000000000002E+154</c:v>
                </c:pt>
              </c:numCache>
            </c:numRef>
          </c:xVal>
          <c:yVal>
            <c:numRef>
              <c:f>'ddx_pdf extrema'!$J$11:$J$362</c:f>
              <c:numCache>
                <c:formatCode>General</c:formatCode>
                <c:ptCount val="352"/>
                <c:pt idx="0">
                  <c:v>0</c:v>
                </c:pt>
                <c:pt idx="1">
                  <c:v>9.9999999989999997E-11</c:v>
                </c:pt>
                <c:pt idx="2">
                  <c:v>9.9999999900000012E-10</c:v>
                </c:pt>
                <c:pt idx="3">
                  <c:v>9.9999999000000002E-9</c:v>
                </c:pt>
                <c:pt idx="4">
                  <c:v>9.9999990000000502E-8</c:v>
                </c:pt>
                <c:pt idx="5">
                  <c:v>9.9999900000049968E-7</c:v>
                </c:pt>
                <c:pt idx="6">
                  <c:v>9.9999000004999872E-6</c:v>
                </c:pt>
                <c:pt idx="7">
                  <c:v>9.9990000499982322E-5</c:v>
                </c:pt>
                <c:pt idx="8">
                  <c:v>9.9900049983327513E-4</c:v>
                </c:pt>
                <c:pt idx="9">
                  <c:v>9.900498337481781E-3</c:v>
                </c:pt>
                <c:pt idx="10">
                  <c:v>9.0483741802691114E-2</c:v>
                </c:pt>
                <c:pt idx="11">
                  <c:v>0.16374615061232145</c:v>
                </c:pt>
                <c:pt idx="12">
                  <c:v>0.22224546619784802</c:v>
                </c:pt>
                <c:pt idx="13">
                  <c:v>0.26812801840353062</c:v>
                </c:pt>
                <c:pt idx="14">
                  <c:v>0.30326532984115345</c:v>
                </c:pt>
                <c:pt idx="15">
                  <c:v>0.32928698163665859</c:v>
                </c:pt>
                <c:pt idx="16">
                  <c:v>0.34760971262965396</c:v>
                </c:pt>
                <c:pt idx="17">
                  <c:v>0.3594631712650202</c:v>
                </c:pt>
                <c:pt idx="18">
                  <c:v>0.36591269373360708</c:v>
                </c:pt>
                <c:pt idx="19">
                  <c:v>0.36787944113465443</c:v>
                </c:pt>
                <c:pt idx="20">
                  <c:v>0.36615819202761007</c:v>
                </c:pt>
                <c:pt idx="21">
                  <c:v>0.36143305425127059</c:v>
                </c:pt>
                <c:pt idx="22">
                  <c:v>0.35429133089815851</c:v>
                </c:pt>
                <c:pt idx="23">
                  <c:v>0.34523574946991603</c:v>
                </c:pt>
                <c:pt idx="24">
                  <c:v>0.33469524017244046</c:v>
                </c:pt>
                <c:pt idx="25">
                  <c:v>0.32303442873976312</c:v>
                </c:pt>
                <c:pt idx="26">
                  <c:v>0.31056199083685332</c:v>
                </c:pt>
                <c:pt idx="27">
                  <c:v>0.29753799874529885</c:v>
                </c:pt>
                <c:pt idx="28">
                  <c:v>0.28418037646901229</c:v>
                </c:pt>
                <c:pt idx="29">
                  <c:v>0.27067056641909121</c:v>
                </c:pt>
                <c:pt idx="30">
                  <c:v>0.25715849927725865</c:v>
                </c:pt>
                <c:pt idx="31">
                  <c:v>0.24376694834350573</c:v>
                </c:pt>
                <c:pt idx="32">
                  <c:v>0.23059534050941158</c:v>
                </c:pt>
                <c:pt idx="33">
                  <c:v>0.21772308784233635</c:v>
                </c:pt>
                <c:pt idx="34">
                  <c:v>0.20521249650844373</c:v>
                </c:pt>
                <c:pt idx="35">
                  <c:v>0.19311130330705903</c:v>
                </c:pt>
                <c:pt idx="36">
                  <c:v>0.1814548843483314</c:v>
                </c:pt>
                <c:pt idx="37">
                  <c:v>0.17026817530293509</c:v>
                </c:pt>
                <c:pt idx="38">
                  <c:v>0.15956733811730631</c:v>
                </c:pt>
                <c:pt idx="39">
                  <c:v>0.14936120505878334</c:v>
                </c:pt>
                <c:pt idx="40">
                  <c:v>0.13965252737673678</c:v>
                </c:pt>
                <c:pt idx="41">
                  <c:v>0.13043905268903128</c:v>
                </c:pt>
                <c:pt idx="42">
                  <c:v>0.12171445238392611</c:v>
                </c:pt>
                <c:pt idx="43">
                  <c:v>0.11346911782652903</c:v>
                </c:pt>
                <c:pt idx="44">
                  <c:v>0.10569084194112283</c:v>
                </c:pt>
                <c:pt idx="45">
                  <c:v>9.8365400774841544E-2</c:v>
                </c:pt>
                <c:pt idx="46">
                  <c:v>9.1477047906409106E-2</c:v>
                </c:pt>
                <c:pt idx="47">
                  <c:v>8.5008933021125735E-2</c:v>
                </c:pt>
                <c:pt idx="48">
                  <c:v>7.8943454607849045E-2</c:v>
                </c:pt>
                <c:pt idx="49">
                  <c:v>7.3262555525631601E-2</c:v>
                </c:pt>
                <c:pt idx="50">
                  <c:v>6.7947969119362364E-2</c:v>
                </c:pt>
                <c:pt idx="51">
                  <c:v>6.2981422619554112E-2</c:v>
                </c:pt>
                <c:pt idx="52">
                  <c:v>5.8344803727375709E-2</c:v>
                </c:pt>
                <c:pt idx="53">
                  <c:v>5.4020295549732193E-2</c:v>
                </c:pt>
                <c:pt idx="54">
                  <c:v>4.9990484399594651E-2</c:v>
                </c:pt>
                <c:pt idx="55">
                  <c:v>4.6238444404044808E-2</c:v>
                </c:pt>
                <c:pt idx="56">
                  <c:v>4.2747802357878902E-2</c:v>
                </c:pt>
                <c:pt idx="57">
                  <c:v>3.9502785816334825E-2</c:v>
                </c:pt>
                <c:pt idx="58">
                  <c:v>3.6488257029650063E-2</c:v>
                </c:pt>
                <c:pt idx="59">
                  <c:v>3.3689734978582513E-2</c:v>
                </c:pt>
                <c:pt idx="60">
                  <c:v>3.1093407468272157E-2</c:v>
                </c:pt>
                <c:pt idx="61">
                  <c:v>2.8686134973039283E-2</c:v>
                </c:pt>
                <c:pt idx="62">
                  <c:v>2.6455447692602815E-2</c:v>
                </c:pt>
                <c:pt idx="63">
                  <c:v>2.4389537076938122E-2</c:v>
                </c:pt>
                <c:pt idx="64">
                  <c:v>2.2477242899189946E-2</c:v>
                </c:pt>
                <c:pt idx="65">
                  <c:v>2.0708036800707982E-2</c:v>
                </c:pt>
                <c:pt idx="66">
                  <c:v>1.9072003096715279E-2</c:v>
                </c:pt>
                <c:pt idx="67">
                  <c:v>1.7559817512995096E-2</c:v>
                </c:pt>
                <c:pt idx="68">
                  <c:v>1.6162724421197434E-2</c:v>
                </c:pt>
                <c:pt idx="69">
                  <c:v>1.4872513051074707E-2</c:v>
                </c:pt>
                <c:pt idx="70">
                  <c:v>1.3681493080517748E-2</c:v>
                </c:pt>
                <c:pt idx="71">
                  <c:v>1.2582469937232483E-2</c:v>
                </c:pt>
                <c:pt idx="72">
                  <c:v>1.1568720087993881E-2</c:v>
                </c:pt>
                <c:pt idx="73">
                  <c:v>1.0633966541507502E-2</c:v>
                </c:pt>
                <c:pt idx="74">
                  <c:v>9.7723547480022491E-3</c:v>
                </c:pt>
                <c:pt idx="75">
                  <c:v>8.97842904189039E-3</c:v>
                </c:pt>
                <c:pt idx="76">
                  <c:v>8.2471097423868142E-3</c:v>
                </c:pt>
                <c:pt idx="77">
                  <c:v>7.5736710001946175E-3</c:v>
                </c:pt>
                <c:pt idx="78">
                  <c:v>6.9537194556367086E-3</c:v>
                </c:pt>
                <c:pt idx="79">
                  <c:v>6.3831737544134404E-3</c:v>
                </c:pt>
                <c:pt idx="80">
                  <c:v>5.8582449510286129E-3</c:v>
                </c:pt>
                <c:pt idx="81">
                  <c:v>5.3754178164418355E-3</c:v>
                </c:pt>
                <c:pt idx="82">
                  <c:v>4.9314330553151594E-3</c:v>
                </c:pt>
                <c:pt idx="83">
                  <c:v>4.5232704290116572E-3</c:v>
                </c:pt>
                <c:pt idx="84">
                  <c:v>4.1481327729976907E-3</c:v>
                </c:pt>
                <c:pt idx="85">
                  <c:v>3.8034308912580708E-3</c:v>
                </c:pt>
                <c:pt idx="86">
                  <c:v>3.4867693055435599E-3</c:v>
                </c:pt>
                <c:pt idx="87">
                  <c:v>3.1959328335495413E-3</c:v>
                </c:pt>
                <c:pt idx="88">
                  <c:v>2.9288739673130186E-3</c:v>
                </c:pt>
                <c:pt idx="89">
                  <c:v>2.6837010210731633E-3</c:v>
                </c:pt>
                <c:pt idx="90">
                  <c:v>2.4586670164473273E-3</c:v>
                </c:pt>
                <c:pt idx="91">
                  <c:v>2.252159271924823E-3</c:v>
                </c:pt>
                <c:pt idx="92">
                  <c:v>2.0626896632839941E-3</c:v>
                </c:pt>
                <c:pt idx="93">
                  <c:v>1.8888855215156847E-3</c:v>
                </c:pt>
                <c:pt idx="94">
                  <c:v>1.7294811351204384E-3</c:v>
                </c:pt>
                <c:pt idx="95">
                  <c:v>1.5833098241795542E-3</c:v>
                </c:pt>
                <c:pt idx="96">
                  <c:v>1.4492965543315419E-3</c:v>
                </c:pt>
                <c:pt idx="97">
                  <c:v>1.3264510596729354E-3</c:v>
                </c:pt>
                <c:pt idx="98">
                  <c:v>1.2138614446095821E-3</c:v>
                </c:pt>
                <c:pt idx="99">
                  <c:v>1.1106882357805124E-3</c:v>
                </c:pt>
                <c:pt idx="100">
                  <c:v>1.0161588563353545E-3</c:v>
                </c:pt>
                <c:pt idx="101">
                  <c:v>9.2956249604607519E-4</c:v>
                </c:pt>
                <c:pt idx="102">
                  <c:v>8.502453519562968E-4</c:v>
                </c:pt>
                <c:pt idx="103">
                  <c:v>7.7760621550140548E-4</c:v>
                </c:pt>
                <c:pt idx="104">
                  <c:v>7.1109238325762927E-4</c:v>
                </c:pt>
                <c:pt idx="105">
                  <c:v>6.5019586968801974E-4</c:v>
                </c:pt>
                <c:pt idx="106">
                  <c:v>5.9444990143964779E-4</c:v>
                </c:pt>
                <c:pt idx="107">
                  <c:v>5.4342567390278649E-4</c:v>
                </c:pt>
                <c:pt idx="108">
                  <c:v>4.9672935186438204E-4</c:v>
                </c:pt>
                <c:pt idx="109">
                  <c:v>4.5399929717085727E-4</c:v>
                </c:pt>
                <c:pt idx="110">
                  <c:v>1.8371870849061495E-4</c:v>
                </c:pt>
                <c:pt idx="111">
                  <c:v>7.3730548151463185E-5</c:v>
                </c:pt>
                <c:pt idx="112">
                  <c:v>2.9384282252554667E-5</c:v>
                </c:pt>
                <c:pt idx="113">
                  <c:v>1.16414020511522E-5</c:v>
                </c:pt>
                <c:pt idx="114">
                  <c:v>4.5885348006446685E-6</c:v>
                </c:pt>
                <c:pt idx="115">
                  <c:v>1.8005627926272784E-6</c:v>
                </c:pt>
                <c:pt idx="116">
                  <c:v>7.0378941099705038E-7</c:v>
                </c:pt>
                <c:pt idx="117">
                  <c:v>2.741396349113815E-7</c:v>
                </c:pt>
                <c:pt idx="118">
                  <c:v>1.0645313211094927E-7</c:v>
                </c:pt>
                <c:pt idx="119">
                  <c:v>4.1223072366325849E-8</c:v>
                </c:pt>
                <c:pt idx="120">
                  <c:v>1.5923376865176235E-8</c:v>
                </c:pt>
                <c:pt idx="121">
                  <c:v>6.1368297908107333E-9</c:v>
                </c:pt>
                <c:pt idx="122">
                  <c:v>2.3602323098629486E-9</c:v>
                </c:pt>
                <c:pt idx="123">
                  <c:v>9.0603228845252466E-10</c:v>
                </c:pt>
                <c:pt idx="124">
                  <c:v>3.4719859575611111E-10</c:v>
                </c:pt>
                <c:pt idx="125">
                  <c:v>1.3283631438427475E-10</c:v>
                </c:pt>
                <c:pt idx="126">
                  <c:v>5.0747277909538635E-11</c:v>
                </c:pt>
                <c:pt idx="127">
                  <c:v>1.936032024522407E-11</c:v>
                </c:pt>
                <c:pt idx="128">
                  <c:v>7.3766303560009995E-12</c:v>
                </c:pt>
                <c:pt idx="129">
                  <c:v>2.8072868822302497E-12</c:v>
                </c:pt>
                <c:pt idx="130">
                  <c:v>1.0671679003174942E-12</c:v>
                </c:pt>
                <c:pt idx="131">
                  <c:v>4.0525329627421141E-13</c:v>
                </c:pt>
                <c:pt idx="132">
                  <c:v>1.5374324228106255E-13</c:v>
                </c:pt>
                <c:pt idx="133">
                  <c:v>5.8272886474301835E-14</c:v>
                </c:pt>
                <c:pt idx="134">
                  <c:v>2.2067908583277239E-14</c:v>
                </c:pt>
                <c:pt idx="135">
                  <c:v>8.3502821588160082E-15</c:v>
                </c:pt>
                <c:pt idx="136">
                  <c:v>3.1572276098436279E-15</c:v>
                </c:pt>
                <c:pt idx="137">
                  <c:v>1.1928704564453684E-15</c:v>
                </c:pt>
                <c:pt idx="138">
                  <c:v>4.5038074099114012E-16</c:v>
                </c:pt>
                <c:pt idx="139">
                  <c:v>1.6993416953193041E-16</c:v>
                </c:pt>
                <c:pt idx="140">
                  <c:v>6.407816950001538E-17</c:v>
                </c:pt>
                <c:pt idx="141">
                  <c:v>2.4147993408611879E-17</c:v>
                </c:pt>
                <c:pt idx="142">
                  <c:v>9.0950634225330613E-18</c:v>
                </c:pt>
                <c:pt idx="143">
                  <c:v>3.4236981710346696E-18</c:v>
                </c:pt>
                <c:pt idx="144">
                  <c:v>1.2881333554506536E-18</c:v>
                </c:pt>
                <c:pt idx="145">
                  <c:v>4.8440839621920679E-19</c:v>
                </c:pt>
                <c:pt idx="146">
                  <c:v>1.820778876925355E-19</c:v>
                </c:pt>
                <c:pt idx="147">
                  <c:v>6.8407875643208508E-20</c:v>
                </c:pt>
                <c:pt idx="148">
                  <c:v>2.5690139624599825E-20</c:v>
                </c:pt>
                <c:pt idx="149">
                  <c:v>9.6437491916010452E-21</c:v>
                </c:pt>
                <c:pt idx="150">
                  <c:v>3.6186918043099464E-21</c:v>
                </c:pt>
                <c:pt idx="151">
                  <c:v>1.3573451091690403E-21</c:v>
                </c:pt>
                <c:pt idx="152">
                  <c:v>5.0894204019157775E-22</c:v>
                </c:pt>
                <c:pt idx="153">
                  <c:v>1.9076194186873305E-22</c:v>
                </c:pt>
                <c:pt idx="154">
                  <c:v>7.1476977982290795E-23</c:v>
                </c:pt>
                <c:pt idx="155">
                  <c:v>2.6772999999830384E-23</c:v>
                </c:pt>
                <c:pt idx="156">
                  <c:v>1.0025115496675627E-23</c:v>
                </c:pt>
                <c:pt idx="157">
                  <c:v>3.7527362351085756E-24</c:v>
                </c:pt>
                <c:pt idx="158">
                  <c:v>1.4043571728440184E-24</c:v>
                </c:pt>
                <c:pt idx="159">
                  <c:v>5.2539064260945832E-25</c:v>
                </c:pt>
                <c:pt idx="160">
                  <c:v>1.9650175624688689E-25</c:v>
                </c:pt>
                <c:pt idx="161">
                  <c:v>7.3474021126969439E-26</c:v>
                </c:pt>
                <c:pt idx="162">
                  <c:v>2.7465542827365067E-26</c:v>
                </c:pt>
                <c:pt idx="163">
                  <c:v>1.0264389633819404E-26</c:v>
                </c:pt>
                <c:pt idx="164">
                  <c:v>3.8350588271103153E-27</c:v>
                </c:pt>
                <c:pt idx="165">
                  <c:v>1.4325445180056482E-27</c:v>
                </c:pt>
                <c:pt idx="166">
                  <c:v>5.3498858087661913E-28</c:v>
                </c:pt>
                <c:pt idx="167">
                  <c:v>1.997487822380485E-28</c:v>
                </c:pt>
                <c:pt idx="168">
                  <c:v>7.4564109647311944E-29</c:v>
                </c:pt>
                <c:pt idx="169">
                  <c:v>2.7828147956564268E-29</c:v>
                </c:pt>
                <c:pt idx="170">
                  <c:v>1.03836521397601E-29</c:v>
                </c:pt>
                <c:pt idx="171">
                  <c:v>3.8737340073244436E-30</c:v>
                </c:pt>
                <c:pt idx="172">
                  <c:v>1.444859700353805E-30</c:v>
                </c:pt>
                <c:pt idx="173">
                  <c:v>5.3881546920858221E-31</c:v>
                </c:pt>
                <c:pt idx="174">
                  <c:v>2.008977706288782E-31</c:v>
                </c:pt>
                <c:pt idx="175">
                  <c:v>7.4891575045271692E-32</c:v>
                </c:pt>
                <c:pt idx="176">
                  <c:v>2.7913584862471585E-32</c:v>
                </c:pt>
                <c:pt idx="177">
                  <c:v>1.0402195479780805E-32</c:v>
                </c:pt>
                <c:pt idx="178">
                  <c:v>3.8758148065941034E-33</c:v>
                </c:pt>
                <c:pt idx="179">
                  <c:v>1.4438810987253238E-33</c:v>
                </c:pt>
                <c:pt idx="180">
                  <c:v>5.3781384880976237E-34</c:v>
                </c:pt>
                <c:pt idx="181">
                  <c:v>2.0029325885232416E-34</c:v>
                </c:pt>
                <c:pt idx="182">
                  <c:v>7.4582354716578407E-35</c:v>
                </c:pt>
                <c:pt idx="183">
                  <c:v>2.7767885031540713E-35</c:v>
                </c:pt>
                <c:pt idx="184">
                  <c:v>1.0336843955786131E-35</c:v>
                </c:pt>
                <c:pt idx="185">
                  <c:v>3.8474501702278002E-36</c:v>
                </c:pt>
                <c:pt idx="186">
                  <c:v>1.4318559325844714E-36</c:v>
                </c:pt>
                <c:pt idx="187">
                  <c:v>5.3280496210663565E-37</c:v>
                </c:pt>
                <c:pt idx="188">
                  <c:v>1.9823535523553209E-37</c:v>
                </c:pt>
                <c:pt idx="189">
                  <c:v>7.3746112952201682E-38</c:v>
                </c:pt>
                <c:pt idx="190">
                  <c:v>2.7431119694472488E-38</c:v>
                </c:pt>
                <c:pt idx="191">
                  <c:v>1.0202238883811343E-38</c:v>
                </c:pt>
                <c:pt idx="192">
                  <c:v>3.7939895251911348E-39</c:v>
                </c:pt>
                <c:pt idx="193">
                  <c:v>1.410738603684048E-39</c:v>
                </c:pt>
                <c:pt idx="194">
                  <c:v>5.2450281133494856E-40</c:v>
                </c:pt>
                <c:pt idx="195">
                  <c:v>1.9498489375069234E-40</c:v>
                </c:pt>
                <c:pt idx="196">
                  <c:v>7.2478130969191165E-41</c:v>
                </c:pt>
                <c:pt idx="197">
                  <c:v>2.6938092813527554E-41</c:v>
                </c:pt>
                <c:pt idx="198">
                  <c:v>1.0011092677733903E-41</c:v>
                </c:pt>
                <c:pt idx="199">
                  <c:v>3.7200759388201807E-42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73760"/>
        <c:axId val="297456640"/>
      </c:scatterChart>
      <c:valAx>
        <c:axId val="6587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456640"/>
        <c:crosses val="autoZero"/>
        <c:crossBetween val="midCat"/>
      </c:valAx>
      <c:valAx>
        <c:axId val="29745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7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Sheet1!$E$1</c:f>
          <c:strCache>
            <c:ptCount val="1"/>
            <c:pt idx="0">
              <c:v>Probability Density Function (alpha  = 1 + 1.00E-20,  beta = -1.00,  x = 5.00E+00)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051547244455132E-2"/>
          <c:y val="0.13429634335077217"/>
          <c:w val="0.90342366579177602"/>
          <c:h val="0.82748922554414606"/>
        </c:manualLayout>
      </c:layout>
      <c:scatterChart>
        <c:scatterStyle val="smoothMarker"/>
        <c:varyColors val="0"/>
        <c:ser>
          <c:idx val="0"/>
          <c:order val="0"/>
          <c:tx>
            <c:v>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Sheet1!$D$25:$D$1044</c:f>
              <c:numCache>
                <c:formatCode>General</c:formatCode>
                <c:ptCount val="1020"/>
                <c:pt idx="0">
                  <c:v>3.1415926535897927</c:v>
                </c:pt>
                <c:pt idx="1">
                  <c:v>3.14159265358979</c:v>
                </c:pt>
                <c:pt idx="2">
                  <c:v>3.1415926535897616</c:v>
                </c:pt>
                <c:pt idx="3">
                  <c:v>3.1415926535894791</c:v>
                </c:pt>
                <c:pt idx="4">
                  <c:v>3.1415926535866516</c:v>
                </c:pt>
                <c:pt idx="5">
                  <c:v>3.1415926535583774</c:v>
                </c:pt>
                <c:pt idx="6">
                  <c:v>3.1415926532756338</c:v>
                </c:pt>
                <c:pt idx="7">
                  <c:v>3.1415926504482004</c:v>
                </c:pt>
                <c:pt idx="8">
                  <c:v>3.1415926221738664</c:v>
                </c:pt>
                <c:pt idx="9">
                  <c:v>3.1415923394305278</c:v>
                </c:pt>
                <c:pt idx="10">
                  <c:v>3.1415895119971395</c:v>
                </c:pt>
                <c:pt idx="11">
                  <c:v>3.1415612376632573</c:v>
                </c:pt>
                <c:pt idx="12">
                  <c:v>3.1412784943244341</c:v>
                </c:pt>
                <c:pt idx="13">
                  <c:v>3.1384510609362035</c:v>
                </c:pt>
                <c:pt idx="14">
                  <c:v>3.1353094682826135</c:v>
                </c:pt>
                <c:pt idx="15">
                  <c:v>3.1321678756290239</c:v>
                </c:pt>
                <c:pt idx="16">
                  <c:v>3.1290262829754338</c:v>
                </c:pt>
                <c:pt idx="17">
                  <c:v>3.1258846903218442</c:v>
                </c:pt>
                <c:pt idx="18">
                  <c:v>3.1227430976682542</c:v>
                </c:pt>
                <c:pt idx="19">
                  <c:v>3.1196015050146646</c:v>
                </c:pt>
                <c:pt idx="20">
                  <c:v>3.1164599123610746</c:v>
                </c:pt>
                <c:pt idx="21">
                  <c:v>3.113318319707485</c:v>
                </c:pt>
                <c:pt idx="22">
                  <c:v>3.1101767270538954</c:v>
                </c:pt>
                <c:pt idx="23">
                  <c:v>3.1070351344003053</c:v>
                </c:pt>
                <c:pt idx="24">
                  <c:v>3.1038935417467157</c:v>
                </c:pt>
                <c:pt idx="25">
                  <c:v>3.1007519490931257</c:v>
                </c:pt>
                <c:pt idx="26">
                  <c:v>3.0976103564395361</c:v>
                </c:pt>
                <c:pt idx="27">
                  <c:v>3.094468763785946</c:v>
                </c:pt>
                <c:pt idx="28">
                  <c:v>3.0913271711323564</c:v>
                </c:pt>
                <c:pt idx="29">
                  <c:v>3.0881855784787668</c:v>
                </c:pt>
                <c:pt idx="30">
                  <c:v>3.0850439858251768</c:v>
                </c:pt>
                <c:pt idx="31">
                  <c:v>3.0819023931715872</c:v>
                </c:pt>
                <c:pt idx="32">
                  <c:v>3.0787608005179972</c:v>
                </c:pt>
                <c:pt idx="33">
                  <c:v>3.0756192078644076</c:v>
                </c:pt>
                <c:pt idx="34">
                  <c:v>3.0724776152108175</c:v>
                </c:pt>
                <c:pt idx="35">
                  <c:v>3.0693360225572279</c:v>
                </c:pt>
                <c:pt idx="36">
                  <c:v>3.0661944299036379</c:v>
                </c:pt>
                <c:pt idx="37">
                  <c:v>3.0630528372500483</c:v>
                </c:pt>
                <c:pt idx="38">
                  <c:v>3.0599112445964587</c:v>
                </c:pt>
                <c:pt idx="39">
                  <c:v>3.0567696519428686</c:v>
                </c:pt>
                <c:pt idx="40">
                  <c:v>3.0536280592892791</c:v>
                </c:pt>
                <c:pt idx="41">
                  <c:v>3.050486466635689</c:v>
                </c:pt>
                <c:pt idx="42">
                  <c:v>3.0473448739820994</c:v>
                </c:pt>
                <c:pt idx="43">
                  <c:v>3.0442032813285094</c:v>
                </c:pt>
                <c:pt idx="44">
                  <c:v>3.0410616886749198</c:v>
                </c:pt>
                <c:pt idx="45">
                  <c:v>3.0379200960213297</c:v>
                </c:pt>
                <c:pt idx="46">
                  <c:v>3.0347785033677401</c:v>
                </c:pt>
                <c:pt idx="47">
                  <c:v>3.0316369107141505</c:v>
                </c:pt>
                <c:pt idx="48">
                  <c:v>3.0284953180605605</c:v>
                </c:pt>
                <c:pt idx="49">
                  <c:v>3.0253537254069709</c:v>
                </c:pt>
                <c:pt idx="50">
                  <c:v>3.0222121327533809</c:v>
                </c:pt>
                <c:pt idx="51">
                  <c:v>3.0190705400997913</c:v>
                </c:pt>
                <c:pt idx="52">
                  <c:v>3.0159289474462012</c:v>
                </c:pt>
                <c:pt idx="53">
                  <c:v>3.0127873547926116</c:v>
                </c:pt>
                <c:pt idx="54">
                  <c:v>3.009645762139022</c:v>
                </c:pt>
                <c:pt idx="55">
                  <c:v>3.006504169485432</c:v>
                </c:pt>
                <c:pt idx="56">
                  <c:v>3.0033625768318424</c:v>
                </c:pt>
                <c:pt idx="57">
                  <c:v>3.0002209841782523</c:v>
                </c:pt>
                <c:pt idx="58">
                  <c:v>2.9970793915246627</c:v>
                </c:pt>
                <c:pt idx="59">
                  <c:v>2.9939377988710727</c:v>
                </c:pt>
                <c:pt idx="60">
                  <c:v>2.9907962062174831</c:v>
                </c:pt>
                <c:pt idx="61">
                  <c:v>2.9876546135638931</c:v>
                </c:pt>
                <c:pt idx="62">
                  <c:v>2.9845130209103035</c:v>
                </c:pt>
                <c:pt idx="63">
                  <c:v>2.9813714282567139</c:v>
                </c:pt>
                <c:pt idx="64">
                  <c:v>2.9782298356031238</c:v>
                </c:pt>
                <c:pt idx="65">
                  <c:v>2.9750882429495342</c:v>
                </c:pt>
                <c:pt idx="66">
                  <c:v>2.9719466502959442</c:v>
                </c:pt>
                <c:pt idx="67">
                  <c:v>2.9688050576423546</c:v>
                </c:pt>
                <c:pt idx="68">
                  <c:v>2.9656634649887645</c:v>
                </c:pt>
                <c:pt idx="69">
                  <c:v>2.9625218723351749</c:v>
                </c:pt>
                <c:pt idx="70">
                  <c:v>2.9593802796815849</c:v>
                </c:pt>
                <c:pt idx="71">
                  <c:v>2.9562386870279953</c:v>
                </c:pt>
                <c:pt idx="72">
                  <c:v>2.9530970943744057</c:v>
                </c:pt>
                <c:pt idx="73">
                  <c:v>2.9499555017208157</c:v>
                </c:pt>
                <c:pt idx="74">
                  <c:v>2.9468139090672261</c:v>
                </c:pt>
                <c:pt idx="75">
                  <c:v>2.943672316413636</c:v>
                </c:pt>
                <c:pt idx="76">
                  <c:v>2.9405307237600464</c:v>
                </c:pt>
                <c:pt idx="77">
                  <c:v>2.9373891311064564</c:v>
                </c:pt>
                <c:pt idx="78">
                  <c:v>2.9342475384528668</c:v>
                </c:pt>
                <c:pt idx="79">
                  <c:v>2.9311059457992767</c:v>
                </c:pt>
                <c:pt idx="80">
                  <c:v>2.9279643531456871</c:v>
                </c:pt>
                <c:pt idx="81">
                  <c:v>2.9248227604920976</c:v>
                </c:pt>
                <c:pt idx="82">
                  <c:v>2.9216811678385075</c:v>
                </c:pt>
                <c:pt idx="83">
                  <c:v>2.9185395751849179</c:v>
                </c:pt>
                <c:pt idx="84">
                  <c:v>2.9153979825313279</c:v>
                </c:pt>
                <c:pt idx="85">
                  <c:v>2.9122563898777383</c:v>
                </c:pt>
                <c:pt idx="86">
                  <c:v>2.9091147972241482</c:v>
                </c:pt>
                <c:pt idx="87">
                  <c:v>2.9059732045705586</c:v>
                </c:pt>
                <c:pt idx="88">
                  <c:v>2.902831611916969</c:v>
                </c:pt>
                <c:pt idx="89">
                  <c:v>2.899690019263379</c:v>
                </c:pt>
                <c:pt idx="90">
                  <c:v>2.8965484266097894</c:v>
                </c:pt>
                <c:pt idx="91">
                  <c:v>2.8934068339561994</c:v>
                </c:pt>
                <c:pt idx="92">
                  <c:v>2.8902652413026098</c:v>
                </c:pt>
                <c:pt idx="93">
                  <c:v>2.8871236486490197</c:v>
                </c:pt>
                <c:pt idx="94">
                  <c:v>2.8839820559954301</c:v>
                </c:pt>
                <c:pt idx="95">
                  <c:v>2.8808404633418405</c:v>
                </c:pt>
                <c:pt idx="96">
                  <c:v>2.8776988706882505</c:v>
                </c:pt>
                <c:pt idx="97">
                  <c:v>2.8745572780346604</c:v>
                </c:pt>
                <c:pt idx="98">
                  <c:v>2.8714156853810708</c:v>
                </c:pt>
                <c:pt idx="99">
                  <c:v>2.8682740927274812</c:v>
                </c:pt>
                <c:pt idx="100">
                  <c:v>2.8651325000738912</c:v>
                </c:pt>
                <c:pt idx="101">
                  <c:v>2.8619909074203016</c:v>
                </c:pt>
                <c:pt idx="102">
                  <c:v>2.8588493147667116</c:v>
                </c:pt>
                <c:pt idx="103">
                  <c:v>2.855707722113122</c:v>
                </c:pt>
                <c:pt idx="104">
                  <c:v>2.8525661294595324</c:v>
                </c:pt>
                <c:pt idx="105">
                  <c:v>2.8494245368059423</c:v>
                </c:pt>
                <c:pt idx="106">
                  <c:v>2.8462829441523527</c:v>
                </c:pt>
                <c:pt idx="107">
                  <c:v>2.8431413514987627</c:v>
                </c:pt>
                <c:pt idx="108">
                  <c:v>2.8399997588451731</c:v>
                </c:pt>
                <c:pt idx="109">
                  <c:v>2.836858166191583</c:v>
                </c:pt>
                <c:pt idx="110">
                  <c:v>2.8337165735379934</c:v>
                </c:pt>
                <c:pt idx="111">
                  <c:v>2.8305749808844034</c:v>
                </c:pt>
                <c:pt idx="112">
                  <c:v>2.8274333882308138</c:v>
                </c:pt>
                <c:pt idx="113">
                  <c:v>2.8242917955772242</c:v>
                </c:pt>
                <c:pt idx="114">
                  <c:v>2.8211502029236342</c:v>
                </c:pt>
                <c:pt idx="115">
                  <c:v>2.8180086102700446</c:v>
                </c:pt>
                <c:pt idx="116">
                  <c:v>2.8148670176164545</c:v>
                </c:pt>
                <c:pt idx="117">
                  <c:v>2.8117254249628649</c:v>
                </c:pt>
                <c:pt idx="118">
                  <c:v>2.8085838323092749</c:v>
                </c:pt>
                <c:pt idx="119">
                  <c:v>2.8054422396556853</c:v>
                </c:pt>
                <c:pt idx="120">
                  <c:v>2.8023006470020952</c:v>
                </c:pt>
                <c:pt idx="121">
                  <c:v>2.7991590543485056</c:v>
                </c:pt>
                <c:pt idx="122">
                  <c:v>2.7960174616949161</c:v>
                </c:pt>
                <c:pt idx="123">
                  <c:v>2.792875869041326</c:v>
                </c:pt>
                <c:pt idx="124">
                  <c:v>2.7897342763877364</c:v>
                </c:pt>
                <c:pt idx="125">
                  <c:v>2.7865926837341464</c:v>
                </c:pt>
                <c:pt idx="126">
                  <c:v>2.7834510910805568</c:v>
                </c:pt>
                <c:pt idx="127">
                  <c:v>2.7803094984269667</c:v>
                </c:pt>
                <c:pt idx="128">
                  <c:v>2.7771679057733771</c:v>
                </c:pt>
                <c:pt idx="129">
                  <c:v>2.7740263131197871</c:v>
                </c:pt>
                <c:pt idx="130">
                  <c:v>2.7708847204661975</c:v>
                </c:pt>
                <c:pt idx="131">
                  <c:v>2.7677431278126079</c:v>
                </c:pt>
                <c:pt idx="132">
                  <c:v>2.7646015351590179</c:v>
                </c:pt>
                <c:pt idx="133">
                  <c:v>2.7614599425054283</c:v>
                </c:pt>
                <c:pt idx="134">
                  <c:v>2.7583183498518382</c:v>
                </c:pt>
                <c:pt idx="135">
                  <c:v>2.7551767571982486</c:v>
                </c:pt>
                <c:pt idx="136">
                  <c:v>2.752035164544659</c:v>
                </c:pt>
                <c:pt idx="137">
                  <c:v>2.748893571891069</c:v>
                </c:pt>
                <c:pt idx="138">
                  <c:v>2.7457519792374789</c:v>
                </c:pt>
                <c:pt idx="139">
                  <c:v>2.7426103865838893</c:v>
                </c:pt>
                <c:pt idx="140">
                  <c:v>2.7394687939302997</c:v>
                </c:pt>
                <c:pt idx="141">
                  <c:v>2.7363272012767097</c:v>
                </c:pt>
                <c:pt idx="142">
                  <c:v>2.7331856086231201</c:v>
                </c:pt>
                <c:pt idx="143">
                  <c:v>2.7300440159695301</c:v>
                </c:pt>
                <c:pt idx="144">
                  <c:v>2.7269024233159405</c:v>
                </c:pt>
                <c:pt idx="145">
                  <c:v>2.7237608306623504</c:v>
                </c:pt>
                <c:pt idx="146">
                  <c:v>2.7206192380087608</c:v>
                </c:pt>
                <c:pt idx="147">
                  <c:v>2.7174776453551708</c:v>
                </c:pt>
                <c:pt idx="148">
                  <c:v>2.7143360527015812</c:v>
                </c:pt>
                <c:pt idx="149">
                  <c:v>2.7111944600479916</c:v>
                </c:pt>
                <c:pt idx="150">
                  <c:v>2.7080528673944015</c:v>
                </c:pt>
                <c:pt idx="151">
                  <c:v>2.7049112747408119</c:v>
                </c:pt>
                <c:pt idx="152">
                  <c:v>2.7017696820872219</c:v>
                </c:pt>
                <c:pt idx="153">
                  <c:v>2.6986280894336323</c:v>
                </c:pt>
                <c:pt idx="154">
                  <c:v>2.6954864967800427</c:v>
                </c:pt>
                <c:pt idx="155">
                  <c:v>2.6923449041264527</c:v>
                </c:pt>
                <c:pt idx="156">
                  <c:v>2.6892033114728631</c:v>
                </c:pt>
                <c:pt idx="157">
                  <c:v>2.686061718819273</c:v>
                </c:pt>
                <c:pt idx="158">
                  <c:v>2.6829201261656834</c:v>
                </c:pt>
                <c:pt idx="159">
                  <c:v>2.6797785335120934</c:v>
                </c:pt>
                <c:pt idx="160">
                  <c:v>2.6766369408585038</c:v>
                </c:pt>
                <c:pt idx="161">
                  <c:v>2.6734953482049137</c:v>
                </c:pt>
                <c:pt idx="162">
                  <c:v>2.6703537555513241</c:v>
                </c:pt>
                <c:pt idx="163">
                  <c:v>2.6672121628977346</c:v>
                </c:pt>
                <c:pt idx="164">
                  <c:v>2.6640705702441445</c:v>
                </c:pt>
                <c:pt idx="165">
                  <c:v>2.6609289775905549</c:v>
                </c:pt>
                <c:pt idx="166">
                  <c:v>2.6577873849369649</c:v>
                </c:pt>
                <c:pt idx="167">
                  <c:v>2.6546457922833753</c:v>
                </c:pt>
                <c:pt idx="168">
                  <c:v>2.6515041996297852</c:v>
                </c:pt>
                <c:pt idx="169">
                  <c:v>2.6483626069761956</c:v>
                </c:pt>
                <c:pt idx="170">
                  <c:v>2.6452210143226056</c:v>
                </c:pt>
                <c:pt idx="171">
                  <c:v>2.642079421669016</c:v>
                </c:pt>
                <c:pt idx="172">
                  <c:v>2.6389378290154264</c:v>
                </c:pt>
                <c:pt idx="173">
                  <c:v>2.6357962363618364</c:v>
                </c:pt>
                <c:pt idx="174">
                  <c:v>2.6326546437082468</c:v>
                </c:pt>
                <c:pt idx="175">
                  <c:v>2.6295130510546567</c:v>
                </c:pt>
                <c:pt idx="176">
                  <c:v>2.6263714584010671</c:v>
                </c:pt>
                <c:pt idx="177">
                  <c:v>2.6232298657474771</c:v>
                </c:pt>
                <c:pt idx="178">
                  <c:v>2.6200882730938875</c:v>
                </c:pt>
                <c:pt idx="179">
                  <c:v>2.6169466804402974</c:v>
                </c:pt>
                <c:pt idx="180">
                  <c:v>2.6138050877867078</c:v>
                </c:pt>
                <c:pt idx="181">
                  <c:v>2.6106634951331182</c:v>
                </c:pt>
                <c:pt idx="182">
                  <c:v>2.6075219024795282</c:v>
                </c:pt>
                <c:pt idx="183">
                  <c:v>2.6043803098259386</c:v>
                </c:pt>
                <c:pt idx="184">
                  <c:v>2.6012387171723486</c:v>
                </c:pt>
                <c:pt idx="185">
                  <c:v>2.598097124518759</c:v>
                </c:pt>
                <c:pt idx="186">
                  <c:v>2.5949555318651694</c:v>
                </c:pt>
                <c:pt idx="187">
                  <c:v>2.5918139392115793</c:v>
                </c:pt>
                <c:pt idx="188">
                  <c:v>2.5886723465579897</c:v>
                </c:pt>
                <c:pt idx="189">
                  <c:v>2.5855307539043997</c:v>
                </c:pt>
                <c:pt idx="190">
                  <c:v>2.5823891612508101</c:v>
                </c:pt>
                <c:pt idx="191">
                  <c:v>2.57924756859722</c:v>
                </c:pt>
                <c:pt idx="192">
                  <c:v>2.5761059759436304</c:v>
                </c:pt>
                <c:pt idx="193">
                  <c:v>2.5729643832900404</c:v>
                </c:pt>
                <c:pt idx="194">
                  <c:v>2.5698227906364508</c:v>
                </c:pt>
                <c:pt idx="195">
                  <c:v>2.5666811979828612</c:v>
                </c:pt>
                <c:pt idx="196">
                  <c:v>2.5635396053292712</c:v>
                </c:pt>
                <c:pt idx="197">
                  <c:v>2.5603980126756811</c:v>
                </c:pt>
                <c:pt idx="198">
                  <c:v>2.5572564200220915</c:v>
                </c:pt>
                <c:pt idx="199">
                  <c:v>2.5541148273685019</c:v>
                </c:pt>
                <c:pt idx="200">
                  <c:v>2.5509732347149119</c:v>
                </c:pt>
                <c:pt idx="201">
                  <c:v>2.5478316420613223</c:v>
                </c:pt>
                <c:pt idx="202">
                  <c:v>2.5446900494077322</c:v>
                </c:pt>
                <c:pt idx="203">
                  <c:v>2.5415484567541426</c:v>
                </c:pt>
                <c:pt idx="204">
                  <c:v>2.5384068641005531</c:v>
                </c:pt>
                <c:pt idx="205">
                  <c:v>2.535265271446963</c:v>
                </c:pt>
                <c:pt idx="206">
                  <c:v>2.532123678793373</c:v>
                </c:pt>
                <c:pt idx="207">
                  <c:v>2.5289820861397834</c:v>
                </c:pt>
                <c:pt idx="208">
                  <c:v>2.5258404934861938</c:v>
                </c:pt>
                <c:pt idx="209">
                  <c:v>2.5226989008326037</c:v>
                </c:pt>
                <c:pt idx="210">
                  <c:v>2.5195573081790141</c:v>
                </c:pt>
                <c:pt idx="211">
                  <c:v>2.5164157155254241</c:v>
                </c:pt>
                <c:pt idx="212">
                  <c:v>2.5132741228718345</c:v>
                </c:pt>
                <c:pt idx="213">
                  <c:v>2.5101325302182449</c:v>
                </c:pt>
                <c:pt idx="214">
                  <c:v>2.5069909375646549</c:v>
                </c:pt>
                <c:pt idx="215">
                  <c:v>2.5038493449110648</c:v>
                </c:pt>
                <c:pt idx="216">
                  <c:v>2.5007077522574752</c:v>
                </c:pt>
                <c:pt idx="217">
                  <c:v>2.4975661596038856</c:v>
                </c:pt>
                <c:pt idx="218">
                  <c:v>2.494424566950296</c:v>
                </c:pt>
                <c:pt idx="219">
                  <c:v>2.491282974296706</c:v>
                </c:pt>
                <c:pt idx="220">
                  <c:v>2.4881413816431159</c:v>
                </c:pt>
                <c:pt idx="221">
                  <c:v>2.4849997889895263</c:v>
                </c:pt>
                <c:pt idx="222">
                  <c:v>2.4818581963359367</c:v>
                </c:pt>
                <c:pt idx="223">
                  <c:v>2.4787166036823467</c:v>
                </c:pt>
                <c:pt idx="224">
                  <c:v>2.4755750110287571</c:v>
                </c:pt>
                <c:pt idx="225">
                  <c:v>2.4724334183751671</c:v>
                </c:pt>
                <c:pt idx="226">
                  <c:v>2.4692918257215775</c:v>
                </c:pt>
                <c:pt idx="227">
                  <c:v>2.4661502330679879</c:v>
                </c:pt>
                <c:pt idx="228">
                  <c:v>2.4630086404143978</c:v>
                </c:pt>
                <c:pt idx="229">
                  <c:v>2.4598670477608078</c:v>
                </c:pt>
                <c:pt idx="230">
                  <c:v>2.4567254551072182</c:v>
                </c:pt>
                <c:pt idx="231">
                  <c:v>2.4535838624536286</c:v>
                </c:pt>
                <c:pt idx="232">
                  <c:v>2.4504422698000385</c:v>
                </c:pt>
                <c:pt idx="233">
                  <c:v>2.4473006771464489</c:v>
                </c:pt>
                <c:pt idx="234">
                  <c:v>2.4441590844928589</c:v>
                </c:pt>
                <c:pt idx="235">
                  <c:v>2.4410174918392693</c:v>
                </c:pt>
                <c:pt idx="236">
                  <c:v>2.4378758991856797</c:v>
                </c:pt>
                <c:pt idx="237">
                  <c:v>2.4347343065320897</c:v>
                </c:pt>
                <c:pt idx="238">
                  <c:v>2.4315927138784996</c:v>
                </c:pt>
                <c:pt idx="239">
                  <c:v>2.42845112122491</c:v>
                </c:pt>
                <c:pt idx="240">
                  <c:v>2.4253095285713204</c:v>
                </c:pt>
                <c:pt idx="241">
                  <c:v>2.4221679359177304</c:v>
                </c:pt>
                <c:pt idx="242">
                  <c:v>2.4190263432641408</c:v>
                </c:pt>
                <c:pt idx="243">
                  <c:v>2.4158847506105507</c:v>
                </c:pt>
                <c:pt idx="244">
                  <c:v>2.4127431579569611</c:v>
                </c:pt>
                <c:pt idx="245">
                  <c:v>2.4096015653033716</c:v>
                </c:pt>
                <c:pt idx="246">
                  <c:v>2.4064599726497815</c:v>
                </c:pt>
                <c:pt idx="247">
                  <c:v>2.4033183799961919</c:v>
                </c:pt>
                <c:pt idx="248">
                  <c:v>2.4001767873426019</c:v>
                </c:pt>
                <c:pt idx="249">
                  <c:v>2.3970351946890123</c:v>
                </c:pt>
                <c:pt idx="250">
                  <c:v>2.3938936020354222</c:v>
                </c:pt>
                <c:pt idx="251">
                  <c:v>2.3907520093818326</c:v>
                </c:pt>
                <c:pt idx="252">
                  <c:v>2.3876104167282426</c:v>
                </c:pt>
                <c:pt idx="253">
                  <c:v>2.384468824074653</c:v>
                </c:pt>
                <c:pt idx="254">
                  <c:v>2.3813272314210634</c:v>
                </c:pt>
                <c:pt idx="255">
                  <c:v>2.3781856387674734</c:v>
                </c:pt>
                <c:pt idx="256">
                  <c:v>2.3750440461138838</c:v>
                </c:pt>
                <c:pt idx="257">
                  <c:v>2.3719024534602937</c:v>
                </c:pt>
                <c:pt idx="258">
                  <c:v>2.3687608608067041</c:v>
                </c:pt>
                <c:pt idx="259">
                  <c:v>2.3656192681531141</c:v>
                </c:pt>
                <c:pt idx="260">
                  <c:v>2.3624776754995245</c:v>
                </c:pt>
                <c:pt idx="261">
                  <c:v>2.3593360828459344</c:v>
                </c:pt>
                <c:pt idx="262">
                  <c:v>2.3561944901923448</c:v>
                </c:pt>
                <c:pt idx="263">
                  <c:v>2.3530528975387552</c:v>
                </c:pt>
                <c:pt idx="264">
                  <c:v>2.3499113048851652</c:v>
                </c:pt>
                <c:pt idx="265">
                  <c:v>2.3467697122315756</c:v>
                </c:pt>
                <c:pt idx="266">
                  <c:v>2.3436281195779856</c:v>
                </c:pt>
                <c:pt idx="267">
                  <c:v>2.340486526924396</c:v>
                </c:pt>
                <c:pt idx="268">
                  <c:v>2.3373449342708059</c:v>
                </c:pt>
                <c:pt idx="269">
                  <c:v>2.3342033416172163</c:v>
                </c:pt>
                <c:pt idx="270">
                  <c:v>2.3310617489636263</c:v>
                </c:pt>
                <c:pt idx="271">
                  <c:v>2.3279201563100367</c:v>
                </c:pt>
                <c:pt idx="272">
                  <c:v>2.3247785636564471</c:v>
                </c:pt>
                <c:pt idx="273">
                  <c:v>2.321636971002857</c:v>
                </c:pt>
                <c:pt idx="274">
                  <c:v>2.3184953783492674</c:v>
                </c:pt>
                <c:pt idx="275">
                  <c:v>2.3153537856956774</c:v>
                </c:pt>
                <c:pt idx="276">
                  <c:v>2.3122121930420878</c:v>
                </c:pt>
                <c:pt idx="277">
                  <c:v>2.3090706003884978</c:v>
                </c:pt>
                <c:pt idx="278">
                  <c:v>2.3059290077349082</c:v>
                </c:pt>
                <c:pt idx="279">
                  <c:v>2.3027874150813181</c:v>
                </c:pt>
                <c:pt idx="280">
                  <c:v>2.2996458224277285</c:v>
                </c:pt>
                <c:pt idx="281">
                  <c:v>2.2965042297741389</c:v>
                </c:pt>
                <c:pt idx="282">
                  <c:v>2.2933626371205489</c:v>
                </c:pt>
                <c:pt idx="283">
                  <c:v>2.2902210444669593</c:v>
                </c:pt>
                <c:pt idx="284">
                  <c:v>2.2870794518133692</c:v>
                </c:pt>
                <c:pt idx="285">
                  <c:v>2.2839378591597796</c:v>
                </c:pt>
                <c:pt idx="286">
                  <c:v>2.2807962665061896</c:v>
                </c:pt>
                <c:pt idx="287">
                  <c:v>2.2776546738526</c:v>
                </c:pt>
                <c:pt idx="288">
                  <c:v>2.27451308119901</c:v>
                </c:pt>
                <c:pt idx="289">
                  <c:v>2.2713714885454204</c:v>
                </c:pt>
                <c:pt idx="290">
                  <c:v>2.2682298958918308</c:v>
                </c:pt>
                <c:pt idx="291">
                  <c:v>2.2650883032382407</c:v>
                </c:pt>
                <c:pt idx="292">
                  <c:v>2.2619467105846507</c:v>
                </c:pt>
                <c:pt idx="293">
                  <c:v>2.2588051179310611</c:v>
                </c:pt>
                <c:pt idx="294">
                  <c:v>2.2556635252774715</c:v>
                </c:pt>
                <c:pt idx="295">
                  <c:v>2.2525219326238819</c:v>
                </c:pt>
                <c:pt idx="296">
                  <c:v>2.2493803399702919</c:v>
                </c:pt>
                <c:pt idx="297">
                  <c:v>2.2462387473167023</c:v>
                </c:pt>
                <c:pt idx="298">
                  <c:v>2.2430971546631122</c:v>
                </c:pt>
                <c:pt idx="299">
                  <c:v>2.2399555620095226</c:v>
                </c:pt>
                <c:pt idx="300">
                  <c:v>2.236813969355933</c:v>
                </c:pt>
                <c:pt idx="301">
                  <c:v>2.233672376702343</c:v>
                </c:pt>
                <c:pt idx="302">
                  <c:v>2.2305307840487529</c:v>
                </c:pt>
                <c:pt idx="303">
                  <c:v>2.2273891913951633</c:v>
                </c:pt>
                <c:pt idx="304">
                  <c:v>2.2242475987415737</c:v>
                </c:pt>
                <c:pt idx="305">
                  <c:v>2.2211060060879837</c:v>
                </c:pt>
                <c:pt idx="306">
                  <c:v>2.2179644134343941</c:v>
                </c:pt>
                <c:pt idx="307">
                  <c:v>2.2148228207808041</c:v>
                </c:pt>
                <c:pt idx="308">
                  <c:v>2.2116812281272145</c:v>
                </c:pt>
                <c:pt idx="309">
                  <c:v>2.2085396354736249</c:v>
                </c:pt>
                <c:pt idx="310">
                  <c:v>2.2053980428200348</c:v>
                </c:pt>
                <c:pt idx="311">
                  <c:v>2.2022564501664448</c:v>
                </c:pt>
                <c:pt idx="312">
                  <c:v>2.1991148575128552</c:v>
                </c:pt>
                <c:pt idx="313">
                  <c:v>2.1959732648592656</c:v>
                </c:pt>
                <c:pt idx="314">
                  <c:v>2.1928316722056755</c:v>
                </c:pt>
                <c:pt idx="315">
                  <c:v>2.1896900795520859</c:v>
                </c:pt>
                <c:pt idx="316">
                  <c:v>2.1865484868984959</c:v>
                </c:pt>
                <c:pt idx="317">
                  <c:v>2.1834068942449063</c:v>
                </c:pt>
                <c:pt idx="318">
                  <c:v>2.1802653015913167</c:v>
                </c:pt>
                <c:pt idx="319">
                  <c:v>2.1771237089377267</c:v>
                </c:pt>
                <c:pt idx="320">
                  <c:v>2.1739821162841366</c:v>
                </c:pt>
                <c:pt idx="321">
                  <c:v>2.170840523630547</c:v>
                </c:pt>
                <c:pt idx="322">
                  <c:v>2.1676989309769574</c:v>
                </c:pt>
                <c:pt idx="323">
                  <c:v>2.1645573383233674</c:v>
                </c:pt>
                <c:pt idx="324">
                  <c:v>2.1614157456697778</c:v>
                </c:pt>
                <c:pt idx="325">
                  <c:v>2.1582741530161877</c:v>
                </c:pt>
                <c:pt idx="326">
                  <c:v>2.1551325603625981</c:v>
                </c:pt>
                <c:pt idx="327">
                  <c:v>2.1519909677090086</c:v>
                </c:pt>
                <c:pt idx="328">
                  <c:v>2.1488493750554185</c:v>
                </c:pt>
                <c:pt idx="329">
                  <c:v>2.1457077824018285</c:v>
                </c:pt>
                <c:pt idx="330">
                  <c:v>2.1425661897482389</c:v>
                </c:pt>
                <c:pt idx="331">
                  <c:v>2.1394245970946493</c:v>
                </c:pt>
                <c:pt idx="332">
                  <c:v>2.1362830044410592</c:v>
                </c:pt>
                <c:pt idx="333">
                  <c:v>2.1331414117874692</c:v>
                </c:pt>
                <c:pt idx="334">
                  <c:v>2.1299998191338796</c:v>
                </c:pt>
                <c:pt idx="335">
                  <c:v>2.12685822648029</c:v>
                </c:pt>
                <c:pt idx="336">
                  <c:v>2.1237166338267004</c:v>
                </c:pt>
                <c:pt idx="337">
                  <c:v>2.1205750411731104</c:v>
                </c:pt>
                <c:pt idx="338">
                  <c:v>2.1174334485195203</c:v>
                </c:pt>
                <c:pt idx="339">
                  <c:v>2.1142918558659307</c:v>
                </c:pt>
                <c:pt idx="340">
                  <c:v>2.1111502632123411</c:v>
                </c:pt>
                <c:pt idx="341">
                  <c:v>2.1080086705587511</c:v>
                </c:pt>
                <c:pt idx="342">
                  <c:v>2.104867077905161</c:v>
                </c:pt>
                <c:pt idx="343">
                  <c:v>2.1017254852515714</c:v>
                </c:pt>
                <c:pt idx="344">
                  <c:v>2.0985838925979818</c:v>
                </c:pt>
                <c:pt idx="345">
                  <c:v>2.0954422999443922</c:v>
                </c:pt>
                <c:pt idx="346">
                  <c:v>2.0923007072908022</c:v>
                </c:pt>
                <c:pt idx="347">
                  <c:v>2.0891591146372122</c:v>
                </c:pt>
                <c:pt idx="348">
                  <c:v>2.0860175219836226</c:v>
                </c:pt>
                <c:pt idx="349">
                  <c:v>2.082875929330033</c:v>
                </c:pt>
                <c:pt idx="350">
                  <c:v>2.0797343366764429</c:v>
                </c:pt>
                <c:pt idx="351">
                  <c:v>2.0765927440228529</c:v>
                </c:pt>
                <c:pt idx="352">
                  <c:v>2.0734511513692633</c:v>
                </c:pt>
                <c:pt idx="353">
                  <c:v>2.0703095587156737</c:v>
                </c:pt>
                <c:pt idx="354">
                  <c:v>2.0671679660620841</c:v>
                </c:pt>
                <c:pt idx="355">
                  <c:v>2.064026373408494</c:v>
                </c:pt>
                <c:pt idx="356">
                  <c:v>2.0608847807549044</c:v>
                </c:pt>
                <c:pt idx="357">
                  <c:v>2.0577431881013144</c:v>
                </c:pt>
                <c:pt idx="358">
                  <c:v>2.0546015954477248</c:v>
                </c:pt>
                <c:pt idx="359">
                  <c:v>2.0514600027941352</c:v>
                </c:pt>
                <c:pt idx="360">
                  <c:v>2.0483184101405452</c:v>
                </c:pt>
                <c:pt idx="361">
                  <c:v>2.0451768174869551</c:v>
                </c:pt>
                <c:pt idx="362">
                  <c:v>2.0420352248333655</c:v>
                </c:pt>
                <c:pt idx="363">
                  <c:v>2.0388936321797759</c:v>
                </c:pt>
                <c:pt idx="364">
                  <c:v>2.0357520395261863</c:v>
                </c:pt>
                <c:pt idx="365">
                  <c:v>2.0326104468725963</c:v>
                </c:pt>
                <c:pt idx="366">
                  <c:v>2.0294688542190062</c:v>
                </c:pt>
                <c:pt idx="367">
                  <c:v>2.0263272615654166</c:v>
                </c:pt>
                <c:pt idx="368">
                  <c:v>2.0231856689118271</c:v>
                </c:pt>
                <c:pt idx="369">
                  <c:v>2.020044076258237</c:v>
                </c:pt>
                <c:pt idx="370">
                  <c:v>2.016902483604647</c:v>
                </c:pt>
                <c:pt idx="371">
                  <c:v>2.0137608909510574</c:v>
                </c:pt>
                <c:pt idx="372">
                  <c:v>2.0106192982974678</c:v>
                </c:pt>
                <c:pt idx="373">
                  <c:v>2.0074777056438777</c:v>
                </c:pt>
                <c:pt idx="374">
                  <c:v>2.0043361129902881</c:v>
                </c:pt>
                <c:pt idx="375">
                  <c:v>2.0011945203366981</c:v>
                </c:pt>
                <c:pt idx="376">
                  <c:v>1.9980529276831085</c:v>
                </c:pt>
                <c:pt idx="377">
                  <c:v>1.9949113350295187</c:v>
                </c:pt>
                <c:pt idx="378">
                  <c:v>1.9917697423759289</c:v>
                </c:pt>
                <c:pt idx="379">
                  <c:v>1.988628149722339</c:v>
                </c:pt>
                <c:pt idx="380">
                  <c:v>1.9854865570687492</c:v>
                </c:pt>
                <c:pt idx="381">
                  <c:v>1.9823449644151594</c:v>
                </c:pt>
                <c:pt idx="382">
                  <c:v>1.9792033717615696</c:v>
                </c:pt>
                <c:pt idx="383">
                  <c:v>1.97606177910798</c:v>
                </c:pt>
                <c:pt idx="384">
                  <c:v>1.9729201864543902</c:v>
                </c:pt>
                <c:pt idx="385">
                  <c:v>1.9697785938008003</c:v>
                </c:pt>
                <c:pt idx="386">
                  <c:v>1.9666370011472105</c:v>
                </c:pt>
                <c:pt idx="387">
                  <c:v>1.9634954084936207</c:v>
                </c:pt>
                <c:pt idx="388">
                  <c:v>1.9603538158400309</c:v>
                </c:pt>
                <c:pt idx="389">
                  <c:v>1.9572122231864411</c:v>
                </c:pt>
                <c:pt idx="390">
                  <c:v>1.9540706305328512</c:v>
                </c:pt>
                <c:pt idx="391">
                  <c:v>1.9509290378792614</c:v>
                </c:pt>
                <c:pt idx="392">
                  <c:v>1.9477874452256718</c:v>
                </c:pt>
                <c:pt idx="393">
                  <c:v>1.944645852572082</c:v>
                </c:pt>
                <c:pt idx="394">
                  <c:v>1.9415042599184922</c:v>
                </c:pt>
                <c:pt idx="395">
                  <c:v>1.9383626672649024</c:v>
                </c:pt>
                <c:pt idx="396">
                  <c:v>1.9352210746113125</c:v>
                </c:pt>
                <c:pt idx="397">
                  <c:v>1.9320794819577227</c:v>
                </c:pt>
                <c:pt idx="398">
                  <c:v>1.9289378893041329</c:v>
                </c:pt>
                <c:pt idx="399">
                  <c:v>1.9257962966505431</c:v>
                </c:pt>
                <c:pt idx="400">
                  <c:v>1.9226547039969533</c:v>
                </c:pt>
                <c:pt idx="401">
                  <c:v>1.9195131113433637</c:v>
                </c:pt>
                <c:pt idx="402">
                  <c:v>1.9163715186897738</c:v>
                </c:pt>
                <c:pt idx="403">
                  <c:v>1.913229926036184</c:v>
                </c:pt>
                <c:pt idx="404">
                  <c:v>1.9100883333825942</c:v>
                </c:pt>
                <c:pt idx="405">
                  <c:v>1.9069467407290044</c:v>
                </c:pt>
                <c:pt idx="406">
                  <c:v>1.9038051480754146</c:v>
                </c:pt>
                <c:pt idx="407">
                  <c:v>1.9006635554218247</c:v>
                </c:pt>
                <c:pt idx="408">
                  <c:v>1.8975219627682349</c:v>
                </c:pt>
                <c:pt idx="409">
                  <c:v>1.8943803701146451</c:v>
                </c:pt>
                <c:pt idx="410">
                  <c:v>1.8912387774610553</c:v>
                </c:pt>
                <c:pt idx="411">
                  <c:v>1.8880971848074657</c:v>
                </c:pt>
                <c:pt idx="412">
                  <c:v>1.8849555921538759</c:v>
                </c:pt>
                <c:pt idx="413">
                  <c:v>1.881813999500286</c:v>
                </c:pt>
                <c:pt idx="414">
                  <c:v>1.8786724068466962</c:v>
                </c:pt>
                <c:pt idx="415">
                  <c:v>1.8755308141931064</c:v>
                </c:pt>
                <c:pt idx="416">
                  <c:v>1.8723892215395166</c:v>
                </c:pt>
                <c:pt idx="417">
                  <c:v>1.8692476288859268</c:v>
                </c:pt>
                <c:pt idx="418">
                  <c:v>1.866106036232337</c:v>
                </c:pt>
                <c:pt idx="419">
                  <c:v>1.8629644435787474</c:v>
                </c:pt>
                <c:pt idx="420">
                  <c:v>1.8598228509251575</c:v>
                </c:pt>
                <c:pt idx="421">
                  <c:v>1.8566812582715677</c:v>
                </c:pt>
                <c:pt idx="422">
                  <c:v>1.8535396656179781</c:v>
                </c:pt>
                <c:pt idx="423">
                  <c:v>1.8503980729643883</c:v>
                </c:pt>
                <c:pt idx="424">
                  <c:v>1.8472564803107985</c:v>
                </c:pt>
                <c:pt idx="425">
                  <c:v>1.8441148876572087</c:v>
                </c:pt>
                <c:pt idx="426">
                  <c:v>1.8409732950036188</c:v>
                </c:pt>
                <c:pt idx="427">
                  <c:v>1.837831702350029</c:v>
                </c:pt>
                <c:pt idx="428">
                  <c:v>1.8346901096964392</c:v>
                </c:pt>
                <c:pt idx="429">
                  <c:v>1.8315485170428494</c:v>
                </c:pt>
                <c:pt idx="430">
                  <c:v>1.8284069243892596</c:v>
                </c:pt>
                <c:pt idx="431">
                  <c:v>1.82526533173567</c:v>
                </c:pt>
                <c:pt idx="432">
                  <c:v>1.8221237390820801</c:v>
                </c:pt>
                <c:pt idx="433">
                  <c:v>1.8189821464284903</c:v>
                </c:pt>
                <c:pt idx="434">
                  <c:v>1.8158405537749005</c:v>
                </c:pt>
                <c:pt idx="435">
                  <c:v>1.8126989611213107</c:v>
                </c:pt>
                <c:pt idx="436">
                  <c:v>1.8095573684677209</c:v>
                </c:pt>
                <c:pt idx="437">
                  <c:v>1.806415775814131</c:v>
                </c:pt>
                <c:pt idx="438">
                  <c:v>1.8032741831605412</c:v>
                </c:pt>
                <c:pt idx="439">
                  <c:v>1.8001325905069514</c:v>
                </c:pt>
                <c:pt idx="440">
                  <c:v>1.7969909978533616</c:v>
                </c:pt>
                <c:pt idx="441">
                  <c:v>1.793849405199772</c:v>
                </c:pt>
                <c:pt idx="442">
                  <c:v>1.7907078125461822</c:v>
                </c:pt>
                <c:pt idx="443">
                  <c:v>1.7875662198925923</c:v>
                </c:pt>
                <c:pt idx="444">
                  <c:v>1.7844246272390025</c:v>
                </c:pt>
                <c:pt idx="445">
                  <c:v>1.7812830345854127</c:v>
                </c:pt>
                <c:pt idx="446">
                  <c:v>1.7781414419318229</c:v>
                </c:pt>
                <c:pt idx="447">
                  <c:v>1.7749998492782331</c:v>
                </c:pt>
                <c:pt idx="448">
                  <c:v>1.7718582566246432</c:v>
                </c:pt>
                <c:pt idx="449">
                  <c:v>1.7687166639710534</c:v>
                </c:pt>
                <c:pt idx="450">
                  <c:v>1.7655750713174638</c:v>
                </c:pt>
                <c:pt idx="451">
                  <c:v>1.762433478663874</c:v>
                </c:pt>
                <c:pt idx="452">
                  <c:v>1.7592918860102842</c:v>
                </c:pt>
                <c:pt idx="453">
                  <c:v>1.7561502933566944</c:v>
                </c:pt>
                <c:pt idx="454">
                  <c:v>1.7530087007031045</c:v>
                </c:pt>
                <c:pt idx="455">
                  <c:v>1.7498671080495147</c:v>
                </c:pt>
                <c:pt idx="456">
                  <c:v>1.7467255153959249</c:v>
                </c:pt>
                <c:pt idx="457">
                  <c:v>1.7435839227423351</c:v>
                </c:pt>
                <c:pt idx="458">
                  <c:v>1.7404423300887453</c:v>
                </c:pt>
                <c:pt idx="459">
                  <c:v>1.7373007374351557</c:v>
                </c:pt>
                <c:pt idx="460">
                  <c:v>1.7341591447815659</c:v>
                </c:pt>
                <c:pt idx="461">
                  <c:v>1.731017552127976</c:v>
                </c:pt>
                <c:pt idx="462">
                  <c:v>1.7278759594743862</c:v>
                </c:pt>
                <c:pt idx="463">
                  <c:v>1.7247343668207964</c:v>
                </c:pt>
                <c:pt idx="464">
                  <c:v>1.7215927741672066</c:v>
                </c:pt>
                <c:pt idx="465">
                  <c:v>1.7184511815136168</c:v>
                </c:pt>
                <c:pt idx="466">
                  <c:v>1.7153095888600269</c:v>
                </c:pt>
                <c:pt idx="467">
                  <c:v>1.7121679962064371</c:v>
                </c:pt>
                <c:pt idx="468">
                  <c:v>1.7090264035528473</c:v>
                </c:pt>
                <c:pt idx="469">
                  <c:v>1.7058848108992577</c:v>
                </c:pt>
                <c:pt idx="470">
                  <c:v>1.7027432182456679</c:v>
                </c:pt>
                <c:pt idx="471">
                  <c:v>1.6996016255920781</c:v>
                </c:pt>
                <c:pt idx="472">
                  <c:v>1.6964600329384882</c:v>
                </c:pt>
                <c:pt idx="473">
                  <c:v>1.6933184402848984</c:v>
                </c:pt>
                <c:pt idx="474">
                  <c:v>1.6901768476313086</c:v>
                </c:pt>
                <c:pt idx="475">
                  <c:v>1.6870352549777188</c:v>
                </c:pt>
                <c:pt idx="476">
                  <c:v>1.683893662324129</c:v>
                </c:pt>
                <c:pt idx="477">
                  <c:v>1.6807520696705391</c:v>
                </c:pt>
                <c:pt idx="478">
                  <c:v>1.6776104770169495</c:v>
                </c:pt>
                <c:pt idx="479">
                  <c:v>1.6744688843633597</c:v>
                </c:pt>
                <c:pt idx="480">
                  <c:v>1.6713272917097699</c:v>
                </c:pt>
                <c:pt idx="481">
                  <c:v>1.6681856990561803</c:v>
                </c:pt>
                <c:pt idx="482">
                  <c:v>1.6650441064025905</c:v>
                </c:pt>
                <c:pt idx="483">
                  <c:v>1.6619025137490007</c:v>
                </c:pt>
                <c:pt idx="484">
                  <c:v>1.6587609210954108</c:v>
                </c:pt>
                <c:pt idx="485">
                  <c:v>1.655619328441821</c:v>
                </c:pt>
                <c:pt idx="486">
                  <c:v>1.6524777357882312</c:v>
                </c:pt>
                <c:pt idx="487">
                  <c:v>1.6493361431346414</c:v>
                </c:pt>
                <c:pt idx="488">
                  <c:v>1.6461945504810516</c:v>
                </c:pt>
                <c:pt idx="489">
                  <c:v>1.643052957827462</c:v>
                </c:pt>
                <c:pt idx="490">
                  <c:v>1.6399113651738721</c:v>
                </c:pt>
                <c:pt idx="491">
                  <c:v>1.6367697725202823</c:v>
                </c:pt>
                <c:pt idx="492">
                  <c:v>1.6336281798666925</c:v>
                </c:pt>
                <c:pt idx="493">
                  <c:v>1.6304865872131027</c:v>
                </c:pt>
                <c:pt idx="494">
                  <c:v>1.6273449945595129</c:v>
                </c:pt>
                <c:pt idx="495">
                  <c:v>1.624203401905923</c:v>
                </c:pt>
                <c:pt idx="496">
                  <c:v>1.6210618092523332</c:v>
                </c:pt>
                <c:pt idx="497">
                  <c:v>1.6179202165987434</c:v>
                </c:pt>
                <c:pt idx="498">
                  <c:v>1.6147786239451536</c:v>
                </c:pt>
                <c:pt idx="499">
                  <c:v>1.611637031291564</c:v>
                </c:pt>
                <c:pt idx="500">
                  <c:v>1.6084954386379742</c:v>
                </c:pt>
                <c:pt idx="501">
                  <c:v>1.6053538459843844</c:v>
                </c:pt>
                <c:pt idx="502">
                  <c:v>1.6022122533307945</c:v>
                </c:pt>
                <c:pt idx="503">
                  <c:v>1.5990706606772047</c:v>
                </c:pt>
                <c:pt idx="504">
                  <c:v>1.5959290680236149</c:v>
                </c:pt>
                <c:pt idx="505">
                  <c:v>1.5927874753700251</c:v>
                </c:pt>
                <c:pt idx="506">
                  <c:v>1.5896458827164353</c:v>
                </c:pt>
                <c:pt idx="507">
                  <c:v>1.5865042900628454</c:v>
                </c:pt>
                <c:pt idx="508">
                  <c:v>1.5833626974092558</c:v>
                </c:pt>
                <c:pt idx="509">
                  <c:v>1.580221104755666</c:v>
                </c:pt>
                <c:pt idx="510">
                  <c:v>1.5770795121020762</c:v>
                </c:pt>
                <c:pt idx="511">
                  <c:v>1.5739379194484864</c:v>
                </c:pt>
                <c:pt idx="512">
                  <c:v>1.5707963267948966</c:v>
                </c:pt>
                <c:pt idx="513">
                  <c:v>1.5676547341413067</c:v>
                </c:pt>
                <c:pt idx="514">
                  <c:v>1.5645131414877169</c:v>
                </c:pt>
                <c:pt idx="515">
                  <c:v>1.5613715488341271</c:v>
                </c:pt>
                <c:pt idx="516">
                  <c:v>1.5582299561805373</c:v>
                </c:pt>
                <c:pt idx="517">
                  <c:v>1.5550883635269477</c:v>
                </c:pt>
                <c:pt idx="518">
                  <c:v>1.5519467708733579</c:v>
                </c:pt>
                <c:pt idx="519">
                  <c:v>1.548805178219768</c:v>
                </c:pt>
                <c:pt idx="520">
                  <c:v>1.5456635855661782</c:v>
                </c:pt>
                <c:pt idx="521">
                  <c:v>1.5425219929125884</c:v>
                </c:pt>
                <c:pt idx="522">
                  <c:v>1.5393804002589986</c:v>
                </c:pt>
                <c:pt idx="523">
                  <c:v>1.5362388076054088</c:v>
                </c:pt>
                <c:pt idx="524">
                  <c:v>1.5330972149518189</c:v>
                </c:pt>
                <c:pt idx="525">
                  <c:v>1.5299556222982291</c:v>
                </c:pt>
                <c:pt idx="526">
                  <c:v>1.5268140296446395</c:v>
                </c:pt>
                <c:pt idx="527">
                  <c:v>1.5236724369910497</c:v>
                </c:pt>
                <c:pt idx="528">
                  <c:v>1.5205308443374599</c:v>
                </c:pt>
                <c:pt idx="529">
                  <c:v>1.5173892516838701</c:v>
                </c:pt>
                <c:pt idx="530">
                  <c:v>1.5142476590302802</c:v>
                </c:pt>
                <c:pt idx="531">
                  <c:v>1.5111060663766904</c:v>
                </c:pt>
                <c:pt idx="532">
                  <c:v>1.5079644737231006</c:v>
                </c:pt>
                <c:pt idx="533">
                  <c:v>1.5048228810695108</c:v>
                </c:pt>
                <c:pt idx="534">
                  <c:v>1.501681288415921</c:v>
                </c:pt>
                <c:pt idx="535">
                  <c:v>1.4985396957623311</c:v>
                </c:pt>
                <c:pt idx="536">
                  <c:v>1.4953981031087415</c:v>
                </c:pt>
                <c:pt idx="537">
                  <c:v>1.4922565104551517</c:v>
                </c:pt>
                <c:pt idx="538">
                  <c:v>1.4891149178015619</c:v>
                </c:pt>
                <c:pt idx="539">
                  <c:v>1.4859733251479721</c:v>
                </c:pt>
                <c:pt idx="540">
                  <c:v>1.4828317324943823</c:v>
                </c:pt>
                <c:pt idx="541">
                  <c:v>1.4796901398407925</c:v>
                </c:pt>
                <c:pt idx="542">
                  <c:v>1.4765485471872026</c:v>
                </c:pt>
                <c:pt idx="543">
                  <c:v>1.4734069545336128</c:v>
                </c:pt>
                <c:pt idx="544">
                  <c:v>1.470265361880023</c:v>
                </c:pt>
                <c:pt idx="545">
                  <c:v>1.4671237692264334</c:v>
                </c:pt>
                <c:pt idx="546">
                  <c:v>1.4639821765728436</c:v>
                </c:pt>
                <c:pt idx="547">
                  <c:v>1.4608405839192538</c:v>
                </c:pt>
                <c:pt idx="548">
                  <c:v>1.4576989912656639</c:v>
                </c:pt>
                <c:pt idx="549">
                  <c:v>1.4545573986120741</c:v>
                </c:pt>
                <c:pt idx="550">
                  <c:v>1.4514158059584843</c:v>
                </c:pt>
                <c:pt idx="551">
                  <c:v>1.4482742133048945</c:v>
                </c:pt>
                <c:pt idx="552">
                  <c:v>1.4451326206513047</c:v>
                </c:pt>
                <c:pt idx="553">
                  <c:v>1.4419910279977148</c:v>
                </c:pt>
                <c:pt idx="554">
                  <c:v>1.4388494353441252</c:v>
                </c:pt>
                <c:pt idx="555">
                  <c:v>1.4357078426905354</c:v>
                </c:pt>
                <c:pt idx="556">
                  <c:v>1.4325662500369456</c:v>
                </c:pt>
                <c:pt idx="557">
                  <c:v>1.4294246573833558</c:v>
                </c:pt>
                <c:pt idx="558">
                  <c:v>1.426283064729766</c:v>
                </c:pt>
                <c:pt idx="559">
                  <c:v>1.4231414720761761</c:v>
                </c:pt>
                <c:pt idx="560">
                  <c:v>1.4199998794225863</c:v>
                </c:pt>
                <c:pt idx="561">
                  <c:v>1.4168582867689965</c:v>
                </c:pt>
                <c:pt idx="562">
                  <c:v>1.4137166941154067</c:v>
                </c:pt>
                <c:pt idx="563">
                  <c:v>1.4105751014618169</c:v>
                </c:pt>
                <c:pt idx="564">
                  <c:v>1.4074335088082273</c:v>
                </c:pt>
                <c:pt idx="565">
                  <c:v>1.4042919161546374</c:v>
                </c:pt>
                <c:pt idx="566">
                  <c:v>1.4011503235010476</c:v>
                </c:pt>
                <c:pt idx="567">
                  <c:v>1.3980087308474578</c:v>
                </c:pt>
                <c:pt idx="568">
                  <c:v>1.394867138193868</c:v>
                </c:pt>
                <c:pt idx="569">
                  <c:v>1.3917255455402782</c:v>
                </c:pt>
                <c:pt idx="570">
                  <c:v>1.3885839528866883</c:v>
                </c:pt>
                <c:pt idx="571">
                  <c:v>1.3854423602330985</c:v>
                </c:pt>
                <c:pt idx="572">
                  <c:v>1.3823007675795087</c:v>
                </c:pt>
                <c:pt idx="573">
                  <c:v>1.3791591749259191</c:v>
                </c:pt>
                <c:pt idx="574">
                  <c:v>1.3760175822723293</c:v>
                </c:pt>
                <c:pt idx="575">
                  <c:v>1.3728759896187397</c:v>
                </c:pt>
                <c:pt idx="576">
                  <c:v>1.3697343969651499</c:v>
                </c:pt>
                <c:pt idx="577">
                  <c:v>1.3665928043115603</c:v>
                </c:pt>
                <c:pt idx="578">
                  <c:v>1.3634512116579705</c:v>
                </c:pt>
                <c:pt idx="579">
                  <c:v>1.3603096190043806</c:v>
                </c:pt>
                <c:pt idx="580">
                  <c:v>1.3571680263507908</c:v>
                </c:pt>
                <c:pt idx="581">
                  <c:v>1.354026433697201</c:v>
                </c:pt>
                <c:pt idx="582">
                  <c:v>1.3508848410436112</c:v>
                </c:pt>
                <c:pt idx="583">
                  <c:v>1.3477432483900214</c:v>
                </c:pt>
                <c:pt idx="584">
                  <c:v>1.3446016557364315</c:v>
                </c:pt>
                <c:pt idx="585">
                  <c:v>1.3414600630828417</c:v>
                </c:pt>
                <c:pt idx="586">
                  <c:v>1.3383184704292521</c:v>
                </c:pt>
                <c:pt idx="587">
                  <c:v>1.3351768777756623</c:v>
                </c:pt>
                <c:pt idx="588">
                  <c:v>1.3320352851220725</c:v>
                </c:pt>
                <c:pt idx="589">
                  <c:v>1.3288936924684827</c:v>
                </c:pt>
                <c:pt idx="590">
                  <c:v>1.3257520998148928</c:v>
                </c:pt>
                <c:pt idx="591">
                  <c:v>1.322610507161303</c:v>
                </c:pt>
                <c:pt idx="592">
                  <c:v>1.3194689145077132</c:v>
                </c:pt>
                <c:pt idx="593">
                  <c:v>1.3163273218541234</c:v>
                </c:pt>
                <c:pt idx="594">
                  <c:v>1.3131857292005336</c:v>
                </c:pt>
                <c:pt idx="595">
                  <c:v>1.3100441365469437</c:v>
                </c:pt>
                <c:pt idx="596">
                  <c:v>1.3069025438933541</c:v>
                </c:pt>
                <c:pt idx="597">
                  <c:v>1.3037609512397643</c:v>
                </c:pt>
                <c:pt idx="598">
                  <c:v>1.3006193585861745</c:v>
                </c:pt>
                <c:pt idx="599">
                  <c:v>1.2974777659325847</c:v>
                </c:pt>
                <c:pt idx="600">
                  <c:v>1.2943361732789949</c:v>
                </c:pt>
                <c:pt idx="601">
                  <c:v>1.291194580625405</c:v>
                </c:pt>
                <c:pt idx="602">
                  <c:v>1.2880529879718152</c:v>
                </c:pt>
                <c:pt idx="603">
                  <c:v>1.2849113953182254</c:v>
                </c:pt>
                <c:pt idx="604">
                  <c:v>1.2817698026646356</c:v>
                </c:pt>
                <c:pt idx="605">
                  <c:v>1.278628210011046</c:v>
                </c:pt>
                <c:pt idx="606">
                  <c:v>1.2754866173574562</c:v>
                </c:pt>
                <c:pt idx="607">
                  <c:v>1.2723450247038663</c:v>
                </c:pt>
                <c:pt idx="608">
                  <c:v>1.2692034320502765</c:v>
                </c:pt>
                <c:pt idx="609">
                  <c:v>1.2660618393966867</c:v>
                </c:pt>
                <c:pt idx="610">
                  <c:v>1.2629202467430969</c:v>
                </c:pt>
                <c:pt idx="611">
                  <c:v>1.2597786540895071</c:v>
                </c:pt>
                <c:pt idx="612">
                  <c:v>1.2566370614359172</c:v>
                </c:pt>
                <c:pt idx="613">
                  <c:v>1.2534954687823274</c:v>
                </c:pt>
                <c:pt idx="614">
                  <c:v>1.2503538761287378</c:v>
                </c:pt>
                <c:pt idx="615">
                  <c:v>1.247212283475148</c:v>
                </c:pt>
                <c:pt idx="616">
                  <c:v>1.2440706908215582</c:v>
                </c:pt>
                <c:pt idx="617">
                  <c:v>1.2409290981679684</c:v>
                </c:pt>
                <c:pt idx="618">
                  <c:v>1.2377875055143785</c:v>
                </c:pt>
                <c:pt idx="619">
                  <c:v>1.2346459128607887</c:v>
                </c:pt>
                <c:pt idx="620">
                  <c:v>1.2315043202071989</c:v>
                </c:pt>
                <c:pt idx="621">
                  <c:v>1.2283627275536091</c:v>
                </c:pt>
                <c:pt idx="622">
                  <c:v>1.2252211349000193</c:v>
                </c:pt>
                <c:pt idx="623">
                  <c:v>1.2220795422464295</c:v>
                </c:pt>
                <c:pt idx="624">
                  <c:v>1.2189379495928399</c:v>
                </c:pt>
                <c:pt idx="625">
                  <c:v>1.21579635693925</c:v>
                </c:pt>
                <c:pt idx="626">
                  <c:v>1.2126547642856602</c:v>
                </c:pt>
                <c:pt idx="627">
                  <c:v>1.2095131716320704</c:v>
                </c:pt>
                <c:pt idx="628">
                  <c:v>1.2063715789784806</c:v>
                </c:pt>
                <c:pt idx="629">
                  <c:v>1.2032299863248908</c:v>
                </c:pt>
                <c:pt idx="630">
                  <c:v>1.2000883936713009</c:v>
                </c:pt>
                <c:pt idx="631">
                  <c:v>1.1969468010177111</c:v>
                </c:pt>
                <c:pt idx="632">
                  <c:v>1.1938052083641213</c:v>
                </c:pt>
                <c:pt idx="633">
                  <c:v>1.1906636157105317</c:v>
                </c:pt>
                <c:pt idx="634">
                  <c:v>1.1875220230569419</c:v>
                </c:pt>
                <c:pt idx="635">
                  <c:v>1.1843804304033521</c:v>
                </c:pt>
                <c:pt idx="636">
                  <c:v>1.1812388377497622</c:v>
                </c:pt>
                <c:pt idx="637">
                  <c:v>1.1780972450961724</c:v>
                </c:pt>
                <c:pt idx="638">
                  <c:v>1.1749556524425826</c:v>
                </c:pt>
                <c:pt idx="639">
                  <c:v>1.1718140597889928</c:v>
                </c:pt>
                <c:pt idx="640">
                  <c:v>1.168672467135403</c:v>
                </c:pt>
                <c:pt idx="641">
                  <c:v>1.1655308744818131</c:v>
                </c:pt>
                <c:pt idx="642">
                  <c:v>1.1623892818282235</c:v>
                </c:pt>
                <c:pt idx="643">
                  <c:v>1.1592476891746337</c:v>
                </c:pt>
                <c:pt idx="644">
                  <c:v>1.1561060965210439</c:v>
                </c:pt>
                <c:pt idx="645">
                  <c:v>1.1529645038674541</c:v>
                </c:pt>
                <c:pt idx="646">
                  <c:v>1.1498229112138643</c:v>
                </c:pt>
                <c:pt idx="647">
                  <c:v>1.1466813185602744</c:v>
                </c:pt>
                <c:pt idx="648">
                  <c:v>1.1435397259066846</c:v>
                </c:pt>
                <c:pt idx="649">
                  <c:v>1.140398133253095</c:v>
                </c:pt>
                <c:pt idx="650">
                  <c:v>1.137256540599505</c:v>
                </c:pt>
                <c:pt idx="651">
                  <c:v>1.1341149479459154</c:v>
                </c:pt>
                <c:pt idx="652">
                  <c:v>1.1309733552923253</c:v>
                </c:pt>
                <c:pt idx="653">
                  <c:v>1.1278317626387357</c:v>
                </c:pt>
                <c:pt idx="654">
                  <c:v>1.1246901699851457</c:v>
                </c:pt>
                <c:pt idx="655">
                  <c:v>1.1215485773315561</c:v>
                </c:pt>
                <c:pt idx="656">
                  <c:v>1.1184069846779665</c:v>
                </c:pt>
                <c:pt idx="657">
                  <c:v>1.1152653920243765</c:v>
                </c:pt>
                <c:pt idx="658">
                  <c:v>1.1121237993707869</c:v>
                </c:pt>
                <c:pt idx="659">
                  <c:v>1.1089822067171968</c:v>
                </c:pt>
                <c:pt idx="660">
                  <c:v>1.1058406140636072</c:v>
                </c:pt>
                <c:pt idx="661">
                  <c:v>1.1026990214100172</c:v>
                </c:pt>
                <c:pt idx="662">
                  <c:v>1.0995574287564276</c:v>
                </c:pt>
                <c:pt idx="663">
                  <c:v>1.0964158361028375</c:v>
                </c:pt>
                <c:pt idx="664">
                  <c:v>1.093274243449248</c:v>
                </c:pt>
                <c:pt idx="665">
                  <c:v>1.0901326507956584</c:v>
                </c:pt>
                <c:pt idx="666">
                  <c:v>1.0869910581420683</c:v>
                </c:pt>
                <c:pt idx="667">
                  <c:v>1.0838494654884787</c:v>
                </c:pt>
                <c:pt idx="668">
                  <c:v>1.0807078728348887</c:v>
                </c:pt>
                <c:pt idx="669">
                  <c:v>1.0775662801812991</c:v>
                </c:pt>
                <c:pt idx="670">
                  <c:v>1.074424687527709</c:v>
                </c:pt>
                <c:pt idx="671">
                  <c:v>1.0712830948741194</c:v>
                </c:pt>
                <c:pt idx="672">
                  <c:v>1.0681415022205294</c:v>
                </c:pt>
                <c:pt idx="673">
                  <c:v>1.0649999095669398</c:v>
                </c:pt>
                <c:pt idx="674">
                  <c:v>1.0618583169133498</c:v>
                </c:pt>
                <c:pt idx="675">
                  <c:v>1.0587167242597602</c:v>
                </c:pt>
                <c:pt idx="676">
                  <c:v>1.0555751316061706</c:v>
                </c:pt>
                <c:pt idx="677">
                  <c:v>1.0524335389525805</c:v>
                </c:pt>
                <c:pt idx="678">
                  <c:v>1.0492919462989909</c:v>
                </c:pt>
                <c:pt idx="679">
                  <c:v>1.0461503536454009</c:v>
                </c:pt>
                <c:pt idx="680">
                  <c:v>1.0430087609918113</c:v>
                </c:pt>
                <c:pt idx="681">
                  <c:v>1.0398671683382212</c:v>
                </c:pt>
                <c:pt idx="682">
                  <c:v>1.0367255756846316</c:v>
                </c:pt>
                <c:pt idx="683">
                  <c:v>1.0335839830310416</c:v>
                </c:pt>
                <c:pt idx="684">
                  <c:v>1.030442390377452</c:v>
                </c:pt>
                <c:pt idx="685">
                  <c:v>1.0273007977238624</c:v>
                </c:pt>
                <c:pt idx="686">
                  <c:v>1.0241592050702724</c:v>
                </c:pt>
                <c:pt idx="687">
                  <c:v>1.0210176124166828</c:v>
                </c:pt>
                <c:pt idx="688">
                  <c:v>1.0178760197630927</c:v>
                </c:pt>
                <c:pt idx="689">
                  <c:v>1.0147344271095031</c:v>
                </c:pt>
                <c:pt idx="690">
                  <c:v>1.0115928344559131</c:v>
                </c:pt>
                <c:pt idx="691">
                  <c:v>1.0084512418023235</c:v>
                </c:pt>
                <c:pt idx="692">
                  <c:v>1.0053096491487334</c:v>
                </c:pt>
                <c:pt idx="693">
                  <c:v>1.0021680564951438</c:v>
                </c:pt>
                <c:pt idx="694">
                  <c:v>0.99902646384155425</c:v>
                </c:pt>
                <c:pt idx="695">
                  <c:v>0.9958848711879642</c:v>
                </c:pt>
                <c:pt idx="696">
                  <c:v>0.99274327853437461</c:v>
                </c:pt>
                <c:pt idx="697">
                  <c:v>0.98960168588078457</c:v>
                </c:pt>
                <c:pt idx="698">
                  <c:v>0.98646009322719497</c:v>
                </c:pt>
                <c:pt idx="699">
                  <c:v>0.98331850057360493</c:v>
                </c:pt>
                <c:pt idx="700">
                  <c:v>0.98017690792001577</c:v>
                </c:pt>
                <c:pt idx="701">
                  <c:v>0.97703531526642573</c:v>
                </c:pt>
                <c:pt idx="702">
                  <c:v>0.97389372261283613</c:v>
                </c:pt>
                <c:pt idx="703">
                  <c:v>0.97075212995924609</c:v>
                </c:pt>
                <c:pt idx="704">
                  <c:v>0.96761053730565649</c:v>
                </c:pt>
                <c:pt idx="705">
                  <c:v>0.96446894465206645</c:v>
                </c:pt>
                <c:pt idx="706">
                  <c:v>0.96132735199847685</c:v>
                </c:pt>
                <c:pt idx="707">
                  <c:v>0.95818575934488726</c:v>
                </c:pt>
                <c:pt idx="708">
                  <c:v>0.95504416669129721</c:v>
                </c:pt>
                <c:pt idx="709">
                  <c:v>0.95190257403770762</c:v>
                </c:pt>
                <c:pt idx="710">
                  <c:v>0.94876098138411757</c:v>
                </c:pt>
                <c:pt idx="711">
                  <c:v>0.94561938873052798</c:v>
                </c:pt>
                <c:pt idx="712">
                  <c:v>0.94247779607693793</c:v>
                </c:pt>
                <c:pt idx="713">
                  <c:v>0.93933620342334834</c:v>
                </c:pt>
                <c:pt idx="714">
                  <c:v>0.9361946107697583</c:v>
                </c:pt>
                <c:pt idx="715">
                  <c:v>0.9330530181161687</c:v>
                </c:pt>
                <c:pt idx="716">
                  <c:v>0.9299114254625791</c:v>
                </c:pt>
                <c:pt idx="717">
                  <c:v>0.92676983280898906</c:v>
                </c:pt>
                <c:pt idx="718">
                  <c:v>0.92362824015539946</c:v>
                </c:pt>
                <c:pt idx="719">
                  <c:v>0.92048664750180942</c:v>
                </c:pt>
                <c:pt idx="720">
                  <c:v>0.91734505484821982</c:v>
                </c:pt>
                <c:pt idx="721">
                  <c:v>0.91420346219462978</c:v>
                </c:pt>
                <c:pt idx="722">
                  <c:v>0.91106186954104018</c:v>
                </c:pt>
                <c:pt idx="723">
                  <c:v>0.90792027688745014</c:v>
                </c:pt>
                <c:pt idx="724">
                  <c:v>0.90477868423386054</c:v>
                </c:pt>
                <c:pt idx="725">
                  <c:v>0.90163709158027094</c:v>
                </c:pt>
                <c:pt idx="726">
                  <c:v>0.8984954989266809</c:v>
                </c:pt>
                <c:pt idx="727">
                  <c:v>0.8953539062730913</c:v>
                </c:pt>
                <c:pt idx="728">
                  <c:v>0.89221231361950126</c:v>
                </c:pt>
                <c:pt idx="729">
                  <c:v>0.88907072096591166</c:v>
                </c:pt>
                <c:pt idx="730">
                  <c:v>0.88592912831232162</c:v>
                </c:pt>
                <c:pt idx="731">
                  <c:v>0.88278753565873203</c:v>
                </c:pt>
                <c:pt idx="732">
                  <c:v>0.87964594300514198</c:v>
                </c:pt>
                <c:pt idx="733">
                  <c:v>0.87650435035155239</c:v>
                </c:pt>
                <c:pt idx="734">
                  <c:v>0.87336275769796234</c:v>
                </c:pt>
                <c:pt idx="735">
                  <c:v>0.87022116504437275</c:v>
                </c:pt>
                <c:pt idx="736">
                  <c:v>0.86707957239078315</c:v>
                </c:pt>
                <c:pt idx="737">
                  <c:v>0.86393797973719311</c:v>
                </c:pt>
                <c:pt idx="738">
                  <c:v>0.86079638708360351</c:v>
                </c:pt>
                <c:pt idx="739">
                  <c:v>0.85765479443001347</c:v>
                </c:pt>
                <c:pt idx="740">
                  <c:v>0.85451320177642387</c:v>
                </c:pt>
                <c:pt idx="741">
                  <c:v>0.85137160912283383</c:v>
                </c:pt>
                <c:pt idx="742">
                  <c:v>0.84823001646924423</c:v>
                </c:pt>
                <c:pt idx="743">
                  <c:v>0.84508842381565419</c:v>
                </c:pt>
                <c:pt idx="744">
                  <c:v>0.84194683116206459</c:v>
                </c:pt>
                <c:pt idx="745">
                  <c:v>0.83880523850847499</c:v>
                </c:pt>
                <c:pt idx="746">
                  <c:v>0.83566364585488495</c:v>
                </c:pt>
                <c:pt idx="747">
                  <c:v>0.83252205320129535</c:v>
                </c:pt>
                <c:pt idx="748">
                  <c:v>0.82938046054770531</c:v>
                </c:pt>
                <c:pt idx="749">
                  <c:v>0.82623886789411571</c:v>
                </c:pt>
                <c:pt idx="750">
                  <c:v>0.82309727524052567</c:v>
                </c:pt>
                <c:pt idx="751">
                  <c:v>0.81995568258693607</c:v>
                </c:pt>
                <c:pt idx="752">
                  <c:v>0.81681408993334603</c:v>
                </c:pt>
                <c:pt idx="753">
                  <c:v>0.81367249727975643</c:v>
                </c:pt>
                <c:pt idx="754">
                  <c:v>0.81053090462616684</c:v>
                </c:pt>
                <c:pt idx="755">
                  <c:v>0.8073893119725768</c:v>
                </c:pt>
                <c:pt idx="756">
                  <c:v>0.8042477193189872</c:v>
                </c:pt>
                <c:pt idx="757">
                  <c:v>0.80110612666539716</c:v>
                </c:pt>
                <c:pt idx="758">
                  <c:v>0.79796453401180756</c:v>
                </c:pt>
                <c:pt idx="759">
                  <c:v>0.79482294135821752</c:v>
                </c:pt>
                <c:pt idx="760">
                  <c:v>0.79168134870462792</c:v>
                </c:pt>
                <c:pt idx="761">
                  <c:v>0.78853975605103788</c:v>
                </c:pt>
                <c:pt idx="762">
                  <c:v>0.78539816339744828</c:v>
                </c:pt>
                <c:pt idx="763">
                  <c:v>0.78225657074385868</c:v>
                </c:pt>
                <c:pt idx="764">
                  <c:v>0.77911497809026864</c:v>
                </c:pt>
                <c:pt idx="765">
                  <c:v>0.77597338543667904</c:v>
                </c:pt>
                <c:pt idx="766">
                  <c:v>0.772831792783089</c:v>
                </c:pt>
                <c:pt idx="767">
                  <c:v>0.7696902001294994</c:v>
                </c:pt>
                <c:pt idx="768">
                  <c:v>0.76654860747590936</c:v>
                </c:pt>
                <c:pt idx="769">
                  <c:v>0.76340701482231976</c:v>
                </c:pt>
                <c:pt idx="770">
                  <c:v>0.76026542216872972</c:v>
                </c:pt>
                <c:pt idx="771">
                  <c:v>0.75712382951514012</c:v>
                </c:pt>
                <c:pt idx="772">
                  <c:v>0.75398223686155053</c:v>
                </c:pt>
                <c:pt idx="773">
                  <c:v>0.75084064420796048</c:v>
                </c:pt>
                <c:pt idx="774">
                  <c:v>0.74769905155437089</c:v>
                </c:pt>
                <c:pt idx="775">
                  <c:v>0.74455745890078084</c:v>
                </c:pt>
                <c:pt idx="776">
                  <c:v>0.74141586624719125</c:v>
                </c:pt>
                <c:pt idx="777">
                  <c:v>0.7382742735936012</c:v>
                </c:pt>
                <c:pt idx="778">
                  <c:v>0.73513268094001161</c:v>
                </c:pt>
                <c:pt idx="779">
                  <c:v>0.73199108828642157</c:v>
                </c:pt>
                <c:pt idx="780">
                  <c:v>0.72884949563283197</c:v>
                </c:pt>
                <c:pt idx="781">
                  <c:v>0.72570790297924237</c:v>
                </c:pt>
                <c:pt idx="782">
                  <c:v>0.72256631032565233</c:v>
                </c:pt>
                <c:pt idx="783">
                  <c:v>0.71942471767206273</c:v>
                </c:pt>
                <c:pt idx="784">
                  <c:v>0.71628312501847269</c:v>
                </c:pt>
                <c:pt idx="785">
                  <c:v>0.71314153236488309</c:v>
                </c:pt>
                <c:pt idx="786">
                  <c:v>0.70999993971129305</c:v>
                </c:pt>
                <c:pt idx="787">
                  <c:v>0.70685834705770345</c:v>
                </c:pt>
                <c:pt idx="788">
                  <c:v>0.70371675440411341</c:v>
                </c:pt>
                <c:pt idx="789">
                  <c:v>0.70057516175052381</c:v>
                </c:pt>
                <c:pt idx="790">
                  <c:v>0.69743356909693421</c:v>
                </c:pt>
                <c:pt idx="791">
                  <c:v>0.69429197644334417</c:v>
                </c:pt>
                <c:pt idx="792">
                  <c:v>0.69115038378975457</c:v>
                </c:pt>
                <c:pt idx="793">
                  <c:v>0.68800879113616453</c:v>
                </c:pt>
                <c:pt idx="794">
                  <c:v>0.68486719848257493</c:v>
                </c:pt>
                <c:pt idx="795">
                  <c:v>0.68172560582898489</c:v>
                </c:pt>
                <c:pt idx="796">
                  <c:v>0.6785840131753953</c:v>
                </c:pt>
                <c:pt idx="797">
                  <c:v>0.67544242052180525</c:v>
                </c:pt>
                <c:pt idx="798">
                  <c:v>0.67230082786821566</c:v>
                </c:pt>
                <c:pt idx="799">
                  <c:v>0.66915923521462561</c:v>
                </c:pt>
                <c:pt idx="800">
                  <c:v>0.66601764256103602</c:v>
                </c:pt>
                <c:pt idx="801">
                  <c:v>0.66287604990744642</c:v>
                </c:pt>
                <c:pt idx="802">
                  <c:v>0.65973445725385638</c:v>
                </c:pt>
                <c:pt idx="803">
                  <c:v>0.65659286460026678</c:v>
                </c:pt>
                <c:pt idx="804">
                  <c:v>0.65345127194667674</c:v>
                </c:pt>
                <c:pt idx="805">
                  <c:v>0.65030967929308714</c:v>
                </c:pt>
                <c:pt idx="806">
                  <c:v>0.6471680866394971</c:v>
                </c:pt>
                <c:pt idx="807">
                  <c:v>0.6440264939859075</c:v>
                </c:pt>
                <c:pt idx="808">
                  <c:v>0.64088490133231746</c:v>
                </c:pt>
                <c:pt idx="809">
                  <c:v>0.63774330867872786</c:v>
                </c:pt>
                <c:pt idx="810">
                  <c:v>0.63460171602513826</c:v>
                </c:pt>
                <c:pt idx="811">
                  <c:v>0.63146012337154822</c:v>
                </c:pt>
                <c:pt idx="812">
                  <c:v>0.62831853071795862</c:v>
                </c:pt>
                <c:pt idx="813">
                  <c:v>0.62517693806436858</c:v>
                </c:pt>
                <c:pt idx="814">
                  <c:v>0.62203534541077898</c:v>
                </c:pt>
                <c:pt idx="815">
                  <c:v>0.61889375275718894</c:v>
                </c:pt>
                <c:pt idx="816">
                  <c:v>0.61575216010359934</c:v>
                </c:pt>
                <c:pt idx="817">
                  <c:v>0.6126105674500093</c:v>
                </c:pt>
                <c:pt idx="818">
                  <c:v>0.6094689747964197</c:v>
                </c:pt>
                <c:pt idx="819">
                  <c:v>0.60632738214283011</c:v>
                </c:pt>
                <c:pt idx="820">
                  <c:v>0.60318578948924007</c:v>
                </c:pt>
                <c:pt idx="821">
                  <c:v>0.60004419683565047</c:v>
                </c:pt>
                <c:pt idx="822">
                  <c:v>0.59690260418206043</c:v>
                </c:pt>
                <c:pt idx="823">
                  <c:v>0.59376101152847083</c:v>
                </c:pt>
                <c:pt idx="824">
                  <c:v>0.59061941887488079</c:v>
                </c:pt>
                <c:pt idx="825">
                  <c:v>0.58747782622129163</c:v>
                </c:pt>
                <c:pt idx="826">
                  <c:v>0.58433623356770159</c:v>
                </c:pt>
                <c:pt idx="827">
                  <c:v>0.58119464091411199</c:v>
                </c:pt>
                <c:pt idx="828">
                  <c:v>0.57805304826052195</c:v>
                </c:pt>
                <c:pt idx="829">
                  <c:v>0.57491145560693235</c:v>
                </c:pt>
                <c:pt idx="830">
                  <c:v>0.57176986295334231</c:v>
                </c:pt>
                <c:pt idx="831">
                  <c:v>0.56862827029975271</c:v>
                </c:pt>
                <c:pt idx="832">
                  <c:v>0.56548667764616312</c:v>
                </c:pt>
                <c:pt idx="833">
                  <c:v>0.56234508499257307</c:v>
                </c:pt>
                <c:pt idx="834">
                  <c:v>0.55920349233898348</c:v>
                </c:pt>
                <c:pt idx="835">
                  <c:v>0.55606189968539343</c:v>
                </c:pt>
                <c:pt idx="836">
                  <c:v>0.55292030703180384</c:v>
                </c:pt>
                <c:pt idx="837">
                  <c:v>0.5497787143782138</c:v>
                </c:pt>
                <c:pt idx="838">
                  <c:v>0.5466371217246242</c:v>
                </c:pt>
                <c:pt idx="839">
                  <c:v>0.54349552907103416</c:v>
                </c:pt>
                <c:pt idx="840">
                  <c:v>0.54035393641744456</c:v>
                </c:pt>
                <c:pt idx="841">
                  <c:v>0.53721234376385496</c:v>
                </c:pt>
                <c:pt idx="842">
                  <c:v>0.53407075111026492</c:v>
                </c:pt>
                <c:pt idx="843">
                  <c:v>0.53092915845667532</c:v>
                </c:pt>
                <c:pt idx="844">
                  <c:v>0.52778756580308528</c:v>
                </c:pt>
                <c:pt idx="845">
                  <c:v>0.52464597314949568</c:v>
                </c:pt>
                <c:pt idx="846">
                  <c:v>0.52150438049590564</c:v>
                </c:pt>
                <c:pt idx="847">
                  <c:v>0.51836278784231604</c:v>
                </c:pt>
                <c:pt idx="848">
                  <c:v>0.515221195188726</c:v>
                </c:pt>
                <c:pt idx="849">
                  <c:v>0.5120796025351364</c:v>
                </c:pt>
                <c:pt idx="850">
                  <c:v>0.5089380098815468</c:v>
                </c:pt>
                <c:pt idx="851">
                  <c:v>0.50579641722795676</c:v>
                </c:pt>
                <c:pt idx="852">
                  <c:v>0.50265482457436717</c:v>
                </c:pt>
                <c:pt idx="853">
                  <c:v>0.49951323192077712</c:v>
                </c:pt>
                <c:pt idx="854">
                  <c:v>0.49637163926718753</c:v>
                </c:pt>
                <c:pt idx="855">
                  <c:v>0.49323004661359748</c:v>
                </c:pt>
                <c:pt idx="856">
                  <c:v>0.49008845396000789</c:v>
                </c:pt>
                <c:pt idx="857">
                  <c:v>0.48694686130641784</c:v>
                </c:pt>
                <c:pt idx="858">
                  <c:v>0.48380526865282825</c:v>
                </c:pt>
                <c:pt idx="859">
                  <c:v>0.4806636759992382</c:v>
                </c:pt>
                <c:pt idx="860">
                  <c:v>0.47752208334564861</c:v>
                </c:pt>
                <c:pt idx="861">
                  <c:v>0.47438049069205901</c:v>
                </c:pt>
                <c:pt idx="862">
                  <c:v>0.47123889803846897</c:v>
                </c:pt>
                <c:pt idx="863">
                  <c:v>0.46809730538487937</c:v>
                </c:pt>
                <c:pt idx="864">
                  <c:v>0.46495571273128933</c:v>
                </c:pt>
                <c:pt idx="865">
                  <c:v>0.46181412007769973</c:v>
                </c:pt>
                <c:pt idx="866">
                  <c:v>0.45867252742410969</c:v>
                </c:pt>
                <c:pt idx="867">
                  <c:v>0.45553093477052009</c:v>
                </c:pt>
                <c:pt idx="868">
                  <c:v>0.45238934211693005</c:v>
                </c:pt>
                <c:pt idx="869">
                  <c:v>0.44924774946334045</c:v>
                </c:pt>
                <c:pt idx="870">
                  <c:v>0.44610615680975085</c:v>
                </c:pt>
                <c:pt idx="871">
                  <c:v>0.44296456415616081</c:v>
                </c:pt>
                <c:pt idx="872">
                  <c:v>0.43982297150257121</c:v>
                </c:pt>
                <c:pt idx="873">
                  <c:v>0.43668137884898117</c:v>
                </c:pt>
                <c:pt idx="874">
                  <c:v>0.43353978619539157</c:v>
                </c:pt>
                <c:pt idx="875">
                  <c:v>0.43039819354180153</c:v>
                </c:pt>
                <c:pt idx="876">
                  <c:v>0.42725660088821193</c:v>
                </c:pt>
                <c:pt idx="877">
                  <c:v>0.42411500823462189</c:v>
                </c:pt>
                <c:pt idx="878">
                  <c:v>0.4209734155810323</c:v>
                </c:pt>
                <c:pt idx="879">
                  <c:v>0.4178318229274427</c:v>
                </c:pt>
                <c:pt idx="880">
                  <c:v>0.41469023027385266</c:v>
                </c:pt>
                <c:pt idx="881">
                  <c:v>0.41154863762026306</c:v>
                </c:pt>
                <c:pt idx="882">
                  <c:v>0.40840704496667302</c:v>
                </c:pt>
                <c:pt idx="883">
                  <c:v>0.40526545231308342</c:v>
                </c:pt>
                <c:pt idx="884">
                  <c:v>0.40212385965949338</c:v>
                </c:pt>
                <c:pt idx="885">
                  <c:v>0.39898226700590378</c:v>
                </c:pt>
                <c:pt idx="886">
                  <c:v>0.39584067435231374</c:v>
                </c:pt>
                <c:pt idx="887">
                  <c:v>0.39269908169872414</c:v>
                </c:pt>
                <c:pt idx="888">
                  <c:v>0.38955748904513454</c:v>
                </c:pt>
                <c:pt idx="889">
                  <c:v>0.3864158963915445</c:v>
                </c:pt>
                <c:pt idx="890">
                  <c:v>0.3832743037379549</c:v>
                </c:pt>
                <c:pt idx="891">
                  <c:v>0.38013271108436486</c:v>
                </c:pt>
                <c:pt idx="892">
                  <c:v>0.37699111843077526</c:v>
                </c:pt>
                <c:pt idx="893">
                  <c:v>0.37384952577718522</c:v>
                </c:pt>
                <c:pt idx="894">
                  <c:v>0.37070793312359562</c:v>
                </c:pt>
                <c:pt idx="895">
                  <c:v>0.36756634047000558</c:v>
                </c:pt>
                <c:pt idx="896">
                  <c:v>0.36442474781641598</c:v>
                </c:pt>
                <c:pt idx="897">
                  <c:v>0.36128315516282639</c:v>
                </c:pt>
                <c:pt idx="898">
                  <c:v>0.35814156250923634</c:v>
                </c:pt>
                <c:pt idx="899">
                  <c:v>0.35499996985564675</c:v>
                </c:pt>
                <c:pt idx="900">
                  <c:v>0.3518583772020567</c:v>
                </c:pt>
                <c:pt idx="901">
                  <c:v>0.34871678454846711</c:v>
                </c:pt>
                <c:pt idx="902">
                  <c:v>0.34557519189487707</c:v>
                </c:pt>
                <c:pt idx="903">
                  <c:v>0.34243359924128747</c:v>
                </c:pt>
                <c:pt idx="904">
                  <c:v>0.33929200658769743</c:v>
                </c:pt>
                <c:pt idx="905">
                  <c:v>0.33615041393410783</c:v>
                </c:pt>
                <c:pt idx="906">
                  <c:v>0.33300882128051823</c:v>
                </c:pt>
                <c:pt idx="907">
                  <c:v>0.32986722862692819</c:v>
                </c:pt>
                <c:pt idx="908">
                  <c:v>0.32672563597333859</c:v>
                </c:pt>
                <c:pt idx="909">
                  <c:v>0.32358404331974855</c:v>
                </c:pt>
                <c:pt idx="910">
                  <c:v>0.32044245066615895</c:v>
                </c:pt>
                <c:pt idx="911">
                  <c:v>0.31730085801256891</c:v>
                </c:pt>
                <c:pt idx="912">
                  <c:v>0.31415926535897931</c:v>
                </c:pt>
                <c:pt idx="913">
                  <c:v>0.31101767270538927</c:v>
                </c:pt>
                <c:pt idx="914">
                  <c:v>0.30787608005179967</c:v>
                </c:pt>
                <c:pt idx="915">
                  <c:v>0.30473448739821007</c:v>
                </c:pt>
                <c:pt idx="916">
                  <c:v>0.30159289474462003</c:v>
                </c:pt>
                <c:pt idx="917">
                  <c:v>0.29845130209103043</c:v>
                </c:pt>
                <c:pt idx="918">
                  <c:v>0.29530970943744039</c:v>
                </c:pt>
                <c:pt idx="919">
                  <c:v>0.2921681167838508</c:v>
                </c:pt>
                <c:pt idx="920">
                  <c:v>0.28902652413026075</c:v>
                </c:pt>
                <c:pt idx="921">
                  <c:v>0.28588493147667116</c:v>
                </c:pt>
                <c:pt idx="922">
                  <c:v>0.28274333882308111</c:v>
                </c:pt>
                <c:pt idx="923">
                  <c:v>0.27960174616949152</c:v>
                </c:pt>
                <c:pt idx="924">
                  <c:v>0.27646015351590147</c:v>
                </c:pt>
                <c:pt idx="925">
                  <c:v>0.27331856086231188</c:v>
                </c:pt>
                <c:pt idx="926">
                  <c:v>0.27017696820872228</c:v>
                </c:pt>
                <c:pt idx="927">
                  <c:v>0.26703537555513224</c:v>
                </c:pt>
                <c:pt idx="928">
                  <c:v>0.26389378290154264</c:v>
                </c:pt>
                <c:pt idx="929">
                  <c:v>0.2607521902479526</c:v>
                </c:pt>
                <c:pt idx="930">
                  <c:v>0.257610597594363</c:v>
                </c:pt>
                <c:pt idx="931">
                  <c:v>0.25446900494077296</c:v>
                </c:pt>
                <c:pt idx="932">
                  <c:v>0.25132741228718336</c:v>
                </c:pt>
                <c:pt idx="933">
                  <c:v>0.24818581963359332</c:v>
                </c:pt>
                <c:pt idx="934">
                  <c:v>0.24504422698000372</c:v>
                </c:pt>
                <c:pt idx="935">
                  <c:v>0.24190263432641412</c:v>
                </c:pt>
                <c:pt idx="936">
                  <c:v>0.23876104167282408</c:v>
                </c:pt>
                <c:pt idx="937">
                  <c:v>0.23561944901923448</c:v>
                </c:pt>
                <c:pt idx="938">
                  <c:v>0.23247785636564444</c:v>
                </c:pt>
                <c:pt idx="939">
                  <c:v>0.22933626371205484</c:v>
                </c:pt>
                <c:pt idx="940">
                  <c:v>0.2261946710584648</c:v>
                </c:pt>
                <c:pt idx="941">
                  <c:v>0.2230530784048752</c:v>
                </c:pt>
                <c:pt idx="942">
                  <c:v>0.21991148575128516</c:v>
                </c:pt>
                <c:pt idx="943">
                  <c:v>0.21676989309769557</c:v>
                </c:pt>
                <c:pt idx="944">
                  <c:v>0.21362830044410597</c:v>
                </c:pt>
                <c:pt idx="945">
                  <c:v>0.21048670779051593</c:v>
                </c:pt>
                <c:pt idx="946">
                  <c:v>0.20734511513692633</c:v>
                </c:pt>
                <c:pt idx="947">
                  <c:v>0.20420352248333629</c:v>
                </c:pt>
                <c:pt idx="948">
                  <c:v>0.20106192982974669</c:v>
                </c:pt>
                <c:pt idx="949">
                  <c:v>0.19792033717615665</c:v>
                </c:pt>
                <c:pt idx="950">
                  <c:v>0.19477874452256749</c:v>
                </c:pt>
                <c:pt idx="951">
                  <c:v>0.19163715186897745</c:v>
                </c:pt>
                <c:pt idx="952">
                  <c:v>0.18849555921538785</c:v>
                </c:pt>
                <c:pt idx="953">
                  <c:v>0.18535396656179781</c:v>
                </c:pt>
                <c:pt idx="954">
                  <c:v>0.18221237390820821</c:v>
                </c:pt>
                <c:pt idx="955">
                  <c:v>0.17907078125461817</c:v>
                </c:pt>
                <c:pt idx="956">
                  <c:v>0.17592918860102857</c:v>
                </c:pt>
                <c:pt idx="957">
                  <c:v>0.17278759594743898</c:v>
                </c:pt>
                <c:pt idx="958">
                  <c:v>0.16964600329384893</c:v>
                </c:pt>
                <c:pt idx="959">
                  <c:v>0.16650441064025934</c:v>
                </c:pt>
                <c:pt idx="960">
                  <c:v>0.1633628179866693</c:v>
                </c:pt>
                <c:pt idx="961">
                  <c:v>0.1602212253330797</c:v>
                </c:pt>
                <c:pt idx="962">
                  <c:v>0.15707963267948966</c:v>
                </c:pt>
                <c:pt idx="963">
                  <c:v>0.15393804002590006</c:v>
                </c:pt>
                <c:pt idx="964">
                  <c:v>0.15079644737231002</c:v>
                </c:pt>
                <c:pt idx="965">
                  <c:v>0.14765485471872042</c:v>
                </c:pt>
                <c:pt idx="966">
                  <c:v>0.14451326206513082</c:v>
                </c:pt>
                <c:pt idx="967">
                  <c:v>0.14137166941154078</c:v>
                </c:pt>
                <c:pt idx="968">
                  <c:v>0.13823007675795118</c:v>
                </c:pt>
                <c:pt idx="969">
                  <c:v>0.13508848410436114</c:v>
                </c:pt>
                <c:pt idx="970">
                  <c:v>0.13194689145077154</c:v>
                </c:pt>
                <c:pt idx="971">
                  <c:v>0.1288052987971815</c:v>
                </c:pt>
                <c:pt idx="972">
                  <c:v>0.1256637061435919</c:v>
                </c:pt>
                <c:pt idx="973">
                  <c:v>0.12252211349000186</c:v>
                </c:pt>
                <c:pt idx="974">
                  <c:v>0.11938052083641226</c:v>
                </c:pt>
                <c:pt idx="975">
                  <c:v>0.11623892818282267</c:v>
                </c:pt>
                <c:pt idx="976">
                  <c:v>0.11309733552923262</c:v>
                </c:pt>
                <c:pt idx="977">
                  <c:v>0.10995574287564303</c:v>
                </c:pt>
                <c:pt idx="978">
                  <c:v>0.10681415022205298</c:v>
                </c:pt>
                <c:pt idx="979">
                  <c:v>0.10367255756846339</c:v>
                </c:pt>
                <c:pt idx="980">
                  <c:v>0.10053096491487334</c:v>
                </c:pt>
                <c:pt idx="981">
                  <c:v>9.7389372261283746E-2</c:v>
                </c:pt>
                <c:pt idx="982">
                  <c:v>9.4247779607693705E-2</c:v>
                </c:pt>
                <c:pt idx="983">
                  <c:v>9.1106186954104107E-2</c:v>
                </c:pt>
                <c:pt idx="984">
                  <c:v>8.7964594300514065E-2</c:v>
                </c:pt>
                <c:pt idx="985">
                  <c:v>8.4823001646924467E-2</c:v>
                </c:pt>
                <c:pt idx="986">
                  <c:v>8.168140899333487E-2</c:v>
                </c:pt>
                <c:pt idx="987">
                  <c:v>7.8539816339744828E-2</c:v>
                </c:pt>
                <c:pt idx="988">
                  <c:v>7.539822368615523E-2</c:v>
                </c:pt>
                <c:pt idx="989">
                  <c:v>7.2256631032565188E-2</c:v>
                </c:pt>
                <c:pt idx="990">
                  <c:v>6.9115038378975591E-2</c:v>
                </c:pt>
                <c:pt idx="991">
                  <c:v>6.5973445725385549E-2</c:v>
                </c:pt>
                <c:pt idx="992">
                  <c:v>6.2831853071795951E-2</c:v>
                </c:pt>
                <c:pt idx="993">
                  <c:v>5.9690260418205909E-2</c:v>
                </c:pt>
                <c:pt idx="994">
                  <c:v>5.6548667764616312E-2</c:v>
                </c:pt>
                <c:pt idx="995">
                  <c:v>5.3407075111026714E-2</c:v>
                </c:pt>
                <c:pt idx="996">
                  <c:v>5.0265482457436672E-2</c:v>
                </c:pt>
                <c:pt idx="997">
                  <c:v>4.7123889803847074E-2</c:v>
                </c:pt>
                <c:pt idx="998">
                  <c:v>4.3982297150257033E-2</c:v>
                </c:pt>
                <c:pt idx="999">
                  <c:v>4.0840704496667435E-2</c:v>
                </c:pt>
                <c:pt idx="1000">
                  <c:v>3.7699111843077393E-2</c:v>
                </c:pt>
                <c:pt idx="1001">
                  <c:v>3.4557519189487795E-2</c:v>
                </c:pt>
                <c:pt idx="1002">
                  <c:v>3.1415926535897754E-2</c:v>
                </c:pt>
                <c:pt idx="1003">
                  <c:v>2.8274333882308156E-2</c:v>
                </c:pt>
                <c:pt idx="1004">
                  <c:v>2.5132741228718558E-2</c:v>
                </c:pt>
                <c:pt idx="1005">
                  <c:v>2.1991148575128516E-2</c:v>
                </c:pt>
                <c:pt idx="1006">
                  <c:v>1.8849555921538919E-2</c:v>
                </c:pt>
                <c:pt idx="1007">
                  <c:v>1.5707963267948877E-2</c:v>
                </c:pt>
                <c:pt idx="1008">
                  <c:v>1.2566370614359279E-2</c:v>
                </c:pt>
                <c:pt idx="1009">
                  <c:v>9.4247779607692372E-3</c:v>
                </c:pt>
                <c:pt idx="1010">
                  <c:v>6.2831853071796395E-3</c:v>
                </c:pt>
                <c:pt idx="1011">
                  <c:v>3.1415926535895977E-3</c:v>
                </c:pt>
                <c:pt idx="1012">
                  <c:v>3.1415926535904859E-4</c:v>
                </c:pt>
                <c:pt idx="1013">
                  <c:v>3.1415926535771632E-5</c:v>
                </c:pt>
                <c:pt idx="1014">
                  <c:v>3.1415926535771632E-6</c:v>
                </c:pt>
                <c:pt idx="1015">
                  <c:v>3.1415926526889848E-7</c:v>
                </c:pt>
                <c:pt idx="1016">
                  <c:v>3.1415926748934453E-8</c:v>
                </c:pt>
                <c:pt idx="1017">
                  <c:v>3.1415927637112873E-9</c:v>
                </c:pt>
                <c:pt idx="1018">
                  <c:v>3.141593651889707E-10</c:v>
                </c:pt>
                <c:pt idx="1019">
                  <c:v>0</c:v>
                </c:pt>
              </c:numCache>
            </c:numRef>
          </c:xVal>
          <c:yVal>
            <c:numRef>
              <c:f>Sheet1!$V$25:$V$1044</c:f>
              <c:numCache>
                <c:formatCode>General</c:formatCode>
                <c:ptCount val="10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ga1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Sheet1!$X$25:$X$1044</c:f>
              <c:numCache>
                <c:formatCode>General</c:formatCode>
                <c:ptCount val="1020"/>
                <c:pt idx="0">
                  <c:v>3.1415926535897927</c:v>
                </c:pt>
                <c:pt idx="1">
                  <c:v>3.14159265358979</c:v>
                </c:pt>
                <c:pt idx="2">
                  <c:v>3.1415926535897616</c:v>
                </c:pt>
                <c:pt idx="3">
                  <c:v>3.1415926535894791</c:v>
                </c:pt>
                <c:pt idx="4">
                  <c:v>3.1415926535866516</c:v>
                </c:pt>
                <c:pt idx="5">
                  <c:v>3.1415926535583774</c:v>
                </c:pt>
                <c:pt idx="6">
                  <c:v>3.1415926532756338</c:v>
                </c:pt>
                <c:pt idx="7">
                  <c:v>3.1415926504482004</c:v>
                </c:pt>
                <c:pt idx="8">
                  <c:v>3.1415926221738664</c:v>
                </c:pt>
                <c:pt idx="9">
                  <c:v>3.1415923394305278</c:v>
                </c:pt>
                <c:pt idx="10">
                  <c:v>3.1415895119971395</c:v>
                </c:pt>
                <c:pt idx="11">
                  <c:v>3.1415612376632573</c:v>
                </c:pt>
                <c:pt idx="12">
                  <c:v>3.1412784943244341</c:v>
                </c:pt>
                <c:pt idx="13">
                  <c:v>3.1384510609362035</c:v>
                </c:pt>
                <c:pt idx="14">
                  <c:v>3.1353094682826135</c:v>
                </c:pt>
                <c:pt idx="15">
                  <c:v>3.1321678756290239</c:v>
                </c:pt>
                <c:pt idx="16">
                  <c:v>3.1290262829754338</c:v>
                </c:pt>
                <c:pt idx="17">
                  <c:v>3.1258846903218442</c:v>
                </c:pt>
                <c:pt idx="18">
                  <c:v>3.1227430976682542</c:v>
                </c:pt>
                <c:pt idx="19">
                  <c:v>3.1196015050146646</c:v>
                </c:pt>
                <c:pt idx="20">
                  <c:v>3.1164599123610746</c:v>
                </c:pt>
                <c:pt idx="21">
                  <c:v>3.113318319707485</c:v>
                </c:pt>
                <c:pt idx="22">
                  <c:v>3.1101767270538954</c:v>
                </c:pt>
                <c:pt idx="23">
                  <c:v>3.1070351344003053</c:v>
                </c:pt>
                <c:pt idx="24">
                  <c:v>3.1038935417467157</c:v>
                </c:pt>
                <c:pt idx="25">
                  <c:v>3.1007519490931257</c:v>
                </c:pt>
                <c:pt idx="26">
                  <c:v>3.0976103564395361</c:v>
                </c:pt>
                <c:pt idx="27">
                  <c:v>3.094468763785946</c:v>
                </c:pt>
                <c:pt idx="28">
                  <c:v>3.0913271711323564</c:v>
                </c:pt>
                <c:pt idx="29">
                  <c:v>3.0881855784787668</c:v>
                </c:pt>
                <c:pt idx="30">
                  <c:v>3.0850439858251768</c:v>
                </c:pt>
                <c:pt idx="31">
                  <c:v>3.0819023931715872</c:v>
                </c:pt>
                <c:pt idx="32">
                  <c:v>3.0787608005179972</c:v>
                </c:pt>
                <c:pt idx="33">
                  <c:v>3.0756192078644076</c:v>
                </c:pt>
                <c:pt idx="34">
                  <c:v>3.0724776152108175</c:v>
                </c:pt>
                <c:pt idx="35">
                  <c:v>3.0693360225572279</c:v>
                </c:pt>
                <c:pt idx="36">
                  <c:v>3.0661944299036379</c:v>
                </c:pt>
                <c:pt idx="37">
                  <c:v>3.0630528372500483</c:v>
                </c:pt>
                <c:pt idx="38">
                  <c:v>3.0599112445964587</c:v>
                </c:pt>
                <c:pt idx="39">
                  <c:v>3.0567696519428686</c:v>
                </c:pt>
                <c:pt idx="40">
                  <c:v>3.0536280592892791</c:v>
                </c:pt>
                <c:pt idx="41">
                  <c:v>3.050486466635689</c:v>
                </c:pt>
                <c:pt idx="42">
                  <c:v>3.0473448739820994</c:v>
                </c:pt>
                <c:pt idx="43">
                  <c:v>3.0442032813285094</c:v>
                </c:pt>
                <c:pt idx="44">
                  <c:v>3.0410616886749198</c:v>
                </c:pt>
                <c:pt idx="45">
                  <c:v>3.0379200960213297</c:v>
                </c:pt>
                <c:pt idx="46">
                  <c:v>3.0347785033677401</c:v>
                </c:pt>
                <c:pt idx="47">
                  <c:v>3.0316369107141505</c:v>
                </c:pt>
                <c:pt idx="48">
                  <c:v>3.0284953180605605</c:v>
                </c:pt>
                <c:pt idx="49">
                  <c:v>3.0253537254069709</c:v>
                </c:pt>
                <c:pt idx="50">
                  <c:v>3.0222121327533809</c:v>
                </c:pt>
                <c:pt idx="51">
                  <c:v>3.0190705400997913</c:v>
                </c:pt>
                <c:pt idx="52">
                  <c:v>3.0159289474462012</c:v>
                </c:pt>
                <c:pt idx="53">
                  <c:v>3.0127873547926116</c:v>
                </c:pt>
                <c:pt idx="54">
                  <c:v>3.009645762139022</c:v>
                </c:pt>
                <c:pt idx="55">
                  <c:v>3.006504169485432</c:v>
                </c:pt>
                <c:pt idx="56">
                  <c:v>3.0033625768318424</c:v>
                </c:pt>
                <c:pt idx="57">
                  <c:v>3.0002209841782523</c:v>
                </c:pt>
                <c:pt idx="58">
                  <c:v>2.9970793915246627</c:v>
                </c:pt>
                <c:pt idx="59">
                  <c:v>2.9939377988710727</c:v>
                </c:pt>
                <c:pt idx="60">
                  <c:v>2.9907962062174831</c:v>
                </c:pt>
                <c:pt idx="61">
                  <c:v>2.9876546135638931</c:v>
                </c:pt>
                <c:pt idx="62">
                  <c:v>2.9845130209103035</c:v>
                </c:pt>
                <c:pt idx="63">
                  <c:v>2.9813714282567139</c:v>
                </c:pt>
                <c:pt idx="64">
                  <c:v>2.9782298356031238</c:v>
                </c:pt>
                <c:pt idx="65">
                  <c:v>2.9750882429495342</c:v>
                </c:pt>
                <c:pt idx="66">
                  <c:v>2.9719466502959442</c:v>
                </c:pt>
                <c:pt idx="67">
                  <c:v>2.9688050576423546</c:v>
                </c:pt>
                <c:pt idx="68">
                  <c:v>2.9656634649887645</c:v>
                </c:pt>
                <c:pt idx="69">
                  <c:v>2.9625218723351749</c:v>
                </c:pt>
                <c:pt idx="70">
                  <c:v>2.9593802796815849</c:v>
                </c:pt>
                <c:pt idx="71">
                  <c:v>2.9562386870279953</c:v>
                </c:pt>
                <c:pt idx="72">
                  <c:v>2.9530970943744057</c:v>
                </c:pt>
                <c:pt idx="73">
                  <c:v>2.9499555017208157</c:v>
                </c:pt>
                <c:pt idx="74">
                  <c:v>2.9468139090672261</c:v>
                </c:pt>
                <c:pt idx="75">
                  <c:v>2.943672316413636</c:v>
                </c:pt>
                <c:pt idx="76">
                  <c:v>2.9405307237600464</c:v>
                </c:pt>
                <c:pt idx="77">
                  <c:v>2.9373891311064564</c:v>
                </c:pt>
                <c:pt idx="78">
                  <c:v>2.9342475384528668</c:v>
                </c:pt>
                <c:pt idx="79">
                  <c:v>2.9311059457992767</c:v>
                </c:pt>
                <c:pt idx="80">
                  <c:v>2.9279643531456871</c:v>
                </c:pt>
                <c:pt idx="81">
                  <c:v>2.9248227604920976</c:v>
                </c:pt>
                <c:pt idx="82">
                  <c:v>2.9216811678385075</c:v>
                </c:pt>
                <c:pt idx="83">
                  <c:v>2.9185395751849179</c:v>
                </c:pt>
                <c:pt idx="84">
                  <c:v>2.9153979825313279</c:v>
                </c:pt>
                <c:pt idx="85">
                  <c:v>2.9122563898777383</c:v>
                </c:pt>
                <c:pt idx="86">
                  <c:v>2.9091147972241482</c:v>
                </c:pt>
                <c:pt idx="87">
                  <c:v>2.9059732045705586</c:v>
                </c:pt>
                <c:pt idx="88">
                  <c:v>2.902831611916969</c:v>
                </c:pt>
                <c:pt idx="89">
                  <c:v>2.899690019263379</c:v>
                </c:pt>
                <c:pt idx="90">
                  <c:v>2.8965484266097894</c:v>
                </c:pt>
                <c:pt idx="91">
                  <c:v>2.8934068339561994</c:v>
                </c:pt>
                <c:pt idx="92">
                  <c:v>2.8902652413026098</c:v>
                </c:pt>
                <c:pt idx="93">
                  <c:v>2.8871236486490197</c:v>
                </c:pt>
                <c:pt idx="94">
                  <c:v>2.8839820559954301</c:v>
                </c:pt>
                <c:pt idx="95">
                  <c:v>2.8808404633418405</c:v>
                </c:pt>
                <c:pt idx="96">
                  <c:v>2.8776988706882505</c:v>
                </c:pt>
                <c:pt idx="97">
                  <c:v>2.8745572780346604</c:v>
                </c:pt>
                <c:pt idx="98">
                  <c:v>2.8714156853810708</c:v>
                </c:pt>
                <c:pt idx="99">
                  <c:v>2.8682740927274812</c:v>
                </c:pt>
                <c:pt idx="100">
                  <c:v>2.8651325000738912</c:v>
                </c:pt>
                <c:pt idx="101">
                  <c:v>2.8619909074203016</c:v>
                </c:pt>
                <c:pt idx="102">
                  <c:v>2.8588493147667116</c:v>
                </c:pt>
                <c:pt idx="103">
                  <c:v>2.855707722113122</c:v>
                </c:pt>
                <c:pt idx="104">
                  <c:v>2.8525661294595324</c:v>
                </c:pt>
                <c:pt idx="105">
                  <c:v>2.8494245368059423</c:v>
                </c:pt>
                <c:pt idx="106">
                  <c:v>2.8462829441523527</c:v>
                </c:pt>
                <c:pt idx="107">
                  <c:v>2.8431413514987627</c:v>
                </c:pt>
                <c:pt idx="108">
                  <c:v>2.8399997588451731</c:v>
                </c:pt>
                <c:pt idx="109">
                  <c:v>2.836858166191583</c:v>
                </c:pt>
                <c:pt idx="110">
                  <c:v>2.8337165735379934</c:v>
                </c:pt>
                <c:pt idx="111">
                  <c:v>2.8305749808844034</c:v>
                </c:pt>
                <c:pt idx="112">
                  <c:v>2.8274333882308138</c:v>
                </c:pt>
                <c:pt idx="113">
                  <c:v>2.8242917955772242</c:v>
                </c:pt>
                <c:pt idx="114">
                  <c:v>2.8211502029236342</c:v>
                </c:pt>
                <c:pt idx="115">
                  <c:v>2.8180086102700446</c:v>
                </c:pt>
                <c:pt idx="116">
                  <c:v>2.8148670176164545</c:v>
                </c:pt>
                <c:pt idx="117">
                  <c:v>2.8117254249628649</c:v>
                </c:pt>
                <c:pt idx="118">
                  <c:v>2.8085838323092749</c:v>
                </c:pt>
                <c:pt idx="119">
                  <c:v>2.8054422396556853</c:v>
                </c:pt>
                <c:pt idx="120">
                  <c:v>2.8023006470020952</c:v>
                </c:pt>
                <c:pt idx="121">
                  <c:v>2.7991590543485056</c:v>
                </c:pt>
                <c:pt idx="122">
                  <c:v>2.7960174616949161</c:v>
                </c:pt>
                <c:pt idx="123">
                  <c:v>2.792875869041326</c:v>
                </c:pt>
                <c:pt idx="124">
                  <c:v>2.7897342763877364</c:v>
                </c:pt>
                <c:pt idx="125">
                  <c:v>2.7865926837341464</c:v>
                </c:pt>
                <c:pt idx="126">
                  <c:v>2.7834510910805568</c:v>
                </c:pt>
                <c:pt idx="127">
                  <c:v>2.7803094984269667</c:v>
                </c:pt>
                <c:pt idx="128">
                  <c:v>2.7771679057733771</c:v>
                </c:pt>
                <c:pt idx="129">
                  <c:v>2.7740263131197871</c:v>
                </c:pt>
                <c:pt idx="130">
                  <c:v>2.7708847204661975</c:v>
                </c:pt>
                <c:pt idx="131">
                  <c:v>2.7677431278126079</c:v>
                </c:pt>
                <c:pt idx="132">
                  <c:v>2.7646015351590179</c:v>
                </c:pt>
                <c:pt idx="133">
                  <c:v>2.7614599425054283</c:v>
                </c:pt>
                <c:pt idx="134">
                  <c:v>2.7583183498518382</c:v>
                </c:pt>
                <c:pt idx="135">
                  <c:v>2.7551767571982486</c:v>
                </c:pt>
                <c:pt idx="136">
                  <c:v>2.752035164544659</c:v>
                </c:pt>
                <c:pt idx="137">
                  <c:v>2.748893571891069</c:v>
                </c:pt>
                <c:pt idx="138">
                  <c:v>2.7457519792374789</c:v>
                </c:pt>
                <c:pt idx="139">
                  <c:v>2.7426103865838893</c:v>
                </c:pt>
                <c:pt idx="140">
                  <c:v>2.7394687939302997</c:v>
                </c:pt>
                <c:pt idx="141">
                  <c:v>2.7363272012767097</c:v>
                </c:pt>
                <c:pt idx="142">
                  <c:v>2.7331856086231201</c:v>
                </c:pt>
                <c:pt idx="143">
                  <c:v>2.7300440159695301</c:v>
                </c:pt>
                <c:pt idx="144">
                  <c:v>2.7269024233159405</c:v>
                </c:pt>
                <c:pt idx="145">
                  <c:v>2.7237608306623504</c:v>
                </c:pt>
                <c:pt idx="146">
                  <c:v>2.7206192380087608</c:v>
                </c:pt>
                <c:pt idx="147">
                  <c:v>2.7174776453551708</c:v>
                </c:pt>
                <c:pt idx="148">
                  <c:v>2.7143360527015812</c:v>
                </c:pt>
                <c:pt idx="149">
                  <c:v>2.7111944600479916</c:v>
                </c:pt>
                <c:pt idx="150">
                  <c:v>2.7080528673944015</c:v>
                </c:pt>
                <c:pt idx="151">
                  <c:v>2.7049112747408119</c:v>
                </c:pt>
                <c:pt idx="152">
                  <c:v>2.7017696820872219</c:v>
                </c:pt>
                <c:pt idx="153">
                  <c:v>2.6986280894336323</c:v>
                </c:pt>
                <c:pt idx="154">
                  <c:v>2.6954864967800427</c:v>
                </c:pt>
                <c:pt idx="155">
                  <c:v>2.6923449041264527</c:v>
                </c:pt>
                <c:pt idx="156">
                  <c:v>2.6892033114728631</c:v>
                </c:pt>
                <c:pt idx="157">
                  <c:v>2.686061718819273</c:v>
                </c:pt>
                <c:pt idx="158">
                  <c:v>2.6829201261656834</c:v>
                </c:pt>
                <c:pt idx="159">
                  <c:v>2.6797785335120934</c:v>
                </c:pt>
                <c:pt idx="160">
                  <c:v>2.6766369408585038</c:v>
                </c:pt>
                <c:pt idx="161">
                  <c:v>2.6734953482049137</c:v>
                </c:pt>
                <c:pt idx="162">
                  <c:v>2.6703537555513241</c:v>
                </c:pt>
                <c:pt idx="163">
                  <c:v>2.6672121628977346</c:v>
                </c:pt>
                <c:pt idx="164">
                  <c:v>2.6640705702441445</c:v>
                </c:pt>
                <c:pt idx="165">
                  <c:v>2.6609289775905549</c:v>
                </c:pt>
                <c:pt idx="166">
                  <c:v>2.6577873849369649</c:v>
                </c:pt>
                <c:pt idx="167">
                  <c:v>2.6546457922833753</c:v>
                </c:pt>
                <c:pt idx="168">
                  <c:v>2.6515041996297852</c:v>
                </c:pt>
                <c:pt idx="169">
                  <c:v>2.6483626069761956</c:v>
                </c:pt>
                <c:pt idx="170">
                  <c:v>2.6452210143226056</c:v>
                </c:pt>
                <c:pt idx="171">
                  <c:v>2.642079421669016</c:v>
                </c:pt>
                <c:pt idx="172">
                  <c:v>2.6389378290154264</c:v>
                </c:pt>
                <c:pt idx="173">
                  <c:v>2.6357962363618364</c:v>
                </c:pt>
                <c:pt idx="174">
                  <c:v>2.6326546437082468</c:v>
                </c:pt>
                <c:pt idx="175">
                  <c:v>2.6295130510546567</c:v>
                </c:pt>
                <c:pt idx="176">
                  <c:v>2.6263714584010671</c:v>
                </c:pt>
                <c:pt idx="177">
                  <c:v>2.6232298657474771</c:v>
                </c:pt>
                <c:pt idx="178">
                  <c:v>2.6200882730938875</c:v>
                </c:pt>
                <c:pt idx="179">
                  <c:v>2.6169466804402974</c:v>
                </c:pt>
                <c:pt idx="180">
                  <c:v>2.6138050877867078</c:v>
                </c:pt>
                <c:pt idx="181">
                  <c:v>2.6106634951331182</c:v>
                </c:pt>
                <c:pt idx="182">
                  <c:v>2.6075219024795282</c:v>
                </c:pt>
                <c:pt idx="183">
                  <c:v>2.6043803098259386</c:v>
                </c:pt>
                <c:pt idx="184">
                  <c:v>2.6012387171723486</c:v>
                </c:pt>
                <c:pt idx="185">
                  <c:v>2.598097124518759</c:v>
                </c:pt>
                <c:pt idx="186">
                  <c:v>2.5949555318651694</c:v>
                </c:pt>
                <c:pt idx="187">
                  <c:v>2.5918139392115793</c:v>
                </c:pt>
                <c:pt idx="188">
                  <c:v>2.5886723465579897</c:v>
                </c:pt>
                <c:pt idx="189">
                  <c:v>2.5855307539043997</c:v>
                </c:pt>
                <c:pt idx="190">
                  <c:v>2.5823891612508101</c:v>
                </c:pt>
                <c:pt idx="191">
                  <c:v>2.57924756859722</c:v>
                </c:pt>
                <c:pt idx="192">
                  <c:v>2.5761059759436304</c:v>
                </c:pt>
                <c:pt idx="193">
                  <c:v>2.5729643832900404</c:v>
                </c:pt>
                <c:pt idx="194">
                  <c:v>2.5698227906364508</c:v>
                </c:pt>
                <c:pt idx="195">
                  <c:v>2.5666811979828612</c:v>
                </c:pt>
                <c:pt idx="196">
                  <c:v>2.5635396053292712</c:v>
                </c:pt>
                <c:pt idx="197">
                  <c:v>2.5603980126756811</c:v>
                </c:pt>
                <c:pt idx="198">
                  <c:v>2.5572564200220915</c:v>
                </c:pt>
                <c:pt idx="199">
                  <c:v>2.5541148273685019</c:v>
                </c:pt>
                <c:pt idx="200">
                  <c:v>2.5509732347149119</c:v>
                </c:pt>
                <c:pt idx="201">
                  <c:v>2.5478316420613223</c:v>
                </c:pt>
                <c:pt idx="202">
                  <c:v>2.5446900494077322</c:v>
                </c:pt>
                <c:pt idx="203">
                  <c:v>2.5415484567541426</c:v>
                </c:pt>
                <c:pt idx="204">
                  <c:v>2.5384068641005531</c:v>
                </c:pt>
                <c:pt idx="205">
                  <c:v>2.535265271446963</c:v>
                </c:pt>
                <c:pt idx="206">
                  <c:v>2.532123678793373</c:v>
                </c:pt>
                <c:pt idx="207">
                  <c:v>2.5289820861397834</c:v>
                </c:pt>
                <c:pt idx="208">
                  <c:v>2.5258404934861938</c:v>
                </c:pt>
                <c:pt idx="209">
                  <c:v>2.5226989008326037</c:v>
                </c:pt>
                <c:pt idx="210">
                  <c:v>2.5195573081790141</c:v>
                </c:pt>
                <c:pt idx="211">
                  <c:v>2.5164157155254241</c:v>
                </c:pt>
                <c:pt idx="212">
                  <c:v>2.5132741228718345</c:v>
                </c:pt>
                <c:pt idx="213">
                  <c:v>2.5101325302182449</c:v>
                </c:pt>
                <c:pt idx="214">
                  <c:v>2.5069909375646549</c:v>
                </c:pt>
                <c:pt idx="215">
                  <c:v>2.5038493449110648</c:v>
                </c:pt>
                <c:pt idx="216">
                  <c:v>2.5007077522574752</c:v>
                </c:pt>
                <c:pt idx="217">
                  <c:v>2.4975661596038856</c:v>
                </c:pt>
                <c:pt idx="218">
                  <c:v>2.494424566950296</c:v>
                </c:pt>
                <c:pt idx="219">
                  <c:v>2.491282974296706</c:v>
                </c:pt>
                <c:pt idx="220">
                  <c:v>2.4881413816431159</c:v>
                </c:pt>
                <c:pt idx="221">
                  <c:v>2.4849997889895263</c:v>
                </c:pt>
                <c:pt idx="222">
                  <c:v>2.4818581963359367</c:v>
                </c:pt>
                <c:pt idx="223">
                  <c:v>2.4787166036823467</c:v>
                </c:pt>
                <c:pt idx="224">
                  <c:v>2.4755750110287571</c:v>
                </c:pt>
                <c:pt idx="225">
                  <c:v>2.4724334183751671</c:v>
                </c:pt>
                <c:pt idx="226">
                  <c:v>2.4692918257215775</c:v>
                </c:pt>
                <c:pt idx="227">
                  <c:v>2.4661502330679879</c:v>
                </c:pt>
                <c:pt idx="228">
                  <c:v>2.4630086404143978</c:v>
                </c:pt>
                <c:pt idx="229">
                  <c:v>2.4598670477608078</c:v>
                </c:pt>
                <c:pt idx="230">
                  <c:v>2.4567254551072182</c:v>
                </c:pt>
                <c:pt idx="231">
                  <c:v>2.4535838624536286</c:v>
                </c:pt>
                <c:pt idx="232">
                  <c:v>2.4504422698000385</c:v>
                </c:pt>
                <c:pt idx="233">
                  <c:v>2.4473006771464489</c:v>
                </c:pt>
                <c:pt idx="234">
                  <c:v>2.4441590844928589</c:v>
                </c:pt>
                <c:pt idx="235">
                  <c:v>2.4410174918392693</c:v>
                </c:pt>
                <c:pt idx="236">
                  <c:v>2.4378758991856797</c:v>
                </c:pt>
                <c:pt idx="237">
                  <c:v>2.4347343065320897</c:v>
                </c:pt>
                <c:pt idx="238">
                  <c:v>2.4315927138784996</c:v>
                </c:pt>
                <c:pt idx="239">
                  <c:v>2.42845112122491</c:v>
                </c:pt>
                <c:pt idx="240">
                  <c:v>2.4253095285713204</c:v>
                </c:pt>
                <c:pt idx="241">
                  <c:v>2.4221679359177304</c:v>
                </c:pt>
                <c:pt idx="242">
                  <c:v>2.4190263432641408</c:v>
                </c:pt>
                <c:pt idx="243">
                  <c:v>2.4158847506105507</c:v>
                </c:pt>
                <c:pt idx="244">
                  <c:v>2.4127431579569611</c:v>
                </c:pt>
                <c:pt idx="245">
                  <c:v>2.4096015653033716</c:v>
                </c:pt>
                <c:pt idx="246">
                  <c:v>2.4064599726497815</c:v>
                </c:pt>
                <c:pt idx="247">
                  <c:v>2.4033183799961919</c:v>
                </c:pt>
                <c:pt idx="248">
                  <c:v>2.4001767873426019</c:v>
                </c:pt>
                <c:pt idx="249">
                  <c:v>2.3970351946890123</c:v>
                </c:pt>
                <c:pt idx="250">
                  <c:v>2.3938936020354222</c:v>
                </c:pt>
                <c:pt idx="251">
                  <c:v>2.3907520093818326</c:v>
                </c:pt>
                <c:pt idx="252">
                  <c:v>2.3876104167282426</c:v>
                </c:pt>
                <c:pt idx="253">
                  <c:v>2.384468824074653</c:v>
                </c:pt>
                <c:pt idx="254">
                  <c:v>2.3813272314210634</c:v>
                </c:pt>
                <c:pt idx="255">
                  <c:v>2.3781856387674734</c:v>
                </c:pt>
                <c:pt idx="256">
                  <c:v>2.3750440461138838</c:v>
                </c:pt>
                <c:pt idx="257">
                  <c:v>2.3719024534602937</c:v>
                </c:pt>
                <c:pt idx="258">
                  <c:v>2.3687608608067041</c:v>
                </c:pt>
                <c:pt idx="259">
                  <c:v>2.3656192681531141</c:v>
                </c:pt>
                <c:pt idx="260">
                  <c:v>2.3624776754995245</c:v>
                </c:pt>
                <c:pt idx="261">
                  <c:v>2.3593360828459344</c:v>
                </c:pt>
                <c:pt idx="262">
                  <c:v>2.3561944901923448</c:v>
                </c:pt>
                <c:pt idx="263">
                  <c:v>2.3530528975387552</c:v>
                </c:pt>
                <c:pt idx="264">
                  <c:v>2.3499113048851652</c:v>
                </c:pt>
                <c:pt idx="265">
                  <c:v>2.3467697122315756</c:v>
                </c:pt>
                <c:pt idx="266">
                  <c:v>2.3436281195779856</c:v>
                </c:pt>
                <c:pt idx="267">
                  <c:v>2.340486526924396</c:v>
                </c:pt>
                <c:pt idx="268">
                  <c:v>2.3373449342708059</c:v>
                </c:pt>
                <c:pt idx="269">
                  <c:v>2.3342033416172163</c:v>
                </c:pt>
                <c:pt idx="270">
                  <c:v>2.3310617489636263</c:v>
                </c:pt>
                <c:pt idx="271">
                  <c:v>2.3279201563100367</c:v>
                </c:pt>
                <c:pt idx="272">
                  <c:v>2.3247785636564471</c:v>
                </c:pt>
                <c:pt idx="273">
                  <c:v>2.321636971002857</c:v>
                </c:pt>
                <c:pt idx="274">
                  <c:v>2.3184953783492674</c:v>
                </c:pt>
                <c:pt idx="275">
                  <c:v>2.3153537856956774</c:v>
                </c:pt>
                <c:pt idx="276">
                  <c:v>2.3122121930420878</c:v>
                </c:pt>
                <c:pt idx="277">
                  <c:v>2.3090706003884978</c:v>
                </c:pt>
                <c:pt idx="278">
                  <c:v>2.3059290077349082</c:v>
                </c:pt>
                <c:pt idx="279">
                  <c:v>2.3027874150813181</c:v>
                </c:pt>
                <c:pt idx="280">
                  <c:v>2.2996458224277285</c:v>
                </c:pt>
                <c:pt idx="281">
                  <c:v>2.2965042297741389</c:v>
                </c:pt>
                <c:pt idx="282">
                  <c:v>2.2933626371205489</c:v>
                </c:pt>
                <c:pt idx="283">
                  <c:v>2.2902210444669593</c:v>
                </c:pt>
                <c:pt idx="284">
                  <c:v>2.2870794518133692</c:v>
                </c:pt>
                <c:pt idx="285">
                  <c:v>2.2839378591597796</c:v>
                </c:pt>
                <c:pt idx="286">
                  <c:v>2.2807962665061896</c:v>
                </c:pt>
                <c:pt idx="287">
                  <c:v>2.2776546738526</c:v>
                </c:pt>
                <c:pt idx="288">
                  <c:v>2.27451308119901</c:v>
                </c:pt>
                <c:pt idx="289">
                  <c:v>2.2713714885454204</c:v>
                </c:pt>
                <c:pt idx="290">
                  <c:v>2.2682298958918308</c:v>
                </c:pt>
                <c:pt idx="291">
                  <c:v>2.2650883032382407</c:v>
                </c:pt>
                <c:pt idx="292">
                  <c:v>2.2619467105846507</c:v>
                </c:pt>
                <c:pt idx="293">
                  <c:v>2.2588051179310611</c:v>
                </c:pt>
                <c:pt idx="294">
                  <c:v>2.2556635252774715</c:v>
                </c:pt>
                <c:pt idx="295">
                  <c:v>2.2525219326238819</c:v>
                </c:pt>
                <c:pt idx="296">
                  <c:v>2.2493803399702919</c:v>
                </c:pt>
                <c:pt idx="297">
                  <c:v>2.2462387473167023</c:v>
                </c:pt>
                <c:pt idx="298">
                  <c:v>2.2430971546631122</c:v>
                </c:pt>
                <c:pt idx="299">
                  <c:v>2.2399555620095226</c:v>
                </c:pt>
                <c:pt idx="300">
                  <c:v>2.236813969355933</c:v>
                </c:pt>
                <c:pt idx="301">
                  <c:v>2.233672376702343</c:v>
                </c:pt>
                <c:pt idx="302">
                  <c:v>2.2305307840487529</c:v>
                </c:pt>
                <c:pt idx="303">
                  <c:v>2.2273891913951633</c:v>
                </c:pt>
                <c:pt idx="304">
                  <c:v>2.2242475987415737</c:v>
                </c:pt>
                <c:pt idx="305">
                  <c:v>2.2211060060879837</c:v>
                </c:pt>
                <c:pt idx="306">
                  <c:v>2.2179644134343941</c:v>
                </c:pt>
                <c:pt idx="307">
                  <c:v>2.2148228207808041</c:v>
                </c:pt>
                <c:pt idx="308">
                  <c:v>2.2116812281272145</c:v>
                </c:pt>
                <c:pt idx="309">
                  <c:v>2.2085396354736249</c:v>
                </c:pt>
                <c:pt idx="310">
                  <c:v>2.2053980428200348</c:v>
                </c:pt>
                <c:pt idx="311">
                  <c:v>2.2022564501664448</c:v>
                </c:pt>
                <c:pt idx="312">
                  <c:v>2.1991148575128552</c:v>
                </c:pt>
                <c:pt idx="313">
                  <c:v>2.1959732648592656</c:v>
                </c:pt>
                <c:pt idx="314">
                  <c:v>2.1928316722056755</c:v>
                </c:pt>
                <c:pt idx="315">
                  <c:v>2.1896900795520859</c:v>
                </c:pt>
                <c:pt idx="316">
                  <c:v>2.1865484868984959</c:v>
                </c:pt>
                <c:pt idx="317">
                  <c:v>2.1834068942449063</c:v>
                </c:pt>
                <c:pt idx="318">
                  <c:v>2.1802653015913167</c:v>
                </c:pt>
                <c:pt idx="319">
                  <c:v>2.1771237089377267</c:v>
                </c:pt>
                <c:pt idx="320">
                  <c:v>2.1739821162841366</c:v>
                </c:pt>
                <c:pt idx="321">
                  <c:v>2.170840523630547</c:v>
                </c:pt>
                <c:pt idx="322">
                  <c:v>2.1676989309769574</c:v>
                </c:pt>
                <c:pt idx="323">
                  <c:v>2.1645573383233674</c:v>
                </c:pt>
                <c:pt idx="324">
                  <c:v>2.1614157456697778</c:v>
                </c:pt>
                <c:pt idx="325">
                  <c:v>2.1582741530161877</c:v>
                </c:pt>
                <c:pt idx="326">
                  <c:v>2.1551325603625981</c:v>
                </c:pt>
                <c:pt idx="327">
                  <c:v>2.1519909677090086</c:v>
                </c:pt>
                <c:pt idx="328">
                  <c:v>2.1488493750554185</c:v>
                </c:pt>
                <c:pt idx="329">
                  <c:v>2.1457077824018285</c:v>
                </c:pt>
                <c:pt idx="330">
                  <c:v>2.1425661897482389</c:v>
                </c:pt>
                <c:pt idx="331">
                  <c:v>2.1394245970946493</c:v>
                </c:pt>
                <c:pt idx="332">
                  <c:v>2.1362830044410592</c:v>
                </c:pt>
                <c:pt idx="333">
                  <c:v>2.1331414117874692</c:v>
                </c:pt>
                <c:pt idx="334">
                  <c:v>2.1299998191338796</c:v>
                </c:pt>
                <c:pt idx="335">
                  <c:v>2.12685822648029</c:v>
                </c:pt>
                <c:pt idx="336">
                  <c:v>2.1237166338267004</c:v>
                </c:pt>
                <c:pt idx="337">
                  <c:v>2.1205750411731104</c:v>
                </c:pt>
                <c:pt idx="338">
                  <c:v>2.1174334485195203</c:v>
                </c:pt>
                <c:pt idx="339">
                  <c:v>2.1142918558659307</c:v>
                </c:pt>
                <c:pt idx="340">
                  <c:v>2.1111502632123411</c:v>
                </c:pt>
                <c:pt idx="341">
                  <c:v>2.1080086705587511</c:v>
                </c:pt>
                <c:pt idx="342">
                  <c:v>2.104867077905161</c:v>
                </c:pt>
                <c:pt idx="343">
                  <c:v>2.1017254852515714</c:v>
                </c:pt>
                <c:pt idx="344">
                  <c:v>2.0985838925979818</c:v>
                </c:pt>
                <c:pt idx="345">
                  <c:v>2.0954422999443922</c:v>
                </c:pt>
                <c:pt idx="346">
                  <c:v>2.0923007072908022</c:v>
                </c:pt>
                <c:pt idx="347">
                  <c:v>2.0891591146372122</c:v>
                </c:pt>
                <c:pt idx="348">
                  <c:v>2.0860175219836226</c:v>
                </c:pt>
                <c:pt idx="349">
                  <c:v>2.082875929330033</c:v>
                </c:pt>
                <c:pt idx="350">
                  <c:v>2.0797343366764429</c:v>
                </c:pt>
                <c:pt idx="351">
                  <c:v>2.0765927440228529</c:v>
                </c:pt>
                <c:pt idx="352">
                  <c:v>2.0734511513692633</c:v>
                </c:pt>
                <c:pt idx="353">
                  <c:v>2.0703095587156737</c:v>
                </c:pt>
                <c:pt idx="354">
                  <c:v>2.0671679660620841</c:v>
                </c:pt>
                <c:pt idx="355">
                  <c:v>2.064026373408494</c:v>
                </c:pt>
                <c:pt idx="356">
                  <c:v>2.0608847807549044</c:v>
                </c:pt>
                <c:pt idx="357">
                  <c:v>2.0577431881013144</c:v>
                </c:pt>
                <c:pt idx="358">
                  <c:v>2.0546015954477248</c:v>
                </c:pt>
                <c:pt idx="359">
                  <c:v>2.0514600027941352</c:v>
                </c:pt>
                <c:pt idx="360">
                  <c:v>2.0483184101405452</c:v>
                </c:pt>
                <c:pt idx="361">
                  <c:v>2.0451768174869551</c:v>
                </c:pt>
                <c:pt idx="362">
                  <c:v>2.0420352248333655</c:v>
                </c:pt>
                <c:pt idx="363">
                  <c:v>2.0388936321797759</c:v>
                </c:pt>
                <c:pt idx="364">
                  <c:v>2.0357520395261863</c:v>
                </c:pt>
                <c:pt idx="365">
                  <c:v>2.0326104468725963</c:v>
                </c:pt>
                <c:pt idx="366">
                  <c:v>2.0294688542190062</c:v>
                </c:pt>
                <c:pt idx="367">
                  <c:v>2.0263272615654166</c:v>
                </c:pt>
                <c:pt idx="368">
                  <c:v>2.0231856689118271</c:v>
                </c:pt>
                <c:pt idx="369">
                  <c:v>2.020044076258237</c:v>
                </c:pt>
                <c:pt idx="370">
                  <c:v>2.016902483604647</c:v>
                </c:pt>
                <c:pt idx="371">
                  <c:v>2.0137608909510574</c:v>
                </c:pt>
                <c:pt idx="372">
                  <c:v>2.0106192982974678</c:v>
                </c:pt>
                <c:pt idx="373">
                  <c:v>2.0074777056438777</c:v>
                </c:pt>
                <c:pt idx="374">
                  <c:v>2.0043361129902881</c:v>
                </c:pt>
                <c:pt idx="375">
                  <c:v>2.0011945203366981</c:v>
                </c:pt>
                <c:pt idx="376">
                  <c:v>1.9980529276831085</c:v>
                </c:pt>
                <c:pt idx="377">
                  <c:v>1.9949113350295187</c:v>
                </c:pt>
                <c:pt idx="378">
                  <c:v>1.9917697423759289</c:v>
                </c:pt>
                <c:pt idx="379">
                  <c:v>1.988628149722339</c:v>
                </c:pt>
                <c:pt idx="380">
                  <c:v>1.9854865570687492</c:v>
                </c:pt>
                <c:pt idx="381">
                  <c:v>1.9823449644151594</c:v>
                </c:pt>
                <c:pt idx="382">
                  <c:v>1.9792033717615696</c:v>
                </c:pt>
                <c:pt idx="383">
                  <c:v>1.97606177910798</c:v>
                </c:pt>
                <c:pt idx="384">
                  <c:v>1.9729201864543902</c:v>
                </c:pt>
                <c:pt idx="385">
                  <c:v>1.9697785938008003</c:v>
                </c:pt>
                <c:pt idx="386">
                  <c:v>1.9666370011472105</c:v>
                </c:pt>
                <c:pt idx="387">
                  <c:v>1.9634954084936207</c:v>
                </c:pt>
                <c:pt idx="388">
                  <c:v>1.9603538158400309</c:v>
                </c:pt>
                <c:pt idx="389">
                  <c:v>1.9572122231864411</c:v>
                </c:pt>
                <c:pt idx="390">
                  <c:v>1.9540706305328512</c:v>
                </c:pt>
                <c:pt idx="391">
                  <c:v>1.9509290378792614</c:v>
                </c:pt>
                <c:pt idx="392">
                  <c:v>1.9477874452256718</c:v>
                </c:pt>
                <c:pt idx="393">
                  <c:v>1.944645852572082</c:v>
                </c:pt>
                <c:pt idx="394">
                  <c:v>1.9415042599184922</c:v>
                </c:pt>
                <c:pt idx="395">
                  <c:v>1.9383626672649024</c:v>
                </c:pt>
                <c:pt idx="396">
                  <c:v>1.9352210746113125</c:v>
                </c:pt>
                <c:pt idx="397">
                  <c:v>1.9320794819577227</c:v>
                </c:pt>
                <c:pt idx="398">
                  <c:v>1.9289378893041329</c:v>
                </c:pt>
                <c:pt idx="399">
                  <c:v>1.9257962966505431</c:v>
                </c:pt>
                <c:pt idx="400">
                  <c:v>1.9226547039969533</c:v>
                </c:pt>
                <c:pt idx="401">
                  <c:v>1.9195131113433637</c:v>
                </c:pt>
                <c:pt idx="402">
                  <c:v>1.9163715186897738</c:v>
                </c:pt>
                <c:pt idx="403">
                  <c:v>1.913229926036184</c:v>
                </c:pt>
                <c:pt idx="404">
                  <c:v>1.9100883333825942</c:v>
                </c:pt>
                <c:pt idx="405">
                  <c:v>1.9069467407290044</c:v>
                </c:pt>
                <c:pt idx="406">
                  <c:v>1.9038051480754146</c:v>
                </c:pt>
                <c:pt idx="407">
                  <c:v>1.9006635554218247</c:v>
                </c:pt>
                <c:pt idx="408">
                  <c:v>1.8975219627682349</c:v>
                </c:pt>
                <c:pt idx="409">
                  <c:v>1.8943803701146451</c:v>
                </c:pt>
                <c:pt idx="410">
                  <c:v>1.8912387774610553</c:v>
                </c:pt>
                <c:pt idx="411">
                  <c:v>1.8880971848074657</c:v>
                </c:pt>
                <c:pt idx="412">
                  <c:v>1.8849555921538759</c:v>
                </c:pt>
                <c:pt idx="413">
                  <c:v>1.881813999500286</c:v>
                </c:pt>
                <c:pt idx="414">
                  <c:v>1.8786724068466962</c:v>
                </c:pt>
                <c:pt idx="415">
                  <c:v>1.8755308141931064</c:v>
                </c:pt>
                <c:pt idx="416">
                  <c:v>1.8723892215395166</c:v>
                </c:pt>
                <c:pt idx="417">
                  <c:v>1.8692476288859268</c:v>
                </c:pt>
                <c:pt idx="418">
                  <c:v>1.866106036232337</c:v>
                </c:pt>
                <c:pt idx="419">
                  <c:v>1.8629644435787474</c:v>
                </c:pt>
                <c:pt idx="420">
                  <c:v>1.8598228509251575</c:v>
                </c:pt>
                <c:pt idx="421">
                  <c:v>1.8566812582715677</c:v>
                </c:pt>
                <c:pt idx="422">
                  <c:v>1.8535396656179781</c:v>
                </c:pt>
                <c:pt idx="423">
                  <c:v>1.8503980729643883</c:v>
                </c:pt>
                <c:pt idx="424">
                  <c:v>1.8472564803107985</c:v>
                </c:pt>
                <c:pt idx="425">
                  <c:v>1.8441148876572087</c:v>
                </c:pt>
                <c:pt idx="426">
                  <c:v>1.8409732950036188</c:v>
                </c:pt>
                <c:pt idx="427">
                  <c:v>1.837831702350029</c:v>
                </c:pt>
                <c:pt idx="428">
                  <c:v>1.8346901096964392</c:v>
                </c:pt>
                <c:pt idx="429">
                  <c:v>1.8315485170428494</c:v>
                </c:pt>
                <c:pt idx="430">
                  <c:v>1.8284069243892596</c:v>
                </c:pt>
                <c:pt idx="431">
                  <c:v>1.82526533173567</c:v>
                </c:pt>
                <c:pt idx="432">
                  <c:v>1.8221237390820801</c:v>
                </c:pt>
                <c:pt idx="433">
                  <c:v>1.8189821464284903</c:v>
                </c:pt>
                <c:pt idx="434">
                  <c:v>1.8158405537749005</c:v>
                </c:pt>
                <c:pt idx="435">
                  <c:v>1.8126989611213107</c:v>
                </c:pt>
                <c:pt idx="436">
                  <c:v>1.8095573684677209</c:v>
                </c:pt>
                <c:pt idx="437">
                  <c:v>1.806415775814131</c:v>
                </c:pt>
                <c:pt idx="438">
                  <c:v>1.8032741831605412</c:v>
                </c:pt>
                <c:pt idx="439">
                  <c:v>1.8001325905069514</c:v>
                </c:pt>
                <c:pt idx="440">
                  <c:v>1.7969909978533616</c:v>
                </c:pt>
                <c:pt idx="441">
                  <c:v>1.793849405199772</c:v>
                </c:pt>
                <c:pt idx="442">
                  <c:v>1.7907078125461822</c:v>
                </c:pt>
                <c:pt idx="443">
                  <c:v>1.7875662198925923</c:v>
                </c:pt>
                <c:pt idx="444">
                  <c:v>1.7844246272390025</c:v>
                </c:pt>
                <c:pt idx="445">
                  <c:v>1.7812830345854127</c:v>
                </c:pt>
                <c:pt idx="446">
                  <c:v>1.7781414419318229</c:v>
                </c:pt>
                <c:pt idx="447">
                  <c:v>1.7749998492782331</c:v>
                </c:pt>
                <c:pt idx="448">
                  <c:v>1.7718582566246432</c:v>
                </c:pt>
                <c:pt idx="449">
                  <c:v>1.7687166639710534</c:v>
                </c:pt>
                <c:pt idx="450">
                  <c:v>1.7655750713174638</c:v>
                </c:pt>
                <c:pt idx="451">
                  <c:v>1.762433478663874</c:v>
                </c:pt>
                <c:pt idx="452">
                  <c:v>1.7592918860102842</c:v>
                </c:pt>
                <c:pt idx="453">
                  <c:v>1.7561502933566944</c:v>
                </c:pt>
                <c:pt idx="454">
                  <c:v>1.7530087007031045</c:v>
                </c:pt>
                <c:pt idx="455">
                  <c:v>1.7498671080495147</c:v>
                </c:pt>
                <c:pt idx="456">
                  <c:v>1.7467255153959249</c:v>
                </c:pt>
                <c:pt idx="457">
                  <c:v>1.7435839227423351</c:v>
                </c:pt>
                <c:pt idx="458">
                  <c:v>1.7404423300887453</c:v>
                </c:pt>
                <c:pt idx="459">
                  <c:v>1.7373007374351557</c:v>
                </c:pt>
                <c:pt idx="460">
                  <c:v>1.7341591447815659</c:v>
                </c:pt>
                <c:pt idx="461">
                  <c:v>1.731017552127976</c:v>
                </c:pt>
                <c:pt idx="462">
                  <c:v>1.7278759594743862</c:v>
                </c:pt>
                <c:pt idx="463">
                  <c:v>1.7247343668207964</c:v>
                </c:pt>
                <c:pt idx="464">
                  <c:v>1.7215927741672066</c:v>
                </c:pt>
                <c:pt idx="465">
                  <c:v>1.7184511815136168</c:v>
                </c:pt>
                <c:pt idx="466">
                  <c:v>1.7153095888600269</c:v>
                </c:pt>
                <c:pt idx="467">
                  <c:v>1.7121679962064371</c:v>
                </c:pt>
                <c:pt idx="468">
                  <c:v>1.7090264035528473</c:v>
                </c:pt>
                <c:pt idx="469">
                  <c:v>1.7058848108992577</c:v>
                </c:pt>
                <c:pt idx="470">
                  <c:v>1.7027432182456679</c:v>
                </c:pt>
                <c:pt idx="471">
                  <c:v>1.6996016255920781</c:v>
                </c:pt>
                <c:pt idx="472">
                  <c:v>1.6964600329384882</c:v>
                </c:pt>
                <c:pt idx="473">
                  <c:v>1.6933184402848984</c:v>
                </c:pt>
                <c:pt idx="474">
                  <c:v>1.6901768476313086</c:v>
                </c:pt>
                <c:pt idx="475">
                  <c:v>1.6870352549777188</c:v>
                </c:pt>
                <c:pt idx="476">
                  <c:v>1.683893662324129</c:v>
                </c:pt>
                <c:pt idx="477">
                  <c:v>1.6807520696705391</c:v>
                </c:pt>
                <c:pt idx="478">
                  <c:v>1.6776104770169495</c:v>
                </c:pt>
                <c:pt idx="479">
                  <c:v>1.6744688843633597</c:v>
                </c:pt>
                <c:pt idx="480">
                  <c:v>1.6713272917097699</c:v>
                </c:pt>
                <c:pt idx="481">
                  <c:v>1.6681856990561803</c:v>
                </c:pt>
                <c:pt idx="482">
                  <c:v>1.6650441064025905</c:v>
                </c:pt>
                <c:pt idx="483">
                  <c:v>1.6619025137490007</c:v>
                </c:pt>
                <c:pt idx="484">
                  <c:v>1.6587609210954108</c:v>
                </c:pt>
                <c:pt idx="485">
                  <c:v>1.655619328441821</c:v>
                </c:pt>
                <c:pt idx="486">
                  <c:v>1.6524777357882312</c:v>
                </c:pt>
                <c:pt idx="487">
                  <c:v>1.6493361431346414</c:v>
                </c:pt>
                <c:pt idx="488">
                  <c:v>1.6461945504810516</c:v>
                </c:pt>
                <c:pt idx="489">
                  <c:v>1.643052957827462</c:v>
                </c:pt>
                <c:pt idx="490">
                  <c:v>1.6399113651738721</c:v>
                </c:pt>
                <c:pt idx="491">
                  <c:v>1.6367697725202823</c:v>
                </c:pt>
                <c:pt idx="492">
                  <c:v>1.6336281798666925</c:v>
                </c:pt>
                <c:pt idx="493">
                  <c:v>1.6304865872131027</c:v>
                </c:pt>
                <c:pt idx="494">
                  <c:v>1.6273449945595129</c:v>
                </c:pt>
                <c:pt idx="495">
                  <c:v>1.624203401905923</c:v>
                </c:pt>
                <c:pt idx="496">
                  <c:v>1.6210618092523332</c:v>
                </c:pt>
                <c:pt idx="497">
                  <c:v>1.6179202165987434</c:v>
                </c:pt>
                <c:pt idx="498">
                  <c:v>1.6147786239451536</c:v>
                </c:pt>
                <c:pt idx="499">
                  <c:v>1.611637031291564</c:v>
                </c:pt>
                <c:pt idx="500">
                  <c:v>1.6084954386379742</c:v>
                </c:pt>
                <c:pt idx="501">
                  <c:v>1.6053538459843844</c:v>
                </c:pt>
                <c:pt idx="502">
                  <c:v>1.6022122533307945</c:v>
                </c:pt>
                <c:pt idx="503">
                  <c:v>1.5990706606772047</c:v>
                </c:pt>
                <c:pt idx="504">
                  <c:v>1.5959290680236149</c:v>
                </c:pt>
                <c:pt idx="505">
                  <c:v>1.5927874753700251</c:v>
                </c:pt>
                <c:pt idx="506">
                  <c:v>1.5896458827164353</c:v>
                </c:pt>
                <c:pt idx="507">
                  <c:v>1.5865042900628454</c:v>
                </c:pt>
                <c:pt idx="508">
                  <c:v>1.5833626974092558</c:v>
                </c:pt>
                <c:pt idx="509">
                  <c:v>1.580221104755666</c:v>
                </c:pt>
                <c:pt idx="510">
                  <c:v>1.5770795121020762</c:v>
                </c:pt>
                <c:pt idx="511">
                  <c:v>1.5739379194484864</c:v>
                </c:pt>
                <c:pt idx="512">
                  <c:v>1.5707963267948966</c:v>
                </c:pt>
                <c:pt idx="513">
                  <c:v>1.5676547341413067</c:v>
                </c:pt>
                <c:pt idx="514">
                  <c:v>1.5645131414877169</c:v>
                </c:pt>
                <c:pt idx="515">
                  <c:v>1.5613715488341271</c:v>
                </c:pt>
                <c:pt idx="516">
                  <c:v>1.5582299561805373</c:v>
                </c:pt>
                <c:pt idx="517">
                  <c:v>1.5550883635269477</c:v>
                </c:pt>
                <c:pt idx="518">
                  <c:v>1.5519467708733579</c:v>
                </c:pt>
                <c:pt idx="519">
                  <c:v>1.548805178219768</c:v>
                </c:pt>
                <c:pt idx="520">
                  <c:v>1.5456635855661782</c:v>
                </c:pt>
                <c:pt idx="521">
                  <c:v>1.5425219929125884</c:v>
                </c:pt>
                <c:pt idx="522">
                  <c:v>1.5393804002589986</c:v>
                </c:pt>
                <c:pt idx="523">
                  <c:v>1.5362388076054088</c:v>
                </c:pt>
                <c:pt idx="524">
                  <c:v>1.5330972149518189</c:v>
                </c:pt>
                <c:pt idx="525">
                  <c:v>1.5299556222982291</c:v>
                </c:pt>
                <c:pt idx="526">
                  <c:v>1.5268140296446395</c:v>
                </c:pt>
                <c:pt idx="527">
                  <c:v>1.5236724369910497</c:v>
                </c:pt>
                <c:pt idx="528">
                  <c:v>1.5205308443374599</c:v>
                </c:pt>
                <c:pt idx="529">
                  <c:v>1.5173892516838701</c:v>
                </c:pt>
                <c:pt idx="530">
                  <c:v>1.5142476590302802</c:v>
                </c:pt>
                <c:pt idx="531">
                  <c:v>1.5111060663766904</c:v>
                </c:pt>
                <c:pt idx="532">
                  <c:v>1.5079644737231006</c:v>
                </c:pt>
                <c:pt idx="533">
                  <c:v>1.5048228810695108</c:v>
                </c:pt>
                <c:pt idx="534">
                  <c:v>1.501681288415921</c:v>
                </c:pt>
                <c:pt idx="535">
                  <c:v>1.4985396957623311</c:v>
                </c:pt>
                <c:pt idx="536">
                  <c:v>1.4953981031087415</c:v>
                </c:pt>
                <c:pt idx="537">
                  <c:v>1.4922565104551517</c:v>
                </c:pt>
                <c:pt idx="538">
                  <c:v>1.4891149178015619</c:v>
                </c:pt>
                <c:pt idx="539">
                  <c:v>1.4859733251479721</c:v>
                </c:pt>
                <c:pt idx="540">
                  <c:v>1.4828317324943823</c:v>
                </c:pt>
                <c:pt idx="541">
                  <c:v>1.4796901398407925</c:v>
                </c:pt>
                <c:pt idx="542">
                  <c:v>1.4765485471872026</c:v>
                </c:pt>
                <c:pt idx="543">
                  <c:v>1.4734069545336128</c:v>
                </c:pt>
                <c:pt idx="544">
                  <c:v>1.470265361880023</c:v>
                </c:pt>
                <c:pt idx="545">
                  <c:v>1.4671237692264334</c:v>
                </c:pt>
                <c:pt idx="546">
                  <c:v>1.4639821765728436</c:v>
                </c:pt>
                <c:pt idx="547">
                  <c:v>1.4608405839192538</c:v>
                </c:pt>
                <c:pt idx="548">
                  <c:v>1.4576989912656639</c:v>
                </c:pt>
                <c:pt idx="549">
                  <c:v>1.4545573986120741</c:v>
                </c:pt>
                <c:pt idx="550">
                  <c:v>1.4514158059584843</c:v>
                </c:pt>
                <c:pt idx="551">
                  <c:v>1.4482742133048945</c:v>
                </c:pt>
                <c:pt idx="552">
                  <c:v>1.4451326206513047</c:v>
                </c:pt>
                <c:pt idx="553">
                  <c:v>1.4419910279977148</c:v>
                </c:pt>
                <c:pt idx="554">
                  <c:v>1.4388494353441252</c:v>
                </c:pt>
                <c:pt idx="555">
                  <c:v>1.4357078426905354</c:v>
                </c:pt>
                <c:pt idx="556">
                  <c:v>1.4325662500369456</c:v>
                </c:pt>
                <c:pt idx="557">
                  <c:v>1.4294246573833558</c:v>
                </c:pt>
                <c:pt idx="558">
                  <c:v>1.426283064729766</c:v>
                </c:pt>
                <c:pt idx="559">
                  <c:v>1.4231414720761761</c:v>
                </c:pt>
                <c:pt idx="560">
                  <c:v>1.4199998794225863</c:v>
                </c:pt>
                <c:pt idx="561">
                  <c:v>1.4168582867689965</c:v>
                </c:pt>
                <c:pt idx="562">
                  <c:v>1.4137166941154067</c:v>
                </c:pt>
                <c:pt idx="563">
                  <c:v>1.4105751014618169</c:v>
                </c:pt>
                <c:pt idx="564">
                  <c:v>1.4074335088082273</c:v>
                </c:pt>
                <c:pt idx="565">
                  <c:v>1.4042919161546374</c:v>
                </c:pt>
                <c:pt idx="566">
                  <c:v>1.4011503235010476</c:v>
                </c:pt>
                <c:pt idx="567">
                  <c:v>1.3980087308474578</c:v>
                </c:pt>
                <c:pt idx="568">
                  <c:v>1.394867138193868</c:v>
                </c:pt>
                <c:pt idx="569">
                  <c:v>1.3917255455402782</c:v>
                </c:pt>
                <c:pt idx="570">
                  <c:v>1.3885839528866883</c:v>
                </c:pt>
                <c:pt idx="571">
                  <c:v>1.3854423602330985</c:v>
                </c:pt>
                <c:pt idx="572">
                  <c:v>1.3823007675795087</c:v>
                </c:pt>
                <c:pt idx="573">
                  <c:v>1.3791591749259191</c:v>
                </c:pt>
                <c:pt idx="574">
                  <c:v>1.3760175822723293</c:v>
                </c:pt>
                <c:pt idx="575">
                  <c:v>1.3728759896187397</c:v>
                </c:pt>
                <c:pt idx="576">
                  <c:v>1.3697343969651499</c:v>
                </c:pt>
                <c:pt idx="577">
                  <c:v>1.3665928043115603</c:v>
                </c:pt>
                <c:pt idx="578">
                  <c:v>1.3634512116579705</c:v>
                </c:pt>
                <c:pt idx="579">
                  <c:v>1.3603096190043806</c:v>
                </c:pt>
                <c:pt idx="580">
                  <c:v>1.3571680263507908</c:v>
                </c:pt>
                <c:pt idx="581">
                  <c:v>1.354026433697201</c:v>
                </c:pt>
                <c:pt idx="582">
                  <c:v>1.3508848410436112</c:v>
                </c:pt>
                <c:pt idx="583">
                  <c:v>1.3477432483900214</c:v>
                </c:pt>
                <c:pt idx="584">
                  <c:v>1.3446016557364315</c:v>
                </c:pt>
                <c:pt idx="585">
                  <c:v>1.3414600630828417</c:v>
                </c:pt>
                <c:pt idx="586">
                  <c:v>1.3383184704292521</c:v>
                </c:pt>
                <c:pt idx="587">
                  <c:v>1.3351768777756623</c:v>
                </c:pt>
                <c:pt idx="588">
                  <c:v>1.3320352851220725</c:v>
                </c:pt>
                <c:pt idx="589">
                  <c:v>1.3288936924684827</c:v>
                </c:pt>
                <c:pt idx="590">
                  <c:v>1.3257520998148928</c:v>
                </c:pt>
                <c:pt idx="591">
                  <c:v>1.322610507161303</c:v>
                </c:pt>
                <c:pt idx="592">
                  <c:v>1.3194689145077132</c:v>
                </c:pt>
                <c:pt idx="593">
                  <c:v>1.3163273218541234</c:v>
                </c:pt>
                <c:pt idx="594">
                  <c:v>1.3131857292005336</c:v>
                </c:pt>
                <c:pt idx="595">
                  <c:v>1.3100441365469437</c:v>
                </c:pt>
                <c:pt idx="596">
                  <c:v>1.3069025438933541</c:v>
                </c:pt>
                <c:pt idx="597">
                  <c:v>1.3037609512397643</c:v>
                </c:pt>
                <c:pt idx="598">
                  <c:v>1.3006193585861745</c:v>
                </c:pt>
                <c:pt idx="599">
                  <c:v>1.2974777659325847</c:v>
                </c:pt>
                <c:pt idx="600">
                  <c:v>1.2943361732789949</c:v>
                </c:pt>
                <c:pt idx="601">
                  <c:v>1.291194580625405</c:v>
                </c:pt>
                <c:pt idx="602">
                  <c:v>1.2880529879718152</c:v>
                </c:pt>
                <c:pt idx="603">
                  <c:v>1.2849113953182254</c:v>
                </c:pt>
                <c:pt idx="604">
                  <c:v>1.2817698026646356</c:v>
                </c:pt>
                <c:pt idx="605">
                  <c:v>1.278628210011046</c:v>
                </c:pt>
                <c:pt idx="606">
                  <c:v>1.2754866173574562</c:v>
                </c:pt>
                <c:pt idx="607">
                  <c:v>1.2723450247038663</c:v>
                </c:pt>
                <c:pt idx="608">
                  <c:v>1.2692034320502765</c:v>
                </c:pt>
                <c:pt idx="609">
                  <c:v>1.2660618393966867</c:v>
                </c:pt>
                <c:pt idx="610">
                  <c:v>1.2629202467430969</c:v>
                </c:pt>
                <c:pt idx="611">
                  <c:v>1.2597786540895071</c:v>
                </c:pt>
                <c:pt idx="612">
                  <c:v>1.2566370614359172</c:v>
                </c:pt>
                <c:pt idx="613">
                  <c:v>1.2534954687823274</c:v>
                </c:pt>
                <c:pt idx="614">
                  <c:v>1.2503538761287378</c:v>
                </c:pt>
                <c:pt idx="615">
                  <c:v>1.247212283475148</c:v>
                </c:pt>
                <c:pt idx="616">
                  <c:v>1.2440706908215582</c:v>
                </c:pt>
                <c:pt idx="617">
                  <c:v>1.2409290981679684</c:v>
                </c:pt>
                <c:pt idx="618">
                  <c:v>1.2377875055143785</c:v>
                </c:pt>
                <c:pt idx="619">
                  <c:v>1.2346459128607887</c:v>
                </c:pt>
                <c:pt idx="620">
                  <c:v>1.2315043202071989</c:v>
                </c:pt>
                <c:pt idx="621">
                  <c:v>1.2283627275536091</c:v>
                </c:pt>
                <c:pt idx="622">
                  <c:v>1.2252211349000193</c:v>
                </c:pt>
                <c:pt idx="623">
                  <c:v>1.2220795422464295</c:v>
                </c:pt>
                <c:pt idx="624">
                  <c:v>1.2189379495928399</c:v>
                </c:pt>
                <c:pt idx="625">
                  <c:v>1.21579635693925</c:v>
                </c:pt>
                <c:pt idx="626">
                  <c:v>1.2126547642856602</c:v>
                </c:pt>
                <c:pt idx="627">
                  <c:v>1.2095131716320704</c:v>
                </c:pt>
                <c:pt idx="628">
                  <c:v>1.2063715789784806</c:v>
                </c:pt>
                <c:pt idx="629">
                  <c:v>1.2032299863248908</c:v>
                </c:pt>
                <c:pt idx="630">
                  <c:v>1.2000883936713009</c:v>
                </c:pt>
                <c:pt idx="631">
                  <c:v>1.1969468010177111</c:v>
                </c:pt>
                <c:pt idx="632">
                  <c:v>1.1938052083641213</c:v>
                </c:pt>
                <c:pt idx="633">
                  <c:v>1.1906636157105317</c:v>
                </c:pt>
                <c:pt idx="634">
                  <c:v>1.1875220230569419</c:v>
                </c:pt>
                <c:pt idx="635">
                  <c:v>1.1843804304033521</c:v>
                </c:pt>
                <c:pt idx="636">
                  <c:v>1.1812388377497622</c:v>
                </c:pt>
                <c:pt idx="637">
                  <c:v>1.1780972450961724</c:v>
                </c:pt>
                <c:pt idx="638">
                  <c:v>1.1749556524425826</c:v>
                </c:pt>
                <c:pt idx="639">
                  <c:v>1.1718140597889928</c:v>
                </c:pt>
                <c:pt idx="640">
                  <c:v>1.168672467135403</c:v>
                </c:pt>
                <c:pt idx="641">
                  <c:v>1.1655308744818131</c:v>
                </c:pt>
                <c:pt idx="642">
                  <c:v>1.1623892818282235</c:v>
                </c:pt>
                <c:pt idx="643">
                  <c:v>1.1592476891746337</c:v>
                </c:pt>
                <c:pt idx="644">
                  <c:v>1.1561060965210439</c:v>
                </c:pt>
                <c:pt idx="645">
                  <c:v>1.1529645038674541</c:v>
                </c:pt>
                <c:pt idx="646">
                  <c:v>1.1498229112138643</c:v>
                </c:pt>
                <c:pt idx="647">
                  <c:v>1.1466813185602744</c:v>
                </c:pt>
                <c:pt idx="648">
                  <c:v>1.1435397259066846</c:v>
                </c:pt>
                <c:pt idx="649">
                  <c:v>1.140398133253095</c:v>
                </c:pt>
                <c:pt idx="650">
                  <c:v>1.137256540599505</c:v>
                </c:pt>
                <c:pt idx="651">
                  <c:v>1.1341149479459154</c:v>
                </c:pt>
                <c:pt idx="652">
                  <c:v>1.1309733552923253</c:v>
                </c:pt>
                <c:pt idx="653">
                  <c:v>1.1278317626387357</c:v>
                </c:pt>
                <c:pt idx="654">
                  <c:v>1.1246901699851457</c:v>
                </c:pt>
                <c:pt idx="655">
                  <c:v>1.1215485773315561</c:v>
                </c:pt>
                <c:pt idx="656">
                  <c:v>1.1184069846779665</c:v>
                </c:pt>
                <c:pt idx="657">
                  <c:v>1.1152653920243765</c:v>
                </c:pt>
                <c:pt idx="658">
                  <c:v>1.1121237993707869</c:v>
                </c:pt>
                <c:pt idx="659">
                  <c:v>1.1089822067171968</c:v>
                </c:pt>
                <c:pt idx="660">
                  <c:v>1.1058406140636072</c:v>
                </c:pt>
                <c:pt idx="661">
                  <c:v>1.1026990214100172</c:v>
                </c:pt>
                <c:pt idx="662">
                  <c:v>1.0995574287564276</c:v>
                </c:pt>
                <c:pt idx="663">
                  <c:v>1.0964158361028375</c:v>
                </c:pt>
                <c:pt idx="664">
                  <c:v>1.093274243449248</c:v>
                </c:pt>
                <c:pt idx="665">
                  <c:v>1.0901326507956584</c:v>
                </c:pt>
                <c:pt idx="666">
                  <c:v>1.0869910581420683</c:v>
                </c:pt>
                <c:pt idx="667">
                  <c:v>1.0838494654884787</c:v>
                </c:pt>
                <c:pt idx="668">
                  <c:v>1.0807078728348887</c:v>
                </c:pt>
                <c:pt idx="669">
                  <c:v>1.0775662801812991</c:v>
                </c:pt>
                <c:pt idx="670">
                  <c:v>1.074424687527709</c:v>
                </c:pt>
                <c:pt idx="671">
                  <c:v>1.0712830948741194</c:v>
                </c:pt>
                <c:pt idx="672">
                  <c:v>1.0681415022205294</c:v>
                </c:pt>
                <c:pt idx="673">
                  <c:v>1.0649999095669398</c:v>
                </c:pt>
                <c:pt idx="674">
                  <c:v>1.0618583169133498</c:v>
                </c:pt>
                <c:pt idx="675">
                  <c:v>1.0587167242597602</c:v>
                </c:pt>
                <c:pt idx="676">
                  <c:v>1.0555751316061706</c:v>
                </c:pt>
                <c:pt idx="677">
                  <c:v>1.0524335389525805</c:v>
                </c:pt>
                <c:pt idx="678">
                  <c:v>1.0492919462989909</c:v>
                </c:pt>
                <c:pt idx="679">
                  <c:v>1.0461503536454009</c:v>
                </c:pt>
                <c:pt idx="680">
                  <c:v>1.0430087609918113</c:v>
                </c:pt>
                <c:pt idx="681">
                  <c:v>1.0398671683382212</c:v>
                </c:pt>
                <c:pt idx="682">
                  <c:v>1.0367255756846316</c:v>
                </c:pt>
                <c:pt idx="683">
                  <c:v>1.0335839830310416</c:v>
                </c:pt>
                <c:pt idx="684">
                  <c:v>1.030442390377452</c:v>
                </c:pt>
                <c:pt idx="685">
                  <c:v>1.0273007977238624</c:v>
                </c:pt>
                <c:pt idx="686">
                  <c:v>1.0241592050702724</c:v>
                </c:pt>
                <c:pt idx="687">
                  <c:v>1.0210176124166828</c:v>
                </c:pt>
                <c:pt idx="688">
                  <c:v>1.0178760197630927</c:v>
                </c:pt>
                <c:pt idx="689">
                  <c:v>1.0147344271095031</c:v>
                </c:pt>
                <c:pt idx="690">
                  <c:v>1.0115928344559131</c:v>
                </c:pt>
                <c:pt idx="691">
                  <c:v>1.0084512418023235</c:v>
                </c:pt>
                <c:pt idx="692">
                  <c:v>1.0053096491487334</c:v>
                </c:pt>
                <c:pt idx="693">
                  <c:v>1.0021680564951438</c:v>
                </c:pt>
                <c:pt idx="694">
                  <c:v>0.99902646384155425</c:v>
                </c:pt>
                <c:pt idx="695">
                  <c:v>0.9958848711879642</c:v>
                </c:pt>
                <c:pt idx="696">
                  <c:v>0.99274327853437461</c:v>
                </c:pt>
                <c:pt idx="697">
                  <c:v>0.98960168588078457</c:v>
                </c:pt>
                <c:pt idx="698">
                  <c:v>0.98646009322719497</c:v>
                </c:pt>
                <c:pt idx="699">
                  <c:v>0.98331850057360493</c:v>
                </c:pt>
                <c:pt idx="700">
                  <c:v>0.98017690792001577</c:v>
                </c:pt>
                <c:pt idx="701">
                  <c:v>0.97703531526642573</c:v>
                </c:pt>
                <c:pt idx="702">
                  <c:v>0.97389372261283613</c:v>
                </c:pt>
                <c:pt idx="703">
                  <c:v>0.97075212995924609</c:v>
                </c:pt>
                <c:pt idx="704">
                  <c:v>0.96761053730565649</c:v>
                </c:pt>
                <c:pt idx="705">
                  <c:v>0.96446894465206645</c:v>
                </c:pt>
                <c:pt idx="706">
                  <c:v>0.96132735199847685</c:v>
                </c:pt>
                <c:pt idx="707">
                  <c:v>0.95818575934488726</c:v>
                </c:pt>
                <c:pt idx="708">
                  <c:v>0.95504416669129721</c:v>
                </c:pt>
                <c:pt idx="709">
                  <c:v>0.95190257403770762</c:v>
                </c:pt>
                <c:pt idx="710">
                  <c:v>0.94876098138411757</c:v>
                </c:pt>
                <c:pt idx="711">
                  <c:v>0.94561938873052798</c:v>
                </c:pt>
                <c:pt idx="712">
                  <c:v>0.94247779607693793</c:v>
                </c:pt>
                <c:pt idx="713">
                  <c:v>0.93933620342334834</c:v>
                </c:pt>
                <c:pt idx="714">
                  <c:v>0.9361946107697583</c:v>
                </c:pt>
                <c:pt idx="715">
                  <c:v>0.9330530181161687</c:v>
                </c:pt>
                <c:pt idx="716">
                  <c:v>0.9299114254625791</c:v>
                </c:pt>
                <c:pt idx="717">
                  <c:v>0.92676983280898906</c:v>
                </c:pt>
                <c:pt idx="718">
                  <c:v>0.92362824015539946</c:v>
                </c:pt>
                <c:pt idx="719">
                  <c:v>0.92048664750180942</c:v>
                </c:pt>
                <c:pt idx="720">
                  <c:v>0.91734505484821982</c:v>
                </c:pt>
                <c:pt idx="721">
                  <c:v>0.91420346219462978</c:v>
                </c:pt>
                <c:pt idx="722">
                  <c:v>0.91106186954104018</c:v>
                </c:pt>
                <c:pt idx="723">
                  <c:v>0.90792027688745014</c:v>
                </c:pt>
                <c:pt idx="724">
                  <c:v>0.90477868423386054</c:v>
                </c:pt>
                <c:pt idx="725">
                  <c:v>0.90163709158027094</c:v>
                </c:pt>
                <c:pt idx="726">
                  <c:v>0.8984954989266809</c:v>
                </c:pt>
                <c:pt idx="727">
                  <c:v>0.8953539062730913</c:v>
                </c:pt>
                <c:pt idx="728">
                  <c:v>0.89221231361950126</c:v>
                </c:pt>
                <c:pt idx="729">
                  <c:v>0.88907072096591166</c:v>
                </c:pt>
                <c:pt idx="730">
                  <c:v>0.88592912831232162</c:v>
                </c:pt>
                <c:pt idx="731">
                  <c:v>0.88278753565873203</c:v>
                </c:pt>
                <c:pt idx="732">
                  <c:v>0.87964594300514198</c:v>
                </c:pt>
                <c:pt idx="733">
                  <c:v>0.87650435035155239</c:v>
                </c:pt>
                <c:pt idx="734">
                  <c:v>0.87336275769796234</c:v>
                </c:pt>
                <c:pt idx="735">
                  <c:v>0.87022116504437275</c:v>
                </c:pt>
                <c:pt idx="736">
                  <c:v>0.86707957239078315</c:v>
                </c:pt>
                <c:pt idx="737">
                  <c:v>0.86393797973719311</c:v>
                </c:pt>
                <c:pt idx="738">
                  <c:v>0.86079638708360351</c:v>
                </c:pt>
                <c:pt idx="739">
                  <c:v>0.85765479443001347</c:v>
                </c:pt>
                <c:pt idx="740">
                  <c:v>0.85451320177642387</c:v>
                </c:pt>
                <c:pt idx="741">
                  <c:v>0.85137160912283383</c:v>
                </c:pt>
                <c:pt idx="742">
                  <c:v>0.84823001646924423</c:v>
                </c:pt>
                <c:pt idx="743">
                  <c:v>0.84508842381565419</c:v>
                </c:pt>
                <c:pt idx="744">
                  <c:v>0.84194683116206459</c:v>
                </c:pt>
                <c:pt idx="745">
                  <c:v>0.83880523850847499</c:v>
                </c:pt>
                <c:pt idx="746">
                  <c:v>0.83566364585488495</c:v>
                </c:pt>
                <c:pt idx="747">
                  <c:v>0.83252205320129535</c:v>
                </c:pt>
                <c:pt idx="748">
                  <c:v>0.82938046054770531</c:v>
                </c:pt>
                <c:pt idx="749">
                  <c:v>0.82623886789411571</c:v>
                </c:pt>
                <c:pt idx="750">
                  <c:v>0.82309727524052567</c:v>
                </c:pt>
                <c:pt idx="751">
                  <c:v>0.81995568258693607</c:v>
                </c:pt>
                <c:pt idx="752">
                  <c:v>0.81681408993334603</c:v>
                </c:pt>
                <c:pt idx="753">
                  <c:v>0.81367249727975643</c:v>
                </c:pt>
                <c:pt idx="754">
                  <c:v>0.81053090462616684</c:v>
                </c:pt>
                <c:pt idx="755">
                  <c:v>0.8073893119725768</c:v>
                </c:pt>
                <c:pt idx="756">
                  <c:v>0.8042477193189872</c:v>
                </c:pt>
                <c:pt idx="757">
                  <c:v>0.80110612666539716</c:v>
                </c:pt>
                <c:pt idx="758">
                  <c:v>0.79796453401180756</c:v>
                </c:pt>
                <c:pt idx="759">
                  <c:v>0.79482294135821752</c:v>
                </c:pt>
                <c:pt idx="760">
                  <c:v>0.79168134870462792</c:v>
                </c:pt>
                <c:pt idx="761">
                  <c:v>0.78853975605103788</c:v>
                </c:pt>
                <c:pt idx="762">
                  <c:v>0.78539816339744828</c:v>
                </c:pt>
                <c:pt idx="763">
                  <c:v>0.78225657074385868</c:v>
                </c:pt>
                <c:pt idx="764">
                  <c:v>0.77911497809026864</c:v>
                </c:pt>
                <c:pt idx="765">
                  <c:v>0.77597338543667904</c:v>
                </c:pt>
                <c:pt idx="766">
                  <c:v>0.772831792783089</c:v>
                </c:pt>
                <c:pt idx="767">
                  <c:v>0.7696902001294994</c:v>
                </c:pt>
                <c:pt idx="768">
                  <c:v>0.76654860747590936</c:v>
                </c:pt>
                <c:pt idx="769">
                  <c:v>0.76340701482231976</c:v>
                </c:pt>
                <c:pt idx="770">
                  <c:v>0.76026542216872972</c:v>
                </c:pt>
                <c:pt idx="771">
                  <c:v>0.75712382951514012</c:v>
                </c:pt>
                <c:pt idx="772">
                  <c:v>0.75398223686155053</c:v>
                </c:pt>
                <c:pt idx="773">
                  <c:v>0.75084064420796048</c:v>
                </c:pt>
                <c:pt idx="774">
                  <c:v>0.74769905155437089</c:v>
                </c:pt>
                <c:pt idx="775">
                  <c:v>0.74455745890078084</c:v>
                </c:pt>
                <c:pt idx="776">
                  <c:v>0.74141586624719125</c:v>
                </c:pt>
                <c:pt idx="777">
                  <c:v>0.7382742735936012</c:v>
                </c:pt>
                <c:pt idx="778">
                  <c:v>0.73513268094001161</c:v>
                </c:pt>
                <c:pt idx="779">
                  <c:v>0.73199108828642157</c:v>
                </c:pt>
                <c:pt idx="780">
                  <c:v>0.72884949563283197</c:v>
                </c:pt>
                <c:pt idx="781">
                  <c:v>0.72570790297924237</c:v>
                </c:pt>
                <c:pt idx="782">
                  <c:v>0.72256631032565233</c:v>
                </c:pt>
                <c:pt idx="783">
                  <c:v>0.71942471767206273</c:v>
                </c:pt>
                <c:pt idx="784">
                  <c:v>0.71628312501847269</c:v>
                </c:pt>
                <c:pt idx="785">
                  <c:v>0.71314153236488309</c:v>
                </c:pt>
                <c:pt idx="786">
                  <c:v>0.70999993971129305</c:v>
                </c:pt>
                <c:pt idx="787">
                  <c:v>0.70685834705770345</c:v>
                </c:pt>
                <c:pt idx="788">
                  <c:v>0.70371675440411341</c:v>
                </c:pt>
                <c:pt idx="789">
                  <c:v>0.70057516175052381</c:v>
                </c:pt>
                <c:pt idx="790">
                  <c:v>0.69743356909693421</c:v>
                </c:pt>
                <c:pt idx="791">
                  <c:v>0.69429197644334417</c:v>
                </c:pt>
                <c:pt idx="792">
                  <c:v>0.69115038378975457</c:v>
                </c:pt>
                <c:pt idx="793">
                  <c:v>0.68800879113616453</c:v>
                </c:pt>
                <c:pt idx="794">
                  <c:v>0.68486719848257493</c:v>
                </c:pt>
                <c:pt idx="795">
                  <c:v>0.68172560582898489</c:v>
                </c:pt>
                <c:pt idx="796">
                  <c:v>0.6785840131753953</c:v>
                </c:pt>
                <c:pt idx="797">
                  <c:v>0.67544242052180525</c:v>
                </c:pt>
                <c:pt idx="798">
                  <c:v>0.67230082786821566</c:v>
                </c:pt>
                <c:pt idx="799">
                  <c:v>0.66915923521462561</c:v>
                </c:pt>
                <c:pt idx="800">
                  <c:v>0.66601764256103602</c:v>
                </c:pt>
                <c:pt idx="801">
                  <c:v>0.66287604990744642</c:v>
                </c:pt>
                <c:pt idx="802">
                  <c:v>0.65973445725385638</c:v>
                </c:pt>
                <c:pt idx="803">
                  <c:v>0.65659286460026678</c:v>
                </c:pt>
                <c:pt idx="804">
                  <c:v>0.65345127194667674</c:v>
                </c:pt>
                <c:pt idx="805">
                  <c:v>0.65030967929308714</c:v>
                </c:pt>
                <c:pt idx="806">
                  <c:v>0.6471680866394971</c:v>
                </c:pt>
                <c:pt idx="807">
                  <c:v>0.6440264939859075</c:v>
                </c:pt>
                <c:pt idx="808">
                  <c:v>0.64088490133231746</c:v>
                </c:pt>
                <c:pt idx="809">
                  <c:v>0.63774330867872786</c:v>
                </c:pt>
                <c:pt idx="810">
                  <c:v>0.63460171602513826</c:v>
                </c:pt>
                <c:pt idx="811">
                  <c:v>0.63146012337154822</c:v>
                </c:pt>
                <c:pt idx="812">
                  <c:v>0.62831853071795862</c:v>
                </c:pt>
                <c:pt idx="813">
                  <c:v>0.62517693806436858</c:v>
                </c:pt>
                <c:pt idx="814">
                  <c:v>0.62203534541077898</c:v>
                </c:pt>
                <c:pt idx="815">
                  <c:v>0.61889375275718894</c:v>
                </c:pt>
                <c:pt idx="816">
                  <c:v>0.61575216010359934</c:v>
                </c:pt>
                <c:pt idx="817">
                  <c:v>0.6126105674500093</c:v>
                </c:pt>
                <c:pt idx="818">
                  <c:v>0.6094689747964197</c:v>
                </c:pt>
                <c:pt idx="819">
                  <c:v>0.60632738214283011</c:v>
                </c:pt>
                <c:pt idx="820">
                  <c:v>0.60318578948924007</c:v>
                </c:pt>
                <c:pt idx="821">
                  <c:v>0.60004419683565047</c:v>
                </c:pt>
                <c:pt idx="822">
                  <c:v>0.59690260418206043</c:v>
                </c:pt>
                <c:pt idx="823">
                  <c:v>0.59376101152847083</c:v>
                </c:pt>
                <c:pt idx="824">
                  <c:v>0.59061941887488079</c:v>
                </c:pt>
                <c:pt idx="825">
                  <c:v>0.58747782622129163</c:v>
                </c:pt>
                <c:pt idx="826">
                  <c:v>0.58433623356770159</c:v>
                </c:pt>
                <c:pt idx="827">
                  <c:v>0.58119464091411199</c:v>
                </c:pt>
                <c:pt idx="828">
                  <c:v>0.57805304826052195</c:v>
                </c:pt>
                <c:pt idx="829">
                  <c:v>0.57491145560693235</c:v>
                </c:pt>
                <c:pt idx="830">
                  <c:v>0.57176986295334231</c:v>
                </c:pt>
                <c:pt idx="831">
                  <c:v>0.56862827029975271</c:v>
                </c:pt>
                <c:pt idx="832">
                  <c:v>0.56548667764616312</c:v>
                </c:pt>
                <c:pt idx="833">
                  <c:v>0.56234508499257307</c:v>
                </c:pt>
                <c:pt idx="834">
                  <c:v>0.55920349233898348</c:v>
                </c:pt>
                <c:pt idx="835">
                  <c:v>0.55606189968539343</c:v>
                </c:pt>
                <c:pt idx="836">
                  <c:v>0.55292030703180384</c:v>
                </c:pt>
                <c:pt idx="837">
                  <c:v>0.5497787143782138</c:v>
                </c:pt>
                <c:pt idx="838">
                  <c:v>0.5466371217246242</c:v>
                </c:pt>
                <c:pt idx="839">
                  <c:v>0.54349552907103416</c:v>
                </c:pt>
                <c:pt idx="840">
                  <c:v>0.54035393641744456</c:v>
                </c:pt>
                <c:pt idx="841">
                  <c:v>0.53721234376385496</c:v>
                </c:pt>
                <c:pt idx="842">
                  <c:v>0.53407075111026492</c:v>
                </c:pt>
                <c:pt idx="843">
                  <c:v>0.53092915845667532</c:v>
                </c:pt>
                <c:pt idx="844">
                  <c:v>0.52778756580308528</c:v>
                </c:pt>
                <c:pt idx="845">
                  <c:v>0.52464597314949568</c:v>
                </c:pt>
                <c:pt idx="846">
                  <c:v>0.52150438049590564</c:v>
                </c:pt>
                <c:pt idx="847">
                  <c:v>0.51836278784231604</c:v>
                </c:pt>
                <c:pt idx="848">
                  <c:v>0.515221195188726</c:v>
                </c:pt>
                <c:pt idx="849">
                  <c:v>0.5120796025351364</c:v>
                </c:pt>
                <c:pt idx="850">
                  <c:v>0.5089380098815468</c:v>
                </c:pt>
                <c:pt idx="851">
                  <c:v>0.50579641722795676</c:v>
                </c:pt>
                <c:pt idx="852">
                  <c:v>0.50265482457436717</c:v>
                </c:pt>
                <c:pt idx="853">
                  <c:v>0.49951323192077712</c:v>
                </c:pt>
                <c:pt idx="854">
                  <c:v>0.49637163926718753</c:v>
                </c:pt>
                <c:pt idx="855">
                  <c:v>0.49323004661359748</c:v>
                </c:pt>
                <c:pt idx="856">
                  <c:v>0.49008845396000789</c:v>
                </c:pt>
                <c:pt idx="857">
                  <c:v>0.48694686130641784</c:v>
                </c:pt>
                <c:pt idx="858">
                  <c:v>0.48380526865282825</c:v>
                </c:pt>
                <c:pt idx="859">
                  <c:v>0.4806636759992382</c:v>
                </c:pt>
                <c:pt idx="860">
                  <c:v>0.47752208334564861</c:v>
                </c:pt>
                <c:pt idx="861">
                  <c:v>0.47438049069205901</c:v>
                </c:pt>
                <c:pt idx="862">
                  <c:v>0.47123889803846897</c:v>
                </c:pt>
                <c:pt idx="863">
                  <c:v>0.46809730538487937</c:v>
                </c:pt>
                <c:pt idx="864">
                  <c:v>0.46495571273128933</c:v>
                </c:pt>
                <c:pt idx="865">
                  <c:v>0.46181412007769973</c:v>
                </c:pt>
                <c:pt idx="866">
                  <c:v>0.45867252742410969</c:v>
                </c:pt>
                <c:pt idx="867">
                  <c:v>0.45553093477052009</c:v>
                </c:pt>
                <c:pt idx="868">
                  <c:v>0.45238934211693005</c:v>
                </c:pt>
                <c:pt idx="869">
                  <c:v>0.44924774946334045</c:v>
                </c:pt>
                <c:pt idx="870">
                  <c:v>0.44610615680975085</c:v>
                </c:pt>
                <c:pt idx="871">
                  <c:v>0.44296456415616081</c:v>
                </c:pt>
                <c:pt idx="872">
                  <c:v>0.43982297150257121</c:v>
                </c:pt>
                <c:pt idx="873">
                  <c:v>0.43668137884898117</c:v>
                </c:pt>
                <c:pt idx="874">
                  <c:v>0.43353978619539157</c:v>
                </c:pt>
                <c:pt idx="875">
                  <c:v>0.43039819354180153</c:v>
                </c:pt>
                <c:pt idx="876">
                  <c:v>0.42725660088821193</c:v>
                </c:pt>
                <c:pt idx="877">
                  <c:v>0.42411500823462189</c:v>
                </c:pt>
                <c:pt idx="878">
                  <c:v>0.4209734155810323</c:v>
                </c:pt>
                <c:pt idx="879">
                  <c:v>0.4178318229274427</c:v>
                </c:pt>
                <c:pt idx="880">
                  <c:v>0.41469023027385266</c:v>
                </c:pt>
                <c:pt idx="881">
                  <c:v>0.41154863762026306</c:v>
                </c:pt>
                <c:pt idx="882">
                  <c:v>0.40840704496667302</c:v>
                </c:pt>
                <c:pt idx="883">
                  <c:v>0.40526545231308342</c:v>
                </c:pt>
                <c:pt idx="884">
                  <c:v>0.40212385965949338</c:v>
                </c:pt>
                <c:pt idx="885">
                  <c:v>0.39898226700590378</c:v>
                </c:pt>
                <c:pt idx="886">
                  <c:v>0.39584067435231374</c:v>
                </c:pt>
                <c:pt idx="887">
                  <c:v>0.39269908169872414</c:v>
                </c:pt>
                <c:pt idx="888">
                  <c:v>0.38955748904513454</c:v>
                </c:pt>
                <c:pt idx="889">
                  <c:v>0.3864158963915445</c:v>
                </c:pt>
                <c:pt idx="890">
                  <c:v>0.3832743037379549</c:v>
                </c:pt>
                <c:pt idx="891">
                  <c:v>0.38013271108436486</c:v>
                </c:pt>
                <c:pt idx="892">
                  <c:v>0.37699111843077526</c:v>
                </c:pt>
                <c:pt idx="893">
                  <c:v>0.37384952577718522</c:v>
                </c:pt>
                <c:pt idx="894">
                  <c:v>0.37070793312359562</c:v>
                </c:pt>
                <c:pt idx="895">
                  <c:v>0.36756634047000558</c:v>
                </c:pt>
                <c:pt idx="896">
                  <c:v>0.36442474781641598</c:v>
                </c:pt>
                <c:pt idx="897">
                  <c:v>0.36128315516282639</c:v>
                </c:pt>
                <c:pt idx="898">
                  <c:v>0.35814156250923634</c:v>
                </c:pt>
                <c:pt idx="899">
                  <c:v>0.35499996985564675</c:v>
                </c:pt>
                <c:pt idx="900">
                  <c:v>0.3518583772020567</c:v>
                </c:pt>
                <c:pt idx="901">
                  <c:v>0.34871678454846711</c:v>
                </c:pt>
                <c:pt idx="902">
                  <c:v>0.34557519189487707</c:v>
                </c:pt>
                <c:pt idx="903">
                  <c:v>0.34243359924128747</c:v>
                </c:pt>
                <c:pt idx="904">
                  <c:v>0.33929200658769743</c:v>
                </c:pt>
                <c:pt idx="905">
                  <c:v>0.33615041393410783</c:v>
                </c:pt>
                <c:pt idx="906">
                  <c:v>0.33300882128051823</c:v>
                </c:pt>
                <c:pt idx="907">
                  <c:v>0.32986722862692819</c:v>
                </c:pt>
                <c:pt idx="908">
                  <c:v>0.32672563597333859</c:v>
                </c:pt>
                <c:pt idx="909">
                  <c:v>0.32358404331974855</c:v>
                </c:pt>
                <c:pt idx="910">
                  <c:v>0.32044245066615895</c:v>
                </c:pt>
                <c:pt idx="911">
                  <c:v>0.31730085801256891</c:v>
                </c:pt>
                <c:pt idx="912">
                  <c:v>0.31415926535897931</c:v>
                </c:pt>
                <c:pt idx="913">
                  <c:v>0.31101767270538927</c:v>
                </c:pt>
                <c:pt idx="914">
                  <c:v>0.30787608005179967</c:v>
                </c:pt>
                <c:pt idx="915">
                  <c:v>0.30473448739821007</c:v>
                </c:pt>
                <c:pt idx="916">
                  <c:v>0.30159289474462003</c:v>
                </c:pt>
                <c:pt idx="917">
                  <c:v>0.29845130209103043</c:v>
                </c:pt>
                <c:pt idx="918">
                  <c:v>0.29530970943744039</c:v>
                </c:pt>
                <c:pt idx="919">
                  <c:v>0.2921681167838508</c:v>
                </c:pt>
                <c:pt idx="920">
                  <c:v>0.28902652413026075</c:v>
                </c:pt>
                <c:pt idx="921">
                  <c:v>0.28588493147667116</c:v>
                </c:pt>
                <c:pt idx="922">
                  <c:v>0.28274333882308111</c:v>
                </c:pt>
                <c:pt idx="923">
                  <c:v>0.27960174616949152</c:v>
                </c:pt>
                <c:pt idx="924">
                  <c:v>0.27646015351590147</c:v>
                </c:pt>
                <c:pt idx="925">
                  <c:v>0.27331856086231188</c:v>
                </c:pt>
                <c:pt idx="926">
                  <c:v>0.27017696820872228</c:v>
                </c:pt>
                <c:pt idx="927">
                  <c:v>0.26703537555513224</c:v>
                </c:pt>
                <c:pt idx="928">
                  <c:v>0.26389378290154264</c:v>
                </c:pt>
                <c:pt idx="929">
                  <c:v>0.2607521902479526</c:v>
                </c:pt>
                <c:pt idx="930">
                  <c:v>0.257610597594363</c:v>
                </c:pt>
                <c:pt idx="931">
                  <c:v>0.25446900494077296</c:v>
                </c:pt>
                <c:pt idx="932">
                  <c:v>0.25132741228718336</c:v>
                </c:pt>
                <c:pt idx="933">
                  <c:v>0.24818581963359332</c:v>
                </c:pt>
                <c:pt idx="934">
                  <c:v>0.24504422698000372</c:v>
                </c:pt>
                <c:pt idx="935">
                  <c:v>0.24190263432641412</c:v>
                </c:pt>
                <c:pt idx="936">
                  <c:v>0.23876104167282408</c:v>
                </c:pt>
                <c:pt idx="937">
                  <c:v>0.23561944901923448</c:v>
                </c:pt>
                <c:pt idx="938">
                  <c:v>0.23247785636564444</c:v>
                </c:pt>
                <c:pt idx="939">
                  <c:v>0.22933626371205484</c:v>
                </c:pt>
                <c:pt idx="940">
                  <c:v>0.2261946710584648</c:v>
                </c:pt>
                <c:pt idx="941">
                  <c:v>0.2230530784048752</c:v>
                </c:pt>
                <c:pt idx="942">
                  <c:v>0.21991148575128516</c:v>
                </c:pt>
                <c:pt idx="943">
                  <c:v>0.21676989309769557</c:v>
                </c:pt>
                <c:pt idx="944">
                  <c:v>0.21362830044410597</c:v>
                </c:pt>
                <c:pt idx="945">
                  <c:v>0.21048670779051593</c:v>
                </c:pt>
                <c:pt idx="946">
                  <c:v>0.20734511513692633</c:v>
                </c:pt>
                <c:pt idx="947">
                  <c:v>0.20420352248333629</c:v>
                </c:pt>
                <c:pt idx="948">
                  <c:v>0.20106192982974669</c:v>
                </c:pt>
                <c:pt idx="949">
                  <c:v>0.19792033717615665</c:v>
                </c:pt>
                <c:pt idx="950">
                  <c:v>0.19477874452256749</c:v>
                </c:pt>
                <c:pt idx="951">
                  <c:v>0.19163715186897745</c:v>
                </c:pt>
                <c:pt idx="952">
                  <c:v>0.18849555921538785</c:v>
                </c:pt>
                <c:pt idx="953">
                  <c:v>0.18535396656179781</c:v>
                </c:pt>
                <c:pt idx="954">
                  <c:v>0.18221237390820821</c:v>
                </c:pt>
                <c:pt idx="955">
                  <c:v>0.17907078125461817</c:v>
                </c:pt>
                <c:pt idx="956">
                  <c:v>0.17592918860102857</c:v>
                </c:pt>
                <c:pt idx="957">
                  <c:v>0.17278759594743898</c:v>
                </c:pt>
                <c:pt idx="958">
                  <c:v>0.16964600329384893</c:v>
                </c:pt>
                <c:pt idx="959">
                  <c:v>0.16650441064025934</c:v>
                </c:pt>
                <c:pt idx="960">
                  <c:v>0.1633628179866693</c:v>
                </c:pt>
                <c:pt idx="961">
                  <c:v>0.1602212253330797</c:v>
                </c:pt>
                <c:pt idx="962">
                  <c:v>0.15707963267948966</c:v>
                </c:pt>
                <c:pt idx="963">
                  <c:v>0.15393804002590006</c:v>
                </c:pt>
                <c:pt idx="964">
                  <c:v>0.15079644737231002</c:v>
                </c:pt>
                <c:pt idx="965">
                  <c:v>0.14765485471872042</c:v>
                </c:pt>
                <c:pt idx="966">
                  <c:v>0.14451326206513082</c:v>
                </c:pt>
                <c:pt idx="967">
                  <c:v>0.14137166941154078</c:v>
                </c:pt>
                <c:pt idx="968">
                  <c:v>0.13823007675795118</c:v>
                </c:pt>
                <c:pt idx="969">
                  <c:v>0.13508848410436114</c:v>
                </c:pt>
                <c:pt idx="970">
                  <c:v>0.13194689145077154</c:v>
                </c:pt>
                <c:pt idx="971">
                  <c:v>0.1288052987971815</c:v>
                </c:pt>
                <c:pt idx="972">
                  <c:v>0.1256637061435919</c:v>
                </c:pt>
                <c:pt idx="973">
                  <c:v>0.12252211349000186</c:v>
                </c:pt>
                <c:pt idx="974">
                  <c:v>0.11938052083641226</c:v>
                </c:pt>
                <c:pt idx="975">
                  <c:v>0.11623892818282267</c:v>
                </c:pt>
                <c:pt idx="976">
                  <c:v>0.11309733552923262</c:v>
                </c:pt>
                <c:pt idx="977">
                  <c:v>0.10995574287564303</c:v>
                </c:pt>
                <c:pt idx="978">
                  <c:v>0.10681415022205298</c:v>
                </c:pt>
                <c:pt idx="979">
                  <c:v>0.10367255756846339</c:v>
                </c:pt>
                <c:pt idx="980">
                  <c:v>0.10053096491487334</c:v>
                </c:pt>
                <c:pt idx="981">
                  <c:v>9.7389372261283746E-2</c:v>
                </c:pt>
                <c:pt idx="982">
                  <c:v>9.4247779607693705E-2</c:v>
                </c:pt>
                <c:pt idx="983">
                  <c:v>9.1106186954104107E-2</c:v>
                </c:pt>
                <c:pt idx="984">
                  <c:v>8.7964594300514065E-2</c:v>
                </c:pt>
                <c:pt idx="985">
                  <c:v>8.4823001646924467E-2</c:v>
                </c:pt>
                <c:pt idx="986">
                  <c:v>8.168140899333487E-2</c:v>
                </c:pt>
                <c:pt idx="987">
                  <c:v>7.8539816339744828E-2</c:v>
                </c:pt>
                <c:pt idx="988">
                  <c:v>7.539822368615523E-2</c:v>
                </c:pt>
                <c:pt idx="989">
                  <c:v>7.2256631032565188E-2</c:v>
                </c:pt>
                <c:pt idx="990">
                  <c:v>6.9115038378975591E-2</c:v>
                </c:pt>
                <c:pt idx="991">
                  <c:v>6.5973445725385549E-2</c:v>
                </c:pt>
                <c:pt idx="992">
                  <c:v>6.2831853071795951E-2</c:v>
                </c:pt>
                <c:pt idx="993">
                  <c:v>5.9690260418205909E-2</c:v>
                </c:pt>
                <c:pt idx="994">
                  <c:v>5.6548667764616312E-2</c:v>
                </c:pt>
                <c:pt idx="995">
                  <c:v>5.3407075111026714E-2</c:v>
                </c:pt>
                <c:pt idx="996">
                  <c:v>5.0265482457436672E-2</c:v>
                </c:pt>
                <c:pt idx="997">
                  <c:v>4.7123889803847074E-2</c:v>
                </c:pt>
                <c:pt idx="998">
                  <c:v>4.3982297150257033E-2</c:v>
                </c:pt>
                <c:pt idx="999">
                  <c:v>4.0840704496667435E-2</c:v>
                </c:pt>
                <c:pt idx="1000">
                  <c:v>3.7699111843077393E-2</c:v>
                </c:pt>
                <c:pt idx="1001">
                  <c:v>3.4557519189487795E-2</c:v>
                </c:pt>
                <c:pt idx="1002">
                  <c:v>3.1415926535897754E-2</c:v>
                </c:pt>
                <c:pt idx="1003">
                  <c:v>2.8274333882308156E-2</c:v>
                </c:pt>
                <c:pt idx="1004">
                  <c:v>2.5132741228718558E-2</c:v>
                </c:pt>
                <c:pt idx="1005">
                  <c:v>2.1991148575128516E-2</c:v>
                </c:pt>
                <c:pt idx="1006">
                  <c:v>1.8849555921538919E-2</c:v>
                </c:pt>
                <c:pt idx="1007">
                  <c:v>1.5707963267948877E-2</c:v>
                </c:pt>
                <c:pt idx="1008">
                  <c:v>1.2566370614359279E-2</c:v>
                </c:pt>
                <c:pt idx="1009">
                  <c:v>9.4247779607692372E-3</c:v>
                </c:pt>
                <c:pt idx="1010">
                  <c:v>6.2831853071796395E-3</c:v>
                </c:pt>
                <c:pt idx="1011">
                  <c:v>3.1415926535895977E-3</c:v>
                </c:pt>
                <c:pt idx="1012">
                  <c:v>3.1415926535904859E-4</c:v>
                </c:pt>
                <c:pt idx="1013">
                  <c:v>3.1415926535771632E-5</c:v>
                </c:pt>
                <c:pt idx="1014">
                  <c:v>3.1415926535771632E-6</c:v>
                </c:pt>
                <c:pt idx="1015">
                  <c:v>3.1415926526889848E-7</c:v>
                </c:pt>
                <c:pt idx="1016">
                  <c:v>3.1415926748934453E-8</c:v>
                </c:pt>
                <c:pt idx="1017">
                  <c:v>3.1415927637112873E-9</c:v>
                </c:pt>
                <c:pt idx="1018">
                  <c:v>3.141593651889707E-10</c:v>
                </c:pt>
                <c:pt idx="1019">
                  <c:v>0</c:v>
                </c:pt>
              </c:numCache>
            </c:numRef>
          </c:xVal>
          <c:yVal>
            <c:numRef>
              <c:f>Sheet1!$AF$25:$AF$1044</c:f>
              <c:numCache>
                <c:formatCode>General</c:formatCode>
                <c:ptCount val="10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6.2673778061119856E-308</c:v>
                </c:pt>
                <c:pt idx="830">
                  <c:v>2.374314599842713E-307</c:v>
                </c:pt>
                <c:pt idx="831">
                  <c:v>8.9023902908520354E-307</c:v>
                </c:pt>
                <c:pt idx="832">
                  <c:v>3.3038185144902766E-306</c:v>
                </c:pt>
                <c:pt idx="833">
                  <c:v>1.2136455780712004E-305</c:v>
                </c:pt>
                <c:pt idx="834">
                  <c:v>4.4132489739379894E-305</c:v>
                </c:pt>
                <c:pt idx="835">
                  <c:v>1.5886941839431618E-304</c:v>
                </c:pt>
                <c:pt idx="836">
                  <c:v>5.6618940373476378E-304</c:v>
                </c:pt>
                <c:pt idx="837">
                  <c:v>1.9977756457757631E-303</c:v>
                </c:pt>
                <c:pt idx="838">
                  <c:v>6.9794145043147292E-303</c:v>
                </c:pt>
                <c:pt idx="839">
                  <c:v>2.4143603422368808E-302</c:v>
                </c:pt>
                <c:pt idx="840">
                  <c:v>8.2702624951410712E-302</c:v>
                </c:pt>
                <c:pt idx="841">
                  <c:v>2.8053927181352016E-301</c:v>
                </c:pt>
                <c:pt idx="842">
                  <c:v>9.4242767847846444E-301</c:v>
                </c:pt>
                <c:pt idx="843">
                  <c:v>3.1354869655722067E-300</c:v>
                </c:pt>
                <c:pt idx="844">
                  <c:v>1.0332060650410506E-299</c:v>
                </c:pt>
                <c:pt idx="845">
                  <c:v>3.3722210272258749E-299</c:v>
                </c:pt>
                <c:pt idx="846">
                  <c:v>1.0902201218090673E-298</c:v>
                </c:pt>
                <c:pt idx="847">
                  <c:v>3.4914284846682648E-298</c:v>
                </c:pt>
                <c:pt idx="848">
                  <c:v>1.1076547340510199E-297</c:v>
                </c:pt>
                <c:pt idx="849">
                  <c:v>3.4812824005116862E-297</c:v>
                </c:pt>
                <c:pt idx="850">
                  <c:v>1.0839987152526148E-296</c:v>
                </c:pt>
                <c:pt idx="851">
                  <c:v>3.3442120950579999E-296</c:v>
                </c:pt>
                <c:pt idx="852">
                  <c:v>1.0222451284328533E-295</c:v>
                </c:pt>
                <c:pt idx="853">
                  <c:v>3.0962279527198299E-295</c:v>
                </c:pt>
                <c:pt idx="854">
                  <c:v>9.2928235601975627E-295</c:v>
                </c:pt>
                <c:pt idx="855">
                  <c:v>2.7638812807716248E-294</c:v>
                </c:pt>
                <c:pt idx="856">
                  <c:v>8.1464396902760813E-294</c:v>
                </c:pt>
                <c:pt idx="857">
                  <c:v>2.3796479878649195E-293</c:v>
                </c:pt>
                <c:pt idx="858">
                  <c:v>6.8892737378671835E-293</c:v>
                </c:pt>
                <c:pt idx="859">
                  <c:v>1.9768297171019611E-292</c:v>
                </c:pt>
                <c:pt idx="860">
                  <c:v>5.6223674801744004E-292</c:v>
                </c:pt>
                <c:pt idx="861">
                  <c:v>1.5850471975904437E-291</c:v>
                </c:pt>
                <c:pt idx="862">
                  <c:v>4.4295217503630047E-291</c:v>
                </c:pt>
                <c:pt idx="863">
                  <c:v>1.227104708625762E-290</c:v>
                </c:pt>
                <c:pt idx="864">
                  <c:v>3.3700383037233368E-290</c:v>
                </c:pt>
                <c:pt idx="865">
                  <c:v>9.1756022943483078E-290</c:v>
                </c:pt>
                <c:pt idx="866">
                  <c:v>2.4768446555664112E-289</c:v>
                </c:pt>
                <c:pt idx="867">
                  <c:v>6.6289559029904831E-289</c:v>
                </c:pt>
                <c:pt idx="868">
                  <c:v>1.7591027655708733E-288</c:v>
                </c:pt>
                <c:pt idx="869">
                  <c:v>4.6286503928220168E-288</c:v>
                </c:pt>
                <c:pt idx="870">
                  <c:v>1.2076798500009075E-287</c:v>
                </c:pt>
                <c:pt idx="871">
                  <c:v>3.1246439893439147E-287</c:v>
                </c:pt>
                <c:pt idx="872">
                  <c:v>8.017101424907924E-287</c:v>
                </c:pt>
                <c:pt idx="873">
                  <c:v>2.0399474624428553E-286</c:v>
                </c:pt>
                <c:pt idx="874">
                  <c:v>5.1478020545458117E-286</c:v>
                </c:pt>
                <c:pt idx="875">
                  <c:v>1.2883749034996786E-285</c:v>
                </c:pt>
                <c:pt idx="876">
                  <c:v>3.1981319200296937E-285</c:v>
                </c:pt>
                <c:pt idx="877">
                  <c:v>7.8740861124736666E-285</c:v>
                </c:pt>
                <c:pt idx="878">
                  <c:v>1.9229562984446819E-284</c:v>
                </c:pt>
                <c:pt idx="879">
                  <c:v>4.6582175812202273E-284</c:v>
                </c:pt>
                <c:pt idx="880">
                  <c:v>1.1193520369111577E-283</c:v>
                </c:pt>
                <c:pt idx="881">
                  <c:v>2.6682436690509345E-283</c:v>
                </c:pt>
                <c:pt idx="882">
                  <c:v>6.3097374719390452E-283</c:v>
                </c:pt>
                <c:pt idx="883">
                  <c:v>1.4802636594865886E-282</c:v>
                </c:pt>
                <c:pt idx="884">
                  <c:v>3.4452731925142618E-282</c:v>
                </c:pt>
                <c:pt idx="885">
                  <c:v>7.9557240037806374E-282</c:v>
                </c:pt>
                <c:pt idx="886">
                  <c:v>1.8227273263592024E-281</c:v>
                </c:pt>
                <c:pt idx="887">
                  <c:v>4.1434680373146072E-281</c:v>
                </c:pt>
                <c:pt idx="888">
                  <c:v>9.345891977719139E-281</c:v>
                </c:pt>
                <c:pt idx="889">
                  <c:v>2.0917319239106921E-280</c:v>
                </c:pt>
                <c:pt idx="890">
                  <c:v>4.6455128959342936E-280</c:v>
                </c:pt>
                <c:pt idx="891">
                  <c:v>1.023805396580614E-279</c:v>
                </c:pt>
                <c:pt idx="892">
                  <c:v>2.2390862726364409E-279</c:v>
                </c:pt>
                <c:pt idx="893">
                  <c:v>4.8596761388477933E-279</c:v>
                </c:pt>
                <c:pt idx="894">
                  <c:v>1.0467432878993989E-278</c:v>
                </c:pt>
                <c:pt idx="895">
                  <c:v>2.2376003383565403E-278</c:v>
                </c:pt>
                <c:pt idx="896">
                  <c:v>4.7473068495337243E-278</c:v>
                </c:pt>
                <c:pt idx="897">
                  <c:v>9.9964860935061969E-278</c:v>
                </c:pt>
                <c:pt idx="898">
                  <c:v>2.089273939350939E-277</c:v>
                </c:pt>
                <c:pt idx="899">
                  <c:v>4.3341496608764681E-277</c:v>
                </c:pt>
                <c:pt idx="900">
                  <c:v>8.9245290893929638E-277</c:v>
                </c:pt>
                <c:pt idx="901">
                  <c:v>1.8241134914219208E-276</c:v>
                </c:pt>
                <c:pt idx="902">
                  <c:v>3.7009707380042667E-276</c:v>
                </c:pt>
                <c:pt idx="903">
                  <c:v>7.4539876033990046E-276</c:v>
                </c:pt>
                <c:pt idx="904">
                  <c:v>1.4903309803364026E-275</c:v>
                </c:pt>
                <c:pt idx="905">
                  <c:v>2.9580773916333893E-275</c:v>
                </c:pt>
                <c:pt idx="906">
                  <c:v>5.8288197771979612E-275</c:v>
                </c:pt>
                <c:pt idx="907">
                  <c:v>1.1402692998267123E-274</c:v>
                </c:pt>
                <c:pt idx="908">
                  <c:v>2.2146302379665442E-274</c:v>
                </c:pt>
                <c:pt idx="909">
                  <c:v>4.2704452065460788E-274</c:v>
                </c:pt>
                <c:pt idx="910">
                  <c:v>8.1758747278868547E-274</c:v>
                </c:pt>
                <c:pt idx="911">
                  <c:v>1.5541585688835561E-273</c:v>
                </c:pt>
                <c:pt idx="912">
                  <c:v>2.9333723610582249E-273</c:v>
                </c:pt>
                <c:pt idx="913">
                  <c:v>5.4974393604748674E-273</c:v>
                </c:pt>
                <c:pt idx="914">
                  <c:v>1.0230233966384664E-272</c:v>
                </c:pt>
                <c:pt idx="915">
                  <c:v>1.890396500292256E-272</c:v>
                </c:pt>
                <c:pt idx="916">
                  <c:v>3.4687474950646565E-272</c:v>
                </c:pt>
                <c:pt idx="917">
                  <c:v>6.3205519969932525E-272</c:v>
                </c:pt>
                <c:pt idx="918">
                  <c:v>1.1436939861556136E-271</c:v>
                </c:pt>
                <c:pt idx="919">
                  <c:v>2.0551665136509237E-271</c:v>
                </c:pt>
                <c:pt idx="920">
                  <c:v>3.6675517978380019E-271</c:v>
                </c:pt>
                <c:pt idx="921">
                  <c:v>6.4999071188592424E-271</c:v>
                </c:pt>
                <c:pt idx="922">
                  <c:v>1.144060954589921E-270</c:v>
                </c:pt>
                <c:pt idx="923">
                  <c:v>1.9999154565258135E-270</c:v>
                </c:pt>
                <c:pt idx="924">
                  <c:v>3.472192445847435E-270</c:v>
                </c:pt>
                <c:pt idx="925">
                  <c:v>5.9873509148619152E-270</c:v>
                </c:pt>
                <c:pt idx="926">
                  <c:v>1.0254473923586574E-269</c:v>
                </c:pt>
                <c:pt idx="927">
                  <c:v>1.744410363209993E-269</c:v>
                </c:pt>
                <c:pt idx="928">
                  <c:v>2.9474691230009233E-269</c:v>
                </c:pt>
                <c:pt idx="929">
                  <c:v>4.946793896824489E-269</c:v>
                </c:pt>
                <c:pt idx="930">
                  <c:v>8.2467116216337823E-269</c:v>
                </c:pt>
                <c:pt idx="931">
                  <c:v>1.3656160574151404E-268</c:v>
                </c:pt>
                <c:pt idx="932">
                  <c:v>2.2463400174435534E-268</c:v>
                </c:pt>
                <c:pt idx="933">
                  <c:v>3.6705368287243629E-268</c:v>
                </c:pt>
                <c:pt idx="934">
                  <c:v>5.9579782669379313E-268</c:v>
                </c:pt>
                <c:pt idx="935">
                  <c:v>9.6070795755738358E-268</c:v>
                </c:pt>
                <c:pt idx="936">
                  <c:v>1.5389155867412073E-267</c:v>
                </c:pt>
                <c:pt idx="937">
                  <c:v>2.4489325499069378E-267</c:v>
                </c:pt>
                <c:pt idx="938">
                  <c:v>3.8715513821505895E-267</c:v>
                </c:pt>
                <c:pt idx="939">
                  <c:v>6.0806059454013721E-267</c:v>
                </c:pt>
                <c:pt idx="940">
                  <c:v>9.4878903641913832E-267</c:v>
                </c:pt>
                <c:pt idx="941">
                  <c:v>1.4708237887186493E-266</c:v>
                </c:pt>
                <c:pt idx="942">
                  <c:v>2.2653063151258031E-266</c:v>
                </c:pt>
                <c:pt idx="943">
                  <c:v>3.4663748860411297E-266</c:v>
                </c:pt>
                <c:pt idx="944">
                  <c:v>5.2700327880500282E-266</c:v>
                </c:pt>
                <c:pt idx="945">
                  <c:v>7.9606233935668103E-266</c:v>
                </c:pt>
                <c:pt idx="946">
                  <c:v>1.1947677281658563E-265</c:v>
                </c:pt>
                <c:pt idx="947">
                  <c:v>1.7816774871463892E-265</c:v>
                </c:pt>
                <c:pt idx="948">
                  <c:v>2.639917513913395E-265</c:v>
                </c:pt>
                <c:pt idx="949">
                  <c:v>3.8866337824943517E-265</c:v>
                </c:pt>
                <c:pt idx="950">
                  <c:v>5.6857154328019287E-265</c:v>
                </c:pt>
                <c:pt idx="951">
                  <c:v>8.2647739654171345E-265</c:v>
                </c:pt>
                <c:pt idx="952">
                  <c:v>1.1937605548426352E-264</c:v>
                </c:pt>
                <c:pt idx="953">
                  <c:v>1.7133645067542571E-264</c:v>
                </c:pt>
                <c:pt idx="954">
                  <c:v>2.4436241761632726E-264</c:v>
                </c:pt>
                <c:pt idx="955">
                  <c:v>3.4631943837449971E-264</c:v>
                </c:pt>
                <c:pt idx="956">
                  <c:v>4.8773366055923341E-264</c:v>
                </c:pt>
                <c:pt idx="957">
                  <c:v>6.8258617414343148E-264</c:v>
                </c:pt>
                <c:pt idx="958">
                  <c:v>9.4930666723665453E-264</c:v>
                </c:pt>
                <c:pt idx="959">
                  <c:v>1.312003954418016E-263</c:v>
                </c:pt>
                <c:pt idx="960">
                  <c:v>1.801973941708571E-263</c:v>
                </c:pt>
                <c:pt idx="961">
                  <c:v>2.4595275688709754E-263</c:v>
                </c:pt>
                <c:pt idx="962">
                  <c:v>3.3361816065480427E-263</c:v>
                </c:pt>
                <c:pt idx="963">
                  <c:v>4.4972532447062958E-263</c:v>
                </c:pt>
                <c:pt idx="964">
                  <c:v>6.0248944737669435E-263</c:v>
                </c:pt>
                <c:pt idx="965">
                  <c:v>8.0215935631152521E-263</c:v>
                </c:pt>
                <c:pt idx="966">
                  <c:v>1.061415770400915E-262</c:v>
                </c:pt>
                <c:pt idx="967">
                  <c:v>1.3958172368812008E-262</c:v>
                </c:pt>
                <c:pt idx="968">
                  <c:v>1.8242908524153969E-262</c:v>
                </c:pt>
                <c:pt idx="969">
                  <c:v>2.3696618097080337E-262</c:v>
                </c:pt>
                <c:pt idx="970">
                  <c:v>3.059212090128955E-262</c:v>
                </c:pt>
                <c:pt idx="971">
                  <c:v>3.9252542852759607E-262</c:v>
                </c:pt>
                <c:pt idx="972">
                  <c:v>5.0057016509663491E-262</c:v>
                </c:pt>
                <c:pt idx="973">
                  <c:v>6.3446102121032816E-262</c:v>
                </c:pt>
                <c:pt idx="974">
                  <c:v>7.9926632496252541E-262</c:v>
                </c:pt>
                <c:pt idx="975">
                  <c:v>1.0007563085081344E-261</c:v>
                </c:pt>
                <c:pt idx="976">
                  <c:v>1.2454290079145554E-261</c:v>
                </c:pt>
                <c:pt idx="977">
                  <c:v>1.5405184586733992E-261</c:v>
                </c:pt>
                <c:pt idx="978">
                  <c:v>1.8939804724345361E-261</c:v>
                </c:pt>
                <c:pt idx="979">
                  <c:v>2.3144511697089793E-261</c:v>
                </c:pt>
                <c:pt idx="980">
                  <c:v>2.8111735600532808E-261</c:v>
                </c:pt>
                <c:pt idx="981">
                  <c:v>3.3938878519017998E-261</c:v>
                </c:pt>
                <c:pt idx="982">
                  <c:v>4.0726818785445731E-261</c:v>
                </c:pt>
                <c:pt idx="983">
                  <c:v>4.8577990717606121E-261</c:v>
                </c:pt>
                <c:pt idx="984">
                  <c:v>5.7594028128183834E-261</c:v>
                </c:pt>
                <c:pt idx="985">
                  <c:v>6.7872977323608935E-261</c:v>
                </c:pt>
                <c:pt idx="986">
                  <c:v>7.9506105839432263E-261</c:v>
                </c:pt>
                <c:pt idx="987">
                  <c:v>9.2574356216250947E-261</c:v>
                </c:pt>
                <c:pt idx="988">
                  <c:v>1.0714451883531025E-260</c:v>
                </c:pt>
                <c:pt idx="989">
                  <c:v>1.2326522308939143E-260</c:v>
                </c:pt>
                <c:pt idx="990">
                  <c:v>1.4096287060263014E-260</c:v>
                </c:pt>
                <c:pt idx="991">
                  <c:v>1.6023765631198106E-260</c:v>
                </c:pt>
                <c:pt idx="992">
                  <c:v>1.8105984135696485E-260</c:v>
                </c:pt>
                <c:pt idx="993">
                  <c:v>2.0336645427215065E-260</c:v>
                </c:pt>
                <c:pt idx="994">
                  <c:v>2.2705860242725825E-260</c:v>
                </c:pt>
                <c:pt idx="995">
                  <c:v>2.5199957273700735E-260</c:v>
                </c:pt>
                <c:pt idx="996">
                  <c:v>2.7801388844126452E-260</c:v>
                </c:pt>
                <c:pt idx="997">
                  <c:v>3.0488746676976949E-260</c:v>
                </c:pt>
                <c:pt idx="998">
                  <c:v>3.3236899063075315E-260</c:v>
                </c:pt>
                <c:pt idx="999">
                  <c:v>3.6017256680549923E-260</c:v>
                </c:pt>
                <c:pt idx="1000">
                  <c:v>3.8798169478686186E-260</c:v>
                </c:pt>
                <c:pt idx="1001">
                  <c:v>4.1545451629316543E-260</c:v>
                </c:pt>
                <c:pt idx="1002">
                  <c:v>4.4223025808712119E-260</c:v>
                </c:pt>
                <c:pt idx="1003">
                  <c:v>4.6793672287895429E-260</c:v>
                </c:pt>
                <c:pt idx="1004">
                  <c:v>4.9219862791691316E-260</c:v>
                </c:pt>
                <c:pt idx="1005">
                  <c:v>5.1464654161162374E-260</c:v>
                </c:pt>
                <c:pt idx="1006">
                  <c:v>5.3492612820297831E-260</c:v>
                </c:pt>
                <c:pt idx="1007">
                  <c:v>5.5270738183579084E-260</c:v>
                </c:pt>
                <c:pt idx="1008">
                  <c:v>5.6769351661165416E-260</c:v>
                </c:pt>
                <c:pt idx="1009">
                  <c:v>5.7962917968930472E-260</c:v>
                </c:pt>
                <c:pt idx="1010">
                  <c:v>5.883076709068286E-260</c:v>
                </c:pt>
                <c:pt idx="1011">
                  <c:v>5.9357688444163375E-260</c:v>
                </c:pt>
                <c:pt idx="1012">
                  <c:v>5.9532603995362101E-260</c:v>
                </c:pt>
                <c:pt idx="1013">
                  <c:v>5.9534355808889835E-260</c:v>
                </c:pt>
                <c:pt idx="1014">
                  <c:v>5.9534373955987447E-260</c:v>
                </c:pt>
                <c:pt idx="1015">
                  <c:v>5.9534380423686171E-260</c:v>
                </c:pt>
                <c:pt idx="1016">
                  <c:v>5.9534443350700199E-260</c:v>
                </c:pt>
                <c:pt idx="1017">
                  <c:v>5.9535072607639598E-260</c:v>
                </c:pt>
                <c:pt idx="1018">
                  <c:v>5.9541365538436972E-260</c:v>
                </c:pt>
                <c:pt idx="1019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g_near_1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Sheet1!$D$25:$D$1044</c:f>
              <c:numCache>
                <c:formatCode>General</c:formatCode>
                <c:ptCount val="1020"/>
                <c:pt idx="0">
                  <c:v>3.1415926535897927</c:v>
                </c:pt>
                <c:pt idx="1">
                  <c:v>3.14159265358979</c:v>
                </c:pt>
                <c:pt idx="2">
                  <c:v>3.1415926535897616</c:v>
                </c:pt>
                <c:pt idx="3">
                  <c:v>3.1415926535894791</c:v>
                </c:pt>
                <c:pt idx="4">
                  <c:v>3.1415926535866516</c:v>
                </c:pt>
                <c:pt idx="5">
                  <c:v>3.1415926535583774</c:v>
                </c:pt>
                <c:pt idx="6">
                  <c:v>3.1415926532756338</c:v>
                </c:pt>
                <c:pt idx="7">
                  <c:v>3.1415926504482004</c:v>
                </c:pt>
                <c:pt idx="8">
                  <c:v>3.1415926221738664</c:v>
                </c:pt>
                <c:pt idx="9">
                  <c:v>3.1415923394305278</c:v>
                </c:pt>
                <c:pt idx="10">
                  <c:v>3.1415895119971395</c:v>
                </c:pt>
                <c:pt idx="11">
                  <c:v>3.1415612376632573</c:v>
                </c:pt>
                <c:pt idx="12">
                  <c:v>3.1412784943244341</c:v>
                </c:pt>
                <c:pt idx="13">
                  <c:v>3.1384510609362035</c:v>
                </c:pt>
                <c:pt idx="14">
                  <c:v>3.1353094682826135</c:v>
                </c:pt>
                <c:pt idx="15">
                  <c:v>3.1321678756290239</c:v>
                </c:pt>
                <c:pt idx="16">
                  <c:v>3.1290262829754338</c:v>
                </c:pt>
                <c:pt idx="17">
                  <c:v>3.1258846903218442</c:v>
                </c:pt>
                <c:pt idx="18">
                  <c:v>3.1227430976682542</c:v>
                </c:pt>
                <c:pt idx="19">
                  <c:v>3.1196015050146646</c:v>
                </c:pt>
                <c:pt idx="20">
                  <c:v>3.1164599123610746</c:v>
                </c:pt>
                <c:pt idx="21">
                  <c:v>3.113318319707485</c:v>
                </c:pt>
                <c:pt idx="22">
                  <c:v>3.1101767270538954</c:v>
                </c:pt>
                <c:pt idx="23">
                  <c:v>3.1070351344003053</c:v>
                </c:pt>
                <c:pt idx="24">
                  <c:v>3.1038935417467157</c:v>
                </c:pt>
                <c:pt idx="25">
                  <c:v>3.1007519490931257</c:v>
                </c:pt>
                <c:pt idx="26">
                  <c:v>3.0976103564395361</c:v>
                </c:pt>
                <c:pt idx="27">
                  <c:v>3.094468763785946</c:v>
                </c:pt>
                <c:pt idx="28">
                  <c:v>3.0913271711323564</c:v>
                </c:pt>
                <c:pt idx="29">
                  <c:v>3.0881855784787668</c:v>
                </c:pt>
                <c:pt idx="30">
                  <c:v>3.0850439858251768</c:v>
                </c:pt>
                <c:pt idx="31">
                  <c:v>3.0819023931715872</c:v>
                </c:pt>
                <c:pt idx="32">
                  <c:v>3.0787608005179972</c:v>
                </c:pt>
                <c:pt idx="33">
                  <c:v>3.0756192078644076</c:v>
                </c:pt>
                <c:pt idx="34">
                  <c:v>3.0724776152108175</c:v>
                </c:pt>
                <c:pt idx="35">
                  <c:v>3.0693360225572279</c:v>
                </c:pt>
                <c:pt idx="36">
                  <c:v>3.0661944299036379</c:v>
                </c:pt>
                <c:pt idx="37">
                  <c:v>3.0630528372500483</c:v>
                </c:pt>
                <c:pt idx="38">
                  <c:v>3.0599112445964587</c:v>
                </c:pt>
                <c:pt idx="39">
                  <c:v>3.0567696519428686</c:v>
                </c:pt>
                <c:pt idx="40">
                  <c:v>3.0536280592892791</c:v>
                </c:pt>
                <c:pt idx="41">
                  <c:v>3.050486466635689</c:v>
                </c:pt>
                <c:pt idx="42">
                  <c:v>3.0473448739820994</c:v>
                </c:pt>
                <c:pt idx="43">
                  <c:v>3.0442032813285094</c:v>
                </c:pt>
                <c:pt idx="44">
                  <c:v>3.0410616886749198</c:v>
                </c:pt>
                <c:pt idx="45">
                  <c:v>3.0379200960213297</c:v>
                </c:pt>
                <c:pt idx="46">
                  <c:v>3.0347785033677401</c:v>
                </c:pt>
                <c:pt idx="47">
                  <c:v>3.0316369107141505</c:v>
                </c:pt>
                <c:pt idx="48">
                  <c:v>3.0284953180605605</c:v>
                </c:pt>
                <c:pt idx="49">
                  <c:v>3.0253537254069709</c:v>
                </c:pt>
                <c:pt idx="50">
                  <c:v>3.0222121327533809</c:v>
                </c:pt>
                <c:pt idx="51">
                  <c:v>3.0190705400997913</c:v>
                </c:pt>
                <c:pt idx="52">
                  <c:v>3.0159289474462012</c:v>
                </c:pt>
                <c:pt idx="53">
                  <c:v>3.0127873547926116</c:v>
                </c:pt>
                <c:pt idx="54">
                  <c:v>3.009645762139022</c:v>
                </c:pt>
                <c:pt idx="55">
                  <c:v>3.006504169485432</c:v>
                </c:pt>
                <c:pt idx="56">
                  <c:v>3.0033625768318424</c:v>
                </c:pt>
                <c:pt idx="57">
                  <c:v>3.0002209841782523</c:v>
                </c:pt>
                <c:pt idx="58">
                  <c:v>2.9970793915246627</c:v>
                </c:pt>
                <c:pt idx="59">
                  <c:v>2.9939377988710727</c:v>
                </c:pt>
                <c:pt idx="60">
                  <c:v>2.9907962062174831</c:v>
                </c:pt>
                <c:pt idx="61">
                  <c:v>2.9876546135638931</c:v>
                </c:pt>
                <c:pt idx="62">
                  <c:v>2.9845130209103035</c:v>
                </c:pt>
                <c:pt idx="63">
                  <c:v>2.9813714282567139</c:v>
                </c:pt>
                <c:pt idx="64">
                  <c:v>2.9782298356031238</c:v>
                </c:pt>
                <c:pt idx="65">
                  <c:v>2.9750882429495342</c:v>
                </c:pt>
                <c:pt idx="66">
                  <c:v>2.9719466502959442</c:v>
                </c:pt>
                <c:pt idx="67">
                  <c:v>2.9688050576423546</c:v>
                </c:pt>
                <c:pt idx="68">
                  <c:v>2.9656634649887645</c:v>
                </c:pt>
                <c:pt idx="69">
                  <c:v>2.9625218723351749</c:v>
                </c:pt>
                <c:pt idx="70">
                  <c:v>2.9593802796815849</c:v>
                </c:pt>
                <c:pt idx="71">
                  <c:v>2.9562386870279953</c:v>
                </c:pt>
                <c:pt idx="72">
                  <c:v>2.9530970943744057</c:v>
                </c:pt>
                <c:pt idx="73">
                  <c:v>2.9499555017208157</c:v>
                </c:pt>
                <c:pt idx="74">
                  <c:v>2.9468139090672261</c:v>
                </c:pt>
                <c:pt idx="75">
                  <c:v>2.943672316413636</c:v>
                </c:pt>
                <c:pt idx="76">
                  <c:v>2.9405307237600464</c:v>
                </c:pt>
                <c:pt idx="77">
                  <c:v>2.9373891311064564</c:v>
                </c:pt>
                <c:pt idx="78">
                  <c:v>2.9342475384528668</c:v>
                </c:pt>
                <c:pt idx="79">
                  <c:v>2.9311059457992767</c:v>
                </c:pt>
                <c:pt idx="80">
                  <c:v>2.9279643531456871</c:v>
                </c:pt>
                <c:pt idx="81">
                  <c:v>2.9248227604920976</c:v>
                </c:pt>
                <c:pt idx="82">
                  <c:v>2.9216811678385075</c:v>
                </c:pt>
                <c:pt idx="83">
                  <c:v>2.9185395751849179</c:v>
                </c:pt>
                <c:pt idx="84">
                  <c:v>2.9153979825313279</c:v>
                </c:pt>
                <c:pt idx="85">
                  <c:v>2.9122563898777383</c:v>
                </c:pt>
                <c:pt idx="86">
                  <c:v>2.9091147972241482</c:v>
                </c:pt>
                <c:pt idx="87">
                  <c:v>2.9059732045705586</c:v>
                </c:pt>
                <c:pt idx="88">
                  <c:v>2.902831611916969</c:v>
                </c:pt>
                <c:pt idx="89">
                  <c:v>2.899690019263379</c:v>
                </c:pt>
                <c:pt idx="90">
                  <c:v>2.8965484266097894</c:v>
                </c:pt>
                <c:pt idx="91">
                  <c:v>2.8934068339561994</c:v>
                </c:pt>
                <c:pt idx="92">
                  <c:v>2.8902652413026098</c:v>
                </c:pt>
                <c:pt idx="93">
                  <c:v>2.8871236486490197</c:v>
                </c:pt>
                <c:pt idx="94">
                  <c:v>2.8839820559954301</c:v>
                </c:pt>
                <c:pt idx="95">
                  <c:v>2.8808404633418405</c:v>
                </c:pt>
                <c:pt idx="96">
                  <c:v>2.8776988706882505</c:v>
                </c:pt>
                <c:pt idx="97">
                  <c:v>2.8745572780346604</c:v>
                </c:pt>
                <c:pt idx="98">
                  <c:v>2.8714156853810708</c:v>
                </c:pt>
                <c:pt idx="99">
                  <c:v>2.8682740927274812</c:v>
                </c:pt>
                <c:pt idx="100">
                  <c:v>2.8651325000738912</c:v>
                </c:pt>
                <c:pt idx="101">
                  <c:v>2.8619909074203016</c:v>
                </c:pt>
                <c:pt idx="102">
                  <c:v>2.8588493147667116</c:v>
                </c:pt>
                <c:pt idx="103">
                  <c:v>2.855707722113122</c:v>
                </c:pt>
                <c:pt idx="104">
                  <c:v>2.8525661294595324</c:v>
                </c:pt>
                <c:pt idx="105">
                  <c:v>2.8494245368059423</c:v>
                </c:pt>
                <c:pt idx="106">
                  <c:v>2.8462829441523527</c:v>
                </c:pt>
                <c:pt idx="107">
                  <c:v>2.8431413514987627</c:v>
                </c:pt>
                <c:pt idx="108">
                  <c:v>2.8399997588451731</c:v>
                </c:pt>
                <c:pt idx="109">
                  <c:v>2.836858166191583</c:v>
                </c:pt>
                <c:pt idx="110">
                  <c:v>2.8337165735379934</c:v>
                </c:pt>
                <c:pt idx="111">
                  <c:v>2.8305749808844034</c:v>
                </c:pt>
                <c:pt idx="112">
                  <c:v>2.8274333882308138</c:v>
                </c:pt>
                <c:pt idx="113">
                  <c:v>2.8242917955772242</c:v>
                </c:pt>
                <c:pt idx="114">
                  <c:v>2.8211502029236342</c:v>
                </c:pt>
                <c:pt idx="115">
                  <c:v>2.8180086102700446</c:v>
                </c:pt>
                <c:pt idx="116">
                  <c:v>2.8148670176164545</c:v>
                </c:pt>
                <c:pt idx="117">
                  <c:v>2.8117254249628649</c:v>
                </c:pt>
                <c:pt idx="118">
                  <c:v>2.8085838323092749</c:v>
                </c:pt>
                <c:pt idx="119">
                  <c:v>2.8054422396556853</c:v>
                </c:pt>
                <c:pt idx="120">
                  <c:v>2.8023006470020952</c:v>
                </c:pt>
                <c:pt idx="121">
                  <c:v>2.7991590543485056</c:v>
                </c:pt>
                <c:pt idx="122">
                  <c:v>2.7960174616949161</c:v>
                </c:pt>
                <c:pt idx="123">
                  <c:v>2.792875869041326</c:v>
                </c:pt>
                <c:pt idx="124">
                  <c:v>2.7897342763877364</c:v>
                </c:pt>
                <c:pt idx="125">
                  <c:v>2.7865926837341464</c:v>
                </c:pt>
                <c:pt idx="126">
                  <c:v>2.7834510910805568</c:v>
                </c:pt>
                <c:pt idx="127">
                  <c:v>2.7803094984269667</c:v>
                </c:pt>
                <c:pt idx="128">
                  <c:v>2.7771679057733771</c:v>
                </c:pt>
                <c:pt idx="129">
                  <c:v>2.7740263131197871</c:v>
                </c:pt>
                <c:pt idx="130">
                  <c:v>2.7708847204661975</c:v>
                </c:pt>
                <c:pt idx="131">
                  <c:v>2.7677431278126079</c:v>
                </c:pt>
                <c:pt idx="132">
                  <c:v>2.7646015351590179</c:v>
                </c:pt>
                <c:pt idx="133">
                  <c:v>2.7614599425054283</c:v>
                </c:pt>
                <c:pt idx="134">
                  <c:v>2.7583183498518382</c:v>
                </c:pt>
                <c:pt idx="135">
                  <c:v>2.7551767571982486</c:v>
                </c:pt>
                <c:pt idx="136">
                  <c:v>2.752035164544659</c:v>
                </c:pt>
                <c:pt idx="137">
                  <c:v>2.748893571891069</c:v>
                </c:pt>
                <c:pt idx="138">
                  <c:v>2.7457519792374789</c:v>
                </c:pt>
                <c:pt idx="139">
                  <c:v>2.7426103865838893</c:v>
                </c:pt>
                <c:pt idx="140">
                  <c:v>2.7394687939302997</c:v>
                </c:pt>
                <c:pt idx="141">
                  <c:v>2.7363272012767097</c:v>
                </c:pt>
                <c:pt idx="142">
                  <c:v>2.7331856086231201</c:v>
                </c:pt>
                <c:pt idx="143">
                  <c:v>2.7300440159695301</c:v>
                </c:pt>
                <c:pt idx="144">
                  <c:v>2.7269024233159405</c:v>
                </c:pt>
                <c:pt idx="145">
                  <c:v>2.7237608306623504</c:v>
                </c:pt>
                <c:pt idx="146">
                  <c:v>2.7206192380087608</c:v>
                </c:pt>
                <c:pt idx="147">
                  <c:v>2.7174776453551708</c:v>
                </c:pt>
                <c:pt idx="148">
                  <c:v>2.7143360527015812</c:v>
                </c:pt>
                <c:pt idx="149">
                  <c:v>2.7111944600479916</c:v>
                </c:pt>
                <c:pt idx="150">
                  <c:v>2.7080528673944015</c:v>
                </c:pt>
                <c:pt idx="151">
                  <c:v>2.7049112747408119</c:v>
                </c:pt>
                <c:pt idx="152">
                  <c:v>2.7017696820872219</c:v>
                </c:pt>
                <c:pt idx="153">
                  <c:v>2.6986280894336323</c:v>
                </c:pt>
                <c:pt idx="154">
                  <c:v>2.6954864967800427</c:v>
                </c:pt>
                <c:pt idx="155">
                  <c:v>2.6923449041264527</c:v>
                </c:pt>
                <c:pt idx="156">
                  <c:v>2.6892033114728631</c:v>
                </c:pt>
                <c:pt idx="157">
                  <c:v>2.686061718819273</c:v>
                </c:pt>
                <c:pt idx="158">
                  <c:v>2.6829201261656834</c:v>
                </c:pt>
                <c:pt idx="159">
                  <c:v>2.6797785335120934</c:v>
                </c:pt>
                <c:pt idx="160">
                  <c:v>2.6766369408585038</c:v>
                </c:pt>
                <c:pt idx="161">
                  <c:v>2.6734953482049137</c:v>
                </c:pt>
                <c:pt idx="162">
                  <c:v>2.6703537555513241</c:v>
                </c:pt>
                <c:pt idx="163">
                  <c:v>2.6672121628977346</c:v>
                </c:pt>
                <c:pt idx="164">
                  <c:v>2.6640705702441445</c:v>
                </c:pt>
                <c:pt idx="165">
                  <c:v>2.6609289775905549</c:v>
                </c:pt>
                <c:pt idx="166">
                  <c:v>2.6577873849369649</c:v>
                </c:pt>
                <c:pt idx="167">
                  <c:v>2.6546457922833753</c:v>
                </c:pt>
                <c:pt idx="168">
                  <c:v>2.6515041996297852</c:v>
                </c:pt>
                <c:pt idx="169">
                  <c:v>2.6483626069761956</c:v>
                </c:pt>
                <c:pt idx="170">
                  <c:v>2.6452210143226056</c:v>
                </c:pt>
                <c:pt idx="171">
                  <c:v>2.642079421669016</c:v>
                </c:pt>
                <c:pt idx="172">
                  <c:v>2.6389378290154264</c:v>
                </c:pt>
                <c:pt idx="173">
                  <c:v>2.6357962363618364</c:v>
                </c:pt>
                <c:pt idx="174">
                  <c:v>2.6326546437082468</c:v>
                </c:pt>
                <c:pt idx="175">
                  <c:v>2.6295130510546567</c:v>
                </c:pt>
                <c:pt idx="176">
                  <c:v>2.6263714584010671</c:v>
                </c:pt>
                <c:pt idx="177">
                  <c:v>2.6232298657474771</c:v>
                </c:pt>
                <c:pt idx="178">
                  <c:v>2.6200882730938875</c:v>
                </c:pt>
                <c:pt idx="179">
                  <c:v>2.6169466804402974</c:v>
                </c:pt>
                <c:pt idx="180">
                  <c:v>2.6138050877867078</c:v>
                </c:pt>
                <c:pt idx="181">
                  <c:v>2.6106634951331182</c:v>
                </c:pt>
                <c:pt idx="182">
                  <c:v>2.6075219024795282</c:v>
                </c:pt>
                <c:pt idx="183">
                  <c:v>2.6043803098259386</c:v>
                </c:pt>
                <c:pt idx="184">
                  <c:v>2.6012387171723486</c:v>
                </c:pt>
                <c:pt idx="185">
                  <c:v>2.598097124518759</c:v>
                </c:pt>
                <c:pt idx="186">
                  <c:v>2.5949555318651694</c:v>
                </c:pt>
                <c:pt idx="187">
                  <c:v>2.5918139392115793</c:v>
                </c:pt>
                <c:pt idx="188">
                  <c:v>2.5886723465579897</c:v>
                </c:pt>
                <c:pt idx="189">
                  <c:v>2.5855307539043997</c:v>
                </c:pt>
                <c:pt idx="190">
                  <c:v>2.5823891612508101</c:v>
                </c:pt>
                <c:pt idx="191">
                  <c:v>2.57924756859722</c:v>
                </c:pt>
                <c:pt idx="192">
                  <c:v>2.5761059759436304</c:v>
                </c:pt>
                <c:pt idx="193">
                  <c:v>2.5729643832900404</c:v>
                </c:pt>
                <c:pt idx="194">
                  <c:v>2.5698227906364508</c:v>
                </c:pt>
                <c:pt idx="195">
                  <c:v>2.5666811979828612</c:v>
                </c:pt>
                <c:pt idx="196">
                  <c:v>2.5635396053292712</c:v>
                </c:pt>
                <c:pt idx="197">
                  <c:v>2.5603980126756811</c:v>
                </c:pt>
                <c:pt idx="198">
                  <c:v>2.5572564200220915</c:v>
                </c:pt>
                <c:pt idx="199">
                  <c:v>2.5541148273685019</c:v>
                </c:pt>
                <c:pt idx="200">
                  <c:v>2.5509732347149119</c:v>
                </c:pt>
                <c:pt idx="201">
                  <c:v>2.5478316420613223</c:v>
                </c:pt>
                <c:pt idx="202">
                  <c:v>2.5446900494077322</c:v>
                </c:pt>
                <c:pt idx="203">
                  <c:v>2.5415484567541426</c:v>
                </c:pt>
                <c:pt idx="204">
                  <c:v>2.5384068641005531</c:v>
                </c:pt>
                <c:pt idx="205">
                  <c:v>2.535265271446963</c:v>
                </c:pt>
                <c:pt idx="206">
                  <c:v>2.532123678793373</c:v>
                </c:pt>
                <c:pt idx="207">
                  <c:v>2.5289820861397834</c:v>
                </c:pt>
                <c:pt idx="208">
                  <c:v>2.5258404934861938</c:v>
                </c:pt>
                <c:pt idx="209">
                  <c:v>2.5226989008326037</c:v>
                </c:pt>
                <c:pt idx="210">
                  <c:v>2.5195573081790141</c:v>
                </c:pt>
                <c:pt idx="211">
                  <c:v>2.5164157155254241</c:v>
                </c:pt>
                <c:pt idx="212">
                  <c:v>2.5132741228718345</c:v>
                </c:pt>
                <c:pt idx="213">
                  <c:v>2.5101325302182449</c:v>
                </c:pt>
                <c:pt idx="214">
                  <c:v>2.5069909375646549</c:v>
                </c:pt>
                <c:pt idx="215">
                  <c:v>2.5038493449110648</c:v>
                </c:pt>
                <c:pt idx="216">
                  <c:v>2.5007077522574752</c:v>
                </c:pt>
                <c:pt idx="217">
                  <c:v>2.4975661596038856</c:v>
                </c:pt>
                <c:pt idx="218">
                  <c:v>2.494424566950296</c:v>
                </c:pt>
                <c:pt idx="219">
                  <c:v>2.491282974296706</c:v>
                </c:pt>
                <c:pt idx="220">
                  <c:v>2.4881413816431159</c:v>
                </c:pt>
                <c:pt idx="221">
                  <c:v>2.4849997889895263</c:v>
                </c:pt>
                <c:pt idx="222">
                  <c:v>2.4818581963359367</c:v>
                </c:pt>
                <c:pt idx="223">
                  <c:v>2.4787166036823467</c:v>
                </c:pt>
                <c:pt idx="224">
                  <c:v>2.4755750110287571</c:v>
                </c:pt>
                <c:pt idx="225">
                  <c:v>2.4724334183751671</c:v>
                </c:pt>
                <c:pt idx="226">
                  <c:v>2.4692918257215775</c:v>
                </c:pt>
                <c:pt idx="227">
                  <c:v>2.4661502330679879</c:v>
                </c:pt>
                <c:pt idx="228">
                  <c:v>2.4630086404143978</c:v>
                </c:pt>
                <c:pt idx="229">
                  <c:v>2.4598670477608078</c:v>
                </c:pt>
                <c:pt idx="230">
                  <c:v>2.4567254551072182</c:v>
                </c:pt>
                <c:pt idx="231">
                  <c:v>2.4535838624536286</c:v>
                </c:pt>
                <c:pt idx="232">
                  <c:v>2.4504422698000385</c:v>
                </c:pt>
                <c:pt idx="233">
                  <c:v>2.4473006771464489</c:v>
                </c:pt>
                <c:pt idx="234">
                  <c:v>2.4441590844928589</c:v>
                </c:pt>
                <c:pt idx="235">
                  <c:v>2.4410174918392693</c:v>
                </c:pt>
                <c:pt idx="236">
                  <c:v>2.4378758991856797</c:v>
                </c:pt>
                <c:pt idx="237">
                  <c:v>2.4347343065320897</c:v>
                </c:pt>
                <c:pt idx="238">
                  <c:v>2.4315927138784996</c:v>
                </c:pt>
                <c:pt idx="239">
                  <c:v>2.42845112122491</c:v>
                </c:pt>
                <c:pt idx="240">
                  <c:v>2.4253095285713204</c:v>
                </c:pt>
                <c:pt idx="241">
                  <c:v>2.4221679359177304</c:v>
                </c:pt>
                <c:pt idx="242">
                  <c:v>2.4190263432641408</c:v>
                </c:pt>
                <c:pt idx="243">
                  <c:v>2.4158847506105507</c:v>
                </c:pt>
                <c:pt idx="244">
                  <c:v>2.4127431579569611</c:v>
                </c:pt>
                <c:pt idx="245">
                  <c:v>2.4096015653033716</c:v>
                </c:pt>
                <c:pt idx="246">
                  <c:v>2.4064599726497815</c:v>
                </c:pt>
                <c:pt idx="247">
                  <c:v>2.4033183799961919</c:v>
                </c:pt>
                <c:pt idx="248">
                  <c:v>2.4001767873426019</c:v>
                </c:pt>
                <c:pt idx="249">
                  <c:v>2.3970351946890123</c:v>
                </c:pt>
                <c:pt idx="250">
                  <c:v>2.3938936020354222</c:v>
                </c:pt>
                <c:pt idx="251">
                  <c:v>2.3907520093818326</c:v>
                </c:pt>
                <c:pt idx="252">
                  <c:v>2.3876104167282426</c:v>
                </c:pt>
                <c:pt idx="253">
                  <c:v>2.384468824074653</c:v>
                </c:pt>
                <c:pt idx="254">
                  <c:v>2.3813272314210634</c:v>
                </c:pt>
                <c:pt idx="255">
                  <c:v>2.3781856387674734</c:v>
                </c:pt>
                <c:pt idx="256">
                  <c:v>2.3750440461138838</c:v>
                </c:pt>
                <c:pt idx="257">
                  <c:v>2.3719024534602937</c:v>
                </c:pt>
                <c:pt idx="258">
                  <c:v>2.3687608608067041</c:v>
                </c:pt>
                <c:pt idx="259">
                  <c:v>2.3656192681531141</c:v>
                </c:pt>
                <c:pt idx="260">
                  <c:v>2.3624776754995245</c:v>
                </c:pt>
                <c:pt idx="261">
                  <c:v>2.3593360828459344</c:v>
                </c:pt>
                <c:pt idx="262">
                  <c:v>2.3561944901923448</c:v>
                </c:pt>
                <c:pt idx="263">
                  <c:v>2.3530528975387552</c:v>
                </c:pt>
                <c:pt idx="264">
                  <c:v>2.3499113048851652</c:v>
                </c:pt>
                <c:pt idx="265">
                  <c:v>2.3467697122315756</c:v>
                </c:pt>
                <c:pt idx="266">
                  <c:v>2.3436281195779856</c:v>
                </c:pt>
                <c:pt idx="267">
                  <c:v>2.340486526924396</c:v>
                </c:pt>
                <c:pt idx="268">
                  <c:v>2.3373449342708059</c:v>
                </c:pt>
                <c:pt idx="269">
                  <c:v>2.3342033416172163</c:v>
                </c:pt>
                <c:pt idx="270">
                  <c:v>2.3310617489636263</c:v>
                </c:pt>
                <c:pt idx="271">
                  <c:v>2.3279201563100367</c:v>
                </c:pt>
                <c:pt idx="272">
                  <c:v>2.3247785636564471</c:v>
                </c:pt>
                <c:pt idx="273">
                  <c:v>2.321636971002857</c:v>
                </c:pt>
                <c:pt idx="274">
                  <c:v>2.3184953783492674</c:v>
                </c:pt>
                <c:pt idx="275">
                  <c:v>2.3153537856956774</c:v>
                </c:pt>
                <c:pt idx="276">
                  <c:v>2.3122121930420878</c:v>
                </c:pt>
                <c:pt idx="277">
                  <c:v>2.3090706003884978</c:v>
                </c:pt>
                <c:pt idx="278">
                  <c:v>2.3059290077349082</c:v>
                </c:pt>
                <c:pt idx="279">
                  <c:v>2.3027874150813181</c:v>
                </c:pt>
                <c:pt idx="280">
                  <c:v>2.2996458224277285</c:v>
                </c:pt>
                <c:pt idx="281">
                  <c:v>2.2965042297741389</c:v>
                </c:pt>
                <c:pt idx="282">
                  <c:v>2.2933626371205489</c:v>
                </c:pt>
                <c:pt idx="283">
                  <c:v>2.2902210444669593</c:v>
                </c:pt>
                <c:pt idx="284">
                  <c:v>2.2870794518133692</c:v>
                </c:pt>
                <c:pt idx="285">
                  <c:v>2.2839378591597796</c:v>
                </c:pt>
                <c:pt idx="286">
                  <c:v>2.2807962665061896</c:v>
                </c:pt>
                <c:pt idx="287">
                  <c:v>2.2776546738526</c:v>
                </c:pt>
                <c:pt idx="288">
                  <c:v>2.27451308119901</c:v>
                </c:pt>
                <c:pt idx="289">
                  <c:v>2.2713714885454204</c:v>
                </c:pt>
                <c:pt idx="290">
                  <c:v>2.2682298958918308</c:v>
                </c:pt>
                <c:pt idx="291">
                  <c:v>2.2650883032382407</c:v>
                </c:pt>
                <c:pt idx="292">
                  <c:v>2.2619467105846507</c:v>
                </c:pt>
                <c:pt idx="293">
                  <c:v>2.2588051179310611</c:v>
                </c:pt>
                <c:pt idx="294">
                  <c:v>2.2556635252774715</c:v>
                </c:pt>
                <c:pt idx="295">
                  <c:v>2.2525219326238819</c:v>
                </c:pt>
                <c:pt idx="296">
                  <c:v>2.2493803399702919</c:v>
                </c:pt>
                <c:pt idx="297">
                  <c:v>2.2462387473167023</c:v>
                </c:pt>
                <c:pt idx="298">
                  <c:v>2.2430971546631122</c:v>
                </c:pt>
                <c:pt idx="299">
                  <c:v>2.2399555620095226</c:v>
                </c:pt>
                <c:pt idx="300">
                  <c:v>2.236813969355933</c:v>
                </c:pt>
                <c:pt idx="301">
                  <c:v>2.233672376702343</c:v>
                </c:pt>
                <c:pt idx="302">
                  <c:v>2.2305307840487529</c:v>
                </c:pt>
                <c:pt idx="303">
                  <c:v>2.2273891913951633</c:v>
                </c:pt>
                <c:pt idx="304">
                  <c:v>2.2242475987415737</c:v>
                </c:pt>
                <c:pt idx="305">
                  <c:v>2.2211060060879837</c:v>
                </c:pt>
                <c:pt idx="306">
                  <c:v>2.2179644134343941</c:v>
                </c:pt>
                <c:pt idx="307">
                  <c:v>2.2148228207808041</c:v>
                </c:pt>
                <c:pt idx="308">
                  <c:v>2.2116812281272145</c:v>
                </c:pt>
                <c:pt idx="309">
                  <c:v>2.2085396354736249</c:v>
                </c:pt>
                <c:pt idx="310">
                  <c:v>2.2053980428200348</c:v>
                </c:pt>
                <c:pt idx="311">
                  <c:v>2.2022564501664448</c:v>
                </c:pt>
                <c:pt idx="312">
                  <c:v>2.1991148575128552</c:v>
                </c:pt>
                <c:pt idx="313">
                  <c:v>2.1959732648592656</c:v>
                </c:pt>
                <c:pt idx="314">
                  <c:v>2.1928316722056755</c:v>
                </c:pt>
                <c:pt idx="315">
                  <c:v>2.1896900795520859</c:v>
                </c:pt>
                <c:pt idx="316">
                  <c:v>2.1865484868984959</c:v>
                </c:pt>
                <c:pt idx="317">
                  <c:v>2.1834068942449063</c:v>
                </c:pt>
                <c:pt idx="318">
                  <c:v>2.1802653015913167</c:v>
                </c:pt>
                <c:pt idx="319">
                  <c:v>2.1771237089377267</c:v>
                </c:pt>
                <c:pt idx="320">
                  <c:v>2.1739821162841366</c:v>
                </c:pt>
                <c:pt idx="321">
                  <c:v>2.170840523630547</c:v>
                </c:pt>
                <c:pt idx="322">
                  <c:v>2.1676989309769574</c:v>
                </c:pt>
                <c:pt idx="323">
                  <c:v>2.1645573383233674</c:v>
                </c:pt>
                <c:pt idx="324">
                  <c:v>2.1614157456697778</c:v>
                </c:pt>
                <c:pt idx="325">
                  <c:v>2.1582741530161877</c:v>
                </c:pt>
                <c:pt idx="326">
                  <c:v>2.1551325603625981</c:v>
                </c:pt>
                <c:pt idx="327">
                  <c:v>2.1519909677090086</c:v>
                </c:pt>
                <c:pt idx="328">
                  <c:v>2.1488493750554185</c:v>
                </c:pt>
                <c:pt idx="329">
                  <c:v>2.1457077824018285</c:v>
                </c:pt>
                <c:pt idx="330">
                  <c:v>2.1425661897482389</c:v>
                </c:pt>
                <c:pt idx="331">
                  <c:v>2.1394245970946493</c:v>
                </c:pt>
                <c:pt idx="332">
                  <c:v>2.1362830044410592</c:v>
                </c:pt>
                <c:pt idx="333">
                  <c:v>2.1331414117874692</c:v>
                </c:pt>
                <c:pt idx="334">
                  <c:v>2.1299998191338796</c:v>
                </c:pt>
                <c:pt idx="335">
                  <c:v>2.12685822648029</c:v>
                </c:pt>
                <c:pt idx="336">
                  <c:v>2.1237166338267004</c:v>
                </c:pt>
                <c:pt idx="337">
                  <c:v>2.1205750411731104</c:v>
                </c:pt>
                <c:pt idx="338">
                  <c:v>2.1174334485195203</c:v>
                </c:pt>
                <c:pt idx="339">
                  <c:v>2.1142918558659307</c:v>
                </c:pt>
                <c:pt idx="340">
                  <c:v>2.1111502632123411</c:v>
                </c:pt>
                <c:pt idx="341">
                  <c:v>2.1080086705587511</c:v>
                </c:pt>
                <c:pt idx="342">
                  <c:v>2.104867077905161</c:v>
                </c:pt>
                <c:pt idx="343">
                  <c:v>2.1017254852515714</c:v>
                </c:pt>
                <c:pt idx="344">
                  <c:v>2.0985838925979818</c:v>
                </c:pt>
                <c:pt idx="345">
                  <c:v>2.0954422999443922</c:v>
                </c:pt>
                <c:pt idx="346">
                  <c:v>2.0923007072908022</c:v>
                </c:pt>
                <c:pt idx="347">
                  <c:v>2.0891591146372122</c:v>
                </c:pt>
                <c:pt idx="348">
                  <c:v>2.0860175219836226</c:v>
                </c:pt>
                <c:pt idx="349">
                  <c:v>2.082875929330033</c:v>
                </c:pt>
                <c:pt idx="350">
                  <c:v>2.0797343366764429</c:v>
                </c:pt>
                <c:pt idx="351">
                  <c:v>2.0765927440228529</c:v>
                </c:pt>
                <c:pt idx="352">
                  <c:v>2.0734511513692633</c:v>
                </c:pt>
                <c:pt idx="353">
                  <c:v>2.0703095587156737</c:v>
                </c:pt>
                <c:pt idx="354">
                  <c:v>2.0671679660620841</c:v>
                </c:pt>
                <c:pt idx="355">
                  <c:v>2.064026373408494</c:v>
                </c:pt>
                <c:pt idx="356">
                  <c:v>2.0608847807549044</c:v>
                </c:pt>
                <c:pt idx="357">
                  <c:v>2.0577431881013144</c:v>
                </c:pt>
                <c:pt idx="358">
                  <c:v>2.0546015954477248</c:v>
                </c:pt>
                <c:pt idx="359">
                  <c:v>2.0514600027941352</c:v>
                </c:pt>
                <c:pt idx="360">
                  <c:v>2.0483184101405452</c:v>
                </c:pt>
                <c:pt idx="361">
                  <c:v>2.0451768174869551</c:v>
                </c:pt>
                <c:pt idx="362">
                  <c:v>2.0420352248333655</c:v>
                </c:pt>
                <c:pt idx="363">
                  <c:v>2.0388936321797759</c:v>
                </c:pt>
                <c:pt idx="364">
                  <c:v>2.0357520395261863</c:v>
                </c:pt>
                <c:pt idx="365">
                  <c:v>2.0326104468725963</c:v>
                </c:pt>
                <c:pt idx="366">
                  <c:v>2.0294688542190062</c:v>
                </c:pt>
                <c:pt idx="367">
                  <c:v>2.0263272615654166</c:v>
                </c:pt>
                <c:pt idx="368">
                  <c:v>2.0231856689118271</c:v>
                </c:pt>
                <c:pt idx="369">
                  <c:v>2.020044076258237</c:v>
                </c:pt>
                <c:pt idx="370">
                  <c:v>2.016902483604647</c:v>
                </c:pt>
                <c:pt idx="371">
                  <c:v>2.0137608909510574</c:v>
                </c:pt>
                <c:pt idx="372">
                  <c:v>2.0106192982974678</c:v>
                </c:pt>
                <c:pt idx="373">
                  <c:v>2.0074777056438777</c:v>
                </c:pt>
                <c:pt idx="374">
                  <c:v>2.0043361129902881</c:v>
                </c:pt>
                <c:pt idx="375">
                  <c:v>2.0011945203366981</c:v>
                </c:pt>
                <c:pt idx="376">
                  <c:v>1.9980529276831085</c:v>
                </c:pt>
                <c:pt idx="377">
                  <c:v>1.9949113350295187</c:v>
                </c:pt>
                <c:pt idx="378">
                  <c:v>1.9917697423759289</c:v>
                </c:pt>
                <c:pt idx="379">
                  <c:v>1.988628149722339</c:v>
                </c:pt>
                <c:pt idx="380">
                  <c:v>1.9854865570687492</c:v>
                </c:pt>
                <c:pt idx="381">
                  <c:v>1.9823449644151594</c:v>
                </c:pt>
                <c:pt idx="382">
                  <c:v>1.9792033717615696</c:v>
                </c:pt>
                <c:pt idx="383">
                  <c:v>1.97606177910798</c:v>
                </c:pt>
                <c:pt idx="384">
                  <c:v>1.9729201864543902</c:v>
                </c:pt>
                <c:pt idx="385">
                  <c:v>1.9697785938008003</c:v>
                </c:pt>
                <c:pt idx="386">
                  <c:v>1.9666370011472105</c:v>
                </c:pt>
                <c:pt idx="387">
                  <c:v>1.9634954084936207</c:v>
                </c:pt>
                <c:pt idx="388">
                  <c:v>1.9603538158400309</c:v>
                </c:pt>
                <c:pt idx="389">
                  <c:v>1.9572122231864411</c:v>
                </c:pt>
                <c:pt idx="390">
                  <c:v>1.9540706305328512</c:v>
                </c:pt>
                <c:pt idx="391">
                  <c:v>1.9509290378792614</c:v>
                </c:pt>
                <c:pt idx="392">
                  <c:v>1.9477874452256718</c:v>
                </c:pt>
                <c:pt idx="393">
                  <c:v>1.944645852572082</c:v>
                </c:pt>
                <c:pt idx="394">
                  <c:v>1.9415042599184922</c:v>
                </c:pt>
                <c:pt idx="395">
                  <c:v>1.9383626672649024</c:v>
                </c:pt>
                <c:pt idx="396">
                  <c:v>1.9352210746113125</c:v>
                </c:pt>
                <c:pt idx="397">
                  <c:v>1.9320794819577227</c:v>
                </c:pt>
                <c:pt idx="398">
                  <c:v>1.9289378893041329</c:v>
                </c:pt>
                <c:pt idx="399">
                  <c:v>1.9257962966505431</c:v>
                </c:pt>
                <c:pt idx="400">
                  <c:v>1.9226547039969533</c:v>
                </c:pt>
                <c:pt idx="401">
                  <c:v>1.9195131113433637</c:v>
                </c:pt>
                <c:pt idx="402">
                  <c:v>1.9163715186897738</c:v>
                </c:pt>
                <c:pt idx="403">
                  <c:v>1.913229926036184</c:v>
                </c:pt>
                <c:pt idx="404">
                  <c:v>1.9100883333825942</c:v>
                </c:pt>
                <c:pt idx="405">
                  <c:v>1.9069467407290044</c:v>
                </c:pt>
                <c:pt idx="406">
                  <c:v>1.9038051480754146</c:v>
                </c:pt>
                <c:pt idx="407">
                  <c:v>1.9006635554218247</c:v>
                </c:pt>
                <c:pt idx="408">
                  <c:v>1.8975219627682349</c:v>
                </c:pt>
                <c:pt idx="409">
                  <c:v>1.8943803701146451</c:v>
                </c:pt>
                <c:pt idx="410">
                  <c:v>1.8912387774610553</c:v>
                </c:pt>
                <c:pt idx="411">
                  <c:v>1.8880971848074657</c:v>
                </c:pt>
                <c:pt idx="412">
                  <c:v>1.8849555921538759</c:v>
                </c:pt>
                <c:pt idx="413">
                  <c:v>1.881813999500286</c:v>
                </c:pt>
                <c:pt idx="414">
                  <c:v>1.8786724068466962</c:v>
                </c:pt>
                <c:pt idx="415">
                  <c:v>1.8755308141931064</c:v>
                </c:pt>
                <c:pt idx="416">
                  <c:v>1.8723892215395166</c:v>
                </c:pt>
                <c:pt idx="417">
                  <c:v>1.8692476288859268</c:v>
                </c:pt>
                <c:pt idx="418">
                  <c:v>1.866106036232337</c:v>
                </c:pt>
                <c:pt idx="419">
                  <c:v>1.8629644435787474</c:v>
                </c:pt>
                <c:pt idx="420">
                  <c:v>1.8598228509251575</c:v>
                </c:pt>
                <c:pt idx="421">
                  <c:v>1.8566812582715677</c:v>
                </c:pt>
                <c:pt idx="422">
                  <c:v>1.8535396656179781</c:v>
                </c:pt>
                <c:pt idx="423">
                  <c:v>1.8503980729643883</c:v>
                </c:pt>
                <c:pt idx="424">
                  <c:v>1.8472564803107985</c:v>
                </c:pt>
                <c:pt idx="425">
                  <c:v>1.8441148876572087</c:v>
                </c:pt>
                <c:pt idx="426">
                  <c:v>1.8409732950036188</c:v>
                </c:pt>
                <c:pt idx="427">
                  <c:v>1.837831702350029</c:v>
                </c:pt>
                <c:pt idx="428">
                  <c:v>1.8346901096964392</c:v>
                </c:pt>
                <c:pt idx="429">
                  <c:v>1.8315485170428494</c:v>
                </c:pt>
                <c:pt idx="430">
                  <c:v>1.8284069243892596</c:v>
                </c:pt>
                <c:pt idx="431">
                  <c:v>1.82526533173567</c:v>
                </c:pt>
                <c:pt idx="432">
                  <c:v>1.8221237390820801</c:v>
                </c:pt>
                <c:pt idx="433">
                  <c:v>1.8189821464284903</c:v>
                </c:pt>
                <c:pt idx="434">
                  <c:v>1.8158405537749005</c:v>
                </c:pt>
                <c:pt idx="435">
                  <c:v>1.8126989611213107</c:v>
                </c:pt>
                <c:pt idx="436">
                  <c:v>1.8095573684677209</c:v>
                </c:pt>
                <c:pt idx="437">
                  <c:v>1.806415775814131</c:v>
                </c:pt>
                <c:pt idx="438">
                  <c:v>1.8032741831605412</c:v>
                </c:pt>
                <c:pt idx="439">
                  <c:v>1.8001325905069514</c:v>
                </c:pt>
                <c:pt idx="440">
                  <c:v>1.7969909978533616</c:v>
                </c:pt>
                <c:pt idx="441">
                  <c:v>1.793849405199772</c:v>
                </c:pt>
                <c:pt idx="442">
                  <c:v>1.7907078125461822</c:v>
                </c:pt>
                <c:pt idx="443">
                  <c:v>1.7875662198925923</c:v>
                </c:pt>
                <c:pt idx="444">
                  <c:v>1.7844246272390025</c:v>
                </c:pt>
                <c:pt idx="445">
                  <c:v>1.7812830345854127</c:v>
                </c:pt>
                <c:pt idx="446">
                  <c:v>1.7781414419318229</c:v>
                </c:pt>
                <c:pt idx="447">
                  <c:v>1.7749998492782331</c:v>
                </c:pt>
                <c:pt idx="448">
                  <c:v>1.7718582566246432</c:v>
                </c:pt>
                <c:pt idx="449">
                  <c:v>1.7687166639710534</c:v>
                </c:pt>
                <c:pt idx="450">
                  <c:v>1.7655750713174638</c:v>
                </c:pt>
                <c:pt idx="451">
                  <c:v>1.762433478663874</c:v>
                </c:pt>
                <c:pt idx="452">
                  <c:v>1.7592918860102842</c:v>
                </c:pt>
                <c:pt idx="453">
                  <c:v>1.7561502933566944</c:v>
                </c:pt>
                <c:pt idx="454">
                  <c:v>1.7530087007031045</c:v>
                </c:pt>
                <c:pt idx="455">
                  <c:v>1.7498671080495147</c:v>
                </c:pt>
                <c:pt idx="456">
                  <c:v>1.7467255153959249</c:v>
                </c:pt>
                <c:pt idx="457">
                  <c:v>1.7435839227423351</c:v>
                </c:pt>
                <c:pt idx="458">
                  <c:v>1.7404423300887453</c:v>
                </c:pt>
                <c:pt idx="459">
                  <c:v>1.7373007374351557</c:v>
                </c:pt>
                <c:pt idx="460">
                  <c:v>1.7341591447815659</c:v>
                </c:pt>
                <c:pt idx="461">
                  <c:v>1.731017552127976</c:v>
                </c:pt>
                <c:pt idx="462">
                  <c:v>1.7278759594743862</c:v>
                </c:pt>
                <c:pt idx="463">
                  <c:v>1.7247343668207964</c:v>
                </c:pt>
                <c:pt idx="464">
                  <c:v>1.7215927741672066</c:v>
                </c:pt>
                <c:pt idx="465">
                  <c:v>1.7184511815136168</c:v>
                </c:pt>
                <c:pt idx="466">
                  <c:v>1.7153095888600269</c:v>
                </c:pt>
                <c:pt idx="467">
                  <c:v>1.7121679962064371</c:v>
                </c:pt>
                <c:pt idx="468">
                  <c:v>1.7090264035528473</c:v>
                </c:pt>
                <c:pt idx="469">
                  <c:v>1.7058848108992577</c:v>
                </c:pt>
                <c:pt idx="470">
                  <c:v>1.7027432182456679</c:v>
                </c:pt>
                <c:pt idx="471">
                  <c:v>1.6996016255920781</c:v>
                </c:pt>
                <c:pt idx="472">
                  <c:v>1.6964600329384882</c:v>
                </c:pt>
                <c:pt idx="473">
                  <c:v>1.6933184402848984</c:v>
                </c:pt>
                <c:pt idx="474">
                  <c:v>1.6901768476313086</c:v>
                </c:pt>
                <c:pt idx="475">
                  <c:v>1.6870352549777188</c:v>
                </c:pt>
                <c:pt idx="476">
                  <c:v>1.683893662324129</c:v>
                </c:pt>
                <c:pt idx="477">
                  <c:v>1.6807520696705391</c:v>
                </c:pt>
                <c:pt idx="478">
                  <c:v>1.6776104770169495</c:v>
                </c:pt>
                <c:pt idx="479">
                  <c:v>1.6744688843633597</c:v>
                </c:pt>
                <c:pt idx="480">
                  <c:v>1.6713272917097699</c:v>
                </c:pt>
                <c:pt idx="481">
                  <c:v>1.6681856990561803</c:v>
                </c:pt>
                <c:pt idx="482">
                  <c:v>1.6650441064025905</c:v>
                </c:pt>
                <c:pt idx="483">
                  <c:v>1.6619025137490007</c:v>
                </c:pt>
                <c:pt idx="484">
                  <c:v>1.6587609210954108</c:v>
                </c:pt>
                <c:pt idx="485">
                  <c:v>1.655619328441821</c:v>
                </c:pt>
                <c:pt idx="486">
                  <c:v>1.6524777357882312</c:v>
                </c:pt>
                <c:pt idx="487">
                  <c:v>1.6493361431346414</c:v>
                </c:pt>
                <c:pt idx="488">
                  <c:v>1.6461945504810516</c:v>
                </c:pt>
                <c:pt idx="489">
                  <c:v>1.643052957827462</c:v>
                </c:pt>
                <c:pt idx="490">
                  <c:v>1.6399113651738721</c:v>
                </c:pt>
                <c:pt idx="491">
                  <c:v>1.6367697725202823</c:v>
                </c:pt>
                <c:pt idx="492">
                  <c:v>1.6336281798666925</c:v>
                </c:pt>
                <c:pt idx="493">
                  <c:v>1.6304865872131027</c:v>
                </c:pt>
                <c:pt idx="494">
                  <c:v>1.6273449945595129</c:v>
                </c:pt>
                <c:pt idx="495">
                  <c:v>1.624203401905923</c:v>
                </c:pt>
                <c:pt idx="496">
                  <c:v>1.6210618092523332</c:v>
                </c:pt>
                <c:pt idx="497">
                  <c:v>1.6179202165987434</c:v>
                </c:pt>
                <c:pt idx="498">
                  <c:v>1.6147786239451536</c:v>
                </c:pt>
                <c:pt idx="499">
                  <c:v>1.611637031291564</c:v>
                </c:pt>
                <c:pt idx="500">
                  <c:v>1.6084954386379742</c:v>
                </c:pt>
                <c:pt idx="501">
                  <c:v>1.6053538459843844</c:v>
                </c:pt>
                <c:pt idx="502">
                  <c:v>1.6022122533307945</c:v>
                </c:pt>
                <c:pt idx="503">
                  <c:v>1.5990706606772047</c:v>
                </c:pt>
                <c:pt idx="504">
                  <c:v>1.5959290680236149</c:v>
                </c:pt>
                <c:pt idx="505">
                  <c:v>1.5927874753700251</c:v>
                </c:pt>
                <c:pt idx="506">
                  <c:v>1.5896458827164353</c:v>
                </c:pt>
                <c:pt idx="507">
                  <c:v>1.5865042900628454</c:v>
                </c:pt>
                <c:pt idx="508">
                  <c:v>1.5833626974092558</c:v>
                </c:pt>
                <c:pt idx="509">
                  <c:v>1.580221104755666</c:v>
                </c:pt>
                <c:pt idx="510">
                  <c:v>1.5770795121020762</c:v>
                </c:pt>
                <c:pt idx="511">
                  <c:v>1.5739379194484864</c:v>
                </c:pt>
                <c:pt idx="512">
                  <c:v>1.5707963267948966</c:v>
                </c:pt>
                <c:pt idx="513">
                  <c:v>1.5676547341413067</c:v>
                </c:pt>
                <c:pt idx="514">
                  <c:v>1.5645131414877169</c:v>
                </c:pt>
                <c:pt idx="515">
                  <c:v>1.5613715488341271</c:v>
                </c:pt>
                <c:pt idx="516">
                  <c:v>1.5582299561805373</c:v>
                </c:pt>
                <c:pt idx="517">
                  <c:v>1.5550883635269477</c:v>
                </c:pt>
                <c:pt idx="518">
                  <c:v>1.5519467708733579</c:v>
                </c:pt>
                <c:pt idx="519">
                  <c:v>1.548805178219768</c:v>
                </c:pt>
                <c:pt idx="520">
                  <c:v>1.5456635855661782</c:v>
                </c:pt>
                <c:pt idx="521">
                  <c:v>1.5425219929125884</c:v>
                </c:pt>
                <c:pt idx="522">
                  <c:v>1.5393804002589986</c:v>
                </c:pt>
                <c:pt idx="523">
                  <c:v>1.5362388076054088</c:v>
                </c:pt>
                <c:pt idx="524">
                  <c:v>1.5330972149518189</c:v>
                </c:pt>
                <c:pt idx="525">
                  <c:v>1.5299556222982291</c:v>
                </c:pt>
                <c:pt idx="526">
                  <c:v>1.5268140296446395</c:v>
                </c:pt>
                <c:pt idx="527">
                  <c:v>1.5236724369910497</c:v>
                </c:pt>
                <c:pt idx="528">
                  <c:v>1.5205308443374599</c:v>
                </c:pt>
                <c:pt idx="529">
                  <c:v>1.5173892516838701</c:v>
                </c:pt>
                <c:pt idx="530">
                  <c:v>1.5142476590302802</c:v>
                </c:pt>
                <c:pt idx="531">
                  <c:v>1.5111060663766904</c:v>
                </c:pt>
                <c:pt idx="532">
                  <c:v>1.5079644737231006</c:v>
                </c:pt>
                <c:pt idx="533">
                  <c:v>1.5048228810695108</c:v>
                </c:pt>
                <c:pt idx="534">
                  <c:v>1.501681288415921</c:v>
                </c:pt>
                <c:pt idx="535">
                  <c:v>1.4985396957623311</c:v>
                </c:pt>
                <c:pt idx="536">
                  <c:v>1.4953981031087415</c:v>
                </c:pt>
                <c:pt idx="537">
                  <c:v>1.4922565104551517</c:v>
                </c:pt>
                <c:pt idx="538">
                  <c:v>1.4891149178015619</c:v>
                </c:pt>
                <c:pt idx="539">
                  <c:v>1.4859733251479721</c:v>
                </c:pt>
                <c:pt idx="540">
                  <c:v>1.4828317324943823</c:v>
                </c:pt>
                <c:pt idx="541">
                  <c:v>1.4796901398407925</c:v>
                </c:pt>
                <c:pt idx="542">
                  <c:v>1.4765485471872026</c:v>
                </c:pt>
                <c:pt idx="543">
                  <c:v>1.4734069545336128</c:v>
                </c:pt>
                <c:pt idx="544">
                  <c:v>1.470265361880023</c:v>
                </c:pt>
                <c:pt idx="545">
                  <c:v>1.4671237692264334</c:v>
                </c:pt>
                <c:pt idx="546">
                  <c:v>1.4639821765728436</c:v>
                </c:pt>
                <c:pt idx="547">
                  <c:v>1.4608405839192538</c:v>
                </c:pt>
                <c:pt idx="548">
                  <c:v>1.4576989912656639</c:v>
                </c:pt>
                <c:pt idx="549">
                  <c:v>1.4545573986120741</c:v>
                </c:pt>
                <c:pt idx="550">
                  <c:v>1.4514158059584843</c:v>
                </c:pt>
                <c:pt idx="551">
                  <c:v>1.4482742133048945</c:v>
                </c:pt>
                <c:pt idx="552">
                  <c:v>1.4451326206513047</c:v>
                </c:pt>
                <c:pt idx="553">
                  <c:v>1.4419910279977148</c:v>
                </c:pt>
                <c:pt idx="554">
                  <c:v>1.4388494353441252</c:v>
                </c:pt>
                <c:pt idx="555">
                  <c:v>1.4357078426905354</c:v>
                </c:pt>
                <c:pt idx="556">
                  <c:v>1.4325662500369456</c:v>
                </c:pt>
                <c:pt idx="557">
                  <c:v>1.4294246573833558</c:v>
                </c:pt>
                <c:pt idx="558">
                  <c:v>1.426283064729766</c:v>
                </c:pt>
                <c:pt idx="559">
                  <c:v>1.4231414720761761</c:v>
                </c:pt>
                <c:pt idx="560">
                  <c:v>1.4199998794225863</c:v>
                </c:pt>
                <c:pt idx="561">
                  <c:v>1.4168582867689965</c:v>
                </c:pt>
                <c:pt idx="562">
                  <c:v>1.4137166941154067</c:v>
                </c:pt>
                <c:pt idx="563">
                  <c:v>1.4105751014618169</c:v>
                </c:pt>
                <c:pt idx="564">
                  <c:v>1.4074335088082273</c:v>
                </c:pt>
                <c:pt idx="565">
                  <c:v>1.4042919161546374</c:v>
                </c:pt>
                <c:pt idx="566">
                  <c:v>1.4011503235010476</c:v>
                </c:pt>
                <c:pt idx="567">
                  <c:v>1.3980087308474578</c:v>
                </c:pt>
                <c:pt idx="568">
                  <c:v>1.394867138193868</c:v>
                </c:pt>
                <c:pt idx="569">
                  <c:v>1.3917255455402782</c:v>
                </c:pt>
                <c:pt idx="570">
                  <c:v>1.3885839528866883</c:v>
                </c:pt>
                <c:pt idx="571">
                  <c:v>1.3854423602330985</c:v>
                </c:pt>
                <c:pt idx="572">
                  <c:v>1.3823007675795087</c:v>
                </c:pt>
                <c:pt idx="573">
                  <c:v>1.3791591749259191</c:v>
                </c:pt>
                <c:pt idx="574">
                  <c:v>1.3760175822723293</c:v>
                </c:pt>
                <c:pt idx="575">
                  <c:v>1.3728759896187397</c:v>
                </c:pt>
                <c:pt idx="576">
                  <c:v>1.3697343969651499</c:v>
                </c:pt>
                <c:pt idx="577">
                  <c:v>1.3665928043115603</c:v>
                </c:pt>
                <c:pt idx="578">
                  <c:v>1.3634512116579705</c:v>
                </c:pt>
                <c:pt idx="579">
                  <c:v>1.3603096190043806</c:v>
                </c:pt>
                <c:pt idx="580">
                  <c:v>1.3571680263507908</c:v>
                </c:pt>
                <c:pt idx="581">
                  <c:v>1.354026433697201</c:v>
                </c:pt>
                <c:pt idx="582">
                  <c:v>1.3508848410436112</c:v>
                </c:pt>
                <c:pt idx="583">
                  <c:v>1.3477432483900214</c:v>
                </c:pt>
                <c:pt idx="584">
                  <c:v>1.3446016557364315</c:v>
                </c:pt>
                <c:pt idx="585">
                  <c:v>1.3414600630828417</c:v>
                </c:pt>
                <c:pt idx="586">
                  <c:v>1.3383184704292521</c:v>
                </c:pt>
                <c:pt idx="587">
                  <c:v>1.3351768777756623</c:v>
                </c:pt>
                <c:pt idx="588">
                  <c:v>1.3320352851220725</c:v>
                </c:pt>
                <c:pt idx="589">
                  <c:v>1.3288936924684827</c:v>
                </c:pt>
                <c:pt idx="590">
                  <c:v>1.3257520998148928</c:v>
                </c:pt>
                <c:pt idx="591">
                  <c:v>1.322610507161303</c:v>
                </c:pt>
                <c:pt idx="592">
                  <c:v>1.3194689145077132</c:v>
                </c:pt>
                <c:pt idx="593">
                  <c:v>1.3163273218541234</c:v>
                </c:pt>
                <c:pt idx="594">
                  <c:v>1.3131857292005336</c:v>
                </c:pt>
                <c:pt idx="595">
                  <c:v>1.3100441365469437</c:v>
                </c:pt>
                <c:pt idx="596">
                  <c:v>1.3069025438933541</c:v>
                </c:pt>
                <c:pt idx="597">
                  <c:v>1.3037609512397643</c:v>
                </c:pt>
                <c:pt idx="598">
                  <c:v>1.3006193585861745</c:v>
                </c:pt>
                <c:pt idx="599">
                  <c:v>1.2974777659325847</c:v>
                </c:pt>
                <c:pt idx="600">
                  <c:v>1.2943361732789949</c:v>
                </c:pt>
                <c:pt idx="601">
                  <c:v>1.291194580625405</c:v>
                </c:pt>
                <c:pt idx="602">
                  <c:v>1.2880529879718152</c:v>
                </c:pt>
                <c:pt idx="603">
                  <c:v>1.2849113953182254</c:v>
                </c:pt>
                <c:pt idx="604">
                  <c:v>1.2817698026646356</c:v>
                </c:pt>
                <c:pt idx="605">
                  <c:v>1.278628210011046</c:v>
                </c:pt>
                <c:pt idx="606">
                  <c:v>1.2754866173574562</c:v>
                </c:pt>
                <c:pt idx="607">
                  <c:v>1.2723450247038663</c:v>
                </c:pt>
                <c:pt idx="608">
                  <c:v>1.2692034320502765</c:v>
                </c:pt>
                <c:pt idx="609">
                  <c:v>1.2660618393966867</c:v>
                </c:pt>
                <c:pt idx="610">
                  <c:v>1.2629202467430969</c:v>
                </c:pt>
                <c:pt idx="611">
                  <c:v>1.2597786540895071</c:v>
                </c:pt>
                <c:pt idx="612">
                  <c:v>1.2566370614359172</c:v>
                </c:pt>
                <c:pt idx="613">
                  <c:v>1.2534954687823274</c:v>
                </c:pt>
                <c:pt idx="614">
                  <c:v>1.2503538761287378</c:v>
                </c:pt>
                <c:pt idx="615">
                  <c:v>1.247212283475148</c:v>
                </c:pt>
                <c:pt idx="616">
                  <c:v>1.2440706908215582</c:v>
                </c:pt>
                <c:pt idx="617">
                  <c:v>1.2409290981679684</c:v>
                </c:pt>
                <c:pt idx="618">
                  <c:v>1.2377875055143785</c:v>
                </c:pt>
                <c:pt idx="619">
                  <c:v>1.2346459128607887</c:v>
                </c:pt>
                <c:pt idx="620">
                  <c:v>1.2315043202071989</c:v>
                </c:pt>
                <c:pt idx="621">
                  <c:v>1.2283627275536091</c:v>
                </c:pt>
                <c:pt idx="622">
                  <c:v>1.2252211349000193</c:v>
                </c:pt>
                <c:pt idx="623">
                  <c:v>1.2220795422464295</c:v>
                </c:pt>
                <c:pt idx="624">
                  <c:v>1.2189379495928399</c:v>
                </c:pt>
                <c:pt idx="625">
                  <c:v>1.21579635693925</c:v>
                </c:pt>
                <c:pt idx="626">
                  <c:v>1.2126547642856602</c:v>
                </c:pt>
                <c:pt idx="627">
                  <c:v>1.2095131716320704</c:v>
                </c:pt>
                <c:pt idx="628">
                  <c:v>1.2063715789784806</c:v>
                </c:pt>
                <c:pt idx="629">
                  <c:v>1.2032299863248908</c:v>
                </c:pt>
                <c:pt idx="630">
                  <c:v>1.2000883936713009</c:v>
                </c:pt>
                <c:pt idx="631">
                  <c:v>1.1969468010177111</c:v>
                </c:pt>
                <c:pt idx="632">
                  <c:v>1.1938052083641213</c:v>
                </c:pt>
                <c:pt idx="633">
                  <c:v>1.1906636157105317</c:v>
                </c:pt>
                <c:pt idx="634">
                  <c:v>1.1875220230569419</c:v>
                </c:pt>
                <c:pt idx="635">
                  <c:v>1.1843804304033521</c:v>
                </c:pt>
                <c:pt idx="636">
                  <c:v>1.1812388377497622</c:v>
                </c:pt>
                <c:pt idx="637">
                  <c:v>1.1780972450961724</c:v>
                </c:pt>
                <c:pt idx="638">
                  <c:v>1.1749556524425826</c:v>
                </c:pt>
                <c:pt idx="639">
                  <c:v>1.1718140597889928</c:v>
                </c:pt>
                <c:pt idx="640">
                  <c:v>1.168672467135403</c:v>
                </c:pt>
                <c:pt idx="641">
                  <c:v>1.1655308744818131</c:v>
                </c:pt>
                <c:pt idx="642">
                  <c:v>1.1623892818282235</c:v>
                </c:pt>
                <c:pt idx="643">
                  <c:v>1.1592476891746337</c:v>
                </c:pt>
                <c:pt idx="644">
                  <c:v>1.1561060965210439</c:v>
                </c:pt>
                <c:pt idx="645">
                  <c:v>1.1529645038674541</c:v>
                </c:pt>
                <c:pt idx="646">
                  <c:v>1.1498229112138643</c:v>
                </c:pt>
                <c:pt idx="647">
                  <c:v>1.1466813185602744</c:v>
                </c:pt>
                <c:pt idx="648">
                  <c:v>1.1435397259066846</c:v>
                </c:pt>
                <c:pt idx="649">
                  <c:v>1.140398133253095</c:v>
                </c:pt>
                <c:pt idx="650">
                  <c:v>1.137256540599505</c:v>
                </c:pt>
                <c:pt idx="651">
                  <c:v>1.1341149479459154</c:v>
                </c:pt>
                <c:pt idx="652">
                  <c:v>1.1309733552923253</c:v>
                </c:pt>
                <c:pt idx="653">
                  <c:v>1.1278317626387357</c:v>
                </c:pt>
                <c:pt idx="654">
                  <c:v>1.1246901699851457</c:v>
                </c:pt>
                <c:pt idx="655">
                  <c:v>1.1215485773315561</c:v>
                </c:pt>
                <c:pt idx="656">
                  <c:v>1.1184069846779665</c:v>
                </c:pt>
                <c:pt idx="657">
                  <c:v>1.1152653920243765</c:v>
                </c:pt>
                <c:pt idx="658">
                  <c:v>1.1121237993707869</c:v>
                </c:pt>
                <c:pt idx="659">
                  <c:v>1.1089822067171968</c:v>
                </c:pt>
                <c:pt idx="660">
                  <c:v>1.1058406140636072</c:v>
                </c:pt>
                <c:pt idx="661">
                  <c:v>1.1026990214100172</c:v>
                </c:pt>
                <c:pt idx="662">
                  <c:v>1.0995574287564276</c:v>
                </c:pt>
                <c:pt idx="663">
                  <c:v>1.0964158361028375</c:v>
                </c:pt>
                <c:pt idx="664">
                  <c:v>1.093274243449248</c:v>
                </c:pt>
                <c:pt idx="665">
                  <c:v>1.0901326507956584</c:v>
                </c:pt>
                <c:pt idx="666">
                  <c:v>1.0869910581420683</c:v>
                </c:pt>
                <c:pt idx="667">
                  <c:v>1.0838494654884787</c:v>
                </c:pt>
                <c:pt idx="668">
                  <c:v>1.0807078728348887</c:v>
                </c:pt>
                <c:pt idx="669">
                  <c:v>1.0775662801812991</c:v>
                </c:pt>
                <c:pt idx="670">
                  <c:v>1.074424687527709</c:v>
                </c:pt>
                <c:pt idx="671">
                  <c:v>1.0712830948741194</c:v>
                </c:pt>
                <c:pt idx="672">
                  <c:v>1.0681415022205294</c:v>
                </c:pt>
                <c:pt idx="673">
                  <c:v>1.0649999095669398</c:v>
                </c:pt>
                <c:pt idx="674">
                  <c:v>1.0618583169133498</c:v>
                </c:pt>
                <c:pt idx="675">
                  <c:v>1.0587167242597602</c:v>
                </c:pt>
                <c:pt idx="676">
                  <c:v>1.0555751316061706</c:v>
                </c:pt>
                <c:pt idx="677">
                  <c:v>1.0524335389525805</c:v>
                </c:pt>
                <c:pt idx="678">
                  <c:v>1.0492919462989909</c:v>
                </c:pt>
                <c:pt idx="679">
                  <c:v>1.0461503536454009</c:v>
                </c:pt>
                <c:pt idx="680">
                  <c:v>1.0430087609918113</c:v>
                </c:pt>
                <c:pt idx="681">
                  <c:v>1.0398671683382212</c:v>
                </c:pt>
                <c:pt idx="682">
                  <c:v>1.0367255756846316</c:v>
                </c:pt>
                <c:pt idx="683">
                  <c:v>1.0335839830310416</c:v>
                </c:pt>
                <c:pt idx="684">
                  <c:v>1.030442390377452</c:v>
                </c:pt>
                <c:pt idx="685">
                  <c:v>1.0273007977238624</c:v>
                </c:pt>
                <c:pt idx="686">
                  <c:v>1.0241592050702724</c:v>
                </c:pt>
                <c:pt idx="687">
                  <c:v>1.0210176124166828</c:v>
                </c:pt>
                <c:pt idx="688">
                  <c:v>1.0178760197630927</c:v>
                </c:pt>
                <c:pt idx="689">
                  <c:v>1.0147344271095031</c:v>
                </c:pt>
                <c:pt idx="690">
                  <c:v>1.0115928344559131</c:v>
                </c:pt>
                <c:pt idx="691">
                  <c:v>1.0084512418023235</c:v>
                </c:pt>
                <c:pt idx="692">
                  <c:v>1.0053096491487334</c:v>
                </c:pt>
                <c:pt idx="693">
                  <c:v>1.0021680564951438</c:v>
                </c:pt>
                <c:pt idx="694">
                  <c:v>0.99902646384155425</c:v>
                </c:pt>
                <c:pt idx="695">
                  <c:v>0.9958848711879642</c:v>
                </c:pt>
                <c:pt idx="696">
                  <c:v>0.99274327853437461</c:v>
                </c:pt>
                <c:pt idx="697">
                  <c:v>0.98960168588078457</c:v>
                </c:pt>
                <c:pt idx="698">
                  <c:v>0.98646009322719497</c:v>
                </c:pt>
                <c:pt idx="699">
                  <c:v>0.98331850057360493</c:v>
                </c:pt>
                <c:pt idx="700">
                  <c:v>0.98017690792001577</c:v>
                </c:pt>
                <c:pt idx="701">
                  <c:v>0.97703531526642573</c:v>
                </c:pt>
                <c:pt idx="702">
                  <c:v>0.97389372261283613</c:v>
                </c:pt>
                <c:pt idx="703">
                  <c:v>0.97075212995924609</c:v>
                </c:pt>
                <c:pt idx="704">
                  <c:v>0.96761053730565649</c:v>
                </c:pt>
                <c:pt idx="705">
                  <c:v>0.96446894465206645</c:v>
                </c:pt>
                <c:pt idx="706">
                  <c:v>0.96132735199847685</c:v>
                </c:pt>
                <c:pt idx="707">
                  <c:v>0.95818575934488726</c:v>
                </c:pt>
                <c:pt idx="708">
                  <c:v>0.95504416669129721</c:v>
                </c:pt>
                <c:pt idx="709">
                  <c:v>0.95190257403770762</c:v>
                </c:pt>
                <c:pt idx="710">
                  <c:v>0.94876098138411757</c:v>
                </c:pt>
                <c:pt idx="711">
                  <c:v>0.94561938873052798</c:v>
                </c:pt>
                <c:pt idx="712">
                  <c:v>0.94247779607693793</c:v>
                </c:pt>
                <c:pt idx="713">
                  <c:v>0.93933620342334834</c:v>
                </c:pt>
                <c:pt idx="714">
                  <c:v>0.9361946107697583</c:v>
                </c:pt>
                <c:pt idx="715">
                  <c:v>0.9330530181161687</c:v>
                </c:pt>
                <c:pt idx="716">
                  <c:v>0.9299114254625791</c:v>
                </c:pt>
                <c:pt idx="717">
                  <c:v>0.92676983280898906</c:v>
                </c:pt>
                <c:pt idx="718">
                  <c:v>0.92362824015539946</c:v>
                </c:pt>
                <c:pt idx="719">
                  <c:v>0.92048664750180942</c:v>
                </c:pt>
                <c:pt idx="720">
                  <c:v>0.91734505484821982</c:v>
                </c:pt>
                <c:pt idx="721">
                  <c:v>0.91420346219462978</c:v>
                </c:pt>
                <c:pt idx="722">
                  <c:v>0.91106186954104018</c:v>
                </c:pt>
                <c:pt idx="723">
                  <c:v>0.90792027688745014</c:v>
                </c:pt>
                <c:pt idx="724">
                  <c:v>0.90477868423386054</c:v>
                </c:pt>
                <c:pt idx="725">
                  <c:v>0.90163709158027094</c:v>
                </c:pt>
                <c:pt idx="726">
                  <c:v>0.8984954989266809</c:v>
                </c:pt>
                <c:pt idx="727">
                  <c:v>0.8953539062730913</c:v>
                </c:pt>
                <c:pt idx="728">
                  <c:v>0.89221231361950126</c:v>
                </c:pt>
                <c:pt idx="729">
                  <c:v>0.88907072096591166</c:v>
                </c:pt>
                <c:pt idx="730">
                  <c:v>0.88592912831232162</c:v>
                </c:pt>
                <c:pt idx="731">
                  <c:v>0.88278753565873203</c:v>
                </c:pt>
                <c:pt idx="732">
                  <c:v>0.87964594300514198</c:v>
                </c:pt>
                <c:pt idx="733">
                  <c:v>0.87650435035155239</c:v>
                </c:pt>
                <c:pt idx="734">
                  <c:v>0.87336275769796234</c:v>
                </c:pt>
                <c:pt idx="735">
                  <c:v>0.87022116504437275</c:v>
                </c:pt>
                <c:pt idx="736">
                  <c:v>0.86707957239078315</c:v>
                </c:pt>
                <c:pt idx="737">
                  <c:v>0.86393797973719311</c:v>
                </c:pt>
                <c:pt idx="738">
                  <c:v>0.86079638708360351</c:v>
                </c:pt>
                <c:pt idx="739">
                  <c:v>0.85765479443001347</c:v>
                </c:pt>
                <c:pt idx="740">
                  <c:v>0.85451320177642387</c:v>
                </c:pt>
                <c:pt idx="741">
                  <c:v>0.85137160912283383</c:v>
                </c:pt>
                <c:pt idx="742">
                  <c:v>0.84823001646924423</c:v>
                </c:pt>
                <c:pt idx="743">
                  <c:v>0.84508842381565419</c:v>
                </c:pt>
                <c:pt idx="744">
                  <c:v>0.84194683116206459</c:v>
                </c:pt>
                <c:pt idx="745">
                  <c:v>0.83880523850847499</c:v>
                </c:pt>
                <c:pt idx="746">
                  <c:v>0.83566364585488495</c:v>
                </c:pt>
                <c:pt idx="747">
                  <c:v>0.83252205320129535</c:v>
                </c:pt>
                <c:pt idx="748">
                  <c:v>0.82938046054770531</c:v>
                </c:pt>
                <c:pt idx="749">
                  <c:v>0.82623886789411571</c:v>
                </c:pt>
                <c:pt idx="750">
                  <c:v>0.82309727524052567</c:v>
                </c:pt>
                <c:pt idx="751">
                  <c:v>0.81995568258693607</c:v>
                </c:pt>
                <c:pt idx="752">
                  <c:v>0.81681408993334603</c:v>
                </c:pt>
                <c:pt idx="753">
                  <c:v>0.81367249727975643</c:v>
                </c:pt>
                <c:pt idx="754">
                  <c:v>0.81053090462616684</c:v>
                </c:pt>
                <c:pt idx="755">
                  <c:v>0.8073893119725768</c:v>
                </c:pt>
                <c:pt idx="756">
                  <c:v>0.8042477193189872</c:v>
                </c:pt>
                <c:pt idx="757">
                  <c:v>0.80110612666539716</c:v>
                </c:pt>
                <c:pt idx="758">
                  <c:v>0.79796453401180756</c:v>
                </c:pt>
                <c:pt idx="759">
                  <c:v>0.79482294135821752</c:v>
                </c:pt>
                <c:pt idx="760">
                  <c:v>0.79168134870462792</c:v>
                </c:pt>
                <c:pt idx="761">
                  <c:v>0.78853975605103788</c:v>
                </c:pt>
                <c:pt idx="762">
                  <c:v>0.78539816339744828</c:v>
                </c:pt>
                <c:pt idx="763">
                  <c:v>0.78225657074385868</c:v>
                </c:pt>
                <c:pt idx="764">
                  <c:v>0.77911497809026864</c:v>
                </c:pt>
                <c:pt idx="765">
                  <c:v>0.77597338543667904</c:v>
                </c:pt>
                <c:pt idx="766">
                  <c:v>0.772831792783089</c:v>
                </c:pt>
                <c:pt idx="767">
                  <c:v>0.7696902001294994</c:v>
                </c:pt>
                <c:pt idx="768">
                  <c:v>0.76654860747590936</c:v>
                </c:pt>
                <c:pt idx="769">
                  <c:v>0.76340701482231976</c:v>
                </c:pt>
                <c:pt idx="770">
                  <c:v>0.76026542216872972</c:v>
                </c:pt>
                <c:pt idx="771">
                  <c:v>0.75712382951514012</c:v>
                </c:pt>
                <c:pt idx="772">
                  <c:v>0.75398223686155053</c:v>
                </c:pt>
                <c:pt idx="773">
                  <c:v>0.75084064420796048</c:v>
                </c:pt>
                <c:pt idx="774">
                  <c:v>0.74769905155437089</c:v>
                </c:pt>
                <c:pt idx="775">
                  <c:v>0.74455745890078084</c:v>
                </c:pt>
                <c:pt idx="776">
                  <c:v>0.74141586624719125</c:v>
                </c:pt>
                <c:pt idx="777">
                  <c:v>0.7382742735936012</c:v>
                </c:pt>
                <c:pt idx="778">
                  <c:v>0.73513268094001161</c:v>
                </c:pt>
                <c:pt idx="779">
                  <c:v>0.73199108828642157</c:v>
                </c:pt>
                <c:pt idx="780">
                  <c:v>0.72884949563283197</c:v>
                </c:pt>
                <c:pt idx="781">
                  <c:v>0.72570790297924237</c:v>
                </c:pt>
                <c:pt idx="782">
                  <c:v>0.72256631032565233</c:v>
                </c:pt>
                <c:pt idx="783">
                  <c:v>0.71942471767206273</c:v>
                </c:pt>
                <c:pt idx="784">
                  <c:v>0.71628312501847269</c:v>
                </c:pt>
                <c:pt idx="785">
                  <c:v>0.71314153236488309</c:v>
                </c:pt>
                <c:pt idx="786">
                  <c:v>0.70999993971129305</c:v>
                </c:pt>
                <c:pt idx="787">
                  <c:v>0.70685834705770345</c:v>
                </c:pt>
                <c:pt idx="788">
                  <c:v>0.70371675440411341</c:v>
                </c:pt>
                <c:pt idx="789">
                  <c:v>0.70057516175052381</c:v>
                </c:pt>
                <c:pt idx="790">
                  <c:v>0.69743356909693421</c:v>
                </c:pt>
                <c:pt idx="791">
                  <c:v>0.69429197644334417</c:v>
                </c:pt>
                <c:pt idx="792">
                  <c:v>0.69115038378975457</c:v>
                </c:pt>
                <c:pt idx="793">
                  <c:v>0.68800879113616453</c:v>
                </c:pt>
                <c:pt idx="794">
                  <c:v>0.68486719848257493</c:v>
                </c:pt>
                <c:pt idx="795">
                  <c:v>0.68172560582898489</c:v>
                </c:pt>
                <c:pt idx="796">
                  <c:v>0.6785840131753953</c:v>
                </c:pt>
                <c:pt idx="797">
                  <c:v>0.67544242052180525</c:v>
                </c:pt>
                <c:pt idx="798">
                  <c:v>0.67230082786821566</c:v>
                </c:pt>
                <c:pt idx="799">
                  <c:v>0.66915923521462561</c:v>
                </c:pt>
                <c:pt idx="800">
                  <c:v>0.66601764256103602</c:v>
                </c:pt>
                <c:pt idx="801">
                  <c:v>0.66287604990744642</c:v>
                </c:pt>
                <c:pt idx="802">
                  <c:v>0.65973445725385638</c:v>
                </c:pt>
                <c:pt idx="803">
                  <c:v>0.65659286460026678</c:v>
                </c:pt>
                <c:pt idx="804">
                  <c:v>0.65345127194667674</c:v>
                </c:pt>
                <c:pt idx="805">
                  <c:v>0.65030967929308714</c:v>
                </c:pt>
                <c:pt idx="806">
                  <c:v>0.6471680866394971</c:v>
                </c:pt>
                <c:pt idx="807">
                  <c:v>0.6440264939859075</c:v>
                </c:pt>
                <c:pt idx="808">
                  <c:v>0.64088490133231746</c:v>
                </c:pt>
                <c:pt idx="809">
                  <c:v>0.63774330867872786</c:v>
                </c:pt>
                <c:pt idx="810">
                  <c:v>0.63460171602513826</c:v>
                </c:pt>
                <c:pt idx="811">
                  <c:v>0.63146012337154822</c:v>
                </c:pt>
                <c:pt idx="812">
                  <c:v>0.62831853071795862</c:v>
                </c:pt>
                <c:pt idx="813">
                  <c:v>0.62517693806436858</c:v>
                </c:pt>
                <c:pt idx="814">
                  <c:v>0.62203534541077898</c:v>
                </c:pt>
                <c:pt idx="815">
                  <c:v>0.61889375275718894</c:v>
                </c:pt>
                <c:pt idx="816">
                  <c:v>0.61575216010359934</c:v>
                </c:pt>
                <c:pt idx="817">
                  <c:v>0.6126105674500093</c:v>
                </c:pt>
                <c:pt idx="818">
                  <c:v>0.6094689747964197</c:v>
                </c:pt>
                <c:pt idx="819">
                  <c:v>0.60632738214283011</c:v>
                </c:pt>
                <c:pt idx="820">
                  <c:v>0.60318578948924007</c:v>
                </c:pt>
                <c:pt idx="821">
                  <c:v>0.60004419683565047</c:v>
                </c:pt>
                <c:pt idx="822">
                  <c:v>0.59690260418206043</c:v>
                </c:pt>
                <c:pt idx="823">
                  <c:v>0.59376101152847083</c:v>
                </c:pt>
                <c:pt idx="824">
                  <c:v>0.59061941887488079</c:v>
                </c:pt>
                <c:pt idx="825">
                  <c:v>0.58747782622129163</c:v>
                </c:pt>
                <c:pt idx="826">
                  <c:v>0.58433623356770159</c:v>
                </c:pt>
                <c:pt idx="827">
                  <c:v>0.58119464091411199</c:v>
                </c:pt>
                <c:pt idx="828">
                  <c:v>0.57805304826052195</c:v>
                </c:pt>
                <c:pt idx="829">
                  <c:v>0.57491145560693235</c:v>
                </c:pt>
                <c:pt idx="830">
                  <c:v>0.57176986295334231</c:v>
                </c:pt>
                <c:pt idx="831">
                  <c:v>0.56862827029975271</c:v>
                </c:pt>
                <c:pt idx="832">
                  <c:v>0.56548667764616312</c:v>
                </c:pt>
                <c:pt idx="833">
                  <c:v>0.56234508499257307</c:v>
                </c:pt>
                <c:pt idx="834">
                  <c:v>0.55920349233898348</c:v>
                </c:pt>
                <c:pt idx="835">
                  <c:v>0.55606189968539343</c:v>
                </c:pt>
                <c:pt idx="836">
                  <c:v>0.55292030703180384</c:v>
                </c:pt>
                <c:pt idx="837">
                  <c:v>0.5497787143782138</c:v>
                </c:pt>
                <c:pt idx="838">
                  <c:v>0.5466371217246242</c:v>
                </c:pt>
                <c:pt idx="839">
                  <c:v>0.54349552907103416</c:v>
                </c:pt>
                <c:pt idx="840">
                  <c:v>0.54035393641744456</c:v>
                </c:pt>
                <c:pt idx="841">
                  <c:v>0.53721234376385496</c:v>
                </c:pt>
                <c:pt idx="842">
                  <c:v>0.53407075111026492</c:v>
                </c:pt>
                <c:pt idx="843">
                  <c:v>0.53092915845667532</c:v>
                </c:pt>
                <c:pt idx="844">
                  <c:v>0.52778756580308528</c:v>
                </c:pt>
                <c:pt idx="845">
                  <c:v>0.52464597314949568</c:v>
                </c:pt>
                <c:pt idx="846">
                  <c:v>0.52150438049590564</c:v>
                </c:pt>
                <c:pt idx="847">
                  <c:v>0.51836278784231604</c:v>
                </c:pt>
                <c:pt idx="848">
                  <c:v>0.515221195188726</c:v>
                </c:pt>
                <c:pt idx="849">
                  <c:v>0.5120796025351364</c:v>
                </c:pt>
                <c:pt idx="850">
                  <c:v>0.5089380098815468</c:v>
                </c:pt>
                <c:pt idx="851">
                  <c:v>0.50579641722795676</c:v>
                </c:pt>
                <c:pt idx="852">
                  <c:v>0.50265482457436717</c:v>
                </c:pt>
                <c:pt idx="853">
                  <c:v>0.49951323192077712</c:v>
                </c:pt>
                <c:pt idx="854">
                  <c:v>0.49637163926718753</c:v>
                </c:pt>
                <c:pt idx="855">
                  <c:v>0.49323004661359748</c:v>
                </c:pt>
                <c:pt idx="856">
                  <c:v>0.49008845396000789</c:v>
                </c:pt>
                <c:pt idx="857">
                  <c:v>0.48694686130641784</c:v>
                </c:pt>
                <c:pt idx="858">
                  <c:v>0.48380526865282825</c:v>
                </c:pt>
                <c:pt idx="859">
                  <c:v>0.4806636759992382</c:v>
                </c:pt>
                <c:pt idx="860">
                  <c:v>0.47752208334564861</c:v>
                </c:pt>
                <c:pt idx="861">
                  <c:v>0.47438049069205901</c:v>
                </c:pt>
                <c:pt idx="862">
                  <c:v>0.47123889803846897</c:v>
                </c:pt>
                <c:pt idx="863">
                  <c:v>0.46809730538487937</c:v>
                </c:pt>
                <c:pt idx="864">
                  <c:v>0.46495571273128933</c:v>
                </c:pt>
                <c:pt idx="865">
                  <c:v>0.46181412007769973</c:v>
                </c:pt>
                <c:pt idx="866">
                  <c:v>0.45867252742410969</c:v>
                </c:pt>
                <c:pt idx="867">
                  <c:v>0.45553093477052009</c:v>
                </c:pt>
                <c:pt idx="868">
                  <c:v>0.45238934211693005</c:v>
                </c:pt>
                <c:pt idx="869">
                  <c:v>0.44924774946334045</c:v>
                </c:pt>
                <c:pt idx="870">
                  <c:v>0.44610615680975085</c:v>
                </c:pt>
                <c:pt idx="871">
                  <c:v>0.44296456415616081</c:v>
                </c:pt>
                <c:pt idx="872">
                  <c:v>0.43982297150257121</c:v>
                </c:pt>
                <c:pt idx="873">
                  <c:v>0.43668137884898117</c:v>
                </c:pt>
                <c:pt idx="874">
                  <c:v>0.43353978619539157</c:v>
                </c:pt>
                <c:pt idx="875">
                  <c:v>0.43039819354180153</c:v>
                </c:pt>
                <c:pt idx="876">
                  <c:v>0.42725660088821193</c:v>
                </c:pt>
                <c:pt idx="877">
                  <c:v>0.42411500823462189</c:v>
                </c:pt>
                <c:pt idx="878">
                  <c:v>0.4209734155810323</c:v>
                </c:pt>
                <c:pt idx="879">
                  <c:v>0.4178318229274427</c:v>
                </c:pt>
                <c:pt idx="880">
                  <c:v>0.41469023027385266</c:v>
                </c:pt>
                <c:pt idx="881">
                  <c:v>0.41154863762026306</c:v>
                </c:pt>
                <c:pt idx="882">
                  <c:v>0.40840704496667302</c:v>
                </c:pt>
                <c:pt idx="883">
                  <c:v>0.40526545231308342</c:v>
                </c:pt>
                <c:pt idx="884">
                  <c:v>0.40212385965949338</c:v>
                </c:pt>
                <c:pt idx="885">
                  <c:v>0.39898226700590378</c:v>
                </c:pt>
                <c:pt idx="886">
                  <c:v>0.39584067435231374</c:v>
                </c:pt>
                <c:pt idx="887">
                  <c:v>0.39269908169872414</c:v>
                </c:pt>
                <c:pt idx="888">
                  <c:v>0.38955748904513454</c:v>
                </c:pt>
                <c:pt idx="889">
                  <c:v>0.3864158963915445</c:v>
                </c:pt>
                <c:pt idx="890">
                  <c:v>0.3832743037379549</c:v>
                </c:pt>
                <c:pt idx="891">
                  <c:v>0.38013271108436486</c:v>
                </c:pt>
                <c:pt idx="892">
                  <c:v>0.37699111843077526</c:v>
                </c:pt>
                <c:pt idx="893">
                  <c:v>0.37384952577718522</c:v>
                </c:pt>
                <c:pt idx="894">
                  <c:v>0.37070793312359562</c:v>
                </c:pt>
                <c:pt idx="895">
                  <c:v>0.36756634047000558</c:v>
                </c:pt>
                <c:pt idx="896">
                  <c:v>0.36442474781641598</c:v>
                </c:pt>
                <c:pt idx="897">
                  <c:v>0.36128315516282639</c:v>
                </c:pt>
                <c:pt idx="898">
                  <c:v>0.35814156250923634</c:v>
                </c:pt>
                <c:pt idx="899">
                  <c:v>0.35499996985564675</c:v>
                </c:pt>
                <c:pt idx="900">
                  <c:v>0.3518583772020567</c:v>
                </c:pt>
                <c:pt idx="901">
                  <c:v>0.34871678454846711</c:v>
                </c:pt>
                <c:pt idx="902">
                  <c:v>0.34557519189487707</c:v>
                </c:pt>
                <c:pt idx="903">
                  <c:v>0.34243359924128747</c:v>
                </c:pt>
                <c:pt idx="904">
                  <c:v>0.33929200658769743</c:v>
                </c:pt>
                <c:pt idx="905">
                  <c:v>0.33615041393410783</c:v>
                </c:pt>
                <c:pt idx="906">
                  <c:v>0.33300882128051823</c:v>
                </c:pt>
                <c:pt idx="907">
                  <c:v>0.32986722862692819</c:v>
                </c:pt>
                <c:pt idx="908">
                  <c:v>0.32672563597333859</c:v>
                </c:pt>
                <c:pt idx="909">
                  <c:v>0.32358404331974855</c:v>
                </c:pt>
                <c:pt idx="910">
                  <c:v>0.32044245066615895</c:v>
                </c:pt>
                <c:pt idx="911">
                  <c:v>0.31730085801256891</c:v>
                </c:pt>
                <c:pt idx="912">
                  <c:v>0.31415926535897931</c:v>
                </c:pt>
                <c:pt idx="913">
                  <c:v>0.31101767270538927</c:v>
                </c:pt>
                <c:pt idx="914">
                  <c:v>0.30787608005179967</c:v>
                </c:pt>
                <c:pt idx="915">
                  <c:v>0.30473448739821007</c:v>
                </c:pt>
                <c:pt idx="916">
                  <c:v>0.30159289474462003</c:v>
                </c:pt>
                <c:pt idx="917">
                  <c:v>0.29845130209103043</c:v>
                </c:pt>
                <c:pt idx="918">
                  <c:v>0.29530970943744039</c:v>
                </c:pt>
                <c:pt idx="919">
                  <c:v>0.2921681167838508</c:v>
                </c:pt>
                <c:pt idx="920">
                  <c:v>0.28902652413026075</c:v>
                </c:pt>
                <c:pt idx="921">
                  <c:v>0.28588493147667116</c:v>
                </c:pt>
                <c:pt idx="922">
                  <c:v>0.28274333882308111</c:v>
                </c:pt>
                <c:pt idx="923">
                  <c:v>0.27960174616949152</c:v>
                </c:pt>
                <c:pt idx="924">
                  <c:v>0.27646015351590147</c:v>
                </c:pt>
                <c:pt idx="925">
                  <c:v>0.27331856086231188</c:v>
                </c:pt>
                <c:pt idx="926">
                  <c:v>0.27017696820872228</c:v>
                </c:pt>
                <c:pt idx="927">
                  <c:v>0.26703537555513224</c:v>
                </c:pt>
                <c:pt idx="928">
                  <c:v>0.26389378290154264</c:v>
                </c:pt>
                <c:pt idx="929">
                  <c:v>0.2607521902479526</c:v>
                </c:pt>
                <c:pt idx="930">
                  <c:v>0.257610597594363</c:v>
                </c:pt>
                <c:pt idx="931">
                  <c:v>0.25446900494077296</c:v>
                </c:pt>
                <c:pt idx="932">
                  <c:v>0.25132741228718336</c:v>
                </c:pt>
                <c:pt idx="933">
                  <c:v>0.24818581963359332</c:v>
                </c:pt>
                <c:pt idx="934">
                  <c:v>0.24504422698000372</c:v>
                </c:pt>
                <c:pt idx="935">
                  <c:v>0.24190263432641412</c:v>
                </c:pt>
                <c:pt idx="936">
                  <c:v>0.23876104167282408</c:v>
                </c:pt>
                <c:pt idx="937">
                  <c:v>0.23561944901923448</c:v>
                </c:pt>
                <c:pt idx="938">
                  <c:v>0.23247785636564444</c:v>
                </c:pt>
                <c:pt idx="939">
                  <c:v>0.22933626371205484</c:v>
                </c:pt>
                <c:pt idx="940">
                  <c:v>0.2261946710584648</c:v>
                </c:pt>
                <c:pt idx="941">
                  <c:v>0.2230530784048752</c:v>
                </c:pt>
                <c:pt idx="942">
                  <c:v>0.21991148575128516</c:v>
                </c:pt>
                <c:pt idx="943">
                  <c:v>0.21676989309769557</c:v>
                </c:pt>
                <c:pt idx="944">
                  <c:v>0.21362830044410597</c:v>
                </c:pt>
                <c:pt idx="945">
                  <c:v>0.21048670779051593</c:v>
                </c:pt>
                <c:pt idx="946">
                  <c:v>0.20734511513692633</c:v>
                </c:pt>
                <c:pt idx="947">
                  <c:v>0.20420352248333629</c:v>
                </c:pt>
                <c:pt idx="948">
                  <c:v>0.20106192982974669</c:v>
                </c:pt>
                <c:pt idx="949">
                  <c:v>0.19792033717615665</c:v>
                </c:pt>
                <c:pt idx="950">
                  <c:v>0.19477874452256749</c:v>
                </c:pt>
                <c:pt idx="951">
                  <c:v>0.19163715186897745</c:v>
                </c:pt>
                <c:pt idx="952">
                  <c:v>0.18849555921538785</c:v>
                </c:pt>
                <c:pt idx="953">
                  <c:v>0.18535396656179781</c:v>
                </c:pt>
                <c:pt idx="954">
                  <c:v>0.18221237390820821</c:v>
                </c:pt>
                <c:pt idx="955">
                  <c:v>0.17907078125461817</c:v>
                </c:pt>
                <c:pt idx="956">
                  <c:v>0.17592918860102857</c:v>
                </c:pt>
                <c:pt idx="957">
                  <c:v>0.17278759594743898</c:v>
                </c:pt>
                <c:pt idx="958">
                  <c:v>0.16964600329384893</c:v>
                </c:pt>
                <c:pt idx="959">
                  <c:v>0.16650441064025934</c:v>
                </c:pt>
                <c:pt idx="960">
                  <c:v>0.1633628179866693</c:v>
                </c:pt>
                <c:pt idx="961">
                  <c:v>0.1602212253330797</c:v>
                </c:pt>
                <c:pt idx="962">
                  <c:v>0.15707963267948966</c:v>
                </c:pt>
                <c:pt idx="963">
                  <c:v>0.15393804002590006</c:v>
                </c:pt>
                <c:pt idx="964">
                  <c:v>0.15079644737231002</c:v>
                </c:pt>
                <c:pt idx="965">
                  <c:v>0.14765485471872042</c:v>
                </c:pt>
                <c:pt idx="966">
                  <c:v>0.14451326206513082</c:v>
                </c:pt>
                <c:pt idx="967">
                  <c:v>0.14137166941154078</c:v>
                </c:pt>
                <c:pt idx="968">
                  <c:v>0.13823007675795118</c:v>
                </c:pt>
                <c:pt idx="969">
                  <c:v>0.13508848410436114</c:v>
                </c:pt>
                <c:pt idx="970">
                  <c:v>0.13194689145077154</c:v>
                </c:pt>
                <c:pt idx="971">
                  <c:v>0.1288052987971815</c:v>
                </c:pt>
                <c:pt idx="972">
                  <c:v>0.1256637061435919</c:v>
                </c:pt>
                <c:pt idx="973">
                  <c:v>0.12252211349000186</c:v>
                </c:pt>
                <c:pt idx="974">
                  <c:v>0.11938052083641226</c:v>
                </c:pt>
                <c:pt idx="975">
                  <c:v>0.11623892818282267</c:v>
                </c:pt>
                <c:pt idx="976">
                  <c:v>0.11309733552923262</c:v>
                </c:pt>
                <c:pt idx="977">
                  <c:v>0.10995574287564303</c:v>
                </c:pt>
                <c:pt idx="978">
                  <c:v>0.10681415022205298</c:v>
                </c:pt>
                <c:pt idx="979">
                  <c:v>0.10367255756846339</c:v>
                </c:pt>
                <c:pt idx="980">
                  <c:v>0.10053096491487334</c:v>
                </c:pt>
                <c:pt idx="981">
                  <c:v>9.7389372261283746E-2</c:v>
                </c:pt>
                <c:pt idx="982">
                  <c:v>9.4247779607693705E-2</c:v>
                </c:pt>
                <c:pt idx="983">
                  <c:v>9.1106186954104107E-2</c:v>
                </c:pt>
                <c:pt idx="984">
                  <c:v>8.7964594300514065E-2</c:v>
                </c:pt>
                <c:pt idx="985">
                  <c:v>8.4823001646924467E-2</c:v>
                </c:pt>
                <c:pt idx="986">
                  <c:v>8.168140899333487E-2</c:v>
                </c:pt>
                <c:pt idx="987">
                  <c:v>7.8539816339744828E-2</c:v>
                </c:pt>
                <c:pt idx="988">
                  <c:v>7.539822368615523E-2</c:v>
                </c:pt>
                <c:pt idx="989">
                  <c:v>7.2256631032565188E-2</c:v>
                </c:pt>
                <c:pt idx="990">
                  <c:v>6.9115038378975591E-2</c:v>
                </c:pt>
                <c:pt idx="991">
                  <c:v>6.5973445725385549E-2</c:v>
                </c:pt>
                <c:pt idx="992">
                  <c:v>6.2831853071795951E-2</c:v>
                </c:pt>
                <c:pt idx="993">
                  <c:v>5.9690260418205909E-2</c:v>
                </c:pt>
                <c:pt idx="994">
                  <c:v>5.6548667764616312E-2</c:v>
                </c:pt>
                <c:pt idx="995">
                  <c:v>5.3407075111026714E-2</c:v>
                </c:pt>
                <c:pt idx="996">
                  <c:v>5.0265482457436672E-2</c:v>
                </c:pt>
                <c:pt idx="997">
                  <c:v>4.7123889803847074E-2</c:v>
                </c:pt>
                <c:pt idx="998">
                  <c:v>4.3982297150257033E-2</c:v>
                </c:pt>
                <c:pt idx="999">
                  <c:v>4.0840704496667435E-2</c:v>
                </c:pt>
                <c:pt idx="1000">
                  <c:v>3.7699111843077393E-2</c:v>
                </c:pt>
                <c:pt idx="1001">
                  <c:v>3.4557519189487795E-2</c:v>
                </c:pt>
                <c:pt idx="1002">
                  <c:v>3.1415926535897754E-2</c:v>
                </c:pt>
                <c:pt idx="1003">
                  <c:v>2.8274333882308156E-2</c:v>
                </c:pt>
                <c:pt idx="1004">
                  <c:v>2.5132741228718558E-2</c:v>
                </c:pt>
                <c:pt idx="1005">
                  <c:v>2.1991148575128516E-2</c:v>
                </c:pt>
                <c:pt idx="1006">
                  <c:v>1.8849555921538919E-2</c:v>
                </c:pt>
                <c:pt idx="1007">
                  <c:v>1.5707963267948877E-2</c:v>
                </c:pt>
                <c:pt idx="1008">
                  <c:v>1.2566370614359279E-2</c:v>
                </c:pt>
                <c:pt idx="1009">
                  <c:v>9.4247779607692372E-3</c:v>
                </c:pt>
                <c:pt idx="1010">
                  <c:v>6.2831853071796395E-3</c:v>
                </c:pt>
                <c:pt idx="1011">
                  <c:v>3.1415926535895977E-3</c:v>
                </c:pt>
                <c:pt idx="1012">
                  <c:v>3.1415926535904859E-4</c:v>
                </c:pt>
                <c:pt idx="1013">
                  <c:v>3.1415926535771632E-5</c:v>
                </c:pt>
                <c:pt idx="1014">
                  <c:v>3.1415926535771632E-6</c:v>
                </c:pt>
                <c:pt idx="1015">
                  <c:v>3.1415926526889848E-7</c:v>
                </c:pt>
                <c:pt idx="1016">
                  <c:v>3.1415926748934453E-8</c:v>
                </c:pt>
                <c:pt idx="1017">
                  <c:v>3.1415927637112873E-9</c:v>
                </c:pt>
                <c:pt idx="1018">
                  <c:v>3.141593651889707E-10</c:v>
                </c:pt>
                <c:pt idx="1019">
                  <c:v>0</c:v>
                </c:pt>
              </c:numCache>
            </c:numRef>
          </c:xVal>
          <c:yVal>
            <c:numRef>
              <c:f>Sheet1!$AU$25:$AU$1044</c:f>
              <c:numCache>
                <c:formatCode>General</c:formatCode>
                <c:ptCount val="10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6.2673778061035321E-308</c:v>
                </c:pt>
                <c:pt idx="830">
                  <c:v>2.3743145998456663E-307</c:v>
                </c:pt>
                <c:pt idx="831">
                  <c:v>8.9023902908459643E-307</c:v>
                </c:pt>
                <c:pt idx="832">
                  <c:v>3.3038185144820244E-306</c:v>
                </c:pt>
                <c:pt idx="833">
                  <c:v>1.213645578069685E-305</c:v>
                </c:pt>
                <c:pt idx="834">
                  <c:v>4.4132489739244625E-305</c:v>
                </c:pt>
                <c:pt idx="835">
                  <c:v>1.5886941839440636E-304</c:v>
                </c:pt>
                <c:pt idx="836">
                  <c:v>5.6618940373296407E-304</c:v>
                </c:pt>
                <c:pt idx="837">
                  <c:v>1.9977756457719074E-303</c:v>
                </c:pt>
                <c:pt idx="838">
                  <c:v>6.9794145043060141E-303</c:v>
                </c:pt>
                <c:pt idx="839">
                  <c:v>2.4143603422294808E-302</c:v>
                </c:pt>
                <c:pt idx="840">
                  <c:v>8.2702624951100888E-302</c:v>
                </c:pt>
                <c:pt idx="841">
                  <c:v>2.8053927181371123E-301</c:v>
                </c:pt>
                <c:pt idx="842">
                  <c:v>9.4242767847728773E-301</c:v>
                </c:pt>
                <c:pt idx="843">
                  <c:v>3.1354869655682916E-300</c:v>
                </c:pt>
                <c:pt idx="844">
                  <c:v>1.0332060650410506E-299</c:v>
                </c:pt>
                <c:pt idx="845">
                  <c:v>3.3722210272197498E-299</c:v>
                </c:pt>
                <c:pt idx="846">
                  <c:v>1.0902201218070871E-298</c:v>
                </c:pt>
                <c:pt idx="847">
                  <c:v>3.4914284846575635E-298</c:v>
                </c:pt>
                <c:pt idx="848">
                  <c:v>1.1076547340510199E-297</c:v>
                </c:pt>
                <c:pt idx="849">
                  <c:v>3.4812824005136622E-297</c:v>
                </c:pt>
                <c:pt idx="850">
                  <c:v>1.0839987152512612E-296</c:v>
                </c:pt>
                <c:pt idx="851">
                  <c:v>3.3442120950500275E-296</c:v>
                </c:pt>
                <c:pt idx="852">
                  <c:v>1.0222451284328533E-295</c:v>
                </c:pt>
                <c:pt idx="853">
                  <c:v>3.0962279527159634E-295</c:v>
                </c:pt>
                <c:pt idx="854">
                  <c:v>9.2928235601870145E-295</c:v>
                </c:pt>
                <c:pt idx="855">
                  <c:v>2.7638812807615849E-294</c:v>
                </c:pt>
                <c:pt idx="856">
                  <c:v>8.1464396902612846E-294</c:v>
                </c:pt>
                <c:pt idx="857">
                  <c:v>2.379647987861948E-293</c:v>
                </c:pt>
                <c:pt idx="858">
                  <c:v>6.8892737378671835E-293</c:v>
                </c:pt>
                <c:pt idx="859">
                  <c:v>1.976829717100839E-292</c:v>
                </c:pt>
                <c:pt idx="860">
                  <c:v>5.6223674801609956E-292</c:v>
                </c:pt>
                <c:pt idx="861">
                  <c:v>1.5850471975904437E-291</c:v>
                </c:pt>
                <c:pt idx="862">
                  <c:v>4.4295217503630047E-291</c:v>
                </c:pt>
                <c:pt idx="863">
                  <c:v>1.2271047086213045E-290</c:v>
                </c:pt>
                <c:pt idx="864">
                  <c:v>3.3700383037233368E-290</c:v>
                </c:pt>
                <c:pt idx="865">
                  <c:v>9.1756022943264333E-290</c:v>
                </c:pt>
                <c:pt idx="866">
                  <c:v>2.4768446555695036E-289</c:v>
                </c:pt>
                <c:pt idx="867">
                  <c:v>6.6289559029709183E-289</c:v>
                </c:pt>
                <c:pt idx="868">
                  <c:v>1.7591027655646832E-288</c:v>
                </c:pt>
                <c:pt idx="869">
                  <c:v>4.6286503928109824E-288</c:v>
                </c:pt>
                <c:pt idx="870">
                  <c:v>1.2076798499987141E-287</c:v>
                </c:pt>
                <c:pt idx="871">
                  <c:v>3.1246439893343377E-287</c:v>
                </c:pt>
                <c:pt idx="872">
                  <c:v>8.0171014248888131E-287</c:v>
                </c:pt>
                <c:pt idx="873">
                  <c:v>2.0399474624414657E-286</c:v>
                </c:pt>
                <c:pt idx="874">
                  <c:v>5.1478020545423064E-286</c:v>
                </c:pt>
                <c:pt idx="875">
                  <c:v>1.2883749035004097E-285</c:v>
                </c:pt>
                <c:pt idx="876">
                  <c:v>3.1981319200224333E-285</c:v>
                </c:pt>
                <c:pt idx="877">
                  <c:v>7.8740861124414907E-285</c:v>
                </c:pt>
                <c:pt idx="878">
                  <c:v>1.9229562984470833E-284</c:v>
                </c:pt>
                <c:pt idx="879">
                  <c:v>4.6582175812011905E-284</c:v>
                </c:pt>
                <c:pt idx="880">
                  <c:v>1.1193520369065834E-283</c:v>
                </c:pt>
                <c:pt idx="881">
                  <c:v>2.6682436690539634E-283</c:v>
                </c:pt>
                <c:pt idx="882">
                  <c:v>6.3097374719390452E-283</c:v>
                </c:pt>
                <c:pt idx="883">
                  <c:v>1.4802636594882689E-282</c:v>
                </c:pt>
                <c:pt idx="884">
                  <c:v>3.4452731925119154E-282</c:v>
                </c:pt>
                <c:pt idx="885">
                  <c:v>7.9557240037806374E-282</c:v>
                </c:pt>
                <c:pt idx="886">
                  <c:v>1.8227273263550647E-281</c:v>
                </c:pt>
                <c:pt idx="887">
                  <c:v>4.143468037300497E-281</c:v>
                </c:pt>
                <c:pt idx="888">
                  <c:v>9.345891977713835E-281</c:v>
                </c:pt>
                <c:pt idx="889">
                  <c:v>2.0917319239095049E-280</c:v>
                </c:pt>
                <c:pt idx="890">
                  <c:v>4.6455128959395673E-280</c:v>
                </c:pt>
                <c:pt idx="891">
                  <c:v>1.0238053965811952E-279</c:v>
                </c:pt>
                <c:pt idx="892">
                  <c:v>2.2390862726351703E-279</c:v>
                </c:pt>
                <c:pt idx="893">
                  <c:v>4.8596761388450345E-279</c:v>
                </c:pt>
                <c:pt idx="894">
                  <c:v>1.0467432878964283E-278</c:v>
                </c:pt>
                <c:pt idx="895">
                  <c:v>2.2376003383501906E-278</c:v>
                </c:pt>
                <c:pt idx="896">
                  <c:v>4.747306849539113E-278</c:v>
                </c:pt>
                <c:pt idx="897">
                  <c:v>9.9964860934778291E-278</c:v>
                </c:pt>
                <c:pt idx="898">
                  <c:v>2.0892739393473821E-277</c:v>
                </c:pt>
                <c:pt idx="899">
                  <c:v>4.3341496608592493E-277</c:v>
                </c:pt>
                <c:pt idx="900">
                  <c:v>8.9245290893929638E-277</c:v>
                </c:pt>
                <c:pt idx="901">
                  <c:v>1.8241134914198501E-276</c:v>
                </c:pt>
                <c:pt idx="902">
                  <c:v>3.7009707380000651E-276</c:v>
                </c:pt>
                <c:pt idx="903">
                  <c:v>7.453987603382083E-276</c:v>
                </c:pt>
                <c:pt idx="904">
                  <c:v>1.4903309803364026E-275</c:v>
                </c:pt>
                <c:pt idx="905">
                  <c:v>2.9580773916317109E-275</c:v>
                </c:pt>
                <c:pt idx="906">
                  <c:v>5.828819777178112E-275</c:v>
                </c:pt>
                <c:pt idx="907">
                  <c:v>1.1402692998280067E-274</c:v>
                </c:pt>
                <c:pt idx="908">
                  <c:v>2.2146302379665442E-274</c:v>
                </c:pt>
                <c:pt idx="909">
                  <c:v>4.2704452065509258E-274</c:v>
                </c:pt>
                <c:pt idx="910">
                  <c:v>8.175874727868294E-274</c:v>
                </c:pt>
                <c:pt idx="911">
                  <c:v>1.5541585688802043E-273</c:v>
                </c:pt>
                <c:pt idx="912">
                  <c:v>2.9333723610499009E-273</c:v>
                </c:pt>
                <c:pt idx="913">
                  <c:v>5.4974393604779877E-273</c:v>
                </c:pt>
                <c:pt idx="914">
                  <c:v>1.0230233966384664E-272</c:v>
                </c:pt>
                <c:pt idx="915">
                  <c:v>1.8903965002881794E-272</c:v>
                </c:pt>
                <c:pt idx="916">
                  <c:v>3.4687474950591446E-272</c:v>
                </c:pt>
                <c:pt idx="917">
                  <c:v>6.3205519969645562E-272</c:v>
                </c:pt>
                <c:pt idx="918">
                  <c:v>1.1436939861536665E-271</c:v>
                </c:pt>
                <c:pt idx="919">
                  <c:v>2.0551665136462584E-271</c:v>
                </c:pt>
                <c:pt idx="920">
                  <c:v>3.6675517978359203E-271</c:v>
                </c:pt>
                <c:pt idx="921">
                  <c:v>6.4999071188481769E-271</c:v>
                </c:pt>
                <c:pt idx="922">
                  <c:v>1.1440609545868044E-270</c:v>
                </c:pt>
                <c:pt idx="923">
                  <c:v>1.9999154565224082E-270</c:v>
                </c:pt>
                <c:pt idx="924">
                  <c:v>3.472192445839553E-270</c:v>
                </c:pt>
                <c:pt idx="925">
                  <c:v>5.9873509148490034E-270</c:v>
                </c:pt>
                <c:pt idx="926">
                  <c:v>1.025447392356446E-269</c:v>
                </c:pt>
                <c:pt idx="927">
                  <c:v>1.7444103632080129E-269</c:v>
                </c:pt>
                <c:pt idx="928">
                  <c:v>2.947469122991221E-269</c:v>
                </c:pt>
                <c:pt idx="929">
                  <c:v>4.9467938968160674E-269</c:v>
                </c:pt>
                <c:pt idx="930">
                  <c:v>8.246711621606638E-269</c:v>
                </c:pt>
                <c:pt idx="931">
                  <c:v>1.3656160574145201E-268</c:v>
                </c:pt>
                <c:pt idx="932">
                  <c:v>2.2463400174448284E-268</c:v>
                </c:pt>
                <c:pt idx="933">
                  <c:v>3.6705368287201967E-268</c:v>
                </c:pt>
                <c:pt idx="934">
                  <c:v>5.9579782669345495E-268</c:v>
                </c:pt>
                <c:pt idx="935">
                  <c:v>9.6070795755422139E-268</c:v>
                </c:pt>
                <c:pt idx="936">
                  <c:v>1.5389155867387616E-267</c:v>
                </c:pt>
                <c:pt idx="937">
                  <c:v>2.4489325498963751E-267</c:v>
                </c:pt>
                <c:pt idx="938">
                  <c:v>3.8715513821505895E-267</c:v>
                </c:pt>
                <c:pt idx="939">
                  <c:v>6.0806059453944712E-267</c:v>
                </c:pt>
                <c:pt idx="940">
                  <c:v>9.4878903641547672E-267</c:v>
                </c:pt>
                <c:pt idx="941">
                  <c:v>1.4708237887171468E-266</c:v>
                </c:pt>
                <c:pt idx="942">
                  <c:v>2.2653063151209176E-266</c:v>
                </c:pt>
                <c:pt idx="943">
                  <c:v>3.4663748860352281E-266</c:v>
                </c:pt>
                <c:pt idx="944">
                  <c:v>5.2700327880380646E-266</c:v>
                </c:pt>
                <c:pt idx="945">
                  <c:v>7.9606233935406094E-266</c:v>
                </c:pt>
                <c:pt idx="946">
                  <c:v>1.194767728164636E-265</c:v>
                </c:pt>
                <c:pt idx="947">
                  <c:v>1.7816774871453786E-265</c:v>
                </c:pt>
                <c:pt idx="948">
                  <c:v>2.639917513913395E-265</c:v>
                </c:pt>
                <c:pt idx="949">
                  <c:v>3.8866337824921459E-265</c:v>
                </c:pt>
                <c:pt idx="950">
                  <c:v>5.6857154328116091E-265</c:v>
                </c:pt>
                <c:pt idx="951">
                  <c:v>8.2647739653852406E-265</c:v>
                </c:pt>
                <c:pt idx="952">
                  <c:v>1.1937605548399252E-264</c:v>
                </c:pt>
                <c:pt idx="953">
                  <c:v>1.7133645067532846E-264</c:v>
                </c:pt>
                <c:pt idx="954">
                  <c:v>2.4436241761580034E-264</c:v>
                </c:pt>
                <c:pt idx="955">
                  <c:v>3.4631943837430319E-264</c:v>
                </c:pt>
                <c:pt idx="956">
                  <c:v>4.8773366055923341E-264</c:v>
                </c:pt>
                <c:pt idx="957">
                  <c:v>6.8258617414118477E-264</c:v>
                </c:pt>
                <c:pt idx="958">
                  <c:v>9.4930666723460729E-264</c:v>
                </c:pt>
                <c:pt idx="959">
                  <c:v>1.312003954415782E-263</c:v>
                </c:pt>
                <c:pt idx="960">
                  <c:v>1.8019739417036624E-263</c:v>
                </c:pt>
                <c:pt idx="961">
                  <c:v>2.4595275688681833E-263</c:v>
                </c:pt>
                <c:pt idx="962">
                  <c:v>3.3361816065370614E-263</c:v>
                </c:pt>
                <c:pt idx="963">
                  <c:v>4.4972532446940451E-263</c:v>
                </c:pt>
                <c:pt idx="964">
                  <c:v>6.0248944737375385E-263</c:v>
                </c:pt>
                <c:pt idx="965">
                  <c:v>8.0215935631152521E-263</c:v>
                </c:pt>
                <c:pt idx="966">
                  <c:v>1.0614157703998309E-262</c:v>
                </c:pt>
                <c:pt idx="967">
                  <c:v>1.3958172368773986E-262</c:v>
                </c:pt>
                <c:pt idx="968">
                  <c:v>1.8242908524153969E-262</c:v>
                </c:pt>
                <c:pt idx="969">
                  <c:v>2.3696618097069579E-262</c:v>
                </c:pt>
                <c:pt idx="970">
                  <c:v>3.0592120901324277E-262</c:v>
                </c:pt>
                <c:pt idx="971">
                  <c:v>3.9252542852719509E-262</c:v>
                </c:pt>
                <c:pt idx="972">
                  <c:v>5.0057016509606678E-262</c:v>
                </c:pt>
                <c:pt idx="973">
                  <c:v>6.3446102121032816E-262</c:v>
                </c:pt>
                <c:pt idx="974">
                  <c:v>7.9926632496207174E-262</c:v>
                </c:pt>
                <c:pt idx="975">
                  <c:v>1.0007563085091566E-261</c:v>
                </c:pt>
                <c:pt idx="976">
                  <c:v>1.245429007913142E-261</c:v>
                </c:pt>
                <c:pt idx="977">
                  <c:v>1.5405184586692028E-261</c:v>
                </c:pt>
                <c:pt idx="978">
                  <c:v>1.8939804724263676E-261</c:v>
                </c:pt>
                <c:pt idx="979">
                  <c:v>2.3144511697066154E-261</c:v>
                </c:pt>
                <c:pt idx="980">
                  <c:v>2.8111735600379655E-261</c:v>
                </c:pt>
                <c:pt idx="981">
                  <c:v>3.393887851894866E-261</c:v>
                </c:pt>
                <c:pt idx="982">
                  <c:v>4.0726818785399509E-261</c:v>
                </c:pt>
                <c:pt idx="983">
                  <c:v>4.8577990717451741E-261</c:v>
                </c:pt>
                <c:pt idx="984">
                  <c:v>5.7594028128118468E-261</c:v>
                </c:pt>
                <c:pt idx="985">
                  <c:v>6.7872977323393232E-261</c:v>
                </c:pt>
                <c:pt idx="986">
                  <c:v>7.9506105839305936E-261</c:v>
                </c:pt>
                <c:pt idx="987">
                  <c:v>9.2574356216093336E-261</c:v>
                </c:pt>
                <c:pt idx="988">
                  <c:v>1.0714451883524943E-260</c:v>
                </c:pt>
                <c:pt idx="989">
                  <c:v>1.2326522308951736E-260</c:v>
                </c:pt>
                <c:pt idx="990">
                  <c:v>1.4096287060208618E-260</c:v>
                </c:pt>
                <c:pt idx="991">
                  <c:v>1.6023765631128996E-260</c:v>
                </c:pt>
                <c:pt idx="992">
                  <c:v>1.810598413562045E-260</c:v>
                </c:pt>
                <c:pt idx="993">
                  <c:v>2.0336645427115812E-260</c:v>
                </c:pt>
                <c:pt idx="994">
                  <c:v>2.2705860242764481E-260</c:v>
                </c:pt>
                <c:pt idx="995">
                  <c:v>2.5199957273577747E-260</c:v>
                </c:pt>
                <c:pt idx="996">
                  <c:v>2.7801388843949745E-260</c:v>
                </c:pt>
                <c:pt idx="997">
                  <c:v>3.0488746676959648E-260</c:v>
                </c:pt>
                <c:pt idx="998">
                  <c:v>3.3236899063022503E-260</c:v>
                </c:pt>
                <c:pt idx="999">
                  <c:v>3.601725668062759E-260</c:v>
                </c:pt>
                <c:pt idx="1000">
                  <c:v>3.8798169478725828E-260</c:v>
                </c:pt>
                <c:pt idx="1001">
                  <c:v>4.1545451629118491E-260</c:v>
                </c:pt>
                <c:pt idx="1002">
                  <c:v>4.4223025808451117E-260</c:v>
                </c:pt>
                <c:pt idx="1003">
                  <c:v>4.6793672287544897E-260</c:v>
                </c:pt>
                <c:pt idx="1004">
                  <c:v>4.9219862791875669E-260</c:v>
                </c:pt>
                <c:pt idx="1005">
                  <c:v>5.1464654160665873E-260</c:v>
                </c:pt>
                <c:pt idx="1006">
                  <c:v>5.3492612819727129E-260</c:v>
                </c:pt>
                <c:pt idx="1007">
                  <c:v>5.5270738184344407E-260</c:v>
                </c:pt>
                <c:pt idx="1008">
                  <c:v>5.6769351660985005E-260</c:v>
                </c:pt>
                <c:pt idx="1009">
                  <c:v>5.7962917968621271E-260</c:v>
                </c:pt>
                <c:pt idx="1010">
                  <c:v>5.8830767090148689E-260</c:v>
                </c:pt>
                <c:pt idx="1011">
                  <c:v>5.935768844454739E-260</c:v>
                </c:pt>
                <c:pt idx="1012">
                  <c:v>5.953260398688901E-260</c:v>
                </c:pt>
                <c:pt idx="1013">
                  <c:v>5.9534355622266775E-260</c:v>
                </c:pt>
                <c:pt idx="1014">
                  <c:v>5.9534369064352254E-260</c:v>
                </c:pt>
                <c:pt idx="1015">
                  <c:v>5.953439217843853E-260</c:v>
                </c:pt>
                <c:pt idx="1016">
                  <c:v>5.95346074154455E-260</c:v>
                </c:pt>
                <c:pt idx="1017">
                  <c:v>5.9531012354325931E-260</c:v>
                </c:pt>
                <c:pt idx="1018">
                  <c:v>5.955522602735956E-260</c:v>
                </c:pt>
                <c:pt idx="101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60000"/>
        <c:axId val="297460560"/>
      </c:scatterChart>
      <c:valAx>
        <c:axId val="297460000"/>
        <c:scaling>
          <c:orientation val="minMax"/>
          <c:max val="3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Sheet1!$D$23</c:f>
              <c:strCache>
                <c:ptCount val="1"/>
                <c:pt idx="0">
                  <c:v>theta used = th_r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460560"/>
        <c:crosses val="autoZero"/>
        <c:crossBetween val="midCat"/>
      </c:valAx>
      <c:valAx>
        <c:axId val="297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46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4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7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251791</xdr:colOff>
      <xdr:row>0</xdr:row>
      <xdr:rowOff>46383</xdr:rowOff>
    </xdr:from>
    <xdr:to>
      <xdr:col>21</xdr:col>
      <xdr:colOff>258417</xdr:colOff>
      <xdr:row>20</xdr:row>
      <xdr:rowOff>6627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I1046"/>
  <sheetViews>
    <sheetView zoomScale="130" zoomScaleNormal="130" workbookViewId="0">
      <pane xSplit="4" topLeftCell="E1" activePane="topRight" state="frozen"/>
      <selection activeCell="A20" sqref="A20"/>
      <selection pane="topRight" activeCell="B2" sqref="B2"/>
    </sheetView>
  </sheetViews>
  <sheetFormatPr defaultRowHeight="14.4" x14ac:dyDescent="0.3"/>
  <cols>
    <col min="1" max="1" width="17.33203125" customWidth="1"/>
    <col min="2" max="2" width="12.5546875" customWidth="1"/>
    <col min="3" max="3" width="12.6640625" customWidth="1"/>
    <col min="4" max="4" width="14.77734375" customWidth="1"/>
    <col min="5" max="5" width="13" bestFit="1" customWidth="1"/>
    <col min="6" max="6" width="13" customWidth="1"/>
    <col min="7" max="7" width="13" bestFit="1" customWidth="1"/>
    <col min="8" max="8" width="11.88671875" bestFit="1" customWidth="1"/>
    <col min="9" max="9" width="11.88671875" customWidth="1"/>
    <col min="10" max="10" width="11.88671875" bestFit="1" customWidth="1"/>
    <col min="11" max="11" width="12.33203125" bestFit="1" customWidth="1"/>
    <col min="16" max="16" width="12.6640625" bestFit="1" customWidth="1"/>
    <col min="18" max="18" width="10.6640625" bestFit="1" customWidth="1"/>
    <col min="19" max="19" width="13" bestFit="1" customWidth="1"/>
    <col min="20" max="20" width="8.88671875" style="9"/>
    <col min="25" max="25" width="13.109375" bestFit="1" customWidth="1"/>
    <col min="27" max="27" width="11.88671875" customWidth="1"/>
    <col min="29" max="29" width="13.88671875" customWidth="1"/>
    <col min="30" max="30" width="13" bestFit="1" customWidth="1"/>
    <col min="31" max="31" width="13" customWidth="1"/>
    <col min="33" max="33" width="12.109375" bestFit="1" customWidth="1"/>
    <col min="35" max="35" width="13" bestFit="1" customWidth="1"/>
    <col min="36" max="36" width="12" customWidth="1"/>
    <col min="37" max="38" width="12.33203125" bestFit="1" customWidth="1"/>
    <col min="39" max="49" width="12.33203125" customWidth="1"/>
    <col min="50" max="50" width="17.5546875" customWidth="1"/>
    <col min="51" max="51" width="20" customWidth="1"/>
    <col min="52" max="52" width="14" bestFit="1" customWidth="1"/>
    <col min="53" max="53" width="11.21875" customWidth="1"/>
    <col min="54" max="54" width="14" customWidth="1"/>
    <col min="55" max="55" width="0.5546875" customWidth="1"/>
    <col min="56" max="56" width="12.44140625" bestFit="1" customWidth="1"/>
    <col min="57" max="57" width="13" bestFit="1" customWidth="1"/>
    <col min="58" max="58" width="11.33203125" bestFit="1" customWidth="1"/>
    <col min="60" max="60" width="13" bestFit="1" customWidth="1"/>
  </cols>
  <sheetData>
    <row r="1" spans="1:61" x14ac:dyDescent="0.3">
      <c r="A1" t="s">
        <v>0</v>
      </c>
      <c r="B1" s="3">
        <v>-5</v>
      </c>
      <c r="C1" s="8">
        <f>IF(B1&lt;B6,-B1,B1)</f>
        <v>5</v>
      </c>
      <c r="E1" t="str">
        <f>"Probability Density Function (alpha  = 1 + "&amp;TEXT(alpha_m_1,"0.00E+00")&amp;",  beta = "&amp;TEXT(beta,"0.00")&amp;",  x = "&amp;TEXT(x,"0.00E+00")&amp;")"</f>
        <v>Probability Density Function (alpha  = 1 + 1.00E-20,  beta = -1.00,  x = 5.00E+00)</v>
      </c>
      <c r="Z1" t="s">
        <v>57</v>
      </c>
      <c r="AA1" t="b">
        <f>B1&lt;0</f>
        <v>1</v>
      </c>
    </row>
    <row r="2" spans="1:61" x14ac:dyDescent="0.3">
      <c r="A2" t="s">
        <v>43</v>
      </c>
      <c r="B2" s="3">
        <v>9.9999999999999995E-21</v>
      </c>
      <c r="C2" s="1"/>
    </row>
    <row r="3" spans="1:61" x14ac:dyDescent="0.3">
      <c r="A3" t="s">
        <v>1</v>
      </c>
      <c r="B3" s="6">
        <f>1+alpha_m_1</f>
        <v>1</v>
      </c>
      <c r="C3">
        <f>B3</f>
        <v>1</v>
      </c>
      <c r="G3" t="s">
        <v>63</v>
      </c>
      <c r="Z3" t="s">
        <v>2</v>
      </c>
      <c r="AA3">
        <f>IF(flip,-B4,B4)</f>
        <v>-1</v>
      </c>
    </row>
    <row r="4" spans="1:61" x14ac:dyDescent="0.3">
      <c r="A4" t="s">
        <v>2</v>
      </c>
      <c r="B4" s="3">
        <v>1</v>
      </c>
      <c r="C4">
        <f>IF(B1&lt;B6,-B4,B4)</f>
        <v>-1</v>
      </c>
      <c r="G4" t="s">
        <v>64</v>
      </c>
      <c r="Z4" t="s">
        <v>23</v>
      </c>
      <c r="AA4">
        <f>1/(2*AA3)</f>
        <v>-0.5</v>
      </c>
    </row>
    <row r="5" spans="1:61" x14ac:dyDescent="0.3">
      <c r="A5" t="s">
        <v>68</v>
      </c>
      <c r="B5" s="12" t="b">
        <f>ABS(alpha_m_1)&lt;0.02*ABS(B4)</f>
        <v>1</v>
      </c>
      <c r="D5" t="s">
        <v>70</v>
      </c>
    </row>
    <row r="6" spans="1:61" x14ac:dyDescent="0.3">
      <c r="A6" t="s">
        <v>3</v>
      </c>
      <c r="B6">
        <f>IF(alpha_near_1,B4*_xlfn.COT(PI()/2*alpha_m_1),-B4*TAN(PI()*alpha/2))</f>
        <v>6.3661977236758143E+19</v>
      </c>
      <c r="C6">
        <f>IF(alpha_near_1,beta*_xlfn.COT(PI()/2*alpha_m_1),-beta*TAN(PI()*alpha/2))</f>
        <v>-6.3661977236758143E+19</v>
      </c>
      <c r="D6" s="10">
        <f>-beta*TAN(PI()*alpha/2)</f>
        <v>1.6324552277619072E+16</v>
      </c>
      <c r="E6" t="s">
        <v>85</v>
      </c>
      <c r="G6" t="s">
        <v>65</v>
      </c>
      <c r="Z6" t="s">
        <v>24</v>
      </c>
      <c r="AA6">
        <f>PI()*AA4</f>
        <v>-1.5707963267948966</v>
      </c>
      <c r="AH6" s="11" t="s">
        <v>69</v>
      </c>
      <c r="AI6" t="b">
        <f>AND(alpha_near_1,ABS(x)&lt;0.5*ABS(zeta))</f>
        <v>1</v>
      </c>
    </row>
    <row r="7" spans="1:61" x14ac:dyDescent="0.3">
      <c r="A7" t="s">
        <v>4</v>
      </c>
      <c r="C7">
        <f>IF(alpha_near_1,PI()/2+(-alpha_m_1*PI()/2+ATAN(TAN(alpha_m_1*PI()/2)/beta))/alpha,ATAN(beta*TAN(PI()*alpha/2))/alpha)</f>
        <v>1.5707963267948966</v>
      </c>
      <c r="D7">
        <f>ATAN(-D6)/alpha</f>
        <v>-1.5707963267948966</v>
      </c>
      <c r="G7" s="4" t="s">
        <v>66</v>
      </c>
      <c r="Z7" t="s">
        <v>25</v>
      </c>
      <c r="AA7" s="8">
        <f>-AA6*IF(flip,-B1,B1)</f>
        <v>7.8539816339744828</v>
      </c>
      <c r="AH7" s="8"/>
      <c r="BH7" t="s">
        <v>34</v>
      </c>
      <c r="BI7" t="s">
        <v>3</v>
      </c>
    </row>
    <row r="8" spans="1:61" x14ac:dyDescent="0.3">
      <c r="A8" t="s">
        <v>8</v>
      </c>
      <c r="C8" s="7">
        <f>1/SQRT(1+zeta*zeta)</f>
        <v>1.5707963267948965E-20</v>
      </c>
      <c r="D8" s="5">
        <f>COS(alpha*D7)</f>
        <v>6.1257422745431001E-17</v>
      </c>
      <c r="AI8">
        <f>-SIN(add_l)*_xlfn.COT(B25)</f>
        <v>9.9999999999999991E-5</v>
      </c>
      <c r="AJ8">
        <f>-2*SIN(add_l/2)^2</f>
        <v>-4.9348022005446781E-40</v>
      </c>
      <c r="AK8">
        <f>alpha/alpha_m_1*log1p(AI8+AJ8)</f>
        <v>9999500033330832</v>
      </c>
      <c r="BH8" t="s">
        <v>35</v>
      </c>
    </row>
    <row r="9" spans="1:61" x14ac:dyDescent="0.3">
      <c r="A9" t="s">
        <v>9</v>
      </c>
      <c r="C9">
        <f>ABS(x-zeta)</f>
        <v>6.3661977236758143E+19</v>
      </c>
      <c r="AI9">
        <f>SIN(alpha_m_1*B25)*_xlfn.COT(B25)</f>
        <v>9.9999999999999995E-21</v>
      </c>
      <c r="AJ9">
        <f>-2*SIN(alpha_m_1*B25/2)^2</f>
        <v>-4.9348022005446785E-72</v>
      </c>
      <c r="AK9">
        <f>alpha/alpha_m_1*log1p(AI9+AJ9)</f>
        <v>1</v>
      </c>
      <c r="BH9" t="s">
        <v>36</v>
      </c>
    </row>
    <row r="10" spans="1:61" x14ac:dyDescent="0.3">
      <c r="A10" t="s">
        <v>16</v>
      </c>
      <c r="C10">
        <f>alpha/(PI()*ABS(alpha_m_1)*x_m_zeta)</f>
        <v>0.5</v>
      </c>
      <c r="AH10" t="s">
        <v>60</v>
      </c>
      <c r="AK10">
        <f>AK8-AK9</f>
        <v>9999500033330832</v>
      </c>
    </row>
    <row r="11" spans="1:61" x14ac:dyDescent="0.3">
      <c r="A11" t="s">
        <v>44</v>
      </c>
      <c r="C11">
        <f>PI()/2+theta0</f>
        <v>3.1415926535897931</v>
      </c>
      <c r="D11" s="5">
        <f>PI()/2+D7</f>
        <v>0</v>
      </c>
      <c r="G11" t="s">
        <v>74</v>
      </c>
      <c r="H11" s="10"/>
      <c r="I11" s="10"/>
    </row>
    <row r="12" spans="1:61" x14ac:dyDescent="0.3">
      <c r="A12" t="s">
        <v>45</v>
      </c>
      <c r="C12" s="10">
        <f>IF(alpha_near_1,(-alpha_m_1*PI()/2+ATAN(TAN(alpha_m_1*PI()/2)/beta))/alpha,theta0-PI()/2)</f>
        <v>-3.141592653589793E-20</v>
      </c>
      <c r="D12" s="10">
        <f>D7-PI()/2</f>
        <v>-3.1415926535897931</v>
      </c>
      <c r="G12" t="s">
        <v>75</v>
      </c>
      <c r="AH12" t="s">
        <v>53</v>
      </c>
      <c r="AZ12" t="e">
        <f>-SIN(th)/COS(th)</f>
        <v>#NAME?</v>
      </c>
    </row>
    <row r="13" spans="1:61" x14ac:dyDescent="0.3">
      <c r="A13" s="13" t="s">
        <v>67</v>
      </c>
      <c r="C13" s="10">
        <f>IF(alpha_near_1,(-alpha_m_1*PI()/2-ATAN(1/zeta)),PI()-alpha*th_max)</f>
        <v>0</v>
      </c>
      <c r="D13" s="10">
        <f>PI()-alpha*D11</f>
        <v>3.1415926535897931</v>
      </c>
      <c r="E13" s="13" t="s">
        <v>86</v>
      </c>
      <c r="F13" s="11"/>
      <c r="G13" s="4" t="s">
        <v>76</v>
      </c>
    </row>
    <row r="14" spans="1:61" x14ac:dyDescent="0.3">
      <c r="A14" t="s">
        <v>29</v>
      </c>
      <c r="B14" t="s">
        <v>30</v>
      </c>
      <c r="D14">
        <f>2*B4/(alpha_m_1)/PI()</f>
        <v>6.3661977236758135E+19</v>
      </c>
      <c r="G14" s="4" t="s">
        <v>77</v>
      </c>
      <c r="AH14" t="s">
        <v>54</v>
      </c>
    </row>
    <row r="15" spans="1:61" x14ac:dyDescent="0.3">
      <c r="A15" t="s">
        <v>37</v>
      </c>
      <c r="D15">
        <f>-0.5*log1p(ABS(zeta)^-2)</f>
        <v>-1.2337005501361695E-40</v>
      </c>
      <c r="E15">
        <f>-0.5/(zeta*zeta)</f>
        <v>-1.2337005501361695E-40</v>
      </c>
      <c r="G15" s="4" t="s">
        <v>78</v>
      </c>
      <c r="AH15" t="s">
        <v>55</v>
      </c>
      <c r="BD15">
        <f>PI()/(2*beta)</f>
        <v>-1.5707963267948966</v>
      </c>
    </row>
    <row r="16" spans="1:61" x14ac:dyDescent="0.3">
      <c r="AH16" t="s">
        <v>61</v>
      </c>
    </row>
    <row r="17" spans="1:61" x14ac:dyDescent="0.3">
      <c r="A17" t="s">
        <v>31</v>
      </c>
      <c r="AX17" t="s">
        <v>25</v>
      </c>
      <c r="AY17" t="s">
        <v>42</v>
      </c>
      <c r="AZ17" t="s">
        <v>38</v>
      </c>
      <c r="BA17" s="4" t="s">
        <v>83</v>
      </c>
      <c r="BB17" t="s">
        <v>84</v>
      </c>
    </row>
    <row r="18" spans="1:61" x14ac:dyDescent="0.3">
      <c r="A18" t="s">
        <v>32</v>
      </c>
      <c r="D18">
        <f>alpha/(alpha_m_1)*log1p(-x/zeta)</f>
        <v>7.8539816339744828</v>
      </c>
      <c r="E18">
        <f>-x/(2*beta/PI())</f>
        <v>7.8539816339744828</v>
      </c>
      <c r="AF18" t="s">
        <v>41</v>
      </c>
      <c r="AH18" t="s">
        <v>25</v>
      </c>
      <c r="AI18" t="s">
        <v>42</v>
      </c>
      <c r="AJ18" t="s">
        <v>38</v>
      </c>
      <c r="AK18" s="4" t="s">
        <v>39</v>
      </c>
    </row>
    <row r="19" spans="1:61" x14ac:dyDescent="0.3">
      <c r="AX19" t="s">
        <v>59</v>
      </c>
    </row>
    <row r="20" spans="1:61" x14ac:dyDescent="0.3">
      <c r="AH20" t="s">
        <v>59</v>
      </c>
      <c r="AY20" t="s">
        <v>40</v>
      </c>
    </row>
    <row r="21" spans="1:61" x14ac:dyDescent="0.3">
      <c r="A21" t="s">
        <v>33</v>
      </c>
      <c r="D21">
        <f>LN(ABS(C6))+D15/(alpha_m_1)</f>
        <v>45.600119154591461</v>
      </c>
      <c r="H21">
        <f>alpha/alpha_m_1*LN(E25/H25)</f>
        <v>9999500033329732</v>
      </c>
      <c r="I21">
        <f>alpha/alpha_m_1*(LN(F25)-LN(I25))</f>
        <v>0</v>
      </c>
      <c r="Y21" t="s">
        <v>22</v>
      </c>
      <c r="AI21" t="s">
        <v>40</v>
      </c>
      <c r="AN21" t="e">
        <f>STDEV(AN25:AN1044)</f>
        <v>#N/A</v>
      </c>
      <c r="AV21" t="s">
        <v>71</v>
      </c>
      <c r="AZ21" s="4" t="s">
        <v>87</v>
      </c>
    </row>
    <row r="22" spans="1:61" x14ac:dyDescent="0.3">
      <c r="C22" t="s">
        <v>62</v>
      </c>
      <c r="D22" t="b">
        <f>SIGN(B1)=SIGN(B6)</f>
        <v>0</v>
      </c>
      <c r="AJ22" t="s">
        <v>47</v>
      </c>
      <c r="BA22" s="4" t="s">
        <v>39</v>
      </c>
    </row>
    <row r="23" spans="1:61" x14ac:dyDescent="0.3">
      <c r="B23" t="s">
        <v>46</v>
      </c>
      <c r="C23" t="s">
        <v>58</v>
      </c>
      <c r="D23" t="str">
        <f>"theta used = "&amp;IF(use_th_l,B23,C23)</f>
        <v>theta used = th_r</v>
      </c>
      <c r="E23" t="s">
        <v>5</v>
      </c>
      <c r="F23" t="s">
        <v>73</v>
      </c>
      <c r="G23" t="s">
        <v>6</v>
      </c>
      <c r="H23" t="s">
        <v>7</v>
      </c>
      <c r="I23" t="s">
        <v>79</v>
      </c>
      <c r="J23" t="s">
        <v>10</v>
      </c>
      <c r="K23" t="s">
        <v>11</v>
      </c>
      <c r="L23" t="s">
        <v>12</v>
      </c>
      <c r="M23" t="s">
        <v>13</v>
      </c>
      <c r="N23" s="9" t="s">
        <v>14</v>
      </c>
      <c r="O23" t="s">
        <v>15</v>
      </c>
      <c r="Q23" t="s">
        <v>17</v>
      </c>
      <c r="R23" t="s">
        <v>18</v>
      </c>
      <c r="S23" t="s">
        <v>19</v>
      </c>
      <c r="T23" s="9" t="s">
        <v>20</v>
      </c>
      <c r="U23" t="s">
        <v>21</v>
      </c>
      <c r="V23" t="s">
        <v>15</v>
      </c>
      <c r="W23">
        <f>SUMSQ(W25:W1044)^0.5</f>
        <v>0</v>
      </c>
      <c r="Y23" t="s">
        <v>25</v>
      </c>
      <c r="Z23" t="s">
        <v>26</v>
      </c>
      <c r="AA23" t="s">
        <v>27</v>
      </c>
      <c r="AB23" t="s">
        <v>28</v>
      </c>
      <c r="AC23" t="s">
        <v>38</v>
      </c>
      <c r="AD23" s="4" t="s">
        <v>39</v>
      </c>
      <c r="AE23" s="14" t="s">
        <v>20</v>
      </c>
      <c r="AF23" t="s">
        <v>56</v>
      </c>
      <c r="AK23" s="4" t="s">
        <v>39</v>
      </c>
      <c r="AL23" s="9" t="s">
        <v>20</v>
      </c>
      <c r="AM23" t="s">
        <v>48</v>
      </c>
      <c r="AN23" t="s">
        <v>49</v>
      </c>
      <c r="AO23" t="s">
        <v>50</v>
      </c>
      <c r="AP23" t="s">
        <v>51</v>
      </c>
      <c r="AQ23" t="s">
        <v>52</v>
      </c>
      <c r="AS23" t="s">
        <v>48</v>
      </c>
      <c r="AT23" t="s">
        <v>49</v>
      </c>
      <c r="AY23">
        <f>alpha/alpha_m_1*(LN(SIN(C25)/H25))</f>
        <v>5.89760672859334E+19</v>
      </c>
      <c r="AZ23">
        <f>EXP(AZ25)-2*ABS(beta)*(PI()/2*(1+1/beta)-C24)</f>
        <v>8.2831853071795862</v>
      </c>
      <c r="BB23" s="4" t="s">
        <v>72</v>
      </c>
      <c r="BD23" s="9" t="s">
        <v>20</v>
      </c>
      <c r="BG23" t="s">
        <v>80</v>
      </c>
      <c r="BH23" t="s">
        <v>81</v>
      </c>
      <c r="BI23" t="s">
        <v>82</v>
      </c>
    </row>
    <row r="24" spans="1:61" x14ac:dyDescent="0.3">
      <c r="A24">
        <v>0</v>
      </c>
      <c r="B24">
        <f t="shared" ref="B24:B87" si="0">th_max*A24</f>
        <v>0</v>
      </c>
      <c r="C24">
        <f t="shared" ref="C24:C87" si="1">th_max-B24</f>
        <v>3.1415926535897931</v>
      </c>
      <c r="D24">
        <f t="shared" ref="D24:D87" si="2">IF(use_th_l,B24,C24)</f>
        <v>3.1415926535897931</v>
      </c>
      <c r="E24">
        <f t="shared" ref="E24:E88" si="3">SIN(B24-add_l)</f>
        <v>3.141592653589793E-20</v>
      </c>
      <c r="F24">
        <f>SIN(C24)</f>
        <v>1.22514845490862E-16</v>
      </c>
      <c r="G24">
        <f t="shared" ref="G24:G87" si="4">alpha*B24</f>
        <v>0</v>
      </c>
      <c r="H24">
        <f t="shared" ref="H24:H87" si="5">SIN(G24)</f>
        <v>0</v>
      </c>
      <c r="I24">
        <f t="shared" ref="I24:I87" si="6">SIN(alpha*C24+add_r)</f>
        <v>1.22514845490862E-16</v>
      </c>
      <c r="J24" t="e">
        <f t="shared" ref="J24:J100" si="7">x_m_zeta/H24</f>
        <v>#DIV/0!</v>
      </c>
      <c r="K24" t="e">
        <f t="shared" ref="K24:K100" si="8">(J24)^alpha</f>
        <v>#DIV/0!</v>
      </c>
      <c r="L24" t="e">
        <f>(cat0*E24*K24)^(1/(alpha-1))</f>
        <v>#DIV/0!</v>
      </c>
      <c r="M24">
        <f t="shared" ref="M24:M87" si="9">-SIN((alpha_m_1)*B24+add_l)</f>
        <v>3.141592653589793E-20</v>
      </c>
      <c r="N24" s="9" t="e">
        <f>L24*M24</f>
        <v>#DIV/0!</v>
      </c>
      <c r="O24" t="e">
        <f>N24*EXP(-N24)</f>
        <v>#DIV/0!</v>
      </c>
      <c r="AA24">
        <f>TAN(A25*PI()-PI()/2)</f>
        <v>-3529801774533018</v>
      </c>
      <c r="AE24" s="9"/>
      <c r="AL24" s="9"/>
      <c r="BD24" s="9"/>
    </row>
    <row r="25" spans="1:61" x14ac:dyDescent="0.3">
      <c r="A25">
        <f t="shared" ref="A25:A26" si="10">A26/10</f>
        <v>1.0000000000000001E-16</v>
      </c>
      <c r="B25">
        <f t="shared" si="0"/>
        <v>3.1415926535897933E-16</v>
      </c>
      <c r="C25">
        <f t="shared" si="1"/>
        <v>3.1415926535897927</v>
      </c>
      <c r="D25">
        <f t="shared" si="2"/>
        <v>3.1415926535897927</v>
      </c>
      <c r="E25">
        <f t="shared" si="3"/>
        <v>3.1419068128551522E-16</v>
      </c>
      <c r="F25">
        <f t="shared" ref="F25:F88" si="11">SIN(C25)</f>
        <v>5.6660405534092462E-16</v>
      </c>
      <c r="G25">
        <f t="shared" si="4"/>
        <v>3.1415926535897933E-16</v>
      </c>
      <c r="H25">
        <f t="shared" si="5"/>
        <v>3.1415926535897933E-16</v>
      </c>
      <c r="I25">
        <f t="shared" si="6"/>
        <v>5.6660405534092462E-16</v>
      </c>
      <c r="J25">
        <f t="shared" si="7"/>
        <v>2.0264236728467557E+35</v>
      </c>
      <c r="K25">
        <f t="shared" si="8"/>
        <v>2.0264236728467557E+35</v>
      </c>
      <c r="L25" t="e">
        <f t="shared" ref="L25:L88" si="12">(cat0*E25*K25)^(1/(alpha_m_1))</f>
        <v>#NUM!</v>
      </c>
      <c r="M25">
        <f t="shared" si="9"/>
        <v>3.1415926535897924E-20</v>
      </c>
      <c r="N25" s="9" t="e">
        <f t="shared" ref="N25:N26" si="13">L25*M25</f>
        <v>#NUM!</v>
      </c>
      <c r="O25" t="e">
        <f t="shared" ref="O25:O30" si="14">N25*EXP(-N25)</f>
        <v>#NUM!</v>
      </c>
      <c r="Q25">
        <f t="shared" ref="Q25:Q88" si="15">alpha*LN(J25)</f>
        <v>81.296750756646787</v>
      </c>
      <c r="R25">
        <f t="shared" ref="R25:R88" si="16">(LN(cat0)+LN(E25)+Q25)/(alpha_m_1)</f>
        <v>9999500032620290</v>
      </c>
      <c r="S25">
        <f>LN(M25)</f>
        <v>-44.906971974031514</v>
      </c>
      <c r="T25" s="9" t="e">
        <f t="shared" ref="T25:T88" si="17">IF(ABS(alpha_m_1)&gt;0.00000000000001,R25+S25,NA())</f>
        <v>#N/A</v>
      </c>
      <c r="U25">
        <f>IFERROR(T25-EXP(T25),-1E+300)</f>
        <v>-1.0000000000000001E+300</v>
      </c>
      <c r="V25">
        <f>EXP(U25)</f>
        <v>0</v>
      </c>
      <c r="W25">
        <f>IFERROR(T25-LN(N25),0)</f>
        <v>0</v>
      </c>
      <c r="X25">
        <f t="shared" ref="X25:X88" si="18">C25</f>
        <v>3.1415926535897927</v>
      </c>
      <c r="Y25">
        <f t="shared" ref="Y25:Y88" si="19">ea</f>
        <v>7.8539816339744828</v>
      </c>
      <c r="Z25">
        <f t="shared" ref="Z25:Z88" si="20">p2b+PI()/2-X25</f>
        <v>-3.1415926535897927</v>
      </c>
      <c r="AA25">
        <f>Z25*TAN(PI()/2-X25)</f>
        <v>6216708395689441</v>
      </c>
      <c r="AB25">
        <f t="shared" ref="AB25:AB88" si="21">$AA$7+AA25</f>
        <v>6216708395689449</v>
      </c>
      <c r="AC25">
        <f>LN(Z25/$AA$6)</f>
        <v>0.69314718055994518</v>
      </c>
      <c r="AD25">
        <f t="shared" ref="AD25:AD88" si="22">-LN(SIN(A25*PI()))</f>
        <v>35.696631602055334</v>
      </c>
      <c r="AE25" s="9">
        <f>AB25+AC25+AD25</f>
        <v>6216708395689486</v>
      </c>
      <c r="AF25">
        <f>IFERROR(EXP(AE25)*EXP(-EXP(AE25)),0)</f>
        <v>0</v>
      </c>
      <c r="AH25">
        <f t="shared" ref="AH25:AH88" si="23">IF(use_alpha_near_1,$D$18,NA())</f>
        <v>7.8539816339744828</v>
      </c>
      <c r="AI25">
        <f t="shared" ref="AI25:AI88" si="24">IF(use_alpha_near_1,alpha/(alpha_m_1)*(log1p(-SIN(add_l)*_xlfn.COT(B25)-2*SIN(add_l/2)^2)-log1p(SIN(alpha_m_1*B25)*_xlfn.COT(B25)-2*SIN(alpha_m_1*B25/2)^2)),NA())</f>
        <v>9999500033330832</v>
      </c>
      <c r="AJ25">
        <f t="shared" ref="AJ25:AJ88" si="25">IF(use_alpha_near_1,$D$21+LN(M25),NA())</f>
        <v>0.69314718055994717</v>
      </c>
      <c r="AK25">
        <f t="shared" ref="AK25:AK88" si="26">IF(use_alpha_near_1,-LN(E25),NA())</f>
        <v>35.696531607055</v>
      </c>
      <c r="AL25" s="9">
        <f>SUM(AH25:AK25)</f>
        <v>9999500033330876</v>
      </c>
      <c r="AM25" t="e">
        <f t="shared" ref="AM25:AM88" si="27">AL25-T25</f>
        <v>#N/A</v>
      </c>
      <c r="AN25" t="e">
        <f>AM25/AL25</f>
        <v>#N/A</v>
      </c>
      <c r="AO25">
        <f t="shared" ref="AO25:AO88" si="28">AH25-Y25</f>
        <v>0</v>
      </c>
      <c r="AP25">
        <f t="shared" ref="AP25:AP88" si="29">AI25-AA25</f>
        <v>3782791637641391</v>
      </c>
      <c r="AQ25">
        <f t="shared" ref="AQ25:AQ88" si="30">AJ25-AC25</f>
        <v>1.9984014443252818E-15</v>
      </c>
      <c r="AR25">
        <f>AP25/AI25</f>
        <v>0.37829807740711047</v>
      </c>
      <c r="AS25">
        <f t="shared" ref="AS25:AS88" si="31">AL25-AE25</f>
        <v>3782791637641390</v>
      </c>
      <c r="AT25">
        <f>AS25/AL25</f>
        <v>0.37829807740710875</v>
      </c>
      <c r="AU25">
        <f>IFERROR(EXP(AL25)*EXP(-EXP(AL25)),0)</f>
        <v>0</v>
      </c>
      <c r="AV25">
        <f t="shared" ref="AV25:AV88" si="32">alpha_m_1*C25+add_r</f>
        <v>3.1415926535897924E-20</v>
      </c>
      <c r="AW25" t="b">
        <f>(ABS(_xlfn.COT(C25)*SIN(AV25))&lt;0.00000001)</f>
        <v>0</v>
      </c>
      <c r="AX25">
        <f t="shared" ref="AX25:AX88" si="33">IF(use_alpha_near_1,$D$18,NA())</f>
        <v>7.8539816339744828</v>
      </c>
      <c r="AY25">
        <f t="shared" ref="AY25:AY88" si="34">-alpha/alpha_m_1*log1p(_xlfn.COT(C25)*SIN(AV25)-2*SIN(AV25/2)^2)</f>
        <v>5544753380359697</v>
      </c>
      <c r="AZ25">
        <f t="shared" ref="AZ25:AZ88" si="35">LN(ABS(zeta)*SIN(AV25))</f>
        <v>0.69314718055994518</v>
      </c>
      <c r="BA25">
        <f t="shared" ref="BA25:BA88" si="36">-LN(SIN(C25))</f>
        <v>35.106870929195999</v>
      </c>
      <c r="BB25">
        <f t="shared" ref="BB25:BB88" si="37">-log1p(zeta^-2)/(2*alpha_m_1)</f>
        <v>-1.2337005501361696E-20</v>
      </c>
      <c r="BD25" s="15">
        <f>SUM(AX25:BB25)</f>
        <v>5544753380359741</v>
      </c>
      <c r="BE25" s="10">
        <f>BD25-AL25</f>
        <v>-4454746652971135</v>
      </c>
      <c r="BF25">
        <f>BD25-AE25</f>
        <v>-671955015329745</v>
      </c>
      <c r="BG25">
        <f>AX25-Y25</f>
        <v>0</v>
      </c>
      <c r="BH25">
        <f>AY25-AA25</f>
        <v>-671955015329744</v>
      </c>
      <c r="BI25">
        <f>AZ25-AC25</f>
        <v>0</v>
      </c>
    </row>
    <row r="26" spans="1:61" x14ac:dyDescent="0.3">
      <c r="A26">
        <f t="shared" si="10"/>
        <v>1.0000000000000001E-15</v>
      </c>
      <c r="B26">
        <f t="shared" si="0"/>
        <v>3.1415926535897933E-15</v>
      </c>
      <c r="C26">
        <f t="shared" si="1"/>
        <v>3.14159265358979</v>
      </c>
      <c r="D26">
        <f t="shared" si="2"/>
        <v>3.14159265358979</v>
      </c>
      <c r="E26">
        <f t="shared" si="3"/>
        <v>3.1416240695163293E-15</v>
      </c>
      <c r="F26">
        <f t="shared" si="11"/>
        <v>3.2311393144413003E-15</v>
      </c>
      <c r="G26">
        <f t="shared" si="4"/>
        <v>3.1415926535897933E-15</v>
      </c>
      <c r="H26">
        <f t="shared" si="5"/>
        <v>3.1415926535897933E-15</v>
      </c>
      <c r="I26">
        <f t="shared" si="6"/>
        <v>3.2311393144413003E-15</v>
      </c>
      <c r="J26">
        <f t="shared" si="7"/>
        <v>2.0264236728467556E+34</v>
      </c>
      <c r="K26">
        <f t="shared" si="8"/>
        <v>2.0264236728467556E+34</v>
      </c>
      <c r="L26" t="e">
        <f t="shared" si="12"/>
        <v>#NUM!</v>
      </c>
      <c r="M26">
        <f t="shared" si="9"/>
        <v>3.14159265358979E-20</v>
      </c>
      <c r="N26" s="9" t="e">
        <f t="shared" si="13"/>
        <v>#NUM!</v>
      </c>
      <c r="O26" t="e">
        <f t="shared" si="14"/>
        <v>#NUM!</v>
      </c>
      <c r="Q26">
        <f t="shared" si="15"/>
        <v>78.994165663652737</v>
      </c>
      <c r="R26">
        <f t="shared" si="16"/>
        <v>999994999517639.37</v>
      </c>
      <c r="S26">
        <f t="shared" ref="S26:S89" si="38">LN(M26)</f>
        <v>-44.906971974031514</v>
      </c>
      <c r="T26" s="9" t="e">
        <f t="shared" si="17"/>
        <v>#N/A</v>
      </c>
      <c r="U26">
        <f t="shared" ref="U26:U89" si="39">IFERROR(T26-EXP(T26),-1E+300)</f>
        <v>-1.0000000000000001E+300</v>
      </c>
      <c r="V26">
        <f t="shared" ref="V26:V89" si="40">EXP(U26)</f>
        <v>0</v>
      </c>
      <c r="W26">
        <f t="shared" ref="W26:W89" si="41">IFERROR(T26-LN(N26),0)</f>
        <v>0</v>
      </c>
      <c r="X26">
        <f t="shared" si="18"/>
        <v>3.14159265358979</v>
      </c>
      <c r="Y26">
        <f t="shared" si="19"/>
        <v>7.8539816339744828</v>
      </c>
      <c r="Z26">
        <f t="shared" si="20"/>
        <v>-3.14159265358979</v>
      </c>
      <c r="AA26">
        <f t="shared" ref="AA26:AA89" si="42">Z26*TAN(PI()/2-X26)</f>
        <v>991075617618376.12</v>
      </c>
      <c r="AB26">
        <f t="shared" si="21"/>
        <v>991075617618384</v>
      </c>
      <c r="AC26">
        <f t="shared" ref="AC26:AC89" si="43">LN(Z26/$AA$6)</f>
        <v>0.69314718055994429</v>
      </c>
      <c r="AD26">
        <f t="shared" si="22"/>
        <v>33.394046509061283</v>
      </c>
      <c r="AE26" s="9">
        <f t="shared" ref="AE26:AE89" si="44">AB26+AC26+AD26</f>
        <v>991075617618418.12</v>
      </c>
      <c r="AF26">
        <f t="shared" ref="AF26:AF89" si="45">IFERROR(EXP(AE26)*EXP(-EXP(AE26)),0)</f>
        <v>0</v>
      </c>
      <c r="AH26">
        <f t="shared" si="23"/>
        <v>7.8539816339744828</v>
      </c>
      <c r="AI26">
        <f t="shared" si="24"/>
        <v>999995000033332</v>
      </c>
      <c r="AJ26">
        <f t="shared" si="25"/>
        <v>0.69314718055994717</v>
      </c>
      <c r="AK26">
        <f t="shared" si="26"/>
        <v>33.394036509111288</v>
      </c>
      <c r="AL26" s="9">
        <f t="shared" ref="AL26:AL89" si="46">SUM(AH26:AK26)</f>
        <v>999995000033374</v>
      </c>
      <c r="AM26" t="e">
        <f t="shared" si="27"/>
        <v>#N/A</v>
      </c>
      <c r="AN26" t="e">
        <f t="shared" ref="AN26:AN89" si="47">AM26/AL26</f>
        <v>#N/A</v>
      </c>
      <c r="AO26">
        <f t="shared" si="28"/>
        <v>0</v>
      </c>
      <c r="AP26">
        <f t="shared" si="29"/>
        <v>8919382414955.875</v>
      </c>
      <c r="AQ26">
        <f t="shared" si="30"/>
        <v>2.886579864025407E-15</v>
      </c>
      <c r="AR26">
        <f t="shared" ref="AR26:AR89" si="48">AP26/AI26</f>
        <v>8.9194270117936309E-3</v>
      </c>
      <c r="AS26">
        <f t="shared" si="31"/>
        <v>8919382414955.875</v>
      </c>
      <c r="AT26">
        <f t="shared" ref="AT26:AT89" si="49">AS26/AL26</f>
        <v>8.9194270117932562E-3</v>
      </c>
      <c r="AU26">
        <f t="shared" ref="AU26:AU89" si="50">IFERROR(EXP(AL26)*EXP(-EXP(AL26)),0)</f>
        <v>0</v>
      </c>
      <c r="AV26">
        <f t="shared" si="32"/>
        <v>3.14159265358979E-20</v>
      </c>
      <c r="AW26" t="b">
        <f t="shared" ref="AW26:AW89" si="51">(ABS(_xlfn.COT(C26)*SIN(AV26))&lt;0.00000001)</f>
        <v>0</v>
      </c>
      <c r="AX26">
        <f t="shared" si="33"/>
        <v>7.8539816339744828</v>
      </c>
      <c r="AY26">
        <f t="shared" si="34"/>
        <v>972291077727885.62</v>
      </c>
      <c r="AZ26">
        <f t="shared" si="35"/>
        <v>0.6931471805599444</v>
      </c>
      <c r="BA26">
        <f t="shared" si="36"/>
        <v>33.365941590941148</v>
      </c>
      <c r="BB26">
        <f t="shared" si="37"/>
        <v>-1.2337005501361696E-20</v>
      </c>
      <c r="BD26" s="15">
        <f t="shared" ref="BD26:BD89" si="52">SUM(AX26:BB26)</f>
        <v>972291077727927.62</v>
      </c>
      <c r="BE26" s="10">
        <f t="shared" ref="BE26:BE89" si="53">BD26-AL26</f>
        <v>-27703922305446.375</v>
      </c>
      <c r="BF26">
        <f t="shared" ref="BF26:BF89" si="54">BD26-AE26</f>
        <v>-18784539890490.5</v>
      </c>
      <c r="BG26">
        <f t="shared" ref="BG26:BG89" si="55">AX26-Y26</f>
        <v>0</v>
      </c>
      <c r="BH26">
        <f t="shared" ref="BH26:BH89" si="56">AY26-AA26</f>
        <v>-18784539890490.5</v>
      </c>
      <c r="BI26">
        <f t="shared" ref="BI26:BI89" si="57">AZ26-AC26</f>
        <v>0</v>
      </c>
    </row>
    <row r="27" spans="1:61" x14ac:dyDescent="0.3">
      <c r="A27">
        <f t="shared" ref="A27:A30" si="58">A28/10</f>
        <v>1.0000000000000002E-14</v>
      </c>
      <c r="B27">
        <f t="shared" si="0"/>
        <v>3.1415926535897934E-14</v>
      </c>
      <c r="C27">
        <f t="shared" si="1"/>
        <v>3.1415926535897616</v>
      </c>
      <c r="D27">
        <f t="shared" si="2"/>
        <v>3.1415926535897616</v>
      </c>
      <c r="E27">
        <f t="shared" si="3"/>
        <v>3.1415957951824469E-14</v>
      </c>
      <c r="F27">
        <f t="shared" si="11"/>
        <v>3.1652848744845308E-14</v>
      </c>
      <c r="G27">
        <f t="shared" si="4"/>
        <v>3.1415926535897934E-14</v>
      </c>
      <c r="H27">
        <f t="shared" si="5"/>
        <v>3.1415926535897934E-14</v>
      </c>
      <c r="I27">
        <f t="shared" si="6"/>
        <v>3.1652848744845308E-14</v>
      </c>
      <c r="J27">
        <f t="shared" si="7"/>
        <v>2.0264236728467556E+33</v>
      </c>
      <c r="K27">
        <f t="shared" si="8"/>
        <v>2.0264236728467556E+33</v>
      </c>
      <c r="L27" t="e">
        <f t="shared" si="12"/>
        <v>#NUM!</v>
      </c>
      <c r="M27">
        <f t="shared" si="9"/>
        <v>3.1415926535897617E-20</v>
      </c>
      <c r="N27" s="9" t="e">
        <f t="shared" ref="N27:N30" si="59">L27*M27</f>
        <v>#NUM!</v>
      </c>
      <c r="O27" t="e">
        <f t="shared" si="14"/>
        <v>#NUM!</v>
      </c>
      <c r="Q27">
        <f t="shared" si="15"/>
        <v>76.691580570658701</v>
      </c>
      <c r="R27">
        <f t="shared" si="16"/>
        <v>99999950009532.766</v>
      </c>
      <c r="S27">
        <f t="shared" si="38"/>
        <v>-44.906971974031521</v>
      </c>
      <c r="T27" s="9" t="e">
        <f t="shared" si="17"/>
        <v>#N/A</v>
      </c>
      <c r="U27">
        <f t="shared" si="39"/>
        <v>-1.0000000000000001E+300</v>
      </c>
      <c r="V27">
        <f t="shared" si="40"/>
        <v>0</v>
      </c>
      <c r="W27">
        <f t="shared" si="41"/>
        <v>0</v>
      </c>
      <c r="X27">
        <f t="shared" si="18"/>
        <v>3.1415926535897616</v>
      </c>
      <c r="Y27">
        <f t="shared" si="19"/>
        <v>7.8539816339744828</v>
      </c>
      <c r="Z27">
        <f t="shared" si="20"/>
        <v>-3.1415926535897616</v>
      </c>
      <c r="AA27">
        <f t="shared" si="42"/>
        <v>99443950814597.375</v>
      </c>
      <c r="AB27">
        <f t="shared" si="21"/>
        <v>99443950814605.234</v>
      </c>
      <c r="AC27">
        <f t="shared" si="43"/>
        <v>0.69314718055993529</v>
      </c>
      <c r="AD27">
        <f t="shared" si="22"/>
        <v>31.09146141606724</v>
      </c>
      <c r="AE27" s="9">
        <f t="shared" si="44"/>
        <v>99443950814637.016</v>
      </c>
      <c r="AF27">
        <f t="shared" si="45"/>
        <v>0</v>
      </c>
      <c r="AH27">
        <f t="shared" si="23"/>
        <v>7.8539816339744828</v>
      </c>
      <c r="AI27">
        <f t="shared" si="24"/>
        <v>99999950000032.344</v>
      </c>
      <c r="AJ27">
        <f t="shared" si="25"/>
        <v>0.69314718055994007</v>
      </c>
      <c r="AK27">
        <f t="shared" si="26"/>
        <v>31.09146041606774</v>
      </c>
      <c r="AL27" s="9">
        <f t="shared" si="46"/>
        <v>99999950000071.984</v>
      </c>
      <c r="AM27" t="e">
        <f t="shared" si="27"/>
        <v>#N/A</v>
      </c>
      <c r="AN27" t="e">
        <f t="shared" si="47"/>
        <v>#N/A</v>
      </c>
      <c r="AO27">
        <f t="shared" si="28"/>
        <v>0</v>
      </c>
      <c r="AP27">
        <f t="shared" si="29"/>
        <v>555999185434.96875</v>
      </c>
      <c r="AQ27">
        <f t="shared" si="30"/>
        <v>4.7739590058881731E-15</v>
      </c>
      <c r="AR27">
        <f t="shared" si="48"/>
        <v>5.5599946343452061E-3</v>
      </c>
      <c r="AS27">
        <f t="shared" si="31"/>
        <v>555999185434.96875</v>
      </c>
      <c r="AT27">
        <f t="shared" si="49"/>
        <v>5.5599946343430021E-3</v>
      </c>
      <c r="AU27">
        <f t="shared" si="50"/>
        <v>0</v>
      </c>
      <c r="AV27">
        <f t="shared" si="32"/>
        <v>3.1415926535897617E-20</v>
      </c>
      <c r="AW27" t="b">
        <f t="shared" si="51"/>
        <v>0</v>
      </c>
      <c r="AX27">
        <f t="shared" si="33"/>
        <v>7.8539816339744828</v>
      </c>
      <c r="AY27">
        <f t="shared" si="34"/>
        <v>99251547244741.719</v>
      </c>
      <c r="AZ27">
        <f t="shared" si="35"/>
        <v>0.69314718055993541</v>
      </c>
      <c r="BA27">
        <f t="shared" si="36"/>
        <v>31.083948242634925</v>
      </c>
      <c r="BB27">
        <f t="shared" si="37"/>
        <v>-1.2337005501361696E-20</v>
      </c>
      <c r="BD27" s="15">
        <f t="shared" si="52"/>
        <v>99251547244781.344</v>
      </c>
      <c r="BE27" s="10">
        <f t="shared" si="53"/>
        <v>-748402755290.64062</v>
      </c>
      <c r="BF27">
        <f t="shared" si="54"/>
        <v>-192403569855.67187</v>
      </c>
      <c r="BG27">
        <f t="shared" si="55"/>
        <v>0</v>
      </c>
      <c r="BH27">
        <f t="shared" si="56"/>
        <v>-192403569855.65625</v>
      </c>
      <c r="BI27">
        <f t="shared" si="57"/>
        <v>0</v>
      </c>
    </row>
    <row r="28" spans="1:61" x14ac:dyDescent="0.3">
      <c r="A28">
        <f t="shared" si="58"/>
        <v>1.0000000000000002E-13</v>
      </c>
      <c r="B28">
        <f t="shared" si="0"/>
        <v>3.1415926535897937E-13</v>
      </c>
      <c r="C28">
        <f t="shared" si="1"/>
        <v>3.1415926535894791</v>
      </c>
      <c r="D28">
        <f t="shared" si="2"/>
        <v>3.1415926535894791</v>
      </c>
      <c r="E28">
        <f t="shared" si="3"/>
        <v>3.1415929677490589E-13</v>
      </c>
      <c r="F28">
        <f t="shared" si="11"/>
        <v>3.1409358620948513E-13</v>
      </c>
      <c r="G28">
        <f t="shared" si="4"/>
        <v>3.1415926535897937E-13</v>
      </c>
      <c r="H28">
        <f t="shared" si="5"/>
        <v>3.1415926535897937E-13</v>
      </c>
      <c r="I28">
        <f t="shared" si="6"/>
        <v>3.1409358620948513E-13</v>
      </c>
      <c r="J28">
        <f t="shared" si="7"/>
        <v>2.0264236728467555E+32</v>
      </c>
      <c r="K28">
        <f t="shared" si="8"/>
        <v>2.0264236728467555E+32</v>
      </c>
      <c r="L28" t="e">
        <f t="shared" si="12"/>
        <v>#NUM!</v>
      </c>
      <c r="M28">
        <f t="shared" si="9"/>
        <v>3.1415926535894788E-20</v>
      </c>
      <c r="N28" s="9" t="e">
        <f t="shared" si="59"/>
        <v>#NUM!</v>
      </c>
      <c r="O28" t="e">
        <f t="shared" si="14"/>
        <v>#NUM!</v>
      </c>
      <c r="Q28">
        <f t="shared" si="15"/>
        <v>74.38899547766465</v>
      </c>
      <c r="R28">
        <f t="shared" si="16"/>
        <v>9999999406318.2383</v>
      </c>
      <c r="S28">
        <f t="shared" si="38"/>
        <v>-44.906971974031613</v>
      </c>
      <c r="T28" s="9" t="e">
        <f t="shared" si="17"/>
        <v>#N/A</v>
      </c>
      <c r="U28">
        <f t="shared" si="39"/>
        <v>-1.0000000000000001E+300</v>
      </c>
      <c r="V28">
        <f t="shared" si="40"/>
        <v>0</v>
      </c>
      <c r="W28">
        <f t="shared" si="41"/>
        <v>0</v>
      </c>
      <c r="X28">
        <f t="shared" si="18"/>
        <v>3.1415926535894791</v>
      </c>
      <c r="Y28">
        <f t="shared" si="19"/>
        <v>7.8539816339744828</v>
      </c>
      <c r="Z28">
        <f t="shared" si="20"/>
        <v>-3.1415926535894791</v>
      </c>
      <c r="AA28">
        <f t="shared" si="42"/>
        <v>10004042149822.557</v>
      </c>
      <c r="AB28">
        <f t="shared" si="21"/>
        <v>10004042149830.41</v>
      </c>
      <c r="AC28">
        <f t="shared" si="43"/>
        <v>0.69314718055984537</v>
      </c>
      <c r="AD28">
        <f t="shared" si="22"/>
        <v>28.788876323073193</v>
      </c>
      <c r="AE28" s="9">
        <f t="shared" si="44"/>
        <v>10004042149859.893</v>
      </c>
      <c r="AF28">
        <f t="shared" si="45"/>
        <v>0</v>
      </c>
      <c r="AH28">
        <f t="shared" si="23"/>
        <v>7.8539816339744828</v>
      </c>
      <c r="AI28">
        <f t="shared" si="24"/>
        <v>9999999499999.0293</v>
      </c>
      <c r="AJ28">
        <f t="shared" si="25"/>
        <v>0.6931471805598477</v>
      </c>
      <c r="AK28">
        <f t="shared" si="26"/>
        <v>28.788876223073199</v>
      </c>
      <c r="AL28" s="9">
        <f t="shared" si="46"/>
        <v>9999999500036.3652</v>
      </c>
      <c r="AM28" t="e">
        <f t="shared" si="27"/>
        <v>#N/A</v>
      </c>
      <c r="AN28" t="e">
        <f t="shared" si="47"/>
        <v>#N/A</v>
      </c>
      <c r="AO28">
        <f t="shared" si="28"/>
        <v>0</v>
      </c>
      <c r="AP28">
        <f t="shared" si="29"/>
        <v>-4042649823.5273437</v>
      </c>
      <c r="AQ28">
        <f t="shared" si="30"/>
        <v>2.3314683517128287E-15</v>
      </c>
      <c r="AR28">
        <f t="shared" si="48"/>
        <v>-4.0426500256602373E-4</v>
      </c>
      <c r="AS28">
        <f t="shared" si="31"/>
        <v>-4042649823.5273437</v>
      </c>
      <c r="AT28">
        <f t="shared" si="49"/>
        <v>-4.0426500256451436E-4</v>
      </c>
      <c r="AU28">
        <f t="shared" si="50"/>
        <v>0</v>
      </c>
      <c r="AV28">
        <f t="shared" si="32"/>
        <v>3.1415926535894788E-20</v>
      </c>
      <c r="AW28" t="b">
        <f t="shared" si="51"/>
        <v>0</v>
      </c>
      <c r="AX28">
        <f t="shared" si="33"/>
        <v>7.8539816339744828</v>
      </c>
      <c r="AY28">
        <f t="shared" si="34"/>
        <v>10002091569633.895</v>
      </c>
      <c r="AZ28">
        <f t="shared" si="35"/>
        <v>0.69314718055984537</v>
      </c>
      <c r="BA28">
        <f t="shared" si="36"/>
        <v>28.789085408155959</v>
      </c>
      <c r="BB28">
        <f t="shared" si="37"/>
        <v>-1.2337005501361696E-20</v>
      </c>
      <c r="BD28" s="15">
        <f t="shared" si="52"/>
        <v>10002091569671.23</v>
      </c>
      <c r="BE28" s="10">
        <f t="shared" si="53"/>
        <v>2092069634.8652344</v>
      </c>
      <c r="BF28">
        <f t="shared" si="54"/>
        <v>-1950580188.6621094</v>
      </c>
      <c r="BG28">
        <f t="shared" si="55"/>
        <v>0</v>
      </c>
      <c r="BH28">
        <f t="shared" si="56"/>
        <v>-1950580188.6621094</v>
      </c>
      <c r="BI28">
        <f t="shared" si="57"/>
        <v>0</v>
      </c>
    </row>
    <row r="29" spans="1:61" x14ac:dyDescent="0.3">
      <c r="A29">
        <f t="shared" si="58"/>
        <v>1.0000000000000002E-12</v>
      </c>
      <c r="B29">
        <f t="shared" si="0"/>
        <v>3.1415926535897939E-12</v>
      </c>
      <c r="C29">
        <f t="shared" si="1"/>
        <v>3.1415926535866516</v>
      </c>
      <c r="D29">
        <f t="shared" si="2"/>
        <v>3.1415926535866516</v>
      </c>
      <c r="E29">
        <f t="shared" si="3"/>
        <v>3.1415926850057206E-12</v>
      </c>
      <c r="F29">
        <f t="shared" si="11"/>
        <v>3.1416095853248338E-12</v>
      </c>
      <c r="G29">
        <f t="shared" si="4"/>
        <v>3.1415926535897939E-12</v>
      </c>
      <c r="H29">
        <f t="shared" si="5"/>
        <v>3.1415926535897939E-12</v>
      </c>
      <c r="I29">
        <f t="shared" si="6"/>
        <v>3.1416095853248338E-12</v>
      </c>
      <c r="J29">
        <f t="shared" si="7"/>
        <v>2.0264236728467552E+31</v>
      </c>
      <c r="K29">
        <f t="shared" si="8"/>
        <v>2.0264236728467552E+31</v>
      </c>
      <c r="L29" t="e">
        <f t="shared" si="12"/>
        <v>#NUM!</v>
      </c>
      <c r="M29">
        <f t="shared" si="9"/>
        <v>3.1415926535866513E-20</v>
      </c>
      <c r="N29" s="9" t="e">
        <f t="shared" si="59"/>
        <v>#NUM!</v>
      </c>
      <c r="O29" t="e">
        <f t="shared" si="14"/>
        <v>#NUM!</v>
      </c>
      <c r="Q29">
        <f t="shared" si="15"/>
        <v>72.0864103846706</v>
      </c>
      <c r="R29">
        <f t="shared" si="16"/>
        <v>999999372197.63525</v>
      </c>
      <c r="S29">
        <f t="shared" si="38"/>
        <v>-44.906971974032516</v>
      </c>
      <c r="T29" s="9" t="e">
        <f t="shared" si="17"/>
        <v>#N/A</v>
      </c>
      <c r="U29">
        <f t="shared" si="39"/>
        <v>-1.0000000000000001E+300</v>
      </c>
      <c r="V29">
        <f t="shared" si="40"/>
        <v>0</v>
      </c>
      <c r="W29">
        <f t="shared" si="41"/>
        <v>0</v>
      </c>
      <c r="X29">
        <f t="shared" si="18"/>
        <v>3.1415926535866516</v>
      </c>
      <c r="Y29">
        <f t="shared" si="19"/>
        <v>7.8539816339744828</v>
      </c>
      <c r="Z29">
        <f t="shared" si="20"/>
        <v>-3.1415926535866516</v>
      </c>
      <c r="AA29">
        <f t="shared" si="42"/>
        <v>1000014109502.6836</v>
      </c>
      <c r="AB29">
        <f t="shared" si="21"/>
        <v>1000014109510.5376</v>
      </c>
      <c r="AC29">
        <f t="shared" si="43"/>
        <v>0.69314718055894531</v>
      </c>
      <c r="AD29">
        <f t="shared" si="22"/>
        <v>26.486291230079146</v>
      </c>
      <c r="AE29" s="9">
        <f t="shared" si="44"/>
        <v>1000014109537.717</v>
      </c>
      <c r="AF29">
        <f t="shared" si="45"/>
        <v>0</v>
      </c>
      <c r="AH29">
        <f t="shared" si="23"/>
        <v>7.8539816339744828</v>
      </c>
      <c r="AI29">
        <f t="shared" si="24"/>
        <v>999999994998.99976</v>
      </c>
      <c r="AJ29">
        <f t="shared" si="25"/>
        <v>0.69314718055894531</v>
      </c>
      <c r="AK29">
        <f t="shared" si="26"/>
        <v>26.486291220079149</v>
      </c>
      <c r="AL29" s="9">
        <f t="shared" si="46"/>
        <v>999999995034.0332</v>
      </c>
      <c r="AM29" t="e">
        <f t="shared" si="27"/>
        <v>#N/A</v>
      </c>
      <c r="AN29" t="e">
        <f t="shared" si="47"/>
        <v>#N/A</v>
      </c>
      <c r="AO29">
        <f t="shared" si="28"/>
        <v>0</v>
      </c>
      <c r="AP29">
        <f t="shared" si="29"/>
        <v>-14114503.683837891</v>
      </c>
      <c r="AQ29">
        <f t="shared" si="30"/>
        <v>0</v>
      </c>
      <c r="AR29">
        <f t="shared" si="48"/>
        <v>-1.4114503754424528E-5</v>
      </c>
      <c r="AS29">
        <f t="shared" si="31"/>
        <v>-14114503.683837891</v>
      </c>
      <c r="AT29">
        <f t="shared" si="49"/>
        <v>-1.4114503753930047E-5</v>
      </c>
      <c r="AU29">
        <f t="shared" si="50"/>
        <v>0</v>
      </c>
      <c r="AV29">
        <f t="shared" si="32"/>
        <v>3.1415926535866513E-20</v>
      </c>
      <c r="AW29" t="b">
        <f t="shared" si="51"/>
        <v>1</v>
      </c>
      <c r="AX29">
        <f t="shared" si="33"/>
        <v>7.8539816339744828</v>
      </c>
      <c r="AY29">
        <f t="shared" si="34"/>
        <v>999994615489.33936</v>
      </c>
      <c r="AZ29">
        <f t="shared" si="35"/>
        <v>0.69314718055894531</v>
      </c>
      <c r="BA29">
        <f t="shared" si="36"/>
        <v>26.486285840555016</v>
      </c>
      <c r="BB29">
        <f t="shared" si="37"/>
        <v>-1.2337005501361696E-20</v>
      </c>
      <c r="BD29" s="15">
        <f t="shared" si="52"/>
        <v>999994615524.3728</v>
      </c>
      <c r="BE29" s="10">
        <f t="shared" si="53"/>
        <v>-5379509.6604003906</v>
      </c>
      <c r="BF29">
        <f t="shared" si="54"/>
        <v>-19494013.344238281</v>
      </c>
      <c r="BG29">
        <f t="shared" si="55"/>
        <v>0</v>
      </c>
      <c r="BH29">
        <f t="shared" si="56"/>
        <v>-19494013.344238281</v>
      </c>
      <c r="BI29">
        <f t="shared" si="57"/>
        <v>0</v>
      </c>
    </row>
    <row r="30" spans="1:61" x14ac:dyDescent="0.3">
      <c r="A30">
        <f t="shared" si="58"/>
        <v>1.0000000000000003E-11</v>
      </c>
      <c r="B30">
        <f t="shared" si="0"/>
        <v>3.1415926535897936E-11</v>
      </c>
      <c r="C30">
        <f t="shared" si="1"/>
        <v>3.1415926535583774</v>
      </c>
      <c r="D30">
        <f t="shared" si="2"/>
        <v>3.1415926535583774</v>
      </c>
      <c r="E30">
        <f t="shared" si="3"/>
        <v>3.1415926567313862E-11</v>
      </c>
      <c r="F30">
        <f t="shared" si="11"/>
        <v>3.141588139805862E-11</v>
      </c>
      <c r="G30">
        <f t="shared" si="4"/>
        <v>3.1415926535897936E-11</v>
      </c>
      <c r="H30">
        <f t="shared" si="5"/>
        <v>3.1415926535897936E-11</v>
      </c>
      <c r="I30">
        <f t="shared" si="6"/>
        <v>3.141588139805862E-11</v>
      </c>
      <c r="J30">
        <f t="shared" si="7"/>
        <v>2.0264236728467554E+30</v>
      </c>
      <c r="K30">
        <f t="shared" si="8"/>
        <v>2.0264236728467554E+30</v>
      </c>
      <c r="L30" t="e">
        <f t="shared" si="12"/>
        <v>#NUM!</v>
      </c>
      <c r="M30">
        <f t="shared" si="9"/>
        <v>3.1415926535583768E-20</v>
      </c>
      <c r="N30" s="9" t="e">
        <f t="shared" si="59"/>
        <v>#NUM!</v>
      </c>
      <c r="O30" t="e">
        <f t="shared" si="14"/>
        <v>#NUM!</v>
      </c>
      <c r="Q30">
        <f t="shared" si="15"/>
        <v>69.783825291676564</v>
      </c>
      <c r="R30">
        <f t="shared" si="16"/>
        <v>100000363545.40498</v>
      </c>
      <c r="S30">
        <f t="shared" si="38"/>
        <v>-44.906971974041511</v>
      </c>
      <c r="T30" s="9" t="e">
        <f t="shared" si="17"/>
        <v>#N/A</v>
      </c>
      <c r="U30">
        <f t="shared" si="39"/>
        <v>-1.0000000000000001E+300</v>
      </c>
      <c r="V30">
        <f t="shared" si="40"/>
        <v>0</v>
      </c>
      <c r="W30">
        <f t="shared" si="41"/>
        <v>0</v>
      </c>
      <c r="X30">
        <f t="shared" si="18"/>
        <v>3.1415926535583774</v>
      </c>
      <c r="Y30">
        <f t="shared" si="19"/>
        <v>7.8539816339744828</v>
      </c>
      <c r="Z30">
        <f t="shared" si="20"/>
        <v>-3.1415926535583774</v>
      </c>
      <c r="AA30">
        <f t="shared" si="42"/>
        <v>100000338666.78452</v>
      </c>
      <c r="AB30">
        <f t="shared" si="21"/>
        <v>100000338674.6385</v>
      </c>
      <c r="AC30">
        <f t="shared" si="43"/>
        <v>0.69314718054994529</v>
      </c>
      <c r="AD30">
        <f t="shared" si="22"/>
        <v>24.183706137085103</v>
      </c>
      <c r="AE30" s="9">
        <f t="shared" si="44"/>
        <v>100000338699.51535</v>
      </c>
      <c r="AF30">
        <f t="shared" si="45"/>
        <v>0</v>
      </c>
      <c r="AH30">
        <f t="shared" si="23"/>
        <v>7.8539816339744828</v>
      </c>
      <c r="AI30">
        <f t="shared" si="24"/>
        <v>99999999948.999985</v>
      </c>
      <c r="AJ30">
        <f t="shared" si="25"/>
        <v>0.69314718054994984</v>
      </c>
      <c r="AK30">
        <f t="shared" si="26"/>
        <v>24.183706136085103</v>
      </c>
      <c r="AL30" s="9">
        <f t="shared" si="46"/>
        <v>99999999981.73082</v>
      </c>
      <c r="AM30" t="e">
        <f t="shared" si="27"/>
        <v>#N/A</v>
      </c>
      <c r="AN30" t="e">
        <f t="shared" si="47"/>
        <v>#N/A</v>
      </c>
      <c r="AO30">
        <f t="shared" si="28"/>
        <v>0</v>
      </c>
      <c r="AP30">
        <f t="shared" si="29"/>
        <v>-338717.78453063965</v>
      </c>
      <c r="AQ30">
        <f t="shared" si="30"/>
        <v>4.5519144009631418E-15</v>
      </c>
      <c r="AR30">
        <f t="shared" si="48"/>
        <v>-3.3871778470338578E-6</v>
      </c>
      <c r="AS30">
        <f t="shared" si="31"/>
        <v>-338717.78453063965</v>
      </c>
      <c r="AT30">
        <f t="shared" si="49"/>
        <v>-3.387177845925206E-6</v>
      </c>
      <c r="AU30">
        <f t="shared" si="50"/>
        <v>0</v>
      </c>
      <c r="AV30">
        <f t="shared" si="32"/>
        <v>3.1415926535583774E-20</v>
      </c>
      <c r="AW30" t="b">
        <f t="shared" si="51"/>
        <v>1</v>
      </c>
      <c r="AX30">
        <f t="shared" si="33"/>
        <v>7.8539816339744828</v>
      </c>
      <c r="AY30">
        <f t="shared" si="34"/>
        <v>100000143727.41153</v>
      </c>
      <c r="AZ30">
        <f t="shared" si="35"/>
        <v>0.69314718054994551</v>
      </c>
      <c r="BA30">
        <f t="shared" si="36"/>
        <v>24.183707573868183</v>
      </c>
      <c r="BB30">
        <f t="shared" si="37"/>
        <v>-1.2337005501361696E-20</v>
      </c>
      <c r="BD30" s="15">
        <f t="shared" si="52"/>
        <v>100000143760.14236</v>
      </c>
      <c r="BE30" s="10">
        <f t="shared" si="53"/>
        <v>143778.4115447998</v>
      </c>
      <c r="BF30">
        <f t="shared" si="54"/>
        <v>-194939.37298583984</v>
      </c>
      <c r="BG30">
        <f t="shared" si="55"/>
        <v>0</v>
      </c>
      <c r="BH30">
        <f t="shared" si="56"/>
        <v>-194939.37298583984</v>
      </c>
      <c r="BI30">
        <f t="shared" si="57"/>
        <v>0</v>
      </c>
    </row>
    <row r="31" spans="1:61" x14ac:dyDescent="0.3">
      <c r="A31">
        <f t="shared" ref="A31:A36" si="60">A32/10</f>
        <v>1.0000000000000003E-10</v>
      </c>
      <c r="B31">
        <f t="shared" si="0"/>
        <v>3.1415926535897939E-10</v>
      </c>
      <c r="C31">
        <f t="shared" si="1"/>
        <v>3.1415926532756338</v>
      </c>
      <c r="D31">
        <f t="shared" si="2"/>
        <v>3.1415926532756338</v>
      </c>
      <c r="E31">
        <f t="shared" si="3"/>
        <v>3.141592653903953E-10</v>
      </c>
      <c r="F31">
        <f t="shared" si="11"/>
        <v>3.1415948770381619E-10</v>
      </c>
      <c r="G31">
        <f t="shared" si="4"/>
        <v>3.1415926535897939E-10</v>
      </c>
      <c r="H31">
        <f t="shared" si="5"/>
        <v>3.1415926535897939E-10</v>
      </c>
      <c r="I31">
        <f t="shared" si="6"/>
        <v>3.1415948770381619E-10</v>
      </c>
      <c r="J31">
        <f t="shared" si="7"/>
        <v>2.0264236728467553E+29</v>
      </c>
      <c r="K31">
        <f t="shared" si="8"/>
        <v>2.0264236728467553E+29</v>
      </c>
      <c r="L31" t="e">
        <f t="shared" si="12"/>
        <v>#NUM!</v>
      </c>
      <c r="M31">
        <f t="shared" si="9"/>
        <v>3.1415926532756335E-20</v>
      </c>
      <c r="N31" s="9" t="e">
        <f t="shared" ref="N31:N37" si="61">L31*M31</f>
        <v>#NUM!</v>
      </c>
      <c r="O31" t="e">
        <f t="shared" ref="O31:O37" si="62">N31*EXP(-N31)</f>
        <v>#NUM!</v>
      </c>
      <c r="Q31">
        <f t="shared" si="15"/>
        <v>67.481240198682514</v>
      </c>
      <c r="R31">
        <f t="shared" si="16"/>
        <v>9998757377.6161308</v>
      </c>
      <c r="S31">
        <f t="shared" si="38"/>
        <v>-44.906971974131515</v>
      </c>
      <c r="T31" s="9" t="e">
        <f t="shared" si="17"/>
        <v>#N/A</v>
      </c>
      <c r="U31">
        <f t="shared" si="39"/>
        <v>-1.0000000000000001E+300</v>
      </c>
      <c r="V31">
        <f t="shared" si="40"/>
        <v>0</v>
      </c>
      <c r="W31">
        <f t="shared" si="41"/>
        <v>0</v>
      </c>
      <c r="X31">
        <f t="shared" si="18"/>
        <v>3.1415926532756338</v>
      </c>
      <c r="Y31">
        <f t="shared" si="19"/>
        <v>7.8539816339744828</v>
      </c>
      <c r="Z31">
        <f t="shared" si="20"/>
        <v>-3.1415926532756338</v>
      </c>
      <c r="AA31">
        <f t="shared" si="42"/>
        <v>9999994871.4309845</v>
      </c>
      <c r="AB31">
        <f t="shared" si="21"/>
        <v>9999994879.2849655</v>
      </c>
      <c r="AC31">
        <f t="shared" si="43"/>
        <v>0.69314718045994528</v>
      </c>
      <c r="AD31">
        <f t="shared" si="22"/>
        <v>21.881121044091056</v>
      </c>
      <c r="AE31" s="9">
        <f t="shared" si="44"/>
        <v>9999994901.8592339</v>
      </c>
      <c r="AF31">
        <f t="shared" si="45"/>
        <v>0</v>
      </c>
      <c r="AH31">
        <f t="shared" si="23"/>
        <v>7.8539816339744828</v>
      </c>
      <c r="AI31">
        <f t="shared" si="24"/>
        <v>9999999998.4999962</v>
      </c>
      <c r="AJ31">
        <f t="shared" si="25"/>
        <v>0.69314718045994539</v>
      </c>
      <c r="AK31">
        <f t="shared" si="26"/>
        <v>21.881121043991058</v>
      </c>
      <c r="AL31" s="9">
        <f t="shared" si="46"/>
        <v>10000000028.928246</v>
      </c>
      <c r="AM31" t="e">
        <f t="shared" si="27"/>
        <v>#N/A</v>
      </c>
      <c r="AN31" t="e">
        <f t="shared" si="47"/>
        <v>#N/A</v>
      </c>
      <c r="AO31">
        <f t="shared" si="28"/>
        <v>0</v>
      </c>
      <c r="AP31">
        <f t="shared" si="29"/>
        <v>5127.0690116882324</v>
      </c>
      <c r="AQ31">
        <f t="shared" si="30"/>
        <v>0</v>
      </c>
      <c r="AR31">
        <f t="shared" si="48"/>
        <v>5.1270690124572947E-7</v>
      </c>
      <c r="AS31">
        <f t="shared" si="31"/>
        <v>5127.0690116882324</v>
      </c>
      <c r="AT31">
        <f t="shared" si="49"/>
        <v>5.1270689968565212E-7</v>
      </c>
      <c r="AU31">
        <f t="shared" si="50"/>
        <v>0</v>
      </c>
      <c r="AV31">
        <f t="shared" si="32"/>
        <v>3.1415926532756335E-20</v>
      </c>
      <c r="AW31" t="b">
        <f t="shared" si="51"/>
        <v>1</v>
      </c>
      <c r="AX31">
        <f t="shared" si="33"/>
        <v>7.8539816339744828</v>
      </c>
      <c r="AY31">
        <f t="shared" si="34"/>
        <v>9999992922.049036</v>
      </c>
      <c r="AZ31">
        <f t="shared" si="35"/>
        <v>0.69314718045994528</v>
      </c>
      <c r="BA31">
        <f t="shared" si="36"/>
        <v>21.88112033634571</v>
      </c>
      <c r="BB31">
        <f t="shared" si="37"/>
        <v>-1.2337005501361696E-20</v>
      </c>
      <c r="BD31" s="15">
        <f t="shared" si="52"/>
        <v>9999992952.4772854</v>
      </c>
      <c r="BE31" s="10">
        <f t="shared" si="53"/>
        <v>-7076.4509601593018</v>
      </c>
      <c r="BF31">
        <f t="shared" si="54"/>
        <v>-1949.3819484710693</v>
      </c>
      <c r="BG31">
        <f t="shared" si="55"/>
        <v>0</v>
      </c>
      <c r="BH31">
        <f t="shared" si="56"/>
        <v>-1949.3819484710693</v>
      </c>
      <c r="BI31">
        <f t="shared" si="57"/>
        <v>0</v>
      </c>
    </row>
    <row r="32" spans="1:61" x14ac:dyDescent="0.3">
      <c r="A32">
        <f t="shared" si="60"/>
        <v>1.0000000000000003E-9</v>
      </c>
      <c r="B32">
        <f t="shared" si="0"/>
        <v>3.141592653589794E-9</v>
      </c>
      <c r="C32">
        <f t="shared" si="1"/>
        <v>3.1415926504482004</v>
      </c>
      <c r="D32">
        <f t="shared" si="2"/>
        <v>3.1415926504482004</v>
      </c>
      <c r="E32">
        <f t="shared" si="3"/>
        <v>3.1415926536212099E-9</v>
      </c>
      <c r="F32">
        <f t="shared" si="11"/>
        <v>3.1415928862261328E-9</v>
      </c>
      <c r="G32">
        <f t="shared" si="4"/>
        <v>3.141592653589794E-9</v>
      </c>
      <c r="H32">
        <f t="shared" si="5"/>
        <v>3.141592653589794E-9</v>
      </c>
      <c r="I32">
        <f t="shared" si="6"/>
        <v>3.1415928862261328E-9</v>
      </c>
      <c r="J32">
        <f t="shared" si="7"/>
        <v>2.0264236728467553E+28</v>
      </c>
      <c r="K32">
        <f t="shared" si="8"/>
        <v>2.0264236728467553E+28</v>
      </c>
      <c r="L32" t="e">
        <f t="shared" si="12"/>
        <v>#NUM!</v>
      </c>
      <c r="M32">
        <f t="shared" si="9"/>
        <v>3.1415926504482004E-20</v>
      </c>
      <c r="N32" s="9" t="e">
        <f t="shared" si="61"/>
        <v>#NUM!</v>
      </c>
      <c r="O32" t="e">
        <f t="shared" si="62"/>
        <v>#NUM!</v>
      </c>
      <c r="Q32">
        <f t="shared" si="15"/>
        <v>65.178655105688463</v>
      </c>
      <c r="R32">
        <f t="shared" si="16"/>
        <v>999023086.47870088</v>
      </c>
      <c r="S32">
        <f t="shared" si="38"/>
        <v>-44.90697197503151</v>
      </c>
      <c r="T32" s="9" t="e">
        <f t="shared" si="17"/>
        <v>#N/A</v>
      </c>
      <c r="U32">
        <f t="shared" si="39"/>
        <v>-1.0000000000000001E+300</v>
      </c>
      <c r="V32">
        <f t="shared" si="40"/>
        <v>0</v>
      </c>
      <c r="W32">
        <f t="shared" si="41"/>
        <v>0</v>
      </c>
      <c r="X32">
        <f t="shared" si="18"/>
        <v>3.1415926504482004</v>
      </c>
      <c r="Y32">
        <f t="shared" si="19"/>
        <v>7.8539816339744828</v>
      </c>
      <c r="Z32">
        <f t="shared" si="20"/>
        <v>-3.1415926504482004</v>
      </c>
      <c r="AA32">
        <f t="shared" si="42"/>
        <v>999999944.44839942</v>
      </c>
      <c r="AB32">
        <f t="shared" si="21"/>
        <v>999999952.30238104</v>
      </c>
      <c r="AC32">
        <f t="shared" si="43"/>
        <v>0.6931471795599452</v>
      </c>
      <c r="AD32">
        <f t="shared" si="22"/>
        <v>19.57853595109701</v>
      </c>
      <c r="AE32" s="9">
        <f t="shared" si="44"/>
        <v>999999972.57406414</v>
      </c>
      <c r="AF32">
        <f t="shared" si="45"/>
        <v>0</v>
      </c>
      <c r="AH32">
        <f t="shared" si="23"/>
        <v>7.8539816339744828</v>
      </c>
      <c r="AI32">
        <f t="shared" si="24"/>
        <v>999999998.99499977</v>
      </c>
      <c r="AJ32">
        <f t="shared" si="25"/>
        <v>0.69314717955995064</v>
      </c>
      <c r="AK32">
        <f t="shared" si="26"/>
        <v>19.578535951087012</v>
      </c>
      <c r="AL32" s="9">
        <f t="shared" si="46"/>
        <v>1000000027.1206645</v>
      </c>
      <c r="AM32" t="e">
        <f t="shared" si="27"/>
        <v>#N/A</v>
      </c>
      <c r="AN32" t="e">
        <f t="shared" si="47"/>
        <v>#N/A</v>
      </c>
      <c r="AO32">
        <f t="shared" si="28"/>
        <v>0</v>
      </c>
      <c r="AP32">
        <f t="shared" si="29"/>
        <v>54.546600341796875</v>
      </c>
      <c r="AQ32">
        <f t="shared" si="30"/>
        <v>5.440092820663267E-15</v>
      </c>
      <c r="AR32">
        <f t="shared" si="48"/>
        <v>5.454660039661622E-8</v>
      </c>
      <c r="AS32">
        <f t="shared" si="31"/>
        <v>54.546600341796875</v>
      </c>
      <c r="AT32">
        <f t="shared" si="49"/>
        <v>5.4546598862456871E-8</v>
      </c>
      <c r="AU32">
        <f t="shared" si="50"/>
        <v>0</v>
      </c>
      <c r="AV32">
        <f t="shared" si="32"/>
        <v>3.1415926504482004E-20</v>
      </c>
      <c r="AW32" t="b">
        <f t="shared" si="51"/>
        <v>1</v>
      </c>
      <c r="AX32">
        <f t="shared" si="33"/>
        <v>7.8539816339744828</v>
      </c>
      <c r="AY32">
        <f t="shared" si="34"/>
        <v>999999924.95455873</v>
      </c>
      <c r="AZ32">
        <f t="shared" si="35"/>
        <v>0.69314717955994531</v>
      </c>
      <c r="BA32">
        <f t="shared" si="36"/>
        <v>19.578535877046566</v>
      </c>
      <c r="BB32">
        <f t="shared" si="37"/>
        <v>-1.2337005501361696E-20</v>
      </c>
      <c r="BD32" s="15">
        <f t="shared" si="52"/>
        <v>999999953.08022344</v>
      </c>
      <c r="BE32" s="10">
        <f t="shared" si="53"/>
        <v>-74.040441036224365</v>
      </c>
      <c r="BF32">
        <f t="shared" si="54"/>
        <v>-19.49384069442749</v>
      </c>
      <c r="BG32">
        <f t="shared" si="55"/>
        <v>0</v>
      </c>
      <c r="BH32">
        <f t="shared" si="56"/>
        <v>-19.49384069442749</v>
      </c>
      <c r="BI32">
        <f t="shared" si="57"/>
        <v>0</v>
      </c>
    </row>
    <row r="33" spans="1:61" x14ac:dyDescent="0.3">
      <c r="A33">
        <f t="shared" si="60"/>
        <v>1.0000000000000002E-8</v>
      </c>
      <c r="B33">
        <f t="shared" si="0"/>
        <v>3.1415926535897938E-8</v>
      </c>
      <c r="C33">
        <f t="shared" si="1"/>
        <v>3.1415926221738664</v>
      </c>
      <c r="D33">
        <f t="shared" si="2"/>
        <v>3.1415926221738664</v>
      </c>
      <c r="E33">
        <f t="shared" si="3"/>
        <v>3.1415926535929344E-8</v>
      </c>
      <c r="F33">
        <f t="shared" si="11"/>
        <v>3.1415926871449292E-8</v>
      </c>
      <c r="G33">
        <f t="shared" si="4"/>
        <v>3.1415926535897938E-8</v>
      </c>
      <c r="H33">
        <f t="shared" si="5"/>
        <v>3.1415926535897931E-8</v>
      </c>
      <c r="I33">
        <f t="shared" si="6"/>
        <v>3.1415926871449292E-8</v>
      </c>
      <c r="J33">
        <f t="shared" si="7"/>
        <v>2.0264236728467557E+27</v>
      </c>
      <c r="K33">
        <f t="shared" si="8"/>
        <v>2.0264236728467557E+27</v>
      </c>
      <c r="L33" t="e">
        <f t="shared" si="12"/>
        <v>#NUM!</v>
      </c>
      <c r="M33">
        <f t="shared" si="9"/>
        <v>3.1415926221738666E-20</v>
      </c>
      <c r="N33" s="9" t="e">
        <f t="shared" si="61"/>
        <v>#NUM!</v>
      </c>
      <c r="O33" t="e">
        <f t="shared" si="62"/>
        <v>#NUM!</v>
      </c>
      <c r="Q33">
        <f t="shared" si="15"/>
        <v>62.876070012694427</v>
      </c>
      <c r="R33">
        <f t="shared" si="16"/>
        <v>100186525.74217413</v>
      </c>
      <c r="S33">
        <f t="shared" si="38"/>
        <v>-44.906971984031514</v>
      </c>
      <c r="T33" s="9" t="e">
        <f t="shared" si="17"/>
        <v>#N/A</v>
      </c>
      <c r="U33">
        <f t="shared" si="39"/>
        <v>-1.0000000000000001E+300</v>
      </c>
      <c r="V33">
        <f t="shared" si="40"/>
        <v>0</v>
      </c>
      <c r="W33">
        <f t="shared" si="41"/>
        <v>0</v>
      </c>
      <c r="X33">
        <f t="shared" si="18"/>
        <v>3.1415926221738664</v>
      </c>
      <c r="Y33">
        <f t="shared" si="19"/>
        <v>7.8539816339744828</v>
      </c>
      <c r="Z33">
        <f t="shared" si="20"/>
        <v>-3.1415926221738664</v>
      </c>
      <c r="AA33">
        <f t="shared" si="42"/>
        <v>99999998.126895234</v>
      </c>
      <c r="AB33">
        <f t="shared" si="21"/>
        <v>100000005.98087686</v>
      </c>
      <c r="AC33">
        <f t="shared" si="43"/>
        <v>0.69314717055994524</v>
      </c>
      <c r="AD33">
        <f t="shared" si="22"/>
        <v>17.275950858102966</v>
      </c>
      <c r="AE33" s="9">
        <f t="shared" si="44"/>
        <v>100000023.94997489</v>
      </c>
      <c r="AF33">
        <f t="shared" si="45"/>
        <v>0</v>
      </c>
      <c r="AH33">
        <f t="shared" si="23"/>
        <v>7.8539816339744828</v>
      </c>
      <c r="AI33">
        <f t="shared" si="24"/>
        <v>99999998.999949932</v>
      </c>
      <c r="AJ33">
        <f t="shared" si="25"/>
        <v>0.69314717055994635</v>
      </c>
      <c r="AK33">
        <f t="shared" si="26"/>
        <v>17.275950858101965</v>
      </c>
      <c r="AL33" s="9">
        <f t="shared" si="46"/>
        <v>100000024.82302959</v>
      </c>
      <c r="AM33" t="e">
        <f t="shared" si="27"/>
        <v>#N/A</v>
      </c>
      <c r="AN33" t="e">
        <f t="shared" si="47"/>
        <v>#N/A</v>
      </c>
      <c r="AO33">
        <f t="shared" si="28"/>
        <v>0</v>
      </c>
      <c r="AP33">
        <f t="shared" si="29"/>
        <v>0.87305469810962677</v>
      </c>
      <c r="AQ33">
        <f t="shared" si="30"/>
        <v>1.1102230246251565E-15</v>
      </c>
      <c r="AR33">
        <f t="shared" si="48"/>
        <v>8.7305470684061096E-9</v>
      </c>
      <c r="AS33">
        <f t="shared" si="31"/>
        <v>0.87305469810962677</v>
      </c>
      <c r="AT33">
        <f t="shared" si="49"/>
        <v>8.7305448139105452E-9</v>
      </c>
      <c r="AU33">
        <f t="shared" si="50"/>
        <v>0</v>
      </c>
      <c r="AV33">
        <f t="shared" si="32"/>
        <v>3.141592622173866E-20</v>
      </c>
      <c r="AW33" t="b">
        <f t="shared" si="51"/>
        <v>1</v>
      </c>
      <c r="AX33">
        <f t="shared" si="33"/>
        <v>7.8539816339744828</v>
      </c>
      <c r="AY33">
        <f t="shared" si="34"/>
        <v>99999997.931956783</v>
      </c>
      <c r="AZ33">
        <f t="shared" si="35"/>
        <v>0.69314717055994524</v>
      </c>
      <c r="BA33">
        <f t="shared" si="36"/>
        <v>17.275950847422035</v>
      </c>
      <c r="BB33">
        <f t="shared" si="37"/>
        <v>-1.2337005501361696E-20</v>
      </c>
      <c r="BD33" s="15">
        <f t="shared" si="52"/>
        <v>100000023.75503643</v>
      </c>
      <c r="BE33" s="10">
        <f t="shared" si="53"/>
        <v>-1.0679931640625</v>
      </c>
      <c r="BF33">
        <f t="shared" si="54"/>
        <v>-0.19493846595287323</v>
      </c>
      <c r="BG33">
        <f t="shared" si="55"/>
        <v>0</v>
      </c>
      <c r="BH33">
        <f t="shared" si="56"/>
        <v>-0.19493845105171204</v>
      </c>
      <c r="BI33">
        <f t="shared" si="57"/>
        <v>0</v>
      </c>
    </row>
    <row r="34" spans="1:61" x14ac:dyDescent="0.3">
      <c r="A34">
        <f t="shared" si="60"/>
        <v>1.0000000000000002E-7</v>
      </c>
      <c r="B34">
        <f t="shared" si="0"/>
        <v>3.1415926535897938E-7</v>
      </c>
      <c r="C34">
        <f t="shared" si="1"/>
        <v>3.1415923394305278</v>
      </c>
      <c r="D34">
        <f t="shared" si="2"/>
        <v>3.1415923394305278</v>
      </c>
      <c r="E34">
        <f t="shared" si="3"/>
        <v>3.1415926535900558E-7</v>
      </c>
      <c r="F34">
        <f t="shared" si="11"/>
        <v>3.1415926539140814E-7</v>
      </c>
      <c r="G34">
        <f t="shared" si="4"/>
        <v>3.1415926535897938E-7</v>
      </c>
      <c r="H34">
        <f t="shared" si="5"/>
        <v>3.1415926535897419E-7</v>
      </c>
      <c r="I34">
        <f t="shared" si="6"/>
        <v>3.1415926539140814E-7</v>
      </c>
      <c r="J34">
        <f t="shared" si="7"/>
        <v>2.0264236728467889E+26</v>
      </c>
      <c r="K34">
        <f t="shared" si="8"/>
        <v>2.0264236728467889E+26</v>
      </c>
      <c r="L34" t="e">
        <f t="shared" si="12"/>
        <v>#NUM!</v>
      </c>
      <c r="M34">
        <f t="shared" si="9"/>
        <v>3.1415923394305278E-20</v>
      </c>
      <c r="N34" s="9" t="e">
        <f t="shared" si="61"/>
        <v>#NUM!</v>
      </c>
      <c r="O34" t="e">
        <f t="shared" si="62"/>
        <v>#NUM!</v>
      </c>
      <c r="Q34">
        <f t="shared" si="15"/>
        <v>60.573484919700398</v>
      </c>
      <c r="R34">
        <f t="shared" si="16"/>
        <v>9947598.3006414026</v>
      </c>
      <c r="S34">
        <f t="shared" si="38"/>
        <v>-44.906972074031522</v>
      </c>
      <c r="T34" s="9" t="e">
        <f t="shared" si="17"/>
        <v>#N/A</v>
      </c>
      <c r="U34">
        <f t="shared" si="39"/>
        <v>-1.0000000000000001E+300</v>
      </c>
      <c r="V34">
        <f t="shared" si="40"/>
        <v>0</v>
      </c>
      <c r="W34">
        <f t="shared" si="41"/>
        <v>0</v>
      </c>
      <c r="X34">
        <f t="shared" si="18"/>
        <v>3.1415923394305278</v>
      </c>
      <c r="Y34">
        <f t="shared" si="19"/>
        <v>7.8539816339744828</v>
      </c>
      <c r="Z34">
        <f t="shared" si="20"/>
        <v>-3.1415923394305278</v>
      </c>
      <c r="AA34">
        <f t="shared" si="42"/>
        <v>9999999.0009171478</v>
      </c>
      <c r="AB34">
        <f t="shared" si="21"/>
        <v>10000006.854898782</v>
      </c>
      <c r="AC34">
        <f t="shared" si="43"/>
        <v>0.69314708055994034</v>
      </c>
      <c r="AD34">
        <f t="shared" si="22"/>
        <v>14.973365765108936</v>
      </c>
      <c r="AE34" s="9">
        <f t="shared" si="44"/>
        <v>10000022.521411628</v>
      </c>
      <c r="AF34">
        <f t="shared" si="45"/>
        <v>0</v>
      </c>
      <c r="AH34">
        <f t="shared" si="23"/>
        <v>7.8539816339744828</v>
      </c>
      <c r="AI34">
        <f t="shared" si="24"/>
        <v>9999998.9999991693</v>
      </c>
      <c r="AJ34">
        <f t="shared" si="25"/>
        <v>0.6931470805599389</v>
      </c>
      <c r="AK34">
        <f t="shared" si="26"/>
        <v>14.973365765108836</v>
      </c>
      <c r="AL34" s="9">
        <f t="shared" si="46"/>
        <v>10000022.520493649</v>
      </c>
      <c r="AM34" t="e">
        <f t="shared" si="27"/>
        <v>#N/A</v>
      </c>
      <c r="AN34" t="e">
        <f t="shared" si="47"/>
        <v>#N/A</v>
      </c>
      <c r="AO34">
        <f t="shared" si="28"/>
        <v>0</v>
      </c>
      <c r="AP34">
        <f t="shared" si="29"/>
        <v>-9.1797858476638794E-4</v>
      </c>
      <c r="AQ34">
        <f t="shared" si="30"/>
        <v>-1.4432899320127035E-15</v>
      </c>
      <c r="AR34">
        <f t="shared" si="48"/>
        <v>-9.1797867656433188E-11</v>
      </c>
      <c r="AS34">
        <f t="shared" si="31"/>
        <v>-9.1797858476638794E-4</v>
      </c>
      <c r="AT34">
        <f t="shared" si="49"/>
        <v>-9.1797651743795485E-11</v>
      </c>
      <c r="AU34">
        <f t="shared" si="50"/>
        <v>0</v>
      </c>
      <c r="AV34">
        <f t="shared" si="32"/>
        <v>3.1415923394305278E-20</v>
      </c>
      <c r="AW34" t="b">
        <f t="shared" si="51"/>
        <v>1</v>
      </c>
      <c r="AX34">
        <f t="shared" si="33"/>
        <v>7.8539816339744828</v>
      </c>
      <c r="AY34">
        <f t="shared" si="34"/>
        <v>9999998.9989677649</v>
      </c>
      <c r="AZ34">
        <f t="shared" si="35"/>
        <v>0.69314708055994045</v>
      </c>
      <c r="BA34">
        <f t="shared" si="36"/>
        <v>14.973365765005695</v>
      </c>
      <c r="BB34">
        <f t="shared" si="37"/>
        <v>-1.2337005501361696E-20</v>
      </c>
      <c r="BD34" s="15">
        <f t="shared" si="52"/>
        <v>10000022.519462245</v>
      </c>
      <c r="BE34" s="10">
        <f t="shared" si="53"/>
        <v>-1.0314043611288071E-3</v>
      </c>
      <c r="BF34">
        <f t="shared" si="54"/>
        <v>-1.949382945895195E-3</v>
      </c>
      <c r="BG34">
        <f t="shared" si="55"/>
        <v>0</v>
      </c>
      <c r="BH34">
        <f t="shared" si="56"/>
        <v>-1.949382945895195E-3</v>
      </c>
      <c r="BI34">
        <f t="shared" si="57"/>
        <v>0</v>
      </c>
    </row>
    <row r="35" spans="1:61" x14ac:dyDescent="0.3">
      <c r="A35">
        <f t="shared" si="60"/>
        <v>1.0000000000000002E-6</v>
      </c>
      <c r="B35">
        <f t="shared" si="0"/>
        <v>3.1415926535897938E-6</v>
      </c>
      <c r="C35">
        <f t="shared" si="1"/>
        <v>3.1415895119971395</v>
      </c>
      <c r="D35">
        <f t="shared" si="2"/>
        <v>3.1415895119971395</v>
      </c>
      <c r="E35">
        <f t="shared" si="3"/>
        <v>3.1415926535846573E-6</v>
      </c>
      <c r="F35">
        <f t="shared" si="11"/>
        <v>3.1415926536945103E-6</v>
      </c>
      <c r="G35">
        <f t="shared" si="4"/>
        <v>3.1415926535897938E-6</v>
      </c>
      <c r="H35">
        <f t="shared" si="5"/>
        <v>3.141592653584626E-6</v>
      </c>
      <c r="I35">
        <f t="shared" si="6"/>
        <v>3.1415926536945103E-6</v>
      </c>
      <c r="J35">
        <f t="shared" si="7"/>
        <v>2.0264236728500887E+25</v>
      </c>
      <c r="K35">
        <f t="shared" si="8"/>
        <v>2.0264236728500887E+25</v>
      </c>
      <c r="L35" t="e">
        <f t="shared" si="12"/>
        <v>#NUM!</v>
      </c>
      <c r="M35">
        <f t="shared" si="9"/>
        <v>3.1415895119971395E-20</v>
      </c>
      <c r="N35" s="9" t="e">
        <f t="shared" si="61"/>
        <v>#NUM!</v>
      </c>
      <c r="O35" t="e">
        <f t="shared" si="62"/>
        <v>#NUM!</v>
      </c>
      <c r="Q35">
        <f t="shared" si="15"/>
        <v>58.270899826707975</v>
      </c>
      <c r="R35">
        <f t="shared" si="16"/>
        <v>710542.73576010019</v>
      </c>
      <c r="S35">
        <f t="shared" si="38"/>
        <v>-44.906972974032016</v>
      </c>
      <c r="T35" s="9" t="e">
        <f t="shared" si="17"/>
        <v>#N/A</v>
      </c>
      <c r="U35">
        <f t="shared" si="39"/>
        <v>-1.0000000000000001E+300</v>
      </c>
      <c r="V35">
        <f t="shared" si="40"/>
        <v>0</v>
      </c>
      <c r="W35">
        <f t="shared" si="41"/>
        <v>0</v>
      </c>
      <c r="X35">
        <f t="shared" si="18"/>
        <v>3.1415895119971395</v>
      </c>
      <c r="Y35">
        <f t="shared" si="19"/>
        <v>7.8539816339744828</v>
      </c>
      <c r="Z35">
        <f t="shared" si="20"/>
        <v>-3.1415895119971395</v>
      </c>
      <c r="AA35">
        <f t="shared" si="42"/>
        <v>999998.99998123152</v>
      </c>
      <c r="AB35">
        <f t="shared" si="21"/>
        <v>1000006.8539628655</v>
      </c>
      <c r="AC35">
        <f t="shared" si="43"/>
        <v>0.69314618055944532</v>
      </c>
      <c r="AD35">
        <f t="shared" si="22"/>
        <v>12.670780672116519</v>
      </c>
      <c r="AE35" s="9">
        <f t="shared" si="44"/>
        <v>1000020.2178897182</v>
      </c>
      <c r="AF35">
        <f t="shared" si="45"/>
        <v>0</v>
      </c>
      <c r="AH35">
        <f t="shared" si="23"/>
        <v>7.8539816339744828</v>
      </c>
      <c r="AI35">
        <f t="shared" si="24"/>
        <v>999998.99999670475</v>
      </c>
      <c r="AJ35">
        <f t="shared" si="25"/>
        <v>0.69314618055944521</v>
      </c>
      <c r="AK35">
        <f t="shared" si="26"/>
        <v>12.670780672116509</v>
      </c>
      <c r="AL35" s="9">
        <f t="shared" si="46"/>
        <v>1000020.2179051915</v>
      </c>
      <c r="AM35" t="e">
        <f t="shared" si="27"/>
        <v>#N/A</v>
      </c>
      <c r="AN35" t="e">
        <f t="shared" si="47"/>
        <v>#N/A</v>
      </c>
      <c r="AO35">
        <f t="shared" si="28"/>
        <v>0</v>
      </c>
      <c r="AP35">
        <f t="shared" si="29"/>
        <v>1.5473226085305214E-5</v>
      </c>
      <c r="AQ35">
        <f t="shared" si="30"/>
        <v>0</v>
      </c>
      <c r="AR35">
        <f t="shared" si="48"/>
        <v>1.5473241558597762E-11</v>
      </c>
      <c r="AS35">
        <f t="shared" si="31"/>
        <v>1.5473226085305214E-5</v>
      </c>
      <c r="AT35">
        <f t="shared" si="49"/>
        <v>1.547291325541198E-11</v>
      </c>
      <c r="AU35">
        <f t="shared" si="50"/>
        <v>0</v>
      </c>
      <c r="AV35">
        <f t="shared" si="32"/>
        <v>3.1415895119971395E-20</v>
      </c>
      <c r="AW35" t="b">
        <f t="shared" si="51"/>
        <v>1</v>
      </c>
      <c r="AX35">
        <f t="shared" si="33"/>
        <v>7.8539816339744828</v>
      </c>
      <c r="AY35">
        <f t="shared" si="34"/>
        <v>999998.99996173778</v>
      </c>
      <c r="AZ35">
        <f t="shared" si="35"/>
        <v>0.69314618055944544</v>
      </c>
      <c r="BA35">
        <f t="shared" si="36"/>
        <v>12.670780672081541</v>
      </c>
      <c r="BB35">
        <f t="shared" si="37"/>
        <v>-1.2337005501361696E-20</v>
      </c>
      <c r="BD35" s="15">
        <f t="shared" si="52"/>
        <v>1000020.2178702245</v>
      </c>
      <c r="BE35" s="10">
        <f t="shared" si="53"/>
        <v>-3.4966971725225449E-5</v>
      </c>
      <c r="BF35">
        <f t="shared" si="54"/>
        <v>-1.9493745639920235E-5</v>
      </c>
      <c r="BG35">
        <f t="shared" si="55"/>
        <v>0</v>
      </c>
      <c r="BH35">
        <f t="shared" si="56"/>
        <v>-1.9493745639920235E-5</v>
      </c>
      <c r="BI35">
        <f t="shared" si="57"/>
        <v>0</v>
      </c>
    </row>
    <row r="36" spans="1:61" x14ac:dyDescent="0.3">
      <c r="A36">
        <f t="shared" si="60"/>
        <v>1.0000000000000001E-5</v>
      </c>
      <c r="B36">
        <f t="shared" si="0"/>
        <v>3.1415926535897935E-5</v>
      </c>
      <c r="C36">
        <f t="shared" si="1"/>
        <v>3.1415612376632573</v>
      </c>
      <c r="D36">
        <f t="shared" si="2"/>
        <v>3.1415612376632573</v>
      </c>
      <c r="E36">
        <f t="shared" si="3"/>
        <v>3.1415926530730255E-5</v>
      </c>
      <c r="F36">
        <f t="shared" si="11"/>
        <v>3.1415926530726433E-5</v>
      </c>
      <c r="G36">
        <f t="shared" si="4"/>
        <v>3.1415926535897935E-5</v>
      </c>
      <c r="H36">
        <f t="shared" si="5"/>
        <v>3.1415926530730221E-5</v>
      </c>
      <c r="I36">
        <f t="shared" si="6"/>
        <v>3.1415926530726433E-5</v>
      </c>
      <c r="J36">
        <f t="shared" si="7"/>
        <v>2.026423673180089E+24</v>
      </c>
      <c r="K36">
        <f t="shared" si="8"/>
        <v>2.026423673180089E+24</v>
      </c>
      <c r="L36" t="e">
        <f t="shared" si="12"/>
        <v>#NUM!</v>
      </c>
      <c r="M36">
        <f t="shared" si="9"/>
        <v>3.1415612376632572E-20</v>
      </c>
      <c r="N36" s="9" t="e">
        <f t="shared" si="61"/>
        <v>#NUM!</v>
      </c>
      <c r="O36" t="e">
        <f t="shared" si="62"/>
        <v>#NUM!</v>
      </c>
      <c r="Q36">
        <f t="shared" si="15"/>
        <v>55.968314733876781</v>
      </c>
      <c r="R36">
        <f t="shared" si="16"/>
        <v>0</v>
      </c>
      <c r="S36">
        <f t="shared" si="38"/>
        <v>-44.906981974081511</v>
      </c>
      <c r="T36" s="9" t="e">
        <f t="shared" si="17"/>
        <v>#N/A</v>
      </c>
      <c r="U36">
        <f t="shared" si="39"/>
        <v>-1.0000000000000001E+300</v>
      </c>
      <c r="V36">
        <f t="shared" si="40"/>
        <v>0</v>
      </c>
      <c r="W36">
        <f t="shared" si="41"/>
        <v>0</v>
      </c>
      <c r="X36">
        <f t="shared" si="18"/>
        <v>3.1415612376632573</v>
      </c>
      <c r="Y36">
        <f t="shared" si="19"/>
        <v>7.8539816339744828</v>
      </c>
      <c r="Z36">
        <f t="shared" si="20"/>
        <v>-3.1415612376632573</v>
      </c>
      <c r="AA36">
        <f t="shared" si="42"/>
        <v>99998.999967308686</v>
      </c>
      <c r="AB36">
        <f t="shared" si="21"/>
        <v>100006.85394894266</v>
      </c>
      <c r="AC36">
        <f t="shared" si="43"/>
        <v>0.69313718050994499</v>
      </c>
      <c r="AD36">
        <f t="shared" si="22"/>
        <v>10.368195579285322</v>
      </c>
      <c r="AE36" s="9">
        <f t="shared" si="44"/>
        <v>100017.91528170246</v>
      </c>
      <c r="AF36">
        <f t="shared" si="45"/>
        <v>0</v>
      </c>
      <c r="AH36">
        <f t="shared" si="23"/>
        <v>7.8539816339744828</v>
      </c>
      <c r="AI36">
        <f t="shared" si="24"/>
        <v>99998.999967101568</v>
      </c>
      <c r="AJ36">
        <f t="shared" si="25"/>
        <v>0.69313718050995021</v>
      </c>
      <c r="AK36">
        <f t="shared" si="26"/>
        <v>10.36819557928532</v>
      </c>
      <c r="AL36" s="9">
        <f t="shared" si="46"/>
        <v>100017.91528149534</v>
      </c>
      <c r="AM36" t="e">
        <f t="shared" si="27"/>
        <v>#N/A</v>
      </c>
      <c r="AN36" t="e">
        <f t="shared" si="47"/>
        <v>#N/A</v>
      </c>
      <c r="AO36">
        <f t="shared" si="28"/>
        <v>0</v>
      </c>
      <c r="AP36">
        <f t="shared" si="29"/>
        <v>-2.071174094453454E-7</v>
      </c>
      <c r="AQ36">
        <f t="shared" si="30"/>
        <v>5.2180482157382357E-15</v>
      </c>
      <c r="AR36">
        <f t="shared" si="48"/>
        <v>-2.0711948070829155E-12</v>
      </c>
      <c r="AS36">
        <f t="shared" si="31"/>
        <v>-2.071174094453454E-7</v>
      </c>
      <c r="AT36">
        <f t="shared" si="49"/>
        <v>-2.0708031042481139E-12</v>
      </c>
      <c r="AU36">
        <f t="shared" si="50"/>
        <v>0</v>
      </c>
      <c r="AV36">
        <f t="shared" si="32"/>
        <v>3.1415612376632572E-20</v>
      </c>
      <c r="AW36" t="b">
        <f t="shared" si="51"/>
        <v>1</v>
      </c>
      <c r="AX36">
        <f t="shared" si="33"/>
        <v>7.8539816339744828</v>
      </c>
      <c r="AY36">
        <f t="shared" si="34"/>
        <v>99998.999967113734</v>
      </c>
      <c r="AZ36">
        <f t="shared" si="35"/>
        <v>0.69313718050994511</v>
      </c>
      <c r="BA36">
        <f t="shared" si="36"/>
        <v>10.368195579285443</v>
      </c>
      <c r="BB36">
        <f t="shared" si="37"/>
        <v>-1.2337005501361696E-20</v>
      </c>
      <c r="BD36" s="15">
        <f t="shared" si="52"/>
        <v>100017.91528150751</v>
      </c>
      <c r="BE36" s="10">
        <f t="shared" si="53"/>
        <v>1.2165401130914688E-8</v>
      </c>
      <c r="BF36">
        <f t="shared" si="54"/>
        <v>-1.9495200831443071E-7</v>
      </c>
      <c r="BG36">
        <f t="shared" si="55"/>
        <v>0</v>
      </c>
      <c r="BH36">
        <f t="shared" si="56"/>
        <v>-1.9495200831443071E-7</v>
      </c>
      <c r="BI36">
        <f t="shared" si="57"/>
        <v>0</v>
      </c>
    </row>
    <row r="37" spans="1:61" x14ac:dyDescent="0.3">
      <c r="A37">
        <f>A38/10</f>
        <v>1E-4</v>
      </c>
      <c r="B37">
        <f t="shared" si="0"/>
        <v>3.1415926535897931E-4</v>
      </c>
      <c r="C37">
        <f t="shared" si="1"/>
        <v>3.1412784943244341</v>
      </c>
      <c r="D37">
        <f t="shared" si="2"/>
        <v>3.1412784943244341</v>
      </c>
      <c r="E37">
        <f t="shared" si="3"/>
        <v>3.1415926019126659E-4</v>
      </c>
      <c r="F37">
        <f t="shared" si="11"/>
        <v>3.1415926019145833E-4</v>
      </c>
      <c r="G37">
        <f t="shared" si="4"/>
        <v>3.1415926535897931E-4</v>
      </c>
      <c r="H37">
        <f t="shared" si="5"/>
        <v>3.1415926019126653E-4</v>
      </c>
      <c r="I37">
        <f t="shared" si="6"/>
        <v>3.1415926019145833E-4</v>
      </c>
      <c r="J37">
        <f t="shared" si="7"/>
        <v>2.0264237061800895E+23</v>
      </c>
      <c r="K37">
        <f t="shared" si="8"/>
        <v>2.0264237061800895E+23</v>
      </c>
      <c r="L37" t="e">
        <f t="shared" si="12"/>
        <v>#NUM!</v>
      </c>
      <c r="M37">
        <f t="shared" si="9"/>
        <v>3.141278494324434E-20</v>
      </c>
      <c r="N37" s="9" t="e">
        <f t="shared" si="61"/>
        <v>#NUM!</v>
      </c>
      <c r="O37" t="e">
        <f t="shared" si="62"/>
        <v>#NUM!</v>
      </c>
      <c r="Q37">
        <f t="shared" si="15"/>
        <v>53.665729657167581</v>
      </c>
      <c r="R37">
        <f t="shared" si="16"/>
        <v>0</v>
      </c>
      <c r="S37">
        <f t="shared" si="38"/>
        <v>-44.907071979031848</v>
      </c>
      <c r="T37" s="9" t="e">
        <f t="shared" si="17"/>
        <v>#N/A</v>
      </c>
      <c r="U37">
        <f t="shared" si="39"/>
        <v>-1.0000000000000001E+300</v>
      </c>
      <c r="V37">
        <f t="shared" si="40"/>
        <v>0</v>
      </c>
      <c r="W37">
        <f t="shared" si="41"/>
        <v>0</v>
      </c>
      <c r="X37">
        <f t="shared" si="18"/>
        <v>3.1412784943244341</v>
      </c>
      <c r="Y37">
        <f t="shared" si="19"/>
        <v>7.8539816339744828</v>
      </c>
      <c r="Z37">
        <f t="shared" si="20"/>
        <v>-3.1412784943244341</v>
      </c>
      <c r="AA37">
        <f t="shared" si="42"/>
        <v>9998.9996710419291</v>
      </c>
      <c r="AB37">
        <f t="shared" si="21"/>
        <v>10006.853652675904</v>
      </c>
      <c r="AC37">
        <f t="shared" si="43"/>
        <v>0.69304717555961193</v>
      </c>
      <c r="AD37">
        <f t="shared" si="22"/>
        <v>8.0656105025761242</v>
      </c>
      <c r="AE37" s="9">
        <f t="shared" si="44"/>
        <v>10015.612310354039</v>
      </c>
      <c r="AF37">
        <f t="shared" si="45"/>
        <v>0</v>
      </c>
      <c r="AH37">
        <f t="shared" si="23"/>
        <v>7.8539816339744828</v>
      </c>
      <c r="AI37">
        <f t="shared" si="24"/>
        <v>9998.9996710460819</v>
      </c>
      <c r="AJ37">
        <f t="shared" si="25"/>
        <v>0.69304717555961304</v>
      </c>
      <c r="AK37">
        <f t="shared" si="26"/>
        <v>8.0656105025761224</v>
      </c>
      <c r="AL37" s="9">
        <f t="shared" si="46"/>
        <v>10015.612310358192</v>
      </c>
      <c r="AM37" t="e">
        <f t="shared" si="27"/>
        <v>#N/A</v>
      </c>
      <c r="AN37" t="e">
        <f t="shared" si="47"/>
        <v>#N/A</v>
      </c>
      <c r="AO37">
        <f t="shared" si="28"/>
        <v>0</v>
      </c>
      <c r="AP37">
        <f t="shared" si="29"/>
        <v>4.1527528082951903E-9</v>
      </c>
      <c r="AQ37">
        <f t="shared" si="30"/>
        <v>1.1102230246251565E-15</v>
      </c>
      <c r="AR37">
        <f t="shared" si="48"/>
        <v>4.1531682617414615E-13</v>
      </c>
      <c r="AS37">
        <f t="shared" si="31"/>
        <v>4.1527528082951903E-9</v>
      </c>
      <c r="AT37">
        <f t="shared" si="49"/>
        <v>4.1462795080440507E-13</v>
      </c>
      <c r="AU37">
        <f t="shared" si="50"/>
        <v>0</v>
      </c>
      <c r="AV37">
        <f t="shared" si="32"/>
        <v>3.141278494324434E-20</v>
      </c>
      <c r="AW37" t="b">
        <f t="shared" si="51"/>
        <v>1</v>
      </c>
      <c r="AX37">
        <f t="shared" si="33"/>
        <v>7.8539816339744828</v>
      </c>
      <c r="AY37">
        <f t="shared" si="34"/>
        <v>9998.9996710399791</v>
      </c>
      <c r="AZ37">
        <f t="shared" si="35"/>
        <v>0.69304717555961193</v>
      </c>
      <c r="BA37">
        <f t="shared" si="36"/>
        <v>8.0656105025755132</v>
      </c>
      <c r="BB37">
        <f t="shared" si="37"/>
        <v>-1.2337005501361696E-20</v>
      </c>
      <c r="BD37" s="15">
        <f t="shared" si="52"/>
        <v>10015.612310352089</v>
      </c>
      <c r="BE37" s="10">
        <f t="shared" si="53"/>
        <v>-6.1027094488963485E-9</v>
      </c>
      <c r="BF37">
        <f t="shared" si="54"/>
        <v>-1.9499566406011581E-9</v>
      </c>
      <c r="BG37">
        <f t="shared" si="55"/>
        <v>0</v>
      </c>
      <c r="BH37">
        <f t="shared" si="56"/>
        <v>-1.9499566406011581E-9</v>
      </c>
      <c r="BI37">
        <f t="shared" si="57"/>
        <v>0</v>
      </c>
    </row>
    <row r="38" spans="1:61" x14ac:dyDescent="0.3">
      <c r="A38">
        <f>ROUND(A24+1/1000,3)</f>
        <v>1E-3</v>
      </c>
      <c r="B38">
        <f t="shared" si="0"/>
        <v>3.1415926535897933E-3</v>
      </c>
      <c r="C38">
        <f t="shared" si="1"/>
        <v>3.1384510609362035</v>
      </c>
      <c r="D38">
        <f t="shared" si="2"/>
        <v>3.1384510609362035</v>
      </c>
      <c r="E38">
        <f t="shared" si="3"/>
        <v>3.1415874858795635E-3</v>
      </c>
      <c r="F38">
        <f t="shared" si="11"/>
        <v>3.1415874858794902E-3</v>
      </c>
      <c r="G38">
        <f t="shared" si="4"/>
        <v>3.1415926535897933E-3</v>
      </c>
      <c r="H38">
        <f t="shared" si="5"/>
        <v>3.1415874858795635E-3</v>
      </c>
      <c r="I38">
        <f t="shared" si="6"/>
        <v>3.1415874858794902E-3</v>
      </c>
      <c r="J38">
        <f t="shared" si="7"/>
        <v>2.0264270061839271E+22</v>
      </c>
      <c r="K38">
        <f t="shared" si="8"/>
        <v>2.0264270061839271E+22</v>
      </c>
      <c r="L38">
        <f t="shared" si="12"/>
        <v>1</v>
      </c>
      <c r="M38">
        <f t="shared" si="9"/>
        <v>3.138451060936203E-20</v>
      </c>
      <c r="N38" s="9">
        <f t="shared" ref="N38:N101" si="63">L38*M38</f>
        <v>3.138451060936203E-20</v>
      </c>
      <c r="O38">
        <f t="shared" ref="O38:O101" si="64">N38*EXP(-N38)</f>
        <v>3.138451060936203E-20</v>
      </c>
      <c r="Q38">
        <f t="shared" si="15"/>
        <v>51.363146192658803</v>
      </c>
      <c r="R38">
        <f t="shared" si="16"/>
        <v>0</v>
      </c>
      <c r="S38">
        <f t="shared" si="38"/>
        <v>-44.907972474365096</v>
      </c>
      <c r="T38" s="9" t="e">
        <f t="shared" si="17"/>
        <v>#N/A</v>
      </c>
      <c r="U38">
        <f t="shared" si="39"/>
        <v>-1.0000000000000001E+300</v>
      </c>
      <c r="V38">
        <f t="shared" si="40"/>
        <v>0</v>
      </c>
      <c r="W38">
        <f t="shared" si="41"/>
        <v>0</v>
      </c>
      <c r="X38">
        <f t="shared" si="18"/>
        <v>3.1384510609362035</v>
      </c>
      <c r="Y38">
        <f t="shared" si="19"/>
        <v>7.8539816339744828</v>
      </c>
      <c r="Z38">
        <f t="shared" si="20"/>
        <v>-3.1384510609362035</v>
      </c>
      <c r="AA38">
        <f t="shared" si="42"/>
        <v>998.99671341961459</v>
      </c>
      <c r="AB38">
        <f t="shared" si="21"/>
        <v>1006.8506950535891</v>
      </c>
      <c r="AC38">
        <f t="shared" si="43"/>
        <v>0.69214668022636183</v>
      </c>
      <c r="AD38">
        <f t="shared" si="22"/>
        <v>5.763027038067345</v>
      </c>
      <c r="AE38" s="9">
        <f t="shared" si="44"/>
        <v>1013.3058687718828</v>
      </c>
      <c r="AF38">
        <f t="shared" si="45"/>
        <v>0</v>
      </c>
      <c r="AH38">
        <f t="shared" si="23"/>
        <v>7.8539816339744828</v>
      </c>
      <c r="AI38">
        <f t="shared" si="24"/>
        <v>998.99671341957173</v>
      </c>
      <c r="AJ38">
        <f t="shared" si="25"/>
        <v>0.69214668022636516</v>
      </c>
      <c r="AK38">
        <f t="shared" si="26"/>
        <v>5.763027038067345</v>
      </c>
      <c r="AL38" s="9">
        <f t="shared" si="46"/>
        <v>1013.30586877184</v>
      </c>
      <c r="AM38" t="e">
        <f t="shared" si="27"/>
        <v>#N/A</v>
      </c>
      <c r="AN38" t="e">
        <f t="shared" si="47"/>
        <v>#N/A</v>
      </c>
      <c r="AO38">
        <f t="shared" si="28"/>
        <v>0</v>
      </c>
      <c r="AP38">
        <f t="shared" si="29"/>
        <v>-4.2859937821049243E-11</v>
      </c>
      <c r="AQ38">
        <f t="shared" si="30"/>
        <v>3.3306690738754696E-15</v>
      </c>
      <c r="AR38">
        <f t="shared" si="48"/>
        <v>-4.2902981806956521E-14</v>
      </c>
      <c r="AS38">
        <f t="shared" si="31"/>
        <v>-4.2859937821049243E-11</v>
      </c>
      <c r="AT38">
        <f t="shared" si="49"/>
        <v>-4.2297137657948136E-14</v>
      </c>
      <c r="AU38">
        <f t="shared" si="50"/>
        <v>0</v>
      </c>
      <c r="AV38">
        <f t="shared" si="32"/>
        <v>3.1384510609362036E-20</v>
      </c>
      <c r="AW38" t="b">
        <f t="shared" si="51"/>
        <v>1</v>
      </c>
      <c r="AX38">
        <f t="shared" si="33"/>
        <v>7.8539816339744828</v>
      </c>
      <c r="AY38">
        <f t="shared" si="34"/>
        <v>998.99671341959538</v>
      </c>
      <c r="AZ38">
        <f t="shared" si="35"/>
        <v>0.69214668022636194</v>
      </c>
      <c r="BA38">
        <f t="shared" si="36"/>
        <v>5.763027038067368</v>
      </c>
      <c r="BB38">
        <f t="shared" si="37"/>
        <v>-1.2337005501361696E-20</v>
      </c>
      <c r="BD38" s="15">
        <f t="shared" si="52"/>
        <v>1013.3058687718636</v>
      </c>
      <c r="BE38" s="10">
        <f t="shared" si="53"/>
        <v>2.3646862246096134E-11</v>
      </c>
      <c r="BF38">
        <f t="shared" si="54"/>
        <v>-1.9213075574953109E-11</v>
      </c>
      <c r="BG38">
        <f t="shared" si="55"/>
        <v>0</v>
      </c>
      <c r="BH38">
        <f t="shared" si="56"/>
        <v>-1.9213075574953109E-11</v>
      </c>
      <c r="BI38">
        <f t="shared" si="57"/>
        <v>0</v>
      </c>
    </row>
    <row r="39" spans="1:61" x14ac:dyDescent="0.3">
      <c r="A39">
        <f t="shared" ref="A39:A102" si="65">ROUND(A38+1/1000,3)</f>
        <v>2E-3</v>
      </c>
      <c r="B39">
        <f t="shared" si="0"/>
        <v>6.2831853071795866E-3</v>
      </c>
      <c r="C39">
        <f t="shared" si="1"/>
        <v>3.1353094682826135</v>
      </c>
      <c r="D39">
        <f t="shared" si="2"/>
        <v>3.1353094682826135</v>
      </c>
      <c r="E39">
        <f t="shared" si="3"/>
        <v>6.2831439655589511E-3</v>
      </c>
      <c r="F39">
        <f t="shared" si="11"/>
        <v>6.2831439655591272E-3</v>
      </c>
      <c r="G39">
        <f t="shared" si="4"/>
        <v>6.2831853071795866E-3</v>
      </c>
      <c r="H39">
        <f t="shared" si="5"/>
        <v>6.2831439655589511E-3</v>
      </c>
      <c r="I39">
        <f t="shared" si="6"/>
        <v>6.2831439655591272E-3</v>
      </c>
      <c r="J39">
        <f t="shared" si="7"/>
        <v>1.0132185031207501E+22</v>
      </c>
      <c r="K39">
        <f t="shared" si="8"/>
        <v>1.0132185031207501E+22</v>
      </c>
      <c r="L39">
        <f t="shared" si="12"/>
        <v>1</v>
      </c>
      <c r="M39">
        <f t="shared" si="9"/>
        <v>3.1353094682826136E-20</v>
      </c>
      <c r="N39" s="9">
        <f t="shared" si="63"/>
        <v>3.1353094682826136E-20</v>
      </c>
      <c r="O39">
        <f t="shared" si="64"/>
        <v>3.1353094682826136E-20</v>
      </c>
      <c r="Q39">
        <f t="shared" si="15"/>
        <v>50.670003946909176</v>
      </c>
      <c r="R39">
        <f t="shared" si="16"/>
        <v>0</v>
      </c>
      <c r="S39">
        <f t="shared" si="38"/>
        <v>-44.908973976702185</v>
      </c>
      <c r="T39" s="9" t="e">
        <f t="shared" si="17"/>
        <v>#N/A</v>
      </c>
      <c r="U39">
        <f t="shared" si="39"/>
        <v>-1.0000000000000001E+300</v>
      </c>
      <c r="V39">
        <f t="shared" si="40"/>
        <v>0</v>
      </c>
      <c r="W39">
        <f t="shared" si="41"/>
        <v>0</v>
      </c>
      <c r="X39">
        <f t="shared" si="18"/>
        <v>3.1353094682826135</v>
      </c>
      <c r="Y39">
        <f t="shared" si="19"/>
        <v>7.8539816339744828</v>
      </c>
      <c r="Z39">
        <f t="shared" si="20"/>
        <v>-3.1353094682826135</v>
      </c>
      <c r="AA39">
        <f t="shared" si="42"/>
        <v>498.99343340591344</v>
      </c>
      <c r="AB39">
        <f t="shared" si="21"/>
        <v>506.84741503988789</v>
      </c>
      <c r="AC39">
        <f t="shared" si="43"/>
        <v>0.69114517788927221</v>
      </c>
      <c r="AD39">
        <f t="shared" si="22"/>
        <v>5.0698847923177173</v>
      </c>
      <c r="AE39" s="9">
        <f t="shared" si="44"/>
        <v>512.6084450100949</v>
      </c>
      <c r="AF39">
        <f t="shared" si="45"/>
        <v>0</v>
      </c>
      <c r="AH39">
        <f t="shared" si="23"/>
        <v>7.8539816339744828</v>
      </c>
      <c r="AI39">
        <f t="shared" si="24"/>
        <v>498.99343340592242</v>
      </c>
      <c r="AJ39">
        <f t="shared" si="25"/>
        <v>0.69114517788927543</v>
      </c>
      <c r="AK39">
        <f t="shared" si="26"/>
        <v>5.0698847923177173</v>
      </c>
      <c r="AL39" s="9">
        <f t="shared" si="46"/>
        <v>512.60844501010388</v>
      </c>
      <c r="AM39" t="e">
        <f t="shared" si="27"/>
        <v>#N/A</v>
      </c>
      <c r="AN39" t="e">
        <f t="shared" si="47"/>
        <v>#N/A</v>
      </c>
      <c r="AO39">
        <f t="shared" si="28"/>
        <v>0</v>
      </c>
      <c r="AP39">
        <f t="shared" si="29"/>
        <v>8.9812601800076663E-12</v>
      </c>
      <c r="AQ39">
        <f t="shared" si="30"/>
        <v>3.219646771412954E-15</v>
      </c>
      <c r="AR39">
        <f t="shared" si="48"/>
        <v>1.799875424954053E-14</v>
      </c>
      <c r="AS39">
        <f t="shared" si="31"/>
        <v>8.9812601800076663E-12</v>
      </c>
      <c r="AT39">
        <f t="shared" si="49"/>
        <v>1.752070272628973E-14</v>
      </c>
      <c r="AU39">
        <f t="shared" si="50"/>
        <v>0</v>
      </c>
      <c r="AV39">
        <f t="shared" si="32"/>
        <v>3.135309468282613E-20</v>
      </c>
      <c r="AW39" t="b">
        <f t="shared" si="51"/>
        <v>1</v>
      </c>
      <c r="AX39">
        <f t="shared" si="33"/>
        <v>7.8539816339744828</v>
      </c>
      <c r="AY39">
        <f t="shared" si="34"/>
        <v>498.99343340590855</v>
      </c>
      <c r="AZ39">
        <f t="shared" si="35"/>
        <v>0.69114517788927221</v>
      </c>
      <c r="BA39">
        <f t="shared" si="36"/>
        <v>5.0698847923176897</v>
      </c>
      <c r="BB39">
        <f t="shared" si="37"/>
        <v>-1.2337005501361696E-20</v>
      </c>
      <c r="BD39" s="15">
        <f t="shared" si="52"/>
        <v>512.60844501009001</v>
      </c>
      <c r="BE39" s="10">
        <f t="shared" si="53"/>
        <v>-1.3869794202037156E-11</v>
      </c>
      <c r="BF39">
        <f t="shared" si="54"/>
        <v>-4.8885340220294893E-12</v>
      </c>
      <c r="BG39">
        <f t="shared" si="55"/>
        <v>0</v>
      </c>
      <c r="BH39">
        <f t="shared" si="56"/>
        <v>-4.8885340220294893E-12</v>
      </c>
      <c r="BI39">
        <f t="shared" si="57"/>
        <v>0</v>
      </c>
    </row>
    <row r="40" spans="1:61" x14ac:dyDescent="0.3">
      <c r="A40">
        <f t="shared" si="65"/>
        <v>3.0000000000000001E-3</v>
      </c>
      <c r="B40">
        <f t="shared" si="0"/>
        <v>9.4247779607693795E-3</v>
      </c>
      <c r="C40">
        <f t="shared" si="1"/>
        <v>3.1321678756290239</v>
      </c>
      <c r="D40">
        <f t="shared" si="2"/>
        <v>3.1321678756290239</v>
      </c>
      <c r="E40">
        <f t="shared" si="3"/>
        <v>9.4246384331440058E-3</v>
      </c>
      <c r="F40">
        <f t="shared" si="11"/>
        <v>9.4246384331439868E-3</v>
      </c>
      <c r="G40">
        <f t="shared" si="4"/>
        <v>9.4247779607693795E-3</v>
      </c>
      <c r="H40">
        <f t="shared" si="5"/>
        <v>9.4246384331440058E-3</v>
      </c>
      <c r="I40">
        <f t="shared" si="6"/>
        <v>9.4246384331439868E-3</v>
      </c>
      <c r="J40">
        <f t="shared" si="7"/>
        <v>6.7548455771921711E+21</v>
      </c>
      <c r="K40">
        <f t="shared" si="8"/>
        <v>6.7548455771921711E+21</v>
      </c>
      <c r="L40">
        <f t="shared" si="12"/>
        <v>1</v>
      </c>
      <c r="M40">
        <f t="shared" si="9"/>
        <v>3.1321678756290237E-20</v>
      </c>
      <c r="N40" s="9">
        <f t="shared" si="63"/>
        <v>3.1321678756290237E-20</v>
      </c>
      <c r="O40">
        <f t="shared" si="64"/>
        <v>3.1321678756290237E-20</v>
      </c>
      <c r="Q40">
        <f t="shared" si="15"/>
        <v>50.264547063506519</v>
      </c>
      <c r="R40">
        <f t="shared" si="16"/>
        <v>-710542.73576010019</v>
      </c>
      <c r="S40">
        <f t="shared" si="38"/>
        <v>-44.909976483051814</v>
      </c>
      <c r="T40" s="9" t="e">
        <f t="shared" si="17"/>
        <v>#N/A</v>
      </c>
      <c r="U40">
        <f t="shared" si="39"/>
        <v>-1.0000000000000001E+300</v>
      </c>
      <c r="V40">
        <f t="shared" si="40"/>
        <v>0</v>
      </c>
      <c r="W40">
        <f t="shared" si="41"/>
        <v>0</v>
      </c>
      <c r="X40">
        <f t="shared" si="18"/>
        <v>3.1321678756290239</v>
      </c>
      <c r="Y40">
        <f t="shared" si="19"/>
        <v>7.8539816339744828</v>
      </c>
      <c r="Z40">
        <f t="shared" si="20"/>
        <v>-3.1321678756290239</v>
      </c>
      <c r="AA40">
        <f t="shared" si="42"/>
        <v>332.3234932794777</v>
      </c>
      <c r="AB40">
        <f t="shared" si="21"/>
        <v>340.17747491345216</v>
      </c>
      <c r="AC40">
        <f t="shared" si="43"/>
        <v>0.69014267153964659</v>
      </c>
      <c r="AD40">
        <f t="shared" si="22"/>
        <v>4.6644279089150631</v>
      </c>
      <c r="AE40" s="9">
        <f t="shared" si="44"/>
        <v>345.53204549390688</v>
      </c>
      <c r="AF40">
        <f t="shared" si="45"/>
        <v>0</v>
      </c>
      <c r="AH40">
        <f t="shared" si="23"/>
        <v>7.8539816339744828</v>
      </c>
      <c r="AI40">
        <f t="shared" si="24"/>
        <v>332.3234932794748</v>
      </c>
      <c r="AJ40">
        <f t="shared" si="25"/>
        <v>0.69014267153964681</v>
      </c>
      <c r="AK40">
        <f t="shared" si="26"/>
        <v>4.6644279089150631</v>
      </c>
      <c r="AL40" s="9">
        <f t="shared" si="46"/>
        <v>345.53204549390398</v>
      </c>
      <c r="AM40" t="e">
        <f t="shared" si="27"/>
        <v>#N/A</v>
      </c>
      <c r="AN40" t="e">
        <f t="shared" si="47"/>
        <v>#N/A</v>
      </c>
      <c r="AO40">
        <f t="shared" si="28"/>
        <v>0</v>
      </c>
      <c r="AP40">
        <f t="shared" si="29"/>
        <v>-2.8990143619012088E-12</v>
      </c>
      <c r="AQ40">
        <f t="shared" si="30"/>
        <v>0</v>
      </c>
      <c r="AR40">
        <f t="shared" si="48"/>
        <v>-8.723471017028635E-15</v>
      </c>
      <c r="AS40">
        <f t="shared" si="31"/>
        <v>-2.8990143619012088E-12</v>
      </c>
      <c r="AT40">
        <f t="shared" si="49"/>
        <v>-8.3900014476438894E-15</v>
      </c>
      <c r="AU40">
        <f t="shared" si="50"/>
        <v>0</v>
      </c>
      <c r="AV40">
        <f t="shared" si="32"/>
        <v>3.1321678756290237E-20</v>
      </c>
      <c r="AW40" t="b">
        <f t="shared" si="51"/>
        <v>1</v>
      </c>
      <c r="AX40">
        <f t="shared" si="33"/>
        <v>7.8539816339744828</v>
      </c>
      <c r="AY40">
        <f t="shared" si="34"/>
        <v>332.32349327947549</v>
      </c>
      <c r="AZ40">
        <f t="shared" si="35"/>
        <v>0.6901426715396467</v>
      </c>
      <c r="BA40">
        <f t="shared" si="36"/>
        <v>4.6644279089150649</v>
      </c>
      <c r="BB40">
        <f t="shared" si="37"/>
        <v>-1.2337005501361696E-20</v>
      </c>
      <c r="BD40" s="15">
        <f t="shared" si="52"/>
        <v>345.53204549390466</v>
      </c>
      <c r="BE40" s="10">
        <f t="shared" si="53"/>
        <v>6.8212102632969618E-13</v>
      </c>
      <c r="BF40">
        <f t="shared" si="54"/>
        <v>-2.2168933355715126E-12</v>
      </c>
      <c r="BG40">
        <f t="shared" si="55"/>
        <v>0</v>
      </c>
      <c r="BH40">
        <f t="shared" si="56"/>
        <v>-2.2168933355715126E-12</v>
      </c>
      <c r="BI40">
        <f t="shared" si="57"/>
        <v>0</v>
      </c>
    </row>
    <row r="41" spans="1:61" x14ac:dyDescent="0.3">
      <c r="A41">
        <f t="shared" si="65"/>
        <v>4.0000000000000001E-3</v>
      </c>
      <c r="B41">
        <f t="shared" si="0"/>
        <v>1.2566370614359173E-2</v>
      </c>
      <c r="C41">
        <f t="shared" si="1"/>
        <v>3.1290262829754338</v>
      </c>
      <c r="D41">
        <f t="shared" si="2"/>
        <v>3.1290262829754338</v>
      </c>
      <c r="E41">
        <f t="shared" si="3"/>
        <v>1.2566039883352607E-2</v>
      </c>
      <c r="F41">
        <f t="shared" si="11"/>
        <v>1.2566039883352836E-2</v>
      </c>
      <c r="G41">
        <f t="shared" si="4"/>
        <v>1.2566370614359173E-2</v>
      </c>
      <c r="H41">
        <f t="shared" si="5"/>
        <v>1.2566039883352607E-2</v>
      </c>
      <c r="I41">
        <f t="shared" si="6"/>
        <v>1.2566039883352836E-2</v>
      </c>
      <c r="J41">
        <f t="shared" si="7"/>
        <v>5.0661925179066983E+21</v>
      </c>
      <c r="K41">
        <f t="shared" si="8"/>
        <v>5.0661925179066983E+21</v>
      </c>
      <c r="L41">
        <f t="shared" si="12"/>
        <v>1</v>
      </c>
      <c r="M41">
        <f t="shared" si="9"/>
        <v>3.1290262829754337E-20</v>
      </c>
      <c r="N41" s="9">
        <f t="shared" si="63"/>
        <v>3.1290262829754337E-20</v>
      </c>
      <c r="O41">
        <f t="shared" si="64"/>
        <v>3.1290262829754337E-20</v>
      </c>
      <c r="Q41">
        <f t="shared" si="15"/>
        <v>49.976876505687912</v>
      </c>
      <c r="R41">
        <f t="shared" si="16"/>
        <v>0</v>
      </c>
      <c r="S41">
        <f t="shared" si="38"/>
        <v>-44.910979995429052</v>
      </c>
      <c r="T41" s="9" t="e">
        <f t="shared" si="17"/>
        <v>#N/A</v>
      </c>
      <c r="U41">
        <f t="shared" si="39"/>
        <v>-1.0000000000000001E+300</v>
      </c>
      <c r="V41">
        <f t="shared" si="40"/>
        <v>0</v>
      </c>
      <c r="W41">
        <f t="shared" si="41"/>
        <v>0</v>
      </c>
      <c r="X41">
        <f t="shared" si="18"/>
        <v>3.1290262829754338</v>
      </c>
      <c r="Y41">
        <f t="shared" si="19"/>
        <v>7.8539816339744828</v>
      </c>
      <c r="Z41">
        <f t="shared" si="20"/>
        <v>-3.1290262829754338</v>
      </c>
      <c r="AA41">
        <f t="shared" si="42"/>
        <v>248.98689302736673</v>
      </c>
      <c r="AB41">
        <f t="shared" si="21"/>
        <v>256.84087466134122</v>
      </c>
      <c r="AC41">
        <f t="shared" si="43"/>
        <v>0.68913915916240653</v>
      </c>
      <c r="AD41">
        <f t="shared" si="22"/>
        <v>4.3767573510964546</v>
      </c>
      <c r="AE41" s="9">
        <f t="shared" si="44"/>
        <v>261.90677117160004</v>
      </c>
      <c r="AF41">
        <f t="shared" si="45"/>
        <v>0</v>
      </c>
      <c r="AH41">
        <f t="shared" si="23"/>
        <v>7.8539816339744828</v>
      </c>
      <c r="AI41">
        <f t="shared" si="24"/>
        <v>248.98689302737003</v>
      </c>
      <c r="AJ41">
        <f t="shared" si="25"/>
        <v>0.68913915916240853</v>
      </c>
      <c r="AK41">
        <f t="shared" si="26"/>
        <v>4.3767573510964546</v>
      </c>
      <c r="AL41" s="9">
        <f t="shared" si="46"/>
        <v>261.9067711716034</v>
      </c>
      <c r="AM41" t="e">
        <f t="shared" si="27"/>
        <v>#N/A</v>
      </c>
      <c r="AN41" t="e">
        <f t="shared" si="47"/>
        <v>#N/A</v>
      </c>
      <c r="AO41">
        <f t="shared" si="28"/>
        <v>0</v>
      </c>
      <c r="AP41">
        <f t="shared" si="29"/>
        <v>3.2969182939268649E-12</v>
      </c>
      <c r="AQ41">
        <f t="shared" si="30"/>
        <v>1.9984014443252818E-15</v>
      </c>
      <c r="AR41">
        <f t="shared" si="48"/>
        <v>1.3241332721736679E-14</v>
      </c>
      <c r="AS41">
        <f t="shared" si="31"/>
        <v>3.3537617127876729E-12</v>
      </c>
      <c r="AT41">
        <f t="shared" si="49"/>
        <v>1.2805173756238098E-14</v>
      </c>
      <c r="AU41">
        <f t="shared" si="50"/>
        <v>0</v>
      </c>
      <c r="AV41">
        <f t="shared" si="32"/>
        <v>3.1290262829754337E-20</v>
      </c>
      <c r="AW41" t="b">
        <f t="shared" si="51"/>
        <v>1</v>
      </c>
      <c r="AX41">
        <f t="shared" si="33"/>
        <v>7.8539816339744828</v>
      </c>
      <c r="AY41">
        <f t="shared" si="34"/>
        <v>248.98689302736548</v>
      </c>
      <c r="AZ41">
        <f t="shared" si="35"/>
        <v>0.68913915916240653</v>
      </c>
      <c r="BA41">
        <f t="shared" si="36"/>
        <v>4.3767573510964368</v>
      </c>
      <c r="BB41">
        <f t="shared" si="37"/>
        <v>-1.2337005501361696E-20</v>
      </c>
      <c r="BD41" s="15">
        <f t="shared" si="52"/>
        <v>261.90677117159879</v>
      </c>
      <c r="BE41" s="10">
        <f t="shared" si="53"/>
        <v>-4.6043169277254492E-12</v>
      </c>
      <c r="BF41">
        <f t="shared" si="54"/>
        <v>-1.2505552149377763E-12</v>
      </c>
      <c r="BG41">
        <f t="shared" si="55"/>
        <v>0</v>
      </c>
      <c r="BH41">
        <f t="shared" si="56"/>
        <v>-1.2505552149377763E-12</v>
      </c>
      <c r="BI41">
        <f t="shared" si="57"/>
        <v>0</v>
      </c>
    </row>
    <row r="42" spans="1:61" x14ac:dyDescent="0.3">
      <c r="A42">
        <f t="shared" si="65"/>
        <v>5.0000000000000001E-3</v>
      </c>
      <c r="B42">
        <f t="shared" si="0"/>
        <v>1.5707963267948967E-2</v>
      </c>
      <c r="C42">
        <f t="shared" si="1"/>
        <v>3.1258846903218442</v>
      </c>
      <c r="D42">
        <f t="shared" si="2"/>
        <v>3.1258846903218442</v>
      </c>
      <c r="E42">
        <f t="shared" si="3"/>
        <v>1.5707317311820675E-2</v>
      </c>
      <c r="F42">
        <f t="shared" si="11"/>
        <v>1.570731731182071E-2</v>
      </c>
      <c r="G42">
        <f t="shared" si="4"/>
        <v>1.5707963267948967E-2</v>
      </c>
      <c r="H42">
        <f t="shared" si="5"/>
        <v>1.5707317311820675E-2</v>
      </c>
      <c r="I42">
        <f t="shared" si="6"/>
        <v>1.570731731182071E-2</v>
      </c>
      <c r="J42">
        <f t="shared" si="7"/>
        <v>4.0530140171580274E+21</v>
      </c>
      <c r="K42">
        <f t="shared" si="8"/>
        <v>4.0530140171580274E+21</v>
      </c>
      <c r="L42">
        <f t="shared" si="12"/>
        <v>1</v>
      </c>
      <c r="M42">
        <f t="shared" si="9"/>
        <v>3.1258846903218438E-20</v>
      </c>
      <c r="N42" s="9">
        <f t="shared" si="63"/>
        <v>3.1258846903218438E-20</v>
      </c>
      <c r="O42">
        <f t="shared" si="64"/>
        <v>3.1258846903218438E-20</v>
      </c>
      <c r="Q42">
        <f t="shared" si="15"/>
        <v>49.753747758979998</v>
      </c>
      <c r="R42">
        <f t="shared" si="16"/>
        <v>0</v>
      </c>
      <c r="S42">
        <f t="shared" si="38"/>
        <v>-44.91198451585506</v>
      </c>
      <c r="T42" s="9" t="e">
        <f t="shared" si="17"/>
        <v>#N/A</v>
      </c>
      <c r="U42">
        <f t="shared" si="39"/>
        <v>-1.0000000000000001E+300</v>
      </c>
      <c r="V42">
        <f t="shared" si="40"/>
        <v>0</v>
      </c>
      <c r="W42">
        <f t="shared" si="41"/>
        <v>0</v>
      </c>
      <c r="X42">
        <f t="shared" si="18"/>
        <v>3.1258846903218442</v>
      </c>
      <c r="Y42">
        <f t="shared" si="19"/>
        <v>7.8539816339744828</v>
      </c>
      <c r="Z42">
        <f t="shared" si="20"/>
        <v>-3.1258846903218442</v>
      </c>
      <c r="AA42">
        <f t="shared" si="42"/>
        <v>198.98363263680099</v>
      </c>
      <c r="AB42">
        <f t="shared" si="21"/>
        <v>206.83761427077548</v>
      </c>
      <c r="AC42">
        <f t="shared" si="43"/>
        <v>0.68813463873640102</v>
      </c>
      <c r="AD42">
        <f t="shared" si="22"/>
        <v>4.1536286043885386</v>
      </c>
      <c r="AE42" s="9">
        <f t="shared" si="44"/>
        <v>211.67937751390042</v>
      </c>
      <c r="AF42">
        <f t="shared" si="45"/>
        <v>0</v>
      </c>
      <c r="AH42">
        <f t="shared" si="23"/>
        <v>7.8539816339744828</v>
      </c>
      <c r="AI42">
        <f t="shared" si="24"/>
        <v>198.98363263680062</v>
      </c>
      <c r="AJ42">
        <f t="shared" si="25"/>
        <v>0.68813463873640046</v>
      </c>
      <c r="AK42">
        <f t="shared" si="26"/>
        <v>4.1536286043885386</v>
      </c>
      <c r="AL42" s="9">
        <f t="shared" si="46"/>
        <v>211.67937751390002</v>
      </c>
      <c r="AM42" t="e">
        <f t="shared" si="27"/>
        <v>#N/A</v>
      </c>
      <c r="AN42" t="e">
        <f t="shared" si="47"/>
        <v>#N/A</v>
      </c>
      <c r="AO42">
        <f t="shared" si="28"/>
        <v>0</v>
      </c>
      <c r="AP42">
        <f t="shared" si="29"/>
        <v>-3.694822225952521E-13</v>
      </c>
      <c r="AQ42">
        <f t="shared" si="30"/>
        <v>0</v>
      </c>
      <c r="AR42">
        <f t="shared" si="48"/>
        <v>-1.8568473079876768E-15</v>
      </c>
      <c r="AS42">
        <f t="shared" si="31"/>
        <v>-3.979039320256561E-13</v>
      </c>
      <c r="AT42">
        <f t="shared" si="49"/>
        <v>-1.8797482149602767E-15</v>
      </c>
      <c r="AU42">
        <f t="shared" si="50"/>
        <v>0</v>
      </c>
      <c r="AV42">
        <f t="shared" si="32"/>
        <v>3.1258846903218444E-20</v>
      </c>
      <c r="AW42" t="b">
        <f t="shared" si="51"/>
        <v>1</v>
      </c>
      <c r="AX42">
        <f t="shared" si="33"/>
        <v>7.8539816339744828</v>
      </c>
      <c r="AY42">
        <f t="shared" si="34"/>
        <v>198.98363263680019</v>
      </c>
      <c r="AZ42">
        <f t="shared" si="35"/>
        <v>0.68813463873640124</v>
      </c>
      <c r="BA42">
        <f t="shared" si="36"/>
        <v>4.1536286043885369</v>
      </c>
      <c r="BB42">
        <f t="shared" si="37"/>
        <v>-1.2337005501361696E-20</v>
      </c>
      <c r="BD42" s="15">
        <f t="shared" si="52"/>
        <v>211.67937751389962</v>
      </c>
      <c r="BE42" s="10">
        <f t="shared" si="53"/>
        <v>-3.979039320256561E-13</v>
      </c>
      <c r="BF42">
        <f t="shared" si="54"/>
        <v>-7.9580786405131221E-13</v>
      </c>
      <c r="BG42">
        <f t="shared" si="55"/>
        <v>0</v>
      </c>
      <c r="BH42">
        <f t="shared" si="56"/>
        <v>-7.9580786405131221E-13</v>
      </c>
      <c r="BI42">
        <f t="shared" si="57"/>
        <v>0</v>
      </c>
    </row>
    <row r="43" spans="1:61" x14ac:dyDescent="0.3">
      <c r="A43">
        <f t="shared" si="65"/>
        <v>6.0000000000000001E-3</v>
      </c>
      <c r="B43">
        <f t="shared" si="0"/>
        <v>1.8849555921538759E-2</v>
      </c>
      <c r="C43">
        <f t="shared" si="1"/>
        <v>3.1227430976682542</v>
      </c>
      <c r="D43">
        <f t="shared" si="2"/>
        <v>3.1227430976682542</v>
      </c>
      <c r="E43">
        <f t="shared" si="3"/>
        <v>1.8848439715408175E-2</v>
      </c>
      <c r="F43">
        <f t="shared" si="11"/>
        <v>1.884843971540846E-2</v>
      </c>
      <c r="G43">
        <f t="shared" si="4"/>
        <v>1.8849555921538759E-2</v>
      </c>
      <c r="H43">
        <f t="shared" si="5"/>
        <v>1.8848439715408175E-2</v>
      </c>
      <c r="I43">
        <f t="shared" si="6"/>
        <v>1.884843971540846E-2</v>
      </c>
      <c r="J43">
        <f t="shared" si="7"/>
        <v>3.3775727963687045E+21</v>
      </c>
      <c r="K43">
        <f t="shared" si="8"/>
        <v>3.3775727963687045E+21</v>
      </c>
      <c r="L43">
        <f t="shared" si="12"/>
        <v>1</v>
      </c>
      <c r="M43">
        <f t="shared" si="9"/>
        <v>3.1227430976682544E-20</v>
      </c>
      <c r="N43" s="9">
        <f t="shared" si="63"/>
        <v>3.1227430976682544E-20</v>
      </c>
      <c r="O43">
        <f t="shared" si="64"/>
        <v>3.1227430976682544E-20</v>
      </c>
      <c r="Q43">
        <f t="shared" si="15"/>
        <v>49.571444296823906</v>
      </c>
      <c r="R43">
        <f t="shared" si="16"/>
        <v>-710542.73576010019</v>
      </c>
      <c r="S43">
        <f t="shared" si="38"/>
        <v>-44.912990046357073</v>
      </c>
      <c r="T43" s="9" t="e">
        <f t="shared" si="17"/>
        <v>#N/A</v>
      </c>
      <c r="U43">
        <f t="shared" si="39"/>
        <v>-1.0000000000000001E+300</v>
      </c>
      <c r="V43">
        <f t="shared" si="40"/>
        <v>0</v>
      </c>
      <c r="W43">
        <f t="shared" si="41"/>
        <v>0</v>
      </c>
      <c r="X43">
        <f t="shared" si="18"/>
        <v>3.1227430976682542</v>
      </c>
      <c r="Y43">
        <f t="shared" si="19"/>
        <v>7.8539816339744828</v>
      </c>
      <c r="Z43">
        <f t="shared" si="20"/>
        <v>-3.1227430976682542</v>
      </c>
      <c r="AA43">
        <f t="shared" si="42"/>
        <v>165.64704542834136</v>
      </c>
      <c r="AB43">
        <f t="shared" si="21"/>
        <v>173.50102706231584</v>
      </c>
      <c r="AC43">
        <f t="shared" si="43"/>
        <v>0.68712910823438234</v>
      </c>
      <c r="AD43">
        <f t="shared" si="22"/>
        <v>3.9713251422324496</v>
      </c>
      <c r="AE43" s="9">
        <f t="shared" si="44"/>
        <v>178.15948131278267</v>
      </c>
      <c r="AF43">
        <f t="shared" si="45"/>
        <v>0</v>
      </c>
      <c r="AH43">
        <f t="shared" si="23"/>
        <v>7.8539816339744828</v>
      </c>
      <c r="AI43">
        <f t="shared" si="24"/>
        <v>165.64704542834332</v>
      </c>
      <c r="AJ43">
        <f t="shared" si="25"/>
        <v>0.68712910823438733</v>
      </c>
      <c r="AK43">
        <f t="shared" si="26"/>
        <v>3.9713251422324496</v>
      </c>
      <c r="AL43" s="9">
        <f t="shared" si="46"/>
        <v>178.15948131278464</v>
      </c>
      <c r="AM43" t="e">
        <f t="shared" si="27"/>
        <v>#N/A</v>
      </c>
      <c r="AN43" t="e">
        <f t="shared" si="47"/>
        <v>#N/A</v>
      </c>
      <c r="AO43">
        <f t="shared" si="28"/>
        <v>0</v>
      </c>
      <c r="AP43">
        <f t="shared" si="29"/>
        <v>1.9610979506978765E-12</v>
      </c>
      <c r="AQ43">
        <f t="shared" si="30"/>
        <v>4.9960036108132044E-15</v>
      </c>
      <c r="AR43">
        <f t="shared" si="48"/>
        <v>1.1839015574510933E-14</v>
      </c>
      <c r="AS43">
        <f t="shared" si="31"/>
        <v>1.9610979506978765E-12</v>
      </c>
      <c r="AT43">
        <f t="shared" si="49"/>
        <v>1.1007541873423433E-14</v>
      </c>
      <c r="AU43">
        <f t="shared" si="50"/>
        <v>0</v>
      </c>
      <c r="AV43">
        <f t="shared" si="32"/>
        <v>3.1227430976682538E-20</v>
      </c>
      <c r="AW43" t="b">
        <f t="shared" si="51"/>
        <v>1</v>
      </c>
      <c r="AX43">
        <f t="shared" si="33"/>
        <v>7.8539816339744828</v>
      </c>
      <c r="AY43">
        <f t="shared" si="34"/>
        <v>165.64704542834085</v>
      </c>
      <c r="AZ43">
        <f t="shared" si="35"/>
        <v>0.68712910823438222</v>
      </c>
      <c r="BA43">
        <f t="shared" si="36"/>
        <v>3.9713251422324345</v>
      </c>
      <c r="BB43">
        <f t="shared" si="37"/>
        <v>-1.2337005501361696E-20</v>
      </c>
      <c r="BD43" s="15">
        <f t="shared" si="52"/>
        <v>178.15948131278216</v>
      </c>
      <c r="BE43" s="10">
        <f t="shared" si="53"/>
        <v>-2.4726887204451486E-12</v>
      </c>
      <c r="BF43">
        <f t="shared" si="54"/>
        <v>-5.1159076974727213E-13</v>
      </c>
      <c r="BG43">
        <f t="shared" si="55"/>
        <v>0</v>
      </c>
      <c r="BH43">
        <f t="shared" si="56"/>
        <v>-5.1159076974727213E-13</v>
      </c>
      <c r="BI43">
        <f t="shared" si="57"/>
        <v>0</v>
      </c>
    </row>
    <row r="44" spans="1:61" x14ac:dyDescent="0.3">
      <c r="A44">
        <f t="shared" si="65"/>
        <v>7.0000000000000001E-3</v>
      </c>
      <c r="B44">
        <f t="shared" si="0"/>
        <v>2.1991148575128551E-2</v>
      </c>
      <c r="C44">
        <f t="shared" si="1"/>
        <v>3.1196015050146646</v>
      </c>
      <c r="D44">
        <f t="shared" si="2"/>
        <v>3.1196015050146646</v>
      </c>
      <c r="E44">
        <f t="shared" si="3"/>
        <v>2.1989376092505106E-2</v>
      </c>
      <c r="F44">
        <f t="shared" si="11"/>
        <v>2.1989376092505196E-2</v>
      </c>
      <c r="G44">
        <f t="shared" si="4"/>
        <v>2.1991148575128551E-2</v>
      </c>
      <c r="H44">
        <f t="shared" si="5"/>
        <v>2.1989376092505106E-2</v>
      </c>
      <c r="I44">
        <f t="shared" si="6"/>
        <v>2.1989376092505196E-2</v>
      </c>
      <c r="J44">
        <f t="shared" si="7"/>
        <v>2.8951243077086117E+21</v>
      </c>
      <c r="K44">
        <f t="shared" si="8"/>
        <v>2.8951243077086117E+21</v>
      </c>
      <c r="L44">
        <f t="shared" si="12"/>
        <v>1</v>
      </c>
      <c r="M44">
        <f t="shared" si="9"/>
        <v>3.1196015050146644E-20</v>
      </c>
      <c r="N44" s="9">
        <f t="shared" si="63"/>
        <v>3.1196015050146644E-20</v>
      </c>
      <c r="O44">
        <f t="shared" si="64"/>
        <v>3.1196015050146644E-20</v>
      </c>
      <c r="Q44">
        <f t="shared" si="15"/>
        <v>49.417315001737528</v>
      </c>
      <c r="R44">
        <f t="shared" si="16"/>
        <v>0</v>
      </c>
      <c r="S44">
        <f t="shared" si="38"/>
        <v>-44.91399658896848</v>
      </c>
      <c r="T44" s="9" t="e">
        <f t="shared" si="17"/>
        <v>#N/A</v>
      </c>
      <c r="U44">
        <f t="shared" si="39"/>
        <v>-1.0000000000000001E+300</v>
      </c>
      <c r="V44">
        <f t="shared" si="40"/>
        <v>0</v>
      </c>
      <c r="W44">
        <f t="shared" si="41"/>
        <v>0</v>
      </c>
      <c r="X44">
        <f t="shared" si="18"/>
        <v>3.1196015050146646</v>
      </c>
      <c r="Y44">
        <f t="shared" si="19"/>
        <v>7.8539816339744828</v>
      </c>
      <c r="Z44">
        <f t="shared" si="20"/>
        <v>-3.1196015050146646</v>
      </c>
      <c r="AA44">
        <f t="shared" si="42"/>
        <v>141.834274246435</v>
      </c>
      <c r="AB44">
        <f t="shared" si="21"/>
        <v>149.68825588040949</v>
      </c>
      <c r="AC44">
        <f t="shared" si="43"/>
        <v>0.6861225656229808</v>
      </c>
      <c r="AD44">
        <f t="shared" si="22"/>
        <v>3.8171958471460683</v>
      </c>
      <c r="AE44" s="9">
        <f t="shared" si="44"/>
        <v>154.19157429317855</v>
      </c>
      <c r="AF44">
        <f t="shared" si="45"/>
        <v>0</v>
      </c>
      <c r="AH44">
        <f t="shared" si="23"/>
        <v>7.8539816339744828</v>
      </c>
      <c r="AI44">
        <f t="shared" si="24"/>
        <v>141.83427424643517</v>
      </c>
      <c r="AJ44">
        <f t="shared" si="25"/>
        <v>0.68612256562298057</v>
      </c>
      <c r="AK44">
        <f t="shared" si="26"/>
        <v>3.8171958471460683</v>
      </c>
      <c r="AL44" s="9">
        <f t="shared" si="46"/>
        <v>154.19157429317872</v>
      </c>
      <c r="AM44" t="e">
        <f t="shared" si="27"/>
        <v>#N/A</v>
      </c>
      <c r="AN44" t="e">
        <f t="shared" si="47"/>
        <v>#N/A</v>
      </c>
      <c r="AO44">
        <f t="shared" si="28"/>
        <v>0</v>
      </c>
      <c r="AP44">
        <f t="shared" si="29"/>
        <v>0</v>
      </c>
      <c r="AQ44">
        <f t="shared" si="30"/>
        <v>0</v>
      </c>
      <c r="AR44">
        <f t="shared" si="48"/>
        <v>0</v>
      </c>
      <c r="AS44">
        <f t="shared" si="31"/>
        <v>0</v>
      </c>
      <c r="AT44">
        <f t="shared" si="49"/>
        <v>0</v>
      </c>
      <c r="AU44">
        <f t="shared" si="50"/>
        <v>0</v>
      </c>
      <c r="AV44">
        <f t="shared" si="32"/>
        <v>3.1196015050146644E-20</v>
      </c>
      <c r="AW44" t="b">
        <f t="shared" si="51"/>
        <v>1</v>
      </c>
      <c r="AX44">
        <f t="shared" si="33"/>
        <v>7.8539816339744828</v>
      </c>
      <c r="AY44">
        <f t="shared" si="34"/>
        <v>141.83427424643457</v>
      </c>
      <c r="AZ44">
        <f t="shared" si="35"/>
        <v>0.68612256562298091</v>
      </c>
      <c r="BA44">
        <f t="shared" si="36"/>
        <v>3.8171958471460643</v>
      </c>
      <c r="BB44">
        <f t="shared" si="37"/>
        <v>-1.2337005501361696E-20</v>
      </c>
      <c r="BD44" s="15">
        <f t="shared" si="52"/>
        <v>154.19157429317809</v>
      </c>
      <c r="BE44" s="10">
        <f t="shared" si="53"/>
        <v>-6.2527760746888816E-13</v>
      </c>
      <c r="BF44">
        <f t="shared" si="54"/>
        <v>-4.5474735088646412E-13</v>
      </c>
      <c r="BG44">
        <f t="shared" si="55"/>
        <v>0</v>
      </c>
      <c r="BH44">
        <f t="shared" si="56"/>
        <v>-4.2632564145606011E-13</v>
      </c>
      <c r="BI44">
        <f t="shared" si="57"/>
        <v>0</v>
      </c>
    </row>
    <row r="45" spans="1:61" x14ac:dyDescent="0.3">
      <c r="A45">
        <f t="shared" si="65"/>
        <v>8.0000000000000002E-3</v>
      </c>
      <c r="B45">
        <f t="shared" si="0"/>
        <v>2.5132741228718346E-2</v>
      </c>
      <c r="C45">
        <f t="shared" si="1"/>
        <v>3.1164599123610746</v>
      </c>
      <c r="D45">
        <f t="shared" si="2"/>
        <v>3.1164599123610746</v>
      </c>
      <c r="E45">
        <f t="shared" si="3"/>
        <v>2.5130095443337479E-2</v>
      </c>
      <c r="F45">
        <f t="shared" si="11"/>
        <v>2.5130095443337813E-2</v>
      </c>
      <c r="G45">
        <f t="shared" si="4"/>
        <v>2.5132741228718346E-2</v>
      </c>
      <c r="H45">
        <f t="shared" si="5"/>
        <v>2.5130095443337479E-2</v>
      </c>
      <c r="I45">
        <f t="shared" si="6"/>
        <v>2.5130095443337813E-2</v>
      </c>
      <c r="J45">
        <f t="shared" si="7"/>
        <v>2.5332962773778993E+21</v>
      </c>
      <c r="K45">
        <f t="shared" si="8"/>
        <v>2.5332962773778993E+21</v>
      </c>
      <c r="L45" t="e">
        <f t="shared" si="12"/>
        <v>#NUM!</v>
      </c>
      <c r="M45">
        <f t="shared" si="9"/>
        <v>3.1164599123610745E-20</v>
      </c>
      <c r="N45" s="9" t="e">
        <f t="shared" si="63"/>
        <v>#NUM!</v>
      </c>
      <c r="O45" t="e">
        <f t="shared" si="64"/>
        <v>#NUM!</v>
      </c>
      <c r="Q45">
        <f t="shared" si="15"/>
        <v>49.283808284041328</v>
      </c>
      <c r="R45">
        <f t="shared" si="16"/>
        <v>0</v>
      </c>
      <c r="S45">
        <f t="shared" si="38"/>
        <v>-44.91500414572878</v>
      </c>
      <c r="T45" s="9" t="e">
        <f t="shared" si="17"/>
        <v>#N/A</v>
      </c>
      <c r="U45">
        <f t="shared" si="39"/>
        <v>-1.0000000000000001E+300</v>
      </c>
      <c r="V45">
        <f t="shared" si="40"/>
        <v>0</v>
      </c>
      <c r="W45">
        <f t="shared" si="41"/>
        <v>0</v>
      </c>
      <c r="X45">
        <f t="shared" si="18"/>
        <v>3.1164599123610746</v>
      </c>
      <c r="Y45">
        <f t="shared" si="19"/>
        <v>7.8539816339744828</v>
      </c>
      <c r="Z45">
        <f t="shared" si="20"/>
        <v>-3.1164599123610746</v>
      </c>
      <c r="AA45">
        <f t="shared" si="42"/>
        <v>123.97389050699088</v>
      </c>
      <c r="AB45">
        <f t="shared" si="21"/>
        <v>131.82787214096535</v>
      </c>
      <c r="AC45">
        <f t="shared" si="43"/>
        <v>0.68511500886268095</v>
      </c>
      <c r="AD45">
        <f t="shared" si="22"/>
        <v>3.6836891294498662</v>
      </c>
      <c r="AE45" s="9">
        <f t="shared" si="44"/>
        <v>136.19667627927791</v>
      </c>
      <c r="AF45">
        <f t="shared" si="45"/>
        <v>0</v>
      </c>
      <c r="AH45">
        <f t="shared" si="23"/>
        <v>7.8539816339744828</v>
      </c>
      <c r="AI45">
        <f t="shared" si="24"/>
        <v>123.97389050699222</v>
      </c>
      <c r="AJ45">
        <f t="shared" si="25"/>
        <v>0.68511500886268095</v>
      </c>
      <c r="AK45">
        <f t="shared" si="26"/>
        <v>3.6836891294498662</v>
      </c>
      <c r="AL45" s="9">
        <f t="shared" si="46"/>
        <v>136.19667627927925</v>
      </c>
      <c r="AM45" t="e">
        <f t="shared" si="27"/>
        <v>#N/A</v>
      </c>
      <c r="AN45" t="e">
        <f t="shared" si="47"/>
        <v>#N/A</v>
      </c>
      <c r="AO45">
        <f t="shared" si="28"/>
        <v>0</v>
      </c>
      <c r="AP45">
        <f t="shared" si="29"/>
        <v>1.3358203432289883E-12</v>
      </c>
      <c r="AQ45">
        <f t="shared" si="30"/>
        <v>0</v>
      </c>
      <c r="AR45">
        <f t="shared" si="48"/>
        <v>1.0775013494907197E-14</v>
      </c>
      <c r="AS45">
        <f t="shared" si="31"/>
        <v>1.3358203432289883E-12</v>
      </c>
      <c r="AT45">
        <f t="shared" si="49"/>
        <v>9.8080245401129368E-15</v>
      </c>
      <c r="AU45">
        <f t="shared" si="50"/>
        <v>0</v>
      </c>
      <c r="AV45">
        <f t="shared" si="32"/>
        <v>3.1164599123610745E-20</v>
      </c>
      <c r="AW45" t="b">
        <f t="shared" si="51"/>
        <v>1</v>
      </c>
      <c r="AX45">
        <f t="shared" si="33"/>
        <v>7.8539816339744828</v>
      </c>
      <c r="AY45">
        <f t="shared" si="34"/>
        <v>123.97389050699059</v>
      </c>
      <c r="AZ45">
        <f t="shared" si="35"/>
        <v>0.68511500886268106</v>
      </c>
      <c r="BA45">
        <f t="shared" si="36"/>
        <v>3.6836891294498528</v>
      </c>
      <c r="BB45">
        <f t="shared" si="37"/>
        <v>-1.2337005501361696E-20</v>
      </c>
      <c r="BD45" s="15">
        <f t="shared" si="52"/>
        <v>136.1966762792776</v>
      </c>
      <c r="BE45" s="10">
        <f t="shared" si="53"/>
        <v>-1.6484591469634324E-12</v>
      </c>
      <c r="BF45">
        <f t="shared" si="54"/>
        <v>-3.1263880373444408E-13</v>
      </c>
      <c r="BG45">
        <f t="shared" si="55"/>
        <v>0</v>
      </c>
      <c r="BH45">
        <f t="shared" si="56"/>
        <v>-2.9842794901924208E-13</v>
      </c>
      <c r="BI45">
        <f t="shared" si="57"/>
        <v>0</v>
      </c>
    </row>
    <row r="46" spans="1:61" x14ac:dyDescent="0.3">
      <c r="A46">
        <f t="shared" si="65"/>
        <v>8.9999999999999993E-3</v>
      </c>
      <c r="B46">
        <f t="shared" si="0"/>
        <v>2.8274333882308135E-2</v>
      </c>
      <c r="C46">
        <f t="shared" si="1"/>
        <v>3.113318319707485</v>
      </c>
      <c r="D46">
        <f t="shared" si="2"/>
        <v>3.113318319707485</v>
      </c>
      <c r="E46">
        <f t="shared" si="3"/>
        <v>2.8270566770273248E-2</v>
      </c>
      <c r="F46">
        <f t="shared" si="11"/>
        <v>2.8270566770273391E-2</v>
      </c>
      <c r="G46">
        <f t="shared" si="4"/>
        <v>2.8274333882308135E-2</v>
      </c>
      <c r="H46">
        <f t="shared" si="5"/>
        <v>2.8270566770273248E-2</v>
      </c>
      <c r="I46">
        <f t="shared" si="6"/>
        <v>2.8270566770273391E-2</v>
      </c>
      <c r="J46">
        <f t="shared" si="7"/>
        <v>2.2518818867013049E+21</v>
      </c>
      <c r="K46">
        <f t="shared" si="8"/>
        <v>2.2518818867013049E+21</v>
      </c>
      <c r="L46">
        <f t="shared" si="12"/>
        <v>1</v>
      </c>
      <c r="M46">
        <f t="shared" si="9"/>
        <v>3.1133183197074851E-20</v>
      </c>
      <c r="N46" s="9">
        <f t="shared" si="63"/>
        <v>3.1133183197074851E-20</v>
      </c>
      <c r="O46">
        <f t="shared" si="64"/>
        <v>3.1133183197074851E-20</v>
      </c>
      <c r="Q46">
        <f t="shared" si="15"/>
        <v>49.166053213598133</v>
      </c>
      <c r="R46">
        <f t="shared" si="16"/>
        <v>0</v>
      </c>
      <c r="S46">
        <f t="shared" si="38"/>
        <v>-44.91601271868366</v>
      </c>
      <c r="T46" s="9" t="e">
        <f t="shared" si="17"/>
        <v>#N/A</v>
      </c>
      <c r="U46">
        <f t="shared" si="39"/>
        <v>-1.0000000000000001E+300</v>
      </c>
      <c r="V46">
        <f t="shared" si="40"/>
        <v>0</v>
      </c>
      <c r="W46">
        <f t="shared" si="41"/>
        <v>0</v>
      </c>
      <c r="X46">
        <f t="shared" si="18"/>
        <v>3.113318319707485</v>
      </c>
      <c r="Y46">
        <f t="shared" si="19"/>
        <v>7.8539816339744828</v>
      </c>
      <c r="Z46">
        <f t="shared" si="20"/>
        <v>-3.113318319707485</v>
      </c>
      <c r="AA46">
        <f t="shared" si="42"/>
        <v>110.08176721328225</v>
      </c>
      <c r="AB46">
        <f t="shared" si="21"/>
        <v>117.93574884725673</v>
      </c>
      <c r="AC46">
        <f t="shared" si="43"/>
        <v>0.68410643590779618</v>
      </c>
      <c r="AD46">
        <f t="shared" si="22"/>
        <v>3.5659340590066742</v>
      </c>
      <c r="AE46" s="9">
        <f t="shared" si="44"/>
        <v>122.1857893421712</v>
      </c>
      <c r="AF46">
        <f t="shared" si="45"/>
        <v>0</v>
      </c>
      <c r="AH46">
        <f t="shared" si="23"/>
        <v>7.8539816339744828</v>
      </c>
      <c r="AI46">
        <f t="shared" si="24"/>
        <v>110.08176721328257</v>
      </c>
      <c r="AJ46">
        <f t="shared" si="25"/>
        <v>0.6841064359078004</v>
      </c>
      <c r="AK46">
        <f t="shared" si="26"/>
        <v>3.5659340590066742</v>
      </c>
      <c r="AL46" s="9">
        <f t="shared" si="46"/>
        <v>122.18578934217155</v>
      </c>
      <c r="AM46" t="e">
        <f t="shared" si="27"/>
        <v>#N/A</v>
      </c>
      <c r="AN46" t="e">
        <f t="shared" si="47"/>
        <v>#N/A</v>
      </c>
      <c r="AO46">
        <f t="shared" si="28"/>
        <v>0</v>
      </c>
      <c r="AP46">
        <f t="shared" si="29"/>
        <v>3.2684965844964609E-13</v>
      </c>
      <c r="AQ46">
        <f t="shared" si="30"/>
        <v>4.2188474935755949E-15</v>
      </c>
      <c r="AR46">
        <f t="shared" si="48"/>
        <v>2.9691534458778936E-15</v>
      </c>
      <c r="AS46">
        <f t="shared" si="31"/>
        <v>3.4106051316484809E-13</v>
      </c>
      <c r="AT46">
        <f t="shared" si="49"/>
        <v>2.7913271666129303E-15</v>
      </c>
      <c r="AU46">
        <f t="shared" si="50"/>
        <v>0</v>
      </c>
      <c r="AV46">
        <f t="shared" si="32"/>
        <v>3.1133183197074845E-20</v>
      </c>
      <c r="AW46" t="b">
        <f t="shared" si="51"/>
        <v>1</v>
      </c>
      <c r="AX46">
        <f t="shared" si="33"/>
        <v>7.8539816339744828</v>
      </c>
      <c r="AY46">
        <f t="shared" si="34"/>
        <v>110.08176721328202</v>
      </c>
      <c r="AZ46">
        <f t="shared" si="35"/>
        <v>0.68410643590779618</v>
      </c>
      <c r="BA46">
        <f t="shared" si="36"/>
        <v>3.5659340590066688</v>
      </c>
      <c r="BB46">
        <f t="shared" si="37"/>
        <v>-1.2337005501361696E-20</v>
      </c>
      <c r="BD46" s="15">
        <f t="shared" si="52"/>
        <v>122.18578934217096</v>
      </c>
      <c r="BE46" s="10">
        <f t="shared" si="53"/>
        <v>-5.8264504332328215E-13</v>
      </c>
      <c r="BF46">
        <f t="shared" si="54"/>
        <v>-2.4158453015843406E-13</v>
      </c>
      <c r="BG46">
        <f t="shared" si="55"/>
        <v>0</v>
      </c>
      <c r="BH46">
        <f t="shared" si="56"/>
        <v>-2.2737367544323206E-13</v>
      </c>
      <c r="BI46">
        <f t="shared" si="57"/>
        <v>0</v>
      </c>
    </row>
    <row r="47" spans="1:61" x14ac:dyDescent="0.3">
      <c r="A47">
        <f t="shared" si="65"/>
        <v>0.01</v>
      </c>
      <c r="B47">
        <f t="shared" si="0"/>
        <v>3.1415926535897934E-2</v>
      </c>
      <c r="C47">
        <f t="shared" si="1"/>
        <v>3.1101767270538954</v>
      </c>
      <c r="D47">
        <f t="shared" si="2"/>
        <v>3.1101767270538954</v>
      </c>
      <c r="E47">
        <f t="shared" si="3"/>
        <v>3.1410759078128292E-2</v>
      </c>
      <c r="F47">
        <f t="shared" si="11"/>
        <v>3.1410759078128236E-2</v>
      </c>
      <c r="G47">
        <f t="shared" si="4"/>
        <v>3.1415926535897934E-2</v>
      </c>
      <c r="H47">
        <f t="shared" si="5"/>
        <v>3.1410759078128292E-2</v>
      </c>
      <c r="I47">
        <f t="shared" si="6"/>
        <v>3.1410759078128236E-2</v>
      </c>
      <c r="J47">
        <f t="shared" si="7"/>
        <v>2.0267570445658788E+21</v>
      </c>
      <c r="K47">
        <f t="shared" si="8"/>
        <v>2.0267570445658788E+21</v>
      </c>
      <c r="L47">
        <f t="shared" si="12"/>
        <v>1</v>
      </c>
      <c r="M47">
        <f t="shared" si="9"/>
        <v>3.1101767270538952E-20</v>
      </c>
      <c r="N47" s="9">
        <f t="shared" si="63"/>
        <v>3.1101767270538952E-20</v>
      </c>
      <c r="O47">
        <f t="shared" si="64"/>
        <v>3.1101767270538952E-20</v>
      </c>
      <c r="Q47">
        <f t="shared" si="15"/>
        <v>49.060723953548788</v>
      </c>
      <c r="R47">
        <f t="shared" si="16"/>
        <v>-710542.73576010019</v>
      </c>
      <c r="S47">
        <f t="shared" si="38"/>
        <v>-44.917022309885013</v>
      </c>
      <c r="T47" s="9" t="e">
        <f t="shared" si="17"/>
        <v>#N/A</v>
      </c>
      <c r="U47">
        <f t="shared" si="39"/>
        <v>-1.0000000000000001E+300</v>
      </c>
      <c r="V47">
        <f t="shared" si="40"/>
        <v>0</v>
      </c>
      <c r="W47">
        <f t="shared" si="41"/>
        <v>0</v>
      </c>
      <c r="X47">
        <f t="shared" si="18"/>
        <v>3.1101767270538954</v>
      </c>
      <c r="Y47">
        <f t="shared" si="19"/>
        <v>7.8539816339744828</v>
      </c>
      <c r="Z47">
        <f t="shared" si="20"/>
        <v>-3.1101767270538954</v>
      </c>
      <c r="AA47">
        <f t="shared" si="42"/>
        <v>98.967428162275326</v>
      </c>
      <c r="AB47">
        <f t="shared" si="21"/>
        <v>106.82140979624981</v>
      </c>
      <c r="AC47">
        <f t="shared" si="43"/>
        <v>0.68309684470644394</v>
      </c>
      <c r="AD47">
        <f t="shared" si="22"/>
        <v>3.4606047989573314</v>
      </c>
      <c r="AE47" s="9">
        <f t="shared" si="44"/>
        <v>110.96511143991358</v>
      </c>
      <c r="AF47">
        <f t="shared" si="45"/>
        <v>0</v>
      </c>
      <c r="AH47">
        <f t="shared" si="23"/>
        <v>7.8539816339744828</v>
      </c>
      <c r="AI47">
        <f t="shared" si="24"/>
        <v>98.967428162274942</v>
      </c>
      <c r="AJ47">
        <f t="shared" si="25"/>
        <v>0.68309684470644783</v>
      </c>
      <c r="AK47">
        <f t="shared" si="26"/>
        <v>3.4606047989573314</v>
      </c>
      <c r="AL47" s="9">
        <f t="shared" si="46"/>
        <v>110.9651114399132</v>
      </c>
      <c r="AM47" t="e">
        <f t="shared" si="27"/>
        <v>#N/A</v>
      </c>
      <c r="AN47" t="e">
        <f t="shared" si="47"/>
        <v>#N/A</v>
      </c>
      <c r="AO47">
        <f t="shared" si="28"/>
        <v>0</v>
      </c>
      <c r="AP47">
        <f t="shared" si="29"/>
        <v>-3.836930773104541E-13</v>
      </c>
      <c r="AQ47">
        <f t="shared" si="30"/>
        <v>3.8857805861880479E-15</v>
      </c>
      <c r="AR47">
        <f t="shared" si="48"/>
        <v>-3.8769632033007881E-15</v>
      </c>
      <c r="AS47">
        <f t="shared" si="31"/>
        <v>-3.836930773104541E-13</v>
      </c>
      <c r="AT47">
        <f t="shared" si="49"/>
        <v>-3.45778121007179E-15</v>
      </c>
      <c r="AU47">
        <f t="shared" si="50"/>
        <v>0</v>
      </c>
      <c r="AV47">
        <f t="shared" si="32"/>
        <v>3.1101767270538952E-20</v>
      </c>
      <c r="AW47" t="b">
        <f t="shared" si="51"/>
        <v>1</v>
      </c>
      <c r="AX47">
        <f t="shared" si="33"/>
        <v>7.8539816339744828</v>
      </c>
      <c r="AY47">
        <f t="shared" si="34"/>
        <v>98.967428162275112</v>
      </c>
      <c r="AZ47">
        <f t="shared" si="35"/>
        <v>0.68309684470644394</v>
      </c>
      <c r="BA47">
        <f t="shared" si="36"/>
        <v>3.4606047989573332</v>
      </c>
      <c r="BB47">
        <f t="shared" si="37"/>
        <v>-1.2337005501361696E-20</v>
      </c>
      <c r="BD47" s="15">
        <f t="shared" si="52"/>
        <v>110.96511143991337</v>
      </c>
      <c r="BE47" s="10">
        <f t="shared" si="53"/>
        <v>1.7053025658242404E-13</v>
      </c>
      <c r="BF47">
        <f t="shared" si="54"/>
        <v>-2.1316282072803006E-13</v>
      </c>
      <c r="BG47">
        <f t="shared" si="55"/>
        <v>0</v>
      </c>
      <c r="BH47">
        <f t="shared" si="56"/>
        <v>-2.1316282072803006E-13</v>
      </c>
      <c r="BI47">
        <f t="shared" si="57"/>
        <v>0</v>
      </c>
    </row>
    <row r="48" spans="1:61" x14ac:dyDescent="0.3">
      <c r="A48">
        <f t="shared" si="65"/>
        <v>1.0999999999999999E-2</v>
      </c>
      <c r="B48">
        <f t="shared" si="0"/>
        <v>3.4557519189487719E-2</v>
      </c>
      <c r="C48">
        <f t="shared" si="1"/>
        <v>3.1070351344003053</v>
      </c>
      <c r="D48">
        <f t="shared" si="2"/>
        <v>3.1070351344003053</v>
      </c>
      <c r="E48">
        <f t="shared" si="3"/>
        <v>3.4550641374472266E-2</v>
      </c>
      <c r="F48">
        <f t="shared" si="11"/>
        <v>3.455064137447246E-2</v>
      </c>
      <c r="G48">
        <f t="shared" si="4"/>
        <v>3.4557519189487719E-2</v>
      </c>
      <c r="H48">
        <f t="shared" si="5"/>
        <v>3.4550641374472266E-2</v>
      </c>
      <c r="I48">
        <f t="shared" si="6"/>
        <v>3.455064137447246E-2</v>
      </c>
      <c r="J48">
        <f t="shared" si="7"/>
        <v>1.8425700567108656E+21</v>
      </c>
      <c r="K48">
        <f t="shared" si="8"/>
        <v>1.8425700567108656E+21</v>
      </c>
      <c r="L48">
        <f t="shared" si="12"/>
        <v>1</v>
      </c>
      <c r="M48">
        <f t="shared" si="9"/>
        <v>3.1070351344003052E-20</v>
      </c>
      <c r="N48" s="9">
        <f t="shared" si="63"/>
        <v>3.1070351344003052E-20</v>
      </c>
      <c r="O48">
        <f t="shared" si="64"/>
        <v>3.1070351344003052E-20</v>
      </c>
      <c r="Q48">
        <f t="shared" si="15"/>
        <v>48.965448319871662</v>
      </c>
      <c r="R48">
        <f t="shared" si="16"/>
        <v>0</v>
      </c>
      <c r="S48">
        <f t="shared" si="38"/>
        <v>-44.918032921390939</v>
      </c>
      <c r="T48" s="9" t="e">
        <f t="shared" si="17"/>
        <v>#N/A</v>
      </c>
      <c r="U48">
        <f t="shared" si="39"/>
        <v>-1.0000000000000001E+300</v>
      </c>
      <c r="V48">
        <f t="shared" si="40"/>
        <v>0</v>
      </c>
      <c r="W48">
        <f t="shared" si="41"/>
        <v>0</v>
      </c>
      <c r="X48">
        <f t="shared" si="18"/>
        <v>3.1070351344003053</v>
      </c>
      <c r="Y48">
        <f t="shared" si="19"/>
        <v>7.8539816339744828</v>
      </c>
      <c r="Z48">
        <f t="shared" si="20"/>
        <v>-3.1070351344003053</v>
      </c>
      <c r="AA48">
        <f t="shared" si="42"/>
        <v>89.873297583888103</v>
      </c>
      <c r="AB48">
        <f t="shared" si="21"/>
        <v>97.727279217862588</v>
      </c>
      <c r="AC48">
        <f t="shared" si="43"/>
        <v>0.68208623320052031</v>
      </c>
      <c r="AD48">
        <f t="shared" si="22"/>
        <v>3.3653291652802033</v>
      </c>
      <c r="AE48" s="9">
        <f t="shared" si="44"/>
        <v>101.77469461634331</v>
      </c>
      <c r="AF48">
        <f t="shared" si="45"/>
        <v>0</v>
      </c>
      <c r="AH48">
        <f t="shared" si="23"/>
        <v>7.8539816339744828</v>
      </c>
      <c r="AI48">
        <f t="shared" si="24"/>
        <v>89.873297583888444</v>
      </c>
      <c r="AJ48">
        <f t="shared" si="25"/>
        <v>0.68208623320052197</v>
      </c>
      <c r="AK48">
        <f t="shared" si="26"/>
        <v>3.3653291652802033</v>
      </c>
      <c r="AL48" s="9">
        <f t="shared" si="46"/>
        <v>101.77469461634365</v>
      </c>
      <c r="AM48" t="e">
        <f t="shared" si="27"/>
        <v>#N/A</v>
      </c>
      <c r="AN48" t="e">
        <f t="shared" si="47"/>
        <v>#N/A</v>
      </c>
      <c r="AO48">
        <f t="shared" si="28"/>
        <v>0</v>
      </c>
      <c r="AP48">
        <f t="shared" si="29"/>
        <v>3.4106051316484809E-13</v>
      </c>
      <c r="AQ48">
        <f t="shared" si="30"/>
        <v>1.6653345369377348E-15</v>
      </c>
      <c r="AR48">
        <f t="shared" si="48"/>
        <v>3.7949037404185541E-15</v>
      </c>
      <c r="AS48">
        <f t="shared" si="31"/>
        <v>3.4106051316484809E-13</v>
      </c>
      <c r="AT48">
        <f t="shared" si="49"/>
        <v>3.3511327589881888E-15</v>
      </c>
      <c r="AU48">
        <f t="shared" si="50"/>
        <v>0</v>
      </c>
      <c r="AV48">
        <f t="shared" si="32"/>
        <v>3.1070351344003052E-20</v>
      </c>
      <c r="AW48" t="b">
        <f t="shared" si="51"/>
        <v>1</v>
      </c>
      <c r="AX48">
        <f t="shared" si="33"/>
        <v>7.8539816339744828</v>
      </c>
      <c r="AY48">
        <f t="shared" si="34"/>
        <v>89.873297583887933</v>
      </c>
      <c r="AZ48">
        <f t="shared" si="35"/>
        <v>0.68208623320052031</v>
      </c>
      <c r="BA48">
        <f t="shared" si="36"/>
        <v>3.3653291652801975</v>
      </c>
      <c r="BB48">
        <f t="shared" si="37"/>
        <v>-1.2337005501361696E-20</v>
      </c>
      <c r="BD48" s="15">
        <f t="shared" si="52"/>
        <v>101.77469461634314</v>
      </c>
      <c r="BE48" s="10">
        <f t="shared" si="53"/>
        <v>-5.1159076974727213E-13</v>
      </c>
      <c r="BF48">
        <f t="shared" si="54"/>
        <v>-1.7053025658242404E-13</v>
      </c>
      <c r="BG48">
        <f t="shared" si="55"/>
        <v>0</v>
      </c>
      <c r="BH48">
        <f t="shared" si="56"/>
        <v>-1.7053025658242404E-13</v>
      </c>
      <c r="BI48">
        <f t="shared" si="57"/>
        <v>0</v>
      </c>
    </row>
    <row r="49" spans="1:61" x14ac:dyDescent="0.3">
      <c r="A49">
        <f t="shared" si="65"/>
        <v>1.2E-2</v>
      </c>
      <c r="B49">
        <f t="shared" si="0"/>
        <v>3.7699111843077518E-2</v>
      </c>
      <c r="C49">
        <f t="shared" si="1"/>
        <v>3.1038935417467157</v>
      </c>
      <c r="D49">
        <f t="shared" si="2"/>
        <v>3.1038935417467157</v>
      </c>
      <c r="E49">
        <f t="shared" si="3"/>
        <v>3.7690182669934541E-2</v>
      </c>
      <c r="F49">
        <f t="shared" si="11"/>
        <v>3.7690182669934534E-2</v>
      </c>
      <c r="G49">
        <f t="shared" si="4"/>
        <v>3.7699111843077518E-2</v>
      </c>
      <c r="H49">
        <f t="shared" si="5"/>
        <v>3.7690182669934541E-2</v>
      </c>
      <c r="I49">
        <f t="shared" si="6"/>
        <v>3.7690182669934534E-2</v>
      </c>
      <c r="J49">
        <f t="shared" si="7"/>
        <v>1.6890864603726451E+21</v>
      </c>
      <c r="K49">
        <f t="shared" si="8"/>
        <v>1.6890864603726451E+21</v>
      </c>
      <c r="L49">
        <f t="shared" si="12"/>
        <v>1</v>
      </c>
      <c r="M49">
        <f t="shared" si="9"/>
        <v>3.1038935417467152E-20</v>
      </c>
      <c r="N49" s="9">
        <f t="shared" si="63"/>
        <v>3.1038935417467152E-20</v>
      </c>
      <c r="O49">
        <f t="shared" si="64"/>
        <v>3.1038935417467152E-20</v>
      </c>
      <c r="Q49">
        <f t="shared" si="15"/>
        <v>48.878474779664359</v>
      </c>
      <c r="R49">
        <f t="shared" si="16"/>
        <v>-710542.73576010019</v>
      </c>
      <c r="S49">
        <f t="shared" si="38"/>
        <v>-44.919044555265785</v>
      </c>
      <c r="T49" s="9" t="e">
        <f t="shared" si="17"/>
        <v>#N/A</v>
      </c>
      <c r="U49">
        <f t="shared" si="39"/>
        <v>-1.0000000000000001E+300</v>
      </c>
      <c r="V49">
        <f t="shared" si="40"/>
        <v>0</v>
      </c>
      <c r="W49">
        <f t="shared" si="41"/>
        <v>0</v>
      </c>
      <c r="X49">
        <f t="shared" si="18"/>
        <v>3.1038935417467157</v>
      </c>
      <c r="Y49">
        <f t="shared" si="19"/>
        <v>7.8539816339744828</v>
      </c>
      <c r="Z49">
        <f t="shared" si="20"/>
        <v>-3.1038935417467157</v>
      </c>
      <c r="AA49">
        <f t="shared" si="42"/>
        <v>82.294324960617089</v>
      </c>
      <c r="AB49">
        <f t="shared" si="21"/>
        <v>90.148306594591574</v>
      </c>
      <c r="AC49">
        <f t="shared" si="43"/>
        <v>0.68107459932567604</v>
      </c>
      <c r="AD49">
        <f t="shared" si="22"/>
        <v>3.2783556250729027</v>
      </c>
      <c r="AE49" s="9">
        <f t="shared" si="44"/>
        <v>94.107736818990162</v>
      </c>
      <c r="AF49">
        <f t="shared" si="45"/>
        <v>0</v>
      </c>
      <c r="AH49">
        <f t="shared" si="23"/>
        <v>7.8539816339744828</v>
      </c>
      <c r="AI49">
        <f t="shared" si="24"/>
        <v>82.294324960616947</v>
      </c>
      <c r="AJ49">
        <f t="shared" si="25"/>
        <v>0.68107459932567593</v>
      </c>
      <c r="AK49">
        <f t="shared" si="26"/>
        <v>3.2783556250729027</v>
      </c>
      <c r="AL49" s="9">
        <f t="shared" si="46"/>
        <v>94.107736818990006</v>
      </c>
      <c r="AM49" t="e">
        <f t="shared" si="27"/>
        <v>#N/A</v>
      </c>
      <c r="AN49" t="e">
        <f t="shared" si="47"/>
        <v>#N/A</v>
      </c>
      <c r="AO49">
        <f t="shared" si="28"/>
        <v>0</v>
      </c>
      <c r="AP49">
        <f t="shared" si="29"/>
        <v>-1.4210854715202004E-13</v>
      </c>
      <c r="AQ49">
        <f t="shared" si="30"/>
        <v>0</v>
      </c>
      <c r="AR49">
        <f t="shared" si="48"/>
        <v>-1.7268328918188221E-15</v>
      </c>
      <c r="AS49">
        <f t="shared" si="31"/>
        <v>-1.5631940186722204E-13</v>
      </c>
      <c r="AT49">
        <f t="shared" si="49"/>
        <v>-1.6610685492085742E-15</v>
      </c>
      <c r="AU49">
        <f t="shared" si="50"/>
        <v>0</v>
      </c>
      <c r="AV49">
        <f t="shared" si="32"/>
        <v>3.1038935417467158E-20</v>
      </c>
      <c r="AW49" t="b">
        <f t="shared" si="51"/>
        <v>1</v>
      </c>
      <c r="AX49">
        <f t="shared" si="33"/>
        <v>7.8539816339744828</v>
      </c>
      <c r="AY49">
        <f t="shared" si="34"/>
        <v>82.294324960616962</v>
      </c>
      <c r="AZ49">
        <f t="shared" si="35"/>
        <v>0.68107459932567627</v>
      </c>
      <c r="BA49">
        <f t="shared" si="36"/>
        <v>3.2783556250729027</v>
      </c>
      <c r="BB49">
        <f t="shared" si="37"/>
        <v>-1.2337005501361696E-20</v>
      </c>
      <c r="BD49" s="15">
        <f t="shared" si="52"/>
        <v>94.107736818990034</v>
      </c>
      <c r="BE49" s="10">
        <f t="shared" si="53"/>
        <v>0</v>
      </c>
      <c r="BF49">
        <f t="shared" si="54"/>
        <v>-1.2789769243681803E-13</v>
      </c>
      <c r="BG49">
        <f t="shared" si="55"/>
        <v>0</v>
      </c>
      <c r="BH49">
        <f t="shared" si="56"/>
        <v>-1.2789769243681803E-13</v>
      </c>
      <c r="BI49">
        <f t="shared" si="57"/>
        <v>0</v>
      </c>
    </row>
    <row r="50" spans="1:61" x14ac:dyDescent="0.3">
      <c r="A50">
        <f t="shared" si="65"/>
        <v>1.2999999999999999E-2</v>
      </c>
      <c r="B50">
        <f t="shared" si="0"/>
        <v>4.084070449666731E-2</v>
      </c>
      <c r="C50">
        <f t="shared" si="1"/>
        <v>3.1007519490931257</v>
      </c>
      <c r="D50">
        <f t="shared" si="2"/>
        <v>3.1007519490931257</v>
      </c>
      <c r="E50">
        <f t="shared" si="3"/>
        <v>4.0829351978509995E-2</v>
      </c>
      <c r="F50">
        <f t="shared" si="11"/>
        <v>4.0829351978510245E-2</v>
      </c>
      <c r="G50">
        <f t="shared" si="4"/>
        <v>4.084070449666731E-2</v>
      </c>
      <c r="H50">
        <f t="shared" si="5"/>
        <v>4.0829351978509995E-2</v>
      </c>
      <c r="I50">
        <f t="shared" si="6"/>
        <v>4.0829351978510245E-2</v>
      </c>
      <c r="J50">
        <f t="shared" si="7"/>
        <v>1.5592208583243203E+21</v>
      </c>
      <c r="K50">
        <f t="shared" si="8"/>
        <v>1.5592208583243203E+21</v>
      </c>
      <c r="L50">
        <f t="shared" si="12"/>
        <v>1</v>
      </c>
      <c r="M50">
        <f t="shared" si="9"/>
        <v>3.1007519490931259E-20</v>
      </c>
      <c r="N50" s="9">
        <f t="shared" si="63"/>
        <v>3.1007519490931259E-20</v>
      </c>
      <c r="O50">
        <f t="shared" si="64"/>
        <v>3.1007519490931259E-20</v>
      </c>
      <c r="Q50">
        <f t="shared" si="15"/>
        <v>48.798473199577714</v>
      </c>
      <c r="R50">
        <f t="shared" si="16"/>
        <v>0</v>
      </c>
      <c r="S50">
        <f t="shared" si="38"/>
        <v>-44.920057213580172</v>
      </c>
      <c r="T50" s="9" t="e">
        <f t="shared" si="17"/>
        <v>#N/A</v>
      </c>
      <c r="U50">
        <f t="shared" si="39"/>
        <v>-1.0000000000000001E+300</v>
      </c>
      <c r="V50">
        <f t="shared" si="40"/>
        <v>0</v>
      </c>
      <c r="W50">
        <f t="shared" si="41"/>
        <v>0</v>
      </c>
      <c r="X50">
        <f t="shared" si="18"/>
        <v>3.1007519490931257</v>
      </c>
      <c r="Y50">
        <f t="shared" si="19"/>
        <v>7.8539816339744828</v>
      </c>
      <c r="Z50">
        <f t="shared" si="20"/>
        <v>-3.1007519490931257</v>
      </c>
      <c r="AA50">
        <f t="shared" si="42"/>
        <v>75.880859930403531</v>
      </c>
      <c r="AB50">
        <f t="shared" si="21"/>
        <v>83.734841564378016</v>
      </c>
      <c r="AC50">
        <f t="shared" si="43"/>
        <v>0.68006194101128981</v>
      </c>
      <c r="AD50">
        <f t="shared" si="22"/>
        <v>3.1983540449862513</v>
      </c>
      <c r="AE50" s="9">
        <f t="shared" si="44"/>
        <v>87.61325755037555</v>
      </c>
      <c r="AF50">
        <f t="shared" si="45"/>
        <v>0</v>
      </c>
      <c r="AH50">
        <f t="shared" si="23"/>
        <v>7.8539816339744828</v>
      </c>
      <c r="AI50">
        <f t="shared" si="24"/>
        <v>75.880859930403872</v>
      </c>
      <c r="AJ50">
        <f t="shared" si="25"/>
        <v>0.6800619410112887</v>
      </c>
      <c r="AK50">
        <f t="shared" si="26"/>
        <v>3.1983540449862513</v>
      </c>
      <c r="AL50" s="9">
        <f t="shared" si="46"/>
        <v>87.613257550375891</v>
      </c>
      <c r="AM50" t="e">
        <f t="shared" si="27"/>
        <v>#N/A</v>
      </c>
      <c r="AN50" t="e">
        <f t="shared" si="47"/>
        <v>#N/A</v>
      </c>
      <c r="AO50">
        <f t="shared" si="28"/>
        <v>0</v>
      </c>
      <c r="AP50">
        <f t="shared" si="29"/>
        <v>3.4106051316484809E-13</v>
      </c>
      <c r="AQ50">
        <f t="shared" si="30"/>
        <v>-1.1102230246251565E-15</v>
      </c>
      <c r="AR50">
        <f t="shared" si="48"/>
        <v>4.494684344347978E-15</v>
      </c>
      <c r="AS50">
        <f t="shared" si="31"/>
        <v>3.4106051316484809E-13</v>
      </c>
      <c r="AT50">
        <f t="shared" si="49"/>
        <v>3.8927957103837284E-15</v>
      </c>
      <c r="AU50">
        <f t="shared" si="50"/>
        <v>0</v>
      </c>
      <c r="AV50">
        <f t="shared" si="32"/>
        <v>3.1007519490931253E-20</v>
      </c>
      <c r="AW50" t="b">
        <f t="shared" si="51"/>
        <v>1</v>
      </c>
      <c r="AX50">
        <f t="shared" si="33"/>
        <v>7.8539816339744828</v>
      </c>
      <c r="AY50">
        <f t="shared" si="34"/>
        <v>75.880859930403403</v>
      </c>
      <c r="AZ50">
        <f t="shared" si="35"/>
        <v>0.68006194101128969</v>
      </c>
      <c r="BA50">
        <f t="shared" si="36"/>
        <v>3.1983540449862455</v>
      </c>
      <c r="BB50">
        <f t="shared" si="37"/>
        <v>-1.2337005501361696E-20</v>
      </c>
      <c r="BD50" s="15">
        <f t="shared" si="52"/>
        <v>87.613257550375423</v>
      </c>
      <c r="BE50" s="10">
        <f t="shared" si="53"/>
        <v>-4.6895820560166612E-13</v>
      </c>
      <c r="BF50">
        <f t="shared" si="54"/>
        <v>-1.2789769243681803E-13</v>
      </c>
      <c r="BG50">
        <f t="shared" si="55"/>
        <v>0</v>
      </c>
      <c r="BH50">
        <f t="shared" si="56"/>
        <v>-1.2789769243681803E-13</v>
      </c>
      <c r="BI50">
        <f t="shared" si="57"/>
        <v>0</v>
      </c>
    </row>
    <row r="51" spans="1:61" x14ac:dyDescent="0.3">
      <c r="A51">
        <f t="shared" si="65"/>
        <v>1.4E-2</v>
      </c>
      <c r="B51">
        <f t="shared" si="0"/>
        <v>4.3982297150257102E-2</v>
      </c>
      <c r="C51">
        <f t="shared" si="1"/>
        <v>3.0976103564395361</v>
      </c>
      <c r="D51">
        <f t="shared" si="2"/>
        <v>3.0976103564395361</v>
      </c>
      <c r="E51">
        <f t="shared" si="3"/>
        <v>4.3968118317864902E-2</v>
      </c>
      <c r="F51">
        <f t="shared" si="11"/>
        <v>4.3968118317864957E-2</v>
      </c>
      <c r="G51">
        <f t="shared" si="4"/>
        <v>4.3982297150257102E-2</v>
      </c>
      <c r="H51">
        <f t="shared" si="5"/>
        <v>4.3968118317864902E-2</v>
      </c>
      <c r="I51">
        <f t="shared" si="6"/>
        <v>4.3968118317864957E-2</v>
      </c>
      <c r="J51">
        <f t="shared" si="7"/>
        <v>1.447912252612624E+21</v>
      </c>
      <c r="K51">
        <f t="shared" si="8"/>
        <v>1.447912252612624E+21</v>
      </c>
      <c r="L51">
        <f t="shared" si="12"/>
        <v>1</v>
      </c>
      <c r="M51">
        <f t="shared" si="9"/>
        <v>3.0976103564395359E-20</v>
      </c>
      <c r="N51" s="9">
        <f t="shared" si="63"/>
        <v>3.0976103564395359E-20</v>
      </c>
      <c r="O51">
        <f t="shared" si="64"/>
        <v>3.0976103564395359E-20</v>
      </c>
      <c r="Q51">
        <f t="shared" si="15"/>
        <v>48.724409645977858</v>
      </c>
      <c r="R51">
        <f t="shared" si="16"/>
        <v>0</v>
      </c>
      <c r="S51">
        <f t="shared" si="38"/>
        <v>-44.921070898411017</v>
      </c>
      <c r="T51" s="9" t="e">
        <f t="shared" si="17"/>
        <v>#N/A</v>
      </c>
      <c r="U51">
        <f t="shared" si="39"/>
        <v>-1.0000000000000001E+300</v>
      </c>
      <c r="V51">
        <f t="shared" si="40"/>
        <v>0</v>
      </c>
      <c r="W51">
        <f t="shared" si="41"/>
        <v>0</v>
      </c>
      <c r="X51">
        <f t="shared" si="18"/>
        <v>3.0976103564395361</v>
      </c>
      <c r="Y51">
        <f t="shared" si="19"/>
        <v>7.8539816339744828</v>
      </c>
      <c r="Z51">
        <f t="shared" si="20"/>
        <v>-3.0976103564395361</v>
      </c>
      <c r="AA51">
        <f t="shared" si="42"/>
        <v>70.383152231141864</v>
      </c>
      <c r="AB51">
        <f t="shared" si="21"/>
        <v>78.237133865116348</v>
      </c>
      <c r="AC51">
        <f t="shared" si="43"/>
        <v>0.67904825618044362</v>
      </c>
      <c r="AD51">
        <f t="shared" si="22"/>
        <v>3.1242904913863989</v>
      </c>
      <c r="AE51" s="9">
        <f t="shared" si="44"/>
        <v>82.040472612683189</v>
      </c>
      <c r="AF51">
        <f t="shared" si="45"/>
        <v>0</v>
      </c>
      <c r="AH51">
        <f t="shared" si="23"/>
        <v>7.8539816339744828</v>
      </c>
      <c r="AI51">
        <f t="shared" si="24"/>
        <v>70.38315223114185</v>
      </c>
      <c r="AJ51">
        <f t="shared" si="25"/>
        <v>0.67904825618044384</v>
      </c>
      <c r="AK51">
        <f t="shared" si="26"/>
        <v>3.1242904913863989</v>
      </c>
      <c r="AL51" s="9">
        <f t="shared" si="46"/>
        <v>82.040472612683175</v>
      </c>
      <c r="AM51" t="e">
        <f t="shared" si="27"/>
        <v>#N/A</v>
      </c>
      <c r="AN51" t="e">
        <f t="shared" si="47"/>
        <v>#N/A</v>
      </c>
      <c r="AO51">
        <f t="shared" si="28"/>
        <v>0</v>
      </c>
      <c r="AP51">
        <f t="shared" si="29"/>
        <v>0</v>
      </c>
      <c r="AQ51">
        <f t="shared" si="30"/>
        <v>0</v>
      </c>
      <c r="AR51">
        <f t="shared" si="48"/>
        <v>0</v>
      </c>
      <c r="AS51">
        <f t="shared" si="31"/>
        <v>0</v>
      </c>
      <c r="AT51">
        <f t="shared" si="49"/>
        <v>0</v>
      </c>
      <c r="AU51">
        <f t="shared" si="50"/>
        <v>0</v>
      </c>
      <c r="AV51">
        <f t="shared" si="32"/>
        <v>3.0976103564395359E-20</v>
      </c>
      <c r="AW51" t="b">
        <f t="shared" si="51"/>
        <v>1</v>
      </c>
      <c r="AX51">
        <f t="shared" si="33"/>
        <v>7.8539816339744828</v>
      </c>
      <c r="AY51">
        <f t="shared" si="34"/>
        <v>70.383152231141764</v>
      </c>
      <c r="AZ51">
        <f t="shared" si="35"/>
        <v>0.67904825618044373</v>
      </c>
      <c r="BA51">
        <f t="shared" si="36"/>
        <v>3.1242904913863976</v>
      </c>
      <c r="BB51">
        <f t="shared" si="37"/>
        <v>-1.2337005501361696E-20</v>
      </c>
      <c r="BD51" s="15">
        <f t="shared" si="52"/>
        <v>82.040472612683089</v>
      </c>
      <c r="BE51" s="10">
        <f t="shared" si="53"/>
        <v>0</v>
      </c>
      <c r="BF51">
        <f t="shared" si="54"/>
        <v>0</v>
      </c>
      <c r="BG51">
        <f t="shared" si="55"/>
        <v>0</v>
      </c>
      <c r="BH51">
        <f t="shared" si="56"/>
        <v>0</v>
      </c>
      <c r="BI51">
        <f t="shared" si="57"/>
        <v>0</v>
      </c>
    </row>
    <row r="52" spans="1:61" x14ac:dyDescent="0.3">
      <c r="A52">
        <f t="shared" si="65"/>
        <v>1.4999999999999999E-2</v>
      </c>
      <c r="B52">
        <f t="shared" si="0"/>
        <v>4.7123889803846894E-2</v>
      </c>
      <c r="C52">
        <f t="shared" si="1"/>
        <v>3.094468763785946</v>
      </c>
      <c r="D52">
        <f t="shared" si="2"/>
        <v>3.094468763785946</v>
      </c>
      <c r="E52">
        <f t="shared" si="3"/>
        <v>4.7106450709642658E-2</v>
      </c>
      <c r="F52">
        <f t="shared" si="11"/>
        <v>4.7106450709642957E-2</v>
      </c>
      <c r="G52">
        <f t="shared" si="4"/>
        <v>4.7123889803846894E-2</v>
      </c>
      <c r="H52">
        <f t="shared" si="5"/>
        <v>4.7106450709642658E-2</v>
      </c>
      <c r="I52">
        <f t="shared" si="6"/>
        <v>4.7106450709642957E-2</v>
      </c>
      <c r="J52">
        <f t="shared" si="7"/>
        <v>1.3514492448000668E+21</v>
      </c>
      <c r="K52">
        <f t="shared" si="8"/>
        <v>1.3514492448000668E+21</v>
      </c>
      <c r="L52">
        <f t="shared" si="12"/>
        <v>1</v>
      </c>
      <c r="M52">
        <f t="shared" si="9"/>
        <v>3.094468763785946E-20</v>
      </c>
      <c r="N52" s="9">
        <f t="shared" si="63"/>
        <v>3.094468763785946E-20</v>
      </c>
      <c r="O52">
        <f t="shared" si="64"/>
        <v>3.094468763785946E-20</v>
      </c>
      <c r="Q52">
        <f t="shared" si="15"/>
        <v>48.655464484187199</v>
      </c>
      <c r="R52">
        <f t="shared" si="16"/>
        <v>0</v>
      </c>
      <c r="S52">
        <f t="shared" si="38"/>
        <v>-44.92208561184156</v>
      </c>
      <c r="T52" s="9" t="e">
        <f t="shared" si="17"/>
        <v>#N/A</v>
      </c>
      <c r="U52">
        <f t="shared" si="39"/>
        <v>-1.0000000000000001E+300</v>
      </c>
      <c r="V52">
        <f t="shared" si="40"/>
        <v>0</v>
      </c>
      <c r="W52">
        <f t="shared" si="41"/>
        <v>0</v>
      </c>
      <c r="X52">
        <f t="shared" si="18"/>
        <v>3.094468763785946</v>
      </c>
      <c r="Y52">
        <f t="shared" si="19"/>
        <v>7.8539816339744828</v>
      </c>
      <c r="Z52">
        <f t="shared" si="20"/>
        <v>-3.094468763785946</v>
      </c>
      <c r="AA52">
        <f t="shared" si="42"/>
        <v>65.618051667372114</v>
      </c>
      <c r="AB52">
        <f t="shared" si="21"/>
        <v>73.472033301346599</v>
      </c>
      <c r="AC52">
        <f t="shared" si="43"/>
        <v>0.67803354274989713</v>
      </c>
      <c r="AD52">
        <f t="shared" si="22"/>
        <v>3.0553453295957378</v>
      </c>
      <c r="AE52" s="9">
        <f t="shared" si="44"/>
        <v>77.205412173692238</v>
      </c>
      <c r="AF52">
        <f t="shared" si="45"/>
        <v>0</v>
      </c>
      <c r="AH52">
        <f t="shared" si="23"/>
        <v>7.8539816339744828</v>
      </c>
      <c r="AI52">
        <f t="shared" si="24"/>
        <v>65.618051667372455</v>
      </c>
      <c r="AJ52">
        <f t="shared" si="25"/>
        <v>0.67803354274990113</v>
      </c>
      <c r="AK52">
        <f t="shared" si="26"/>
        <v>3.0553453295957378</v>
      </c>
      <c r="AL52" s="9">
        <f t="shared" si="46"/>
        <v>77.205412173692579</v>
      </c>
      <c r="AM52" t="e">
        <f t="shared" si="27"/>
        <v>#N/A</v>
      </c>
      <c r="AN52" t="e">
        <f t="shared" si="47"/>
        <v>#N/A</v>
      </c>
      <c r="AO52">
        <f t="shared" si="28"/>
        <v>0</v>
      </c>
      <c r="AP52">
        <f t="shared" si="29"/>
        <v>3.4106051316484809E-13</v>
      </c>
      <c r="AQ52">
        <f t="shared" si="30"/>
        <v>3.9968028886505635E-15</v>
      </c>
      <c r="AR52">
        <f t="shared" si="48"/>
        <v>5.1976629067521536E-15</v>
      </c>
      <c r="AS52">
        <f t="shared" si="31"/>
        <v>3.4106051316484809E-13</v>
      </c>
      <c r="AT52">
        <f t="shared" si="49"/>
        <v>4.4175725970809985E-15</v>
      </c>
      <c r="AU52">
        <f t="shared" si="50"/>
        <v>0</v>
      </c>
      <c r="AV52">
        <f t="shared" si="32"/>
        <v>3.094468763785946E-20</v>
      </c>
      <c r="AW52" t="b">
        <f t="shared" si="51"/>
        <v>1</v>
      </c>
      <c r="AX52">
        <f t="shared" si="33"/>
        <v>7.8539816339744828</v>
      </c>
      <c r="AY52">
        <f t="shared" si="34"/>
        <v>65.618051667372015</v>
      </c>
      <c r="AZ52">
        <f t="shared" si="35"/>
        <v>0.67803354274989713</v>
      </c>
      <c r="BA52">
        <f t="shared" si="36"/>
        <v>3.0553453295957316</v>
      </c>
      <c r="BB52">
        <f t="shared" si="37"/>
        <v>-1.2337005501361696E-20</v>
      </c>
      <c r="BD52" s="15">
        <f t="shared" si="52"/>
        <v>77.205412173692139</v>
      </c>
      <c r="BE52" s="10">
        <f t="shared" si="53"/>
        <v>-4.4053649617126212E-13</v>
      </c>
      <c r="BF52">
        <f t="shared" si="54"/>
        <v>0</v>
      </c>
      <c r="BG52">
        <f t="shared" si="55"/>
        <v>0</v>
      </c>
      <c r="BH52">
        <f t="shared" si="56"/>
        <v>0</v>
      </c>
      <c r="BI52">
        <f t="shared" si="57"/>
        <v>0</v>
      </c>
    </row>
    <row r="53" spans="1:61" x14ac:dyDescent="0.3">
      <c r="A53">
        <f t="shared" si="65"/>
        <v>1.6E-2</v>
      </c>
      <c r="B53">
        <f t="shared" si="0"/>
        <v>5.0265482457436693E-2</v>
      </c>
      <c r="C53">
        <f t="shared" si="1"/>
        <v>3.0913271711323564</v>
      </c>
      <c r="D53">
        <f t="shared" si="2"/>
        <v>3.0913271711323564</v>
      </c>
      <c r="E53">
        <f t="shared" si="3"/>
        <v>5.0244318179769556E-2</v>
      </c>
      <c r="F53">
        <f t="shared" si="11"/>
        <v>5.0244318179769661E-2</v>
      </c>
      <c r="G53">
        <f t="shared" si="4"/>
        <v>5.0265482457436693E-2</v>
      </c>
      <c r="H53">
        <f t="shared" si="5"/>
        <v>5.0244318179769556E-2</v>
      </c>
      <c r="I53">
        <f t="shared" si="6"/>
        <v>5.0244318179769661E-2</v>
      </c>
      <c r="J53">
        <f t="shared" si="7"/>
        <v>1.2670482861162816E+21</v>
      </c>
      <c r="K53">
        <f t="shared" si="8"/>
        <v>1.2670482861162816E+21</v>
      </c>
      <c r="L53">
        <f t="shared" si="12"/>
        <v>1</v>
      </c>
      <c r="M53">
        <f t="shared" si="9"/>
        <v>3.091327171132356E-20</v>
      </c>
      <c r="N53" s="9">
        <f t="shared" si="63"/>
        <v>3.091327171132356E-20</v>
      </c>
      <c r="O53">
        <f t="shared" si="64"/>
        <v>3.091327171132356E-20</v>
      </c>
      <c r="Q53">
        <f t="shared" si="15"/>
        <v>48.590976964076788</v>
      </c>
      <c r="R53">
        <f t="shared" si="16"/>
        <v>0</v>
      </c>
      <c r="S53">
        <f t="shared" si="38"/>
        <v>-44.9231013559614</v>
      </c>
      <c r="T53" s="9" t="e">
        <f t="shared" si="17"/>
        <v>#N/A</v>
      </c>
      <c r="U53">
        <f t="shared" si="39"/>
        <v>-1.0000000000000001E+300</v>
      </c>
      <c r="V53">
        <f t="shared" si="40"/>
        <v>0</v>
      </c>
      <c r="W53">
        <f t="shared" si="41"/>
        <v>0</v>
      </c>
      <c r="X53">
        <f t="shared" si="18"/>
        <v>3.0913271711323564</v>
      </c>
      <c r="Y53">
        <f t="shared" si="19"/>
        <v>7.8539816339744828</v>
      </c>
      <c r="Z53">
        <f t="shared" si="20"/>
        <v>-3.0913271711323564</v>
      </c>
      <c r="AA53">
        <f t="shared" si="42"/>
        <v>61.448195589473457</v>
      </c>
      <c r="AB53">
        <f t="shared" si="21"/>
        <v>69.302177223447941</v>
      </c>
      <c r="AC53">
        <f t="shared" si="43"/>
        <v>0.67701779863006162</v>
      </c>
      <c r="AD53">
        <f t="shared" si="22"/>
        <v>2.9908578094853269</v>
      </c>
      <c r="AE53" s="9">
        <f t="shared" si="44"/>
        <v>72.970052831563322</v>
      </c>
      <c r="AF53">
        <f t="shared" si="45"/>
        <v>0</v>
      </c>
      <c r="AH53">
        <f t="shared" si="23"/>
        <v>7.8539816339744828</v>
      </c>
      <c r="AI53">
        <f t="shared" si="24"/>
        <v>61.448195589473507</v>
      </c>
      <c r="AJ53">
        <f t="shared" si="25"/>
        <v>0.67701779863006095</v>
      </c>
      <c r="AK53">
        <f t="shared" si="26"/>
        <v>2.9908578094853269</v>
      </c>
      <c r="AL53" s="9">
        <f t="shared" si="46"/>
        <v>72.970052831563379</v>
      </c>
      <c r="AM53" t="e">
        <f t="shared" si="27"/>
        <v>#N/A</v>
      </c>
      <c r="AN53" t="e">
        <f t="shared" si="47"/>
        <v>#N/A</v>
      </c>
      <c r="AO53">
        <f t="shared" si="28"/>
        <v>0</v>
      </c>
      <c r="AP53">
        <f t="shared" si="29"/>
        <v>0</v>
      </c>
      <c r="AQ53">
        <f t="shared" si="30"/>
        <v>0</v>
      </c>
      <c r="AR53">
        <f t="shared" si="48"/>
        <v>0</v>
      </c>
      <c r="AS53">
        <f t="shared" si="31"/>
        <v>0</v>
      </c>
      <c r="AT53">
        <f t="shared" si="49"/>
        <v>0</v>
      </c>
      <c r="AU53">
        <f t="shared" si="50"/>
        <v>0</v>
      </c>
      <c r="AV53">
        <f t="shared" si="32"/>
        <v>3.091327171132356E-20</v>
      </c>
      <c r="AW53" t="b">
        <f t="shared" si="51"/>
        <v>1</v>
      </c>
      <c r="AX53">
        <f t="shared" si="33"/>
        <v>7.8539816339744828</v>
      </c>
      <c r="AY53">
        <f t="shared" si="34"/>
        <v>61.448195589473372</v>
      </c>
      <c r="AZ53">
        <f t="shared" si="35"/>
        <v>0.67701779863006162</v>
      </c>
      <c r="BA53">
        <f t="shared" si="36"/>
        <v>2.9908578094853251</v>
      </c>
      <c r="BB53">
        <f t="shared" si="37"/>
        <v>-1.2337005501361696E-20</v>
      </c>
      <c r="BD53" s="15">
        <f t="shared" si="52"/>
        <v>72.970052831563237</v>
      </c>
      <c r="BE53" s="10">
        <f t="shared" si="53"/>
        <v>-1.4210854715202004E-13</v>
      </c>
      <c r="BF53">
        <f t="shared" si="54"/>
        <v>0</v>
      </c>
      <c r="BG53">
        <f t="shared" si="55"/>
        <v>0</v>
      </c>
      <c r="BH53">
        <f t="shared" si="56"/>
        <v>-8.5265128291212022E-14</v>
      </c>
      <c r="BI53">
        <f t="shared" si="57"/>
        <v>0</v>
      </c>
    </row>
    <row r="54" spans="1:61" x14ac:dyDescent="0.3">
      <c r="A54">
        <f t="shared" si="65"/>
        <v>1.7000000000000001E-2</v>
      </c>
      <c r="B54">
        <f t="shared" si="0"/>
        <v>5.3407075111026485E-2</v>
      </c>
      <c r="C54">
        <f t="shared" si="1"/>
        <v>3.0881855784787668</v>
      </c>
      <c r="D54">
        <f t="shared" si="2"/>
        <v>3.0881855784787668</v>
      </c>
      <c r="E54">
        <f t="shared" si="3"/>
        <v>5.3381689758760474E-2</v>
      </c>
      <c r="F54">
        <f t="shared" si="11"/>
        <v>5.3381689758760377E-2</v>
      </c>
      <c r="G54">
        <f t="shared" si="4"/>
        <v>5.3407075111026485E-2</v>
      </c>
      <c r="H54">
        <f t="shared" si="5"/>
        <v>5.3381689758760474E-2</v>
      </c>
      <c r="I54">
        <f t="shared" si="6"/>
        <v>5.3381689758760377E-2</v>
      </c>
      <c r="J54">
        <f t="shared" si="7"/>
        <v>1.1925807804971287E+21</v>
      </c>
      <c r="K54">
        <f t="shared" si="8"/>
        <v>1.1925807804971287E+21</v>
      </c>
      <c r="L54">
        <f t="shared" si="12"/>
        <v>1</v>
      </c>
      <c r="M54">
        <f t="shared" si="9"/>
        <v>3.0881855784787666E-20</v>
      </c>
      <c r="N54" s="9">
        <f t="shared" si="63"/>
        <v>3.0881855784787666E-20</v>
      </c>
      <c r="O54">
        <f t="shared" si="64"/>
        <v>3.0881855784787666E-20</v>
      </c>
      <c r="Q54">
        <f t="shared" si="15"/>
        <v>48.530406634819848</v>
      </c>
      <c r="R54">
        <f t="shared" si="16"/>
        <v>0</v>
      </c>
      <c r="S54">
        <f t="shared" si="38"/>
        <v>-44.924118132866482</v>
      </c>
      <c r="T54" s="9" t="e">
        <f t="shared" si="17"/>
        <v>#N/A</v>
      </c>
      <c r="U54">
        <f t="shared" si="39"/>
        <v>-1.0000000000000001E+300</v>
      </c>
      <c r="V54">
        <f t="shared" si="40"/>
        <v>0</v>
      </c>
      <c r="W54">
        <f t="shared" si="41"/>
        <v>0</v>
      </c>
      <c r="X54">
        <f t="shared" si="18"/>
        <v>3.0881855784787668</v>
      </c>
      <c r="Y54">
        <f t="shared" si="19"/>
        <v>7.8539816339744828</v>
      </c>
      <c r="Z54">
        <f t="shared" si="20"/>
        <v>-3.0881855784787668</v>
      </c>
      <c r="AA54">
        <f t="shared" si="42"/>
        <v>57.768541968427357</v>
      </c>
      <c r="AB54">
        <f t="shared" si="21"/>
        <v>65.622523602401841</v>
      </c>
      <c r="AC54">
        <f t="shared" si="43"/>
        <v>0.67600102172497489</v>
      </c>
      <c r="AD54">
        <f t="shared" si="22"/>
        <v>2.9302874802283863</v>
      </c>
      <c r="AE54" s="9">
        <f t="shared" si="44"/>
        <v>69.2288121043552</v>
      </c>
      <c r="AF54">
        <f t="shared" si="45"/>
        <v>0</v>
      </c>
      <c r="AH54">
        <f t="shared" si="23"/>
        <v>7.8539816339744828</v>
      </c>
      <c r="AI54">
        <f t="shared" si="24"/>
        <v>57.768541968427179</v>
      </c>
      <c r="AJ54">
        <f t="shared" si="25"/>
        <v>0.67600102172497856</v>
      </c>
      <c r="AK54">
        <f t="shared" si="26"/>
        <v>2.9302874802283863</v>
      </c>
      <c r="AL54" s="9">
        <f t="shared" si="46"/>
        <v>69.228812104355015</v>
      </c>
      <c r="AM54" t="e">
        <f t="shared" si="27"/>
        <v>#N/A</v>
      </c>
      <c r="AN54" t="e">
        <f t="shared" si="47"/>
        <v>#N/A</v>
      </c>
      <c r="AO54">
        <f t="shared" si="28"/>
        <v>0</v>
      </c>
      <c r="AP54">
        <f t="shared" si="29"/>
        <v>-1.7763568394002505E-13</v>
      </c>
      <c r="AQ54">
        <f t="shared" si="30"/>
        <v>3.6637359812630166E-15</v>
      </c>
      <c r="AR54">
        <f t="shared" si="48"/>
        <v>-3.0749552937844626E-15</v>
      </c>
      <c r="AS54">
        <f t="shared" si="31"/>
        <v>-1.8474111129762605E-13</v>
      </c>
      <c r="AT54">
        <f t="shared" si="49"/>
        <v>-2.6685581578252222E-15</v>
      </c>
      <c r="AU54">
        <f t="shared" si="50"/>
        <v>0</v>
      </c>
      <c r="AV54">
        <f t="shared" si="32"/>
        <v>3.0881855784787666E-20</v>
      </c>
      <c r="AW54" t="b">
        <f t="shared" si="51"/>
        <v>1</v>
      </c>
      <c r="AX54">
        <f t="shared" si="33"/>
        <v>7.8539816339744828</v>
      </c>
      <c r="AY54">
        <f t="shared" si="34"/>
        <v>57.768541968427279</v>
      </c>
      <c r="AZ54">
        <f t="shared" si="35"/>
        <v>0.67600102172497489</v>
      </c>
      <c r="BA54">
        <f t="shared" si="36"/>
        <v>2.930287480228388</v>
      </c>
      <c r="BB54">
        <f t="shared" si="37"/>
        <v>-1.2337005501361696E-20</v>
      </c>
      <c r="BD54" s="15">
        <f t="shared" si="52"/>
        <v>69.228812104355114</v>
      </c>
      <c r="BE54" s="10">
        <f t="shared" si="53"/>
        <v>0</v>
      </c>
      <c r="BF54">
        <f t="shared" si="54"/>
        <v>0</v>
      </c>
      <c r="BG54">
        <f t="shared" si="55"/>
        <v>0</v>
      </c>
      <c r="BH54">
        <f t="shared" si="56"/>
        <v>-7.815970093361102E-14</v>
      </c>
      <c r="BI54">
        <f t="shared" si="57"/>
        <v>0</v>
      </c>
    </row>
    <row r="55" spans="1:61" x14ac:dyDescent="0.3">
      <c r="A55">
        <f t="shared" si="65"/>
        <v>1.7999999999999999E-2</v>
      </c>
      <c r="B55">
        <f t="shared" si="0"/>
        <v>5.654866776461627E-2</v>
      </c>
      <c r="C55">
        <f t="shared" si="1"/>
        <v>3.0850439858251768</v>
      </c>
      <c r="D55">
        <f t="shared" si="2"/>
        <v>3.0850439858251768</v>
      </c>
      <c r="E55">
        <f t="shared" si="3"/>
        <v>5.651853448202452E-2</v>
      </c>
      <c r="F55">
        <f t="shared" si="11"/>
        <v>5.6518534482024679E-2</v>
      </c>
      <c r="G55">
        <f t="shared" si="4"/>
        <v>5.654866776461627E-2</v>
      </c>
      <c r="H55">
        <f t="shared" si="5"/>
        <v>5.651853448202452E-2</v>
      </c>
      <c r="I55">
        <f t="shared" si="6"/>
        <v>5.6518534482024679E-2</v>
      </c>
      <c r="J55">
        <f t="shared" si="7"/>
        <v>1.1263911532774362E+21</v>
      </c>
      <c r="K55">
        <f t="shared" si="8"/>
        <v>1.1263911532774362E+21</v>
      </c>
      <c r="L55">
        <f t="shared" si="12"/>
        <v>1</v>
      </c>
      <c r="M55">
        <f t="shared" si="9"/>
        <v>3.0850439858251767E-20</v>
      </c>
      <c r="N55" s="9">
        <f t="shared" si="63"/>
        <v>3.0850439858251767E-20</v>
      </c>
      <c r="O55">
        <f t="shared" si="64"/>
        <v>3.0850439858251767E-20</v>
      </c>
      <c r="Q55">
        <f t="shared" si="15"/>
        <v>48.473305805286209</v>
      </c>
      <c r="R55">
        <f t="shared" si="16"/>
        <v>0</v>
      </c>
      <c r="S55">
        <f t="shared" si="38"/>
        <v>-44.925135944659182</v>
      </c>
      <c r="T55" s="9" t="e">
        <f t="shared" si="17"/>
        <v>#N/A</v>
      </c>
      <c r="U55">
        <f t="shared" si="39"/>
        <v>-1.0000000000000001E+300</v>
      </c>
      <c r="V55">
        <f t="shared" si="40"/>
        <v>0</v>
      </c>
      <c r="W55">
        <f t="shared" si="41"/>
        <v>0</v>
      </c>
      <c r="X55">
        <f t="shared" si="18"/>
        <v>3.0850439858251768</v>
      </c>
      <c r="Y55">
        <f t="shared" si="19"/>
        <v>7.8539816339744828</v>
      </c>
      <c r="Z55">
        <f t="shared" si="20"/>
        <v>-3.0850439858251768</v>
      </c>
      <c r="AA55">
        <f t="shared" si="42"/>
        <v>54.497391445665286</v>
      </c>
      <c r="AB55">
        <f t="shared" si="21"/>
        <v>62.351373079639771</v>
      </c>
      <c r="AC55">
        <f t="shared" si="43"/>
        <v>0.67498320993227412</v>
      </c>
      <c r="AD55">
        <f t="shared" si="22"/>
        <v>2.8731866506947497</v>
      </c>
      <c r="AE55" s="9">
        <f t="shared" si="44"/>
        <v>65.899542940266798</v>
      </c>
      <c r="AF55">
        <f t="shared" si="45"/>
        <v>0</v>
      </c>
      <c r="AH55">
        <f t="shared" si="23"/>
        <v>7.8539816339744828</v>
      </c>
      <c r="AI55">
        <f t="shared" si="24"/>
        <v>54.497391445665379</v>
      </c>
      <c r="AJ55">
        <f t="shared" si="25"/>
        <v>0.67498320993227878</v>
      </c>
      <c r="AK55">
        <f t="shared" si="26"/>
        <v>2.8731866506947497</v>
      </c>
      <c r="AL55" s="9">
        <f t="shared" si="46"/>
        <v>65.899542940266898</v>
      </c>
      <c r="AM55" t="e">
        <f t="shared" si="27"/>
        <v>#N/A</v>
      </c>
      <c r="AN55" t="e">
        <f t="shared" si="47"/>
        <v>#N/A</v>
      </c>
      <c r="AO55">
        <f t="shared" si="28"/>
        <v>0</v>
      </c>
      <c r="AP55">
        <f t="shared" si="29"/>
        <v>9.2370555648813024E-14</v>
      </c>
      <c r="AQ55">
        <f t="shared" si="30"/>
        <v>4.6629367034256575E-15</v>
      </c>
      <c r="AR55">
        <f t="shared" si="48"/>
        <v>1.6949537069293986E-15</v>
      </c>
      <c r="AS55">
        <f t="shared" si="31"/>
        <v>0</v>
      </c>
      <c r="AT55">
        <f t="shared" si="49"/>
        <v>0</v>
      </c>
      <c r="AU55">
        <f t="shared" si="50"/>
        <v>0</v>
      </c>
      <c r="AV55">
        <f t="shared" si="32"/>
        <v>3.0850439858251767E-20</v>
      </c>
      <c r="AW55" t="b">
        <f t="shared" si="51"/>
        <v>1</v>
      </c>
      <c r="AX55">
        <f t="shared" si="33"/>
        <v>7.8539816339744828</v>
      </c>
      <c r="AY55">
        <f t="shared" si="34"/>
        <v>54.49739144566523</v>
      </c>
      <c r="AZ55">
        <f t="shared" si="35"/>
        <v>0.67498320993227423</v>
      </c>
      <c r="BA55">
        <f t="shared" si="36"/>
        <v>2.873186650694747</v>
      </c>
      <c r="BB55">
        <f t="shared" si="37"/>
        <v>-1.2337005501361696E-20</v>
      </c>
      <c r="BD55" s="15">
        <f t="shared" si="52"/>
        <v>65.899542940266727</v>
      </c>
      <c r="BE55" s="10">
        <f t="shared" si="53"/>
        <v>-1.7053025658242404E-13</v>
      </c>
      <c r="BF55">
        <f t="shared" si="54"/>
        <v>0</v>
      </c>
      <c r="BG55">
        <f t="shared" si="55"/>
        <v>0</v>
      </c>
      <c r="BH55">
        <f t="shared" si="56"/>
        <v>-5.6843418860808015E-14</v>
      </c>
      <c r="BI55">
        <f t="shared" si="57"/>
        <v>0</v>
      </c>
    </row>
    <row r="56" spans="1:61" x14ac:dyDescent="0.3">
      <c r="A56">
        <f t="shared" si="65"/>
        <v>1.9E-2</v>
      </c>
      <c r="B56">
        <f t="shared" si="0"/>
        <v>5.9690260418206069E-2</v>
      </c>
      <c r="C56">
        <f t="shared" si="1"/>
        <v>3.0819023931715872</v>
      </c>
      <c r="D56">
        <f t="shared" si="2"/>
        <v>3.0819023931715872</v>
      </c>
      <c r="E56">
        <f t="shared" si="3"/>
        <v>5.9654821390170698E-2</v>
      </c>
      <c r="F56">
        <f t="shared" si="11"/>
        <v>5.9654821390170656E-2</v>
      </c>
      <c r="G56">
        <f t="shared" si="4"/>
        <v>5.9690260418206069E-2</v>
      </c>
      <c r="H56">
        <f t="shared" si="5"/>
        <v>5.9654821390170698E-2</v>
      </c>
      <c r="I56">
        <f t="shared" si="6"/>
        <v>5.9654821390170656E-2</v>
      </c>
      <c r="J56">
        <f t="shared" si="7"/>
        <v>1.0671723718755062E+21</v>
      </c>
      <c r="K56">
        <f t="shared" si="8"/>
        <v>1.0671723718755062E+21</v>
      </c>
      <c r="L56">
        <f t="shared" si="12"/>
        <v>1</v>
      </c>
      <c r="M56">
        <f t="shared" si="9"/>
        <v>3.0819023931715867E-20</v>
      </c>
      <c r="N56" s="9">
        <f t="shared" si="63"/>
        <v>3.0819023931715867E-20</v>
      </c>
      <c r="O56">
        <f t="shared" si="64"/>
        <v>3.0819023931715867E-20</v>
      </c>
      <c r="Q56">
        <f t="shared" si="15"/>
        <v>48.419299460296571</v>
      </c>
      <c r="R56">
        <f t="shared" si="16"/>
        <v>0</v>
      </c>
      <c r="S56">
        <f t="shared" si="38"/>
        <v>-44.926154793448291</v>
      </c>
      <c r="T56" s="9" t="e">
        <f t="shared" si="17"/>
        <v>#N/A</v>
      </c>
      <c r="U56">
        <f t="shared" si="39"/>
        <v>-1.0000000000000001E+300</v>
      </c>
      <c r="V56">
        <f t="shared" si="40"/>
        <v>0</v>
      </c>
      <c r="W56">
        <f t="shared" si="41"/>
        <v>0</v>
      </c>
      <c r="X56">
        <f t="shared" si="18"/>
        <v>3.0819023931715872</v>
      </c>
      <c r="Y56">
        <f t="shared" si="19"/>
        <v>7.8539816339744828</v>
      </c>
      <c r="Z56">
        <f t="shared" si="20"/>
        <v>-3.0819023931715872</v>
      </c>
      <c r="AA56">
        <f t="shared" si="42"/>
        <v>51.570244525069192</v>
      </c>
      <c r="AB56">
        <f t="shared" si="21"/>
        <v>59.424226159043677</v>
      </c>
      <c r="AC56">
        <f t="shared" si="43"/>
        <v>0.67396436114317149</v>
      </c>
      <c r="AD56">
        <f t="shared" si="22"/>
        <v>2.8191803057051099</v>
      </c>
      <c r="AE56" s="9">
        <f t="shared" si="44"/>
        <v>62.917370825891958</v>
      </c>
      <c r="AF56">
        <f t="shared" si="45"/>
        <v>0</v>
      </c>
      <c r="AH56">
        <f t="shared" si="23"/>
        <v>7.8539816339744828</v>
      </c>
      <c r="AI56">
        <f t="shared" si="24"/>
        <v>51.570244525069093</v>
      </c>
      <c r="AJ56">
        <f t="shared" si="25"/>
        <v>0.67396436114317027</v>
      </c>
      <c r="AK56">
        <f t="shared" si="26"/>
        <v>2.8191803057051099</v>
      </c>
      <c r="AL56" s="9">
        <f t="shared" si="46"/>
        <v>62.917370825891858</v>
      </c>
      <c r="AM56" t="e">
        <f t="shared" si="27"/>
        <v>#N/A</v>
      </c>
      <c r="AN56" t="e">
        <f t="shared" si="47"/>
        <v>#N/A</v>
      </c>
      <c r="AO56">
        <f t="shared" si="28"/>
        <v>0</v>
      </c>
      <c r="AP56">
        <f t="shared" si="29"/>
        <v>-9.9475983006414026E-14</v>
      </c>
      <c r="AQ56">
        <f t="shared" si="30"/>
        <v>-1.2212453270876722E-15</v>
      </c>
      <c r="AR56">
        <f t="shared" si="48"/>
        <v>-1.928941464647452E-15</v>
      </c>
      <c r="AS56">
        <f t="shared" si="31"/>
        <v>-9.9475983006414026E-14</v>
      </c>
      <c r="AT56">
        <f t="shared" si="49"/>
        <v>-1.5810575314993536E-15</v>
      </c>
      <c r="AU56">
        <f t="shared" si="50"/>
        <v>0</v>
      </c>
      <c r="AV56">
        <f t="shared" si="32"/>
        <v>3.0819023931715873E-20</v>
      </c>
      <c r="AW56" t="b">
        <f t="shared" si="51"/>
        <v>1</v>
      </c>
      <c r="AX56">
        <f t="shared" si="33"/>
        <v>7.8539816339744828</v>
      </c>
      <c r="AY56">
        <f t="shared" si="34"/>
        <v>51.570244525069143</v>
      </c>
      <c r="AZ56">
        <f t="shared" si="35"/>
        <v>0.6739643611431716</v>
      </c>
      <c r="BA56">
        <f t="shared" si="36"/>
        <v>2.8191803057051108</v>
      </c>
      <c r="BB56">
        <f t="shared" si="37"/>
        <v>-1.2337005501361696E-20</v>
      </c>
      <c r="BD56" s="15">
        <f t="shared" si="52"/>
        <v>62.917370825891908</v>
      </c>
      <c r="BE56" s="10">
        <f t="shared" si="53"/>
        <v>0</v>
      </c>
      <c r="BF56">
        <f t="shared" si="54"/>
        <v>0</v>
      </c>
      <c r="BG56">
        <f t="shared" si="55"/>
        <v>0</v>
      </c>
      <c r="BH56">
        <f t="shared" si="56"/>
        <v>0</v>
      </c>
      <c r="BI56">
        <f t="shared" si="57"/>
        <v>0</v>
      </c>
    </row>
    <row r="57" spans="1:61" x14ac:dyDescent="0.3">
      <c r="A57">
        <f t="shared" si="65"/>
        <v>0.02</v>
      </c>
      <c r="B57">
        <f t="shared" si="0"/>
        <v>6.2831853071795868E-2</v>
      </c>
      <c r="C57">
        <f t="shared" si="1"/>
        <v>3.0787608005179972</v>
      </c>
      <c r="D57">
        <f t="shared" si="2"/>
        <v>3.0787608005179972</v>
      </c>
      <c r="E57">
        <f t="shared" si="3"/>
        <v>6.2790519529313374E-2</v>
      </c>
      <c r="F57">
        <f t="shared" si="11"/>
        <v>6.2790519529313582E-2</v>
      </c>
      <c r="G57">
        <f t="shared" si="4"/>
        <v>6.2831853071795868E-2</v>
      </c>
      <c r="H57">
        <f t="shared" si="5"/>
        <v>6.2790519529313374E-2</v>
      </c>
      <c r="I57">
        <f t="shared" si="6"/>
        <v>6.2790519529313582E-2</v>
      </c>
      <c r="J57">
        <f t="shared" si="7"/>
        <v>1.0138788102722726E+21</v>
      </c>
      <c r="K57">
        <f t="shared" si="8"/>
        <v>1.0138788102722726E+21</v>
      </c>
      <c r="L57">
        <f t="shared" si="12"/>
        <v>1</v>
      </c>
      <c r="M57">
        <f t="shared" si="9"/>
        <v>3.0787608005179973E-20</v>
      </c>
      <c r="N57" s="9">
        <f t="shared" si="63"/>
        <v>3.0787608005179973E-20</v>
      </c>
      <c r="O57">
        <f t="shared" si="64"/>
        <v>3.0787608005179973E-20</v>
      </c>
      <c r="Q57">
        <f t="shared" si="15"/>
        <v>48.368070334404514</v>
      </c>
      <c r="R57">
        <f t="shared" si="16"/>
        <v>0</v>
      </c>
      <c r="S57">
        <f t="shared" si="38"/>
        <v>-44.92717468134903</v>
      </c>
      <c r="T57" s="9" t="e">
        <f t="shared" si="17"/>
        <v>#N/A</v>
      </c>
      <c r="U57">
        <f t="shared" si="39"/>
        <v>-1.0000000000000001E+300</v>
      </c>
      <c r="V57">
        <f t="shared" si="40"/>
        <v>0</v>
      </c>
      <c r="W57">
        <f t="shared" si="41"/>
        <v>0</v>
      </c>
      <c r="X57">
        <f t="shared" si="18"/>
        <v>3.0787608005179972</v>
      </c>
      <c r="Y57">
        <f t="shared" si="19"/>
        <v>7.8539816339744828</v>
      </c>
      <c r="Z57">
        <f t="shared" si="20"/>
        <v>-3.0787608005179972</v>
      </c>
      <c r="AA57">
        <f t="shared" si="42"/>
        <v>48.935501607367826</v>
      </c>
      <c r="AB57">
        <f t="shared" si="21"/>
        <v>56.78948324134231</v>
      </c>
      <c r="AC57">
        <f t="shared" si="43"/>
        <v>0.67294447324242579</v>
      </c>
      <c r="AD57">
        <f t="shared" si="22"/>
        <v>2.7679511798130538</v>
      </c>
      <c r="AE57" s="9">
        <f t="shared" si="44"/>
        <v>60.230378894397788</v>
      </c>
      <c r="AF57">
        <f t="shared" si="45"/>
        <v>0</v>
      </c>
      <c r="AH57">
        <f t="shared" si="23"/>
        <v>7.8539816339744828</v>
      </c>
      <c r="AI57">
        <f t="shared" si="24"/>
        <v>48.935501607367947</v>
      </c>
      <c r="AJ57">
        <f t="shared" si="25"/>
        <v>0.67294447324243123</v>
      </c>
      <c r="AK57">
        <f t="shared" si="26"/>
        <v>2.7679511798130538</v>
      </c>
      <c r="AL57" s="9">
        <f t="shared" si="46"/>
        <v>60.230378894397916</v>
      </c>
      <c r="AM57" t="e">
        <f t="shared" si="27"/>
        <v>#N/A</v>
      </c>
      <c r="AN57" t="e">
        <f t="shared" si="47"/>
        <v>#N/A</v>
      </c>
      <c r="AO57">
        <f t="shared" si="28"/>
        <v>0</v>
      </c>
      <c r="AP57">
        <f t="shared" si="29"/>
        <v>1.2079226507921703E-13</v>
      </c>
      <c r="AQ57">
        <f t="shared" si="30"/>
        <v>5.440092820663267E-15</v>
      </c>
      <c r="AR57">
        <f t="shared" si="48"/>
        <v>2.4683974029404862E-15</v>
      </c>
      <c r="AS57">
        <f t="shared" si="31"/>
        <v>1.2789769243681803E-13</v>
      </c>
      <c r="AT57">
        <f t="shared" si="49"/>
        <v>2.1234748109597882E-15</v>
      </c>
      <c r="AU57">
        <f t="shared" si="50"/>
        <v>0</v>
      </c>
      <c r="AV57">
        <f t="shared" si="32"/>
        <v>3.0787608005179967E-20</v>
      </c>
      <c r="AW57" t="b">
        <f t="shared" si="51"/>
        <v>1</v>
      </c>
      <c r="AX57">
        <f t="shared" si="33"/>
        <v>7.8539816339744828</v>
      </c>
      <c r="AY57">
        <f t="shared" si="34"/>
        <v>48.935501607367776</v>
      </c>
      <c r="AZ57">
        <f t="shared" si="35"/>
        <v>0.67294447324242579</v>
      </c>
      <c r="BA57">
        <f t="shared" si="36"/>
        <v>2.7679511798130503</v>
      </c>
      <c r="BB57">
        <f t="shared" si="37"/>
        <v>-1.2337005501361696E-20</v>
      </c>
      <c r="BD57" s="15">
        <f t="shared" si="52"/>
        <v>60.230378894397738</v>
      </c>
      <c r="BE57" s="10">
        <f t="shared" si="53"/>
        <v>-1.7763568394002505E-13</v>
      </c>
      <c r="BF57">
        <f t="shared" si="54"/>
        <v>0</v>
      </c>
      <c r="BG57">
        <f t="shared" si="55"/>
        <v>0</v>
      </c>
      <c r="BH57">
        <f t="shared" si="56"/>
        <v>0</v>
      </c>
      <c r="BI57">
        <f t="shared" si="57"/>
        <v>0</v>
      </c>
    </row>
    <row r="58" spans="1:61" x14ac:dyDescent="0.3">
      <c r="A58">
        <f t="shared" si="65"/>
        <v>2.1000000000000001E-2</v>
      </c>
      <c r="B58">
        <f t="shared" si="0"/>
        <v>6.597344572538566E-2</v>
      </c>
      <c r="C58">
        <f t="shared" si="1"/>
        <v>3.0756192078644076</v>
      </c>
      <c r="D58">
        <f t="shared" si="2"/>
        <v>3.0756192078644076</v>
      </c>
      <c r="E58">
        <f t="shared" si="3"/>
        <v>6.5925597951377854E-2</v>
      </c>
      <c r="F58">
        <f t="shared" si="11"/>
        <v>6.5925597951377868E-2</v>
      </c>
      <c r="G58">
        <f t="shared" si="4"/>
        <v>6.597344572538566E-2</v>
      </c>
      <c r="H58">
        <f t="shared" si="5"/>
        <v>6.5925597951377854E-2</v>
      </c>
      <c r="I58">
        <f t="shared" si="6"/>
        <v>6.5925597951377868E-2</v>
      </c>
      <c r="J58">
        <f t="shared" si="7"/>
        <v>9.6566400935355639E+20</v>
      </c>
      <c r="K58">
        <f t="shared" si="8"/>
        <v>9.6566400935355639E+20</v>
      </c>
      <c r="L58">
        <f t="shared" si="12"/>
        <v>1</v>
      </c>
      <c r="M58">
        <f t="shared" si="9"/>
        <v>3.0756192078644074E-20</v>
      </c>
      <c r="N58" s="9">
        <f t="shared" si="63"/>
        <v>3.0756192078644074E-20</v>
      </c>
      <c r="O58">
        <f t="shared" si="64"/>
        <v>3.0756192078644074E-20</v>
      </c>
      <c r="Q58">
        <f t="shared" si="15"/>
        <v>48.319347631199001</v>
      </c>
      <c r="R58">
        <f t="shared" si="16"/>
        <v>0</v>
      </c>
      <c r="S58">
        <f t="shared" si="38"/>
        <v>-44.928195610483144</v>
      </c>
      <c r="T58" s="9" t="e">
        <f t="shared" si="17"/>
        <v>#N/A</v>
      </c>
      <c r="U58">
        <f t="shared" si="39"/>
        <v>-1.0000000000000001E+300</v>
      </c>
      <c r="V58">
        <f t="shared" si="40"/>
        <v>0</v>
      </c>
      <c r="W58">
        <f t="shared" si="41"/>
        <v>0</v>
      </c>
      <c r="X58">
        <f t="shared" si="18"/>
        <v>3.0756192078644076</v>
      </c>
      <c r="Y58">
        <f t="shared" si="19"/>
        <v>7.8539816339744828</v>
      </c>
      <c r="Z58">
        <f t="shared" si="20"/>
        <v>-3.0756192078644076</v>
      </c>
      <c r="AA58">
        <f t="shared" si="42"/>
        <v>46.551391586139765</v>
      </c>
      <c r="AB58">
        <f t="shared" si="21"/>
        <v>54.405373220114249</v>
      </c>
      <c r="AC58">
        <f t="shared" si="43"/>
        <v>0.67192354410831867</v>
      </c>
      <c r="AD58">
        <f t="shared" si="22"/>
        <v>2.7192284766075403</v>
      </c>
      <c r="AE58" s="9">
        <f t="shared" si="44"/>
        <v>57.796525240830107</v>
      </c>
      <c r="AF58">
        <f t="shared" si="45"/>
        <v>0</v>
      </c>
      <c r="AH58">
        <f t="shared" si="23"/>
        <v>7.8539816339744828</v>
      </c>
      <c r="AI58">
        <f t="shared" si="24"/>
        <v>46.551391586139722</v>
      </c>
      <c r="AJ58">
        <f t="shared" si="25"/>
        <v>0.67192354410831712</v>
      </c>
      <c r="AK58">
        <f t="shared" si="26"/>
        <v>2.7192284766075403</v>
      </c>
      <c r="AL58" s="9">
        <f t="shared" si="46"/>
        <v>57.796525240830064</v>
      </c>
      <c r="AM58" t="e">
        <f t="shared" si="27"/>
        <v>#N/A</v>
      </c>
      <c r="AN58" t="e">
        <f t="shared" si="47"/>
        <v>#N/A</v>
      </c>
      <c r="AO58">
        <f t="shared" si="28"/>
        <v>0</v>
      </c>
      <c r="AP58">
        <f t="shared" si="29"/>
        <v>0</v>
      </c>
      <c r="AQ58">
        <f t="shared" si="30"/>
        <v>-1.5543122344752192E-15</v>
      </c>
      <c r="AR58">
        <f t="shared" si="48"/>
        <v>0</v>
      </c>
      <c r="AS58">
        <f t="shared" si="31"/>
        <v>0</v>
      </c>
      <c r="AT58">
        <f t="shared" si="49"/>
        <v>0</v>
      </c>
      <c r="AU58">
        <f t="shared" si="50"/>
        <v>0</v>
      </c>
      <c r="AV58">
        <f t="shared" si="32"/>
        <v>3.0756192078644074E-20</v>
      </c>
      <c r="AW58" t="b">
        <f t="shared" si="51"/>
        <v>1</v>
      </c>
      <c r="AX58">
        <f t="shared" si="33"/>
        <v>7.8539816339744828</v>
      </c>
      <c r="AY58">
        <f t="shared" si="34"/>
        <v>46.551391586139715</v>
      </c>
      <c r="AZ58">
        <f t="shared" si="35"/>
        <v>0.67192354410831878</v>
      </c>
      <c r="BA58">
        <f t="shared" si="36"/>
        <v>2.7192284766075403</v>
      </c>
      <c r="BB58">
        <f t="shared" si="37"/>
        <v>-1.2337005501361696E-20</v>
      </c>
      <c r="BD58" s="15">
        <f t="shared" si="52"/>
        <v>57.796525240830057</v>
      </c>
      <c r="BE58" s="10">
        <f t="shared" si="53"/>
        <v>0</v>
      </c>
      <c r="BF58">
        <f t="shared" si="54"/>
        <v>0</v>
      </c>
      <c r="BG58">
        <f t="shared" si="55"/>
        <v>0</v>
      </c>
      <c r="BH58">
        <f t="shared" si="56"/>
        <v>0</v>
      </c>
      <c r="BI58">
        <f t="shared" si="57"/>
        <v>0</v>
      </c>
    </row>
    <row r="59" spans="1:61" x14ac:dyDescent="0.3">
      <c r="A59">
        <f t="shared" si="65"/>
        <v>2.1999999999999999E-2</v>
      </c>
      <c r="B59">
        <f t="shared" si="0"/>
        <v>6.9115038378975438E-2</v>
      </c>
      <c r="C59">
        <f t="shared" si="1"/>
        <v>3.0724776152108175</v>
      </c>
      <c r="D59">
        <f t="shared" si="2"/>
        <v>3.0724776152108175</v>
      </c>
      <c r="E59">
        <f t="shared" si="3"/>
        <v>6.9060025714405782E-2</v>
      </c>
      <c r="F59">
        <f t="shared" si="11"/>
        <v>6.9060025714406059E-2</v>
      </c>
      <c r="G59">
        <f t="shared" si="4"/>
        <v>6.9115038378975438E-2</v>
      </c>
      <c r="H59">
        <f t="shared" si="5"/>
        <v>6.9060025714405782E-2</v>
      </c>
      <c r="I59">
        <f t="shared" si="6"/>
        <v>6.9060025714406059E-2</v>
      </c>
      <c r="J59">
        <f t="shared" si="7"/>
        <v>9.2183541170443531E+20</v>
      </c>
      <c r="K59">
        <f t="shared" si="8"/>
        <v>9.2183541170443531E+20</v>
      </c>
      <c r="L59">
        <f t="shared" si="12"/>
        <v>1</v>
      </c>
      <c r="M59">
        <f t="shared" si="9"/>
        <v>3.0724776152108174E-20</v>
      </c>
      <c r="N59" s="9">
        <f t="shared" si="63"/>
        <v>3.0724776152108174E-20</v>
      </c>
      <c r="O59">
        <f t="shared" si="64"/>
        <v>3.0724776152108174E-20</v>
      </c>
      <c r="Q59">
        <f t="shared" si="15"/>
        <v>48.272898369263054</v>
      </c>
      <c r="R59">
        <f t="shared" si="16"/>
        <v>0</v>
      </c>
      <c r="S59">
        <f t="shared" si="38"/>
        <v>-44.929217582978836</v>
      </c>
      <c r="T59" s="9" t="e">
        <f t="shared" si="17"/>
        <v>#N/A</v>
      </c>
      <c r="U59">
        <f t="shared" si="39"/>
        <v>-1.0000000000000001E+300</v>
      </c>
      <c r="V59">
        <f t="shared" si="40"/>
        <v>0</v>
      </c>
      <c r="W59">
        <f t="shared" si="41"/>
        <v>0</v>
      </c>
      <c r="X59">
        <f t="shared" si="18"/>
        <v>3.0724776152108175</v>
      </c>
      <c r="Y59">
        <f t="shared" si="19"/>
        <v>7.8539816339744828</v>
      </c>
      <c r="Z59">
        <f t="shared" si="20"/>
        <v>-3.0724776152108175</v>
      </c>
      <c r="AA59">
        <f t="shared" si="42"/>
        <v>44.383738099446319</v>
      </c>
      <c r="AB59">
        <f t="shared" si="21"/>
        <v>52.237719733420803</v>
      </c>
      <c r="AC59">
        <f t="shared" si="43"/>
        <v>0.67090157161262554</v>
      </c>
      <c r="AD59">
        <f t="shared" si="22"/>
        <v>2.6727792146715941</v>
      </c>
      <c r="AE59" s="9">
        <f t="shared" si="44"/>
        <v>55.581400519705021</v>
      </c>
      <c r="AF59">
        <f t="shared" si="45"/>
        <v>0</v>
      </c>
      <c r="AH59">
        <f t="shared" si="23"/>
        <v>7.8539816339744828</v>
      </c>
      <c r="AI59">
        <f t="shared" si="24"/>
        <v>44.383738099446454</v>
      </c>
      <c r="AJ59">
        <f t="shared" si="25"/>
        <v>0.67090157161262454</v>
      </c>
      <c r="AK59">
        <f t="shared" si="26"/>
        <v>2.6727792146715941</v>
      </c>
      <c r="AL59" s="9">
        <f t="shared" si="46"/>
        <v>55.581400519705156</v>
      </c>
      <c r="AM59" t="e">
        <f t="shared" si="27"/>
        <v>#N/A</v>
      </c>
      <c r="AN59" t="e">
        <f t="shared" si="47"/>
        <v>#N/A</v>
      </c>
      <c r="AO59">
        <f t="shared" si="28"/>
        <v>0</v>
      </c>
      <c r="AP59">
        <f t="shared" si="29"/>
        <v>1.3500311979441904E-13</v>
      </c>
      <c r="AQ59">
        <f t="shared" si="30"/>
        <v>-9.9920072216264089E-16</v>
      </c>
      <c r="AR59">
        <f t="shared" si="48"/>
        <v>3.0417248653533931E-15</v>
      </c>
      <c r="AS59">
        <f t="shared" si="31"/>
        <v>1.3500311979441904E-13</v>
      </c>
      <c r="AT59">
        <f t="shared" si="49"/>
        <v>2.4289261971107884E-15</v>
      </c>
      <c r="AU59">
        <f t="shared" si="50"/>
        <v>0</v>
      </c>
      <c r="AV59">
        <f t="shared" si="32"/>
        <v>3.0724776152108174E-20</v>
      </c>
      <c r="AW59" t="b">
        <f t="shared" si="51"/>
        <v>1</v>
      </c>
      <c r="AX59">
        <f t="shared" si="33"/>
        <v>7.8539816339744828</v>
      </c>
      <c r="AY59">
        <f t="shared" si="34"/>
        <v>44.383738099446269</v>
      </c>
      <c r="AZ59">
        <f t="shared" si="35"/>
        <v>0.67090157161262554</v>
      </c>
      <c r="BA59">
        <f t="shared" si="36"/>
        <v>2.6727792146715901</v>
      </c>
      <c r="BB59">
        <f t="shared" si="37"/>
        <v>-1.2337005501361696E-20</v>
      </c>
      <c r="BD59" s="15">
        <f t="shared" si="52"/>
        <v>55.581400519704971</v>
      </c>
      <c r="BE59" s="10">
        <f t="shared" si="53"/>
        <v>-1.8474111129762605E-13</v>
      </c>
      <c r="BF59">
        <f t="shared" si="54"/>
        <v>0</v>
      </c>
      <c r="BG59">
        <f t="shared" si="55"/>
        <v>0</v>
      </c>
      <c r="BH59">
        <f t="shared" si="56"/>
        <v>0</v>
      </c>
      <c r="BI59">
        <f t="shared" si="57"/>
        <v>0</v>
      </c>
    </row>
    <row r="60" spans="1:61" x14ac:dyDescent="0.3">
      <c r="A60">
        <f t="shared" si="65"/>
        <v>2.3E-2</v>
      </c>
      <c r="B60">
        <f t="shared" si="0"/>
        <v>7.2256631032565244E-2</v>
      </c>
      <c r="C60">
        <f t="shared" si="1"/>
        <v>3.0693360225572279</v>
      </c>
      <c r="D60">
        <f t="shared" si="2"/>
        <v>3.0693360225572279</v>
      </c>
      <c r="E60">
        <f t="shared" si="3"/>
        <v>7.2193771882860594E-2</v>
      </c>
      <c r="F60">
        <f t="shared" si="11"/>
        <v>7.2193771882860663E-2</v>
      </c>
      <c r="G60">
        <f t="shared" si="4"/>
        <v>7.2256631032565244E-2</v>
      </c>
      <c r="H60">
        <f t="shared" si="5"/>
        <v>7.2193771882860594E-2</v>
      </c>
      <c r="I60">
        <f t="shared" si="6"/>
        <v>7.2193771882860663E-2</v>
      </c>
      <c r="J60">
        <f t="shared" si="7"/>
        <v>8.8182090471812615E+20</v>
      </c>
      <c r="K60">
        <f t="shared" si="8"/>
        <v>8.8182090471812615E+20</v>
      </c>
      <c r="L60">
        <f t="shared" si="12"/>
        <v>1</v>
      </c>
      <c r="M60">
        <f t="shared" si="9"/>
        <v>3.0693360225572275E-20</v>
      </c>
      <c r="N60" s="9">
        <f t="shared" si="63"/>
        <v>3.0693360225572275E-20</v>
      </c>
      <c r="O60">
        <f t="shared" si="64"/>
        <v>3.0693360225572275E-20</v>
      </c>
      <c r="Q60">
        <f t="shared" si="15"/>
        <v>48.228520653405837</v>
      </c>
      <c r="R60">
        <f t="shared" si="16"/>
        <v>0</v>
      </c>
      <c r="S60">
        <f t="shared" si="38"/>
        <v>-44.930240600970869</v>
      </c>
      <c r="T60" s="9" t="e">
        <f t="shared" si="17"/>
        <v>#N/A</v>
      </c>
      <c r="U60">
        <f t="shared" si="39"/>
        <v>-1.0000000000000001E+300</v>
      </c>
      <c r="V60">
        <f t="shared" si="40"/>
        <v>0</v>
      </c>
      <c r="W60">
        <f t="shared" si="41"/>
        <v>0</v>
      </c>
      <c r="X60">
        <f t="shared" si="18"/>
        <v>3.0693360225572279</v>
      </c>
      <c r="Y60">
        <f t="shared" si="19"/>
        <v>7.8539816339744828</v>
      </c>
      <c r="Z60">
        <f t="shared" si="20"/>
        <v>-3.0693360225572279</v>
      </c>
      <c r="AA60">
        <f t="shared" si="42"/>
        <v>42.404308498434766</v>
      </c>
      <c r="AB60">
        <f t="shared" si="21"/>
        <v>50.25829013240925</v>
      </c>
      <c r="AC60">
        <f t="shared" si="43"/>
        <v>0.66987855362059101</v>
      </c>
      <c r="AD60">
        <f t="shared" si="22"/>
        <v>2.6284014988143789</v>
      </c>
      <c r="AE60" s="9">
        <f t="shared" si="44"/>
        <v>53.556570184844219</v>
      </c>
      <c r="AF60">
        <f t="shared" si="45"/>
        <v>0</v>
      </c>
      <c r="AH60">
        <f t="shared" si="23"/>
        <v>7.8539816339744828</v>
      </c>
      <c r="AI60">
        <f t="shared" si="24"/>
        <v>42.404308498434766</v>
      </c>
      <c r="AJ60">
        <f t="shared" si="25"/>
        <v>0.66987855362059179</v>
      </c>
      <c r="AK60">
        <f t="shared" si="26"/>
        <v>2.6284014988143789</v>
      </c>
      <c r="AL60" s="9">
        <f t="shared" si="46"/>
        <v>53.556570184844219</v>
      </c>
      <c r="AM60" t="e">
        <f t="shared" si="27"/>
        <v>#N/A</v>
      </c>
      <c r="AN60" t="e">
        <f t="shared" si="47"/>
        <v>#N/A</v>
      </c>
      <c r="AO60">
        <f t="shared" si="28"/>
        <v>0</v>
      </c>
      <c r="AP60">
        <f t="shared" si="29"/>
        <v>0</v>
      </c>
      <c r="AQ60">
        <f t="shared" si="30"/>
        <v>0</v>
      </c>
      <c r="AR60">
        <f t="shared" si="48"/>
        <v>0</v>
      </c>
      <c r="AS60">
        <f t="shared" si="31"/>
        <v>0</v>
      </c>
      <c r="AT60">
        <f t="shared" si="49"/>
        <v>0</v>
      </c>
      <c r="AU60">
        <f t="shared" si="50"/>
        <v>0</v>
      </c>
      <c r="AV60">
        <f t="shared" si="32"/>
        <v>3.0693360225572275E-20</v>
      </c>
      <c r="AW60" t="b">
        <f t="shared" si="51"/>
        <v>1</v>
      </c>
      <c r="AX60">
        <f t="shared" si="33"/>
        <v>7.8539816339744828</v>
      </c>
      <c r="AY60">
        <f t="shared" si="34"/>
        <v>42.404308498434723</v>
      </c>
      <c r="AZ60">
        <f t="shared" si="35"/>
        <v>0.66987855362059101</v>
      </c>
      <c r="BA60">
        <f t="shared" si="36"/>
        <v>2.628401498814378</v>
      </c>
      <c r="BB60">
        <f t="shared" si="37"/>
        <v>-1.2337005501361696E-20</v>
      </c>
      <c r="BD60" s="15">
        <f t="shared" si="52"/>
        <v>53.556570184844176</v>
      </c>
      <c r="BE60" s="10">
        <f t="shared" si="53"/>
        <v>0</v>
      </c>
      <c r="BF60">
        <f t="shared" si="54"/>
        <v>0</v>
      </c>
      <c r="BG60">
        <f t="shared" si="55"/>
        <v>0</v>
      </c>
      <c r="BH60">
        <f t="shared" si="56"/>
        <v>0</v>
      </c>
      <c r="BI60">
        <f t="shared" si="57"/>
        <v>0</v>
      </c>
    </row>
    <row r="61" spans="1:61" x14ac:dyDescent="0.3">
      <c r="A61">
        <f t="shared" si="65"/>
        <v>2.4E-2</v>
      </c>
      <c r="B61">
        <f t="shared" si="0"/>
        <v>7.5398223686155036E-2</v>
      </c>
      <c r="C61">
        <f t="shared" si="1"/>
        <v>3.0661944299036379</v>
      </c>
      <c r="D61">
        <f t="shared" si="2"/>
        <v>3.0661944299036379</v>
      </c>
      <c r="E61">
        <f t="shared" si="3"/>
        <v>7.5326805527932722E-2</v>
      </c>
      <c r="F61">
        <f t="shared" si="11"/>
        <v>7.5326805527933041E-2</v>
      </c>
      <c r="G61">
        <f t="shared" si="4"/>
        <v>7.5398223686155036E-2</v>
      </c>
      <c r="H61">
        <f t="shared" si="5"/>
        <v>7.5326805527932722E-2</v>
      </c>
      <c r="I61">
        <f t="shared" si="6"/>
        <v>7.5326805527933041E-2</v>
      </c>
      <c r="J61">
        <f t="shared" si="7"/>
        <v>8.4514372792764963E+20</v>
      </c>
      <c r="K61">
        <f t="shared" si="8"/>
        <v>8.4514372792764963E+20</v>
      </c>
      <c r="L61" t="e">
        <f t="shared" si="12"/>
        <v>#NUM!</v>
      </c>
      <c r="M61">
        <f t="shared" si="9"/>
        <v>3.0661944299036381E-20</v>
      </c>
      <c r="N61" s="9" t="e">
        <f t="shared" si="63"/>
        <v>#NUM!</v>
      </c>
      <c r="O61" t="e">
        <f t="shared" si="64"/>
        <v>#NUM!</v>
      </c>
      <c r="Q61">
        <f t="shared" si="15"/>
        <v>48.186038379008025</v>
      </c>
      <c r="R61">
        <f t="shared" si="16"/>
        <v>0</v>
      </c>
      <c r="S61">
        <f t="shared" si="38"/>
        <v>-44.931264666600555</v>
      </c>
      <c r="T61" s="9" t="e">
        <f t="shared" si="17"/>
        <v>#N/A</v>
      </c>
      <c r="U61">
        <f t="shared" si="39"/>
        <v>-1.0000000000000001E+300</v>
      </c>
      <c r="V61">
        <f t="shared" si="40"/>
        <v>0</v>
      </c>
      <c r="W61">
        <f t="shared" si="41"/>
        <v>0</v>
      </c>
      <c r="X61">
        <f t="shared" si="18"/>
        <v>3.0661944299036379</v>
      </c>
      <c r="Y61">
        <f t="shared" si="19"/>
        <v>7.8539816339744828</v>
      </c>
      <c r="Z61">
        <f t="shared" si="20"/>
        <v>-3.0661944299036379</v>
      </c>
      <c r="AA61">
        <f t="shared" si="42"/>
        <v>40.589575573786199</v>
      </c>
      <c r="AB61">
        <f t="shared" si="21"/>
        <v>48.443557207760684</v>
      </c>
      <c r="AC61">
        <f t="shared" si="43"/>
        <v>0.66885448799090075</v>
      </c>
      <c r="AD61">
        <f t="shared" si="22"/>
        <v>2.5859192244165659</v>
      </c>
      <c r="AE61" s="9">
        <f t="shared" si="44"/>
        <v>51.698330920168146</v>
      </c>
      <c r="AF61">
        <f t="shared" si="45"/>
        <v>0</v>
      </c>
      <c r="AH61">
        <f t="shared" si="23"/>
        <v>7.8539816339744828</v>
      </c>
      <c r="AI61">
        <f t="shared" si="24"/>
        <v>40.589575573786341</v>
      </c>
      <c r="AJ61">
        <f t="shared" si="25"/>
        <v>0.66885448799090597</v>
      </c>
      <c r="AK61">
        <f t="shared" si="26"/>
        <v>2.5859192244165659</v>
      </c>
      <c r="AL61" s="9">
        <f t="shared" si="46"/>
        <v>51.698330920168296</v>
      </c>
      <c r="AM61" t="e">
        <f t="shared" si="27"/>
        <v>#N/A</v>
      </c>
      <c r="AN61" t="e">
        <f t="shared" si="47"/>
        <v>#N/A</v>
      </c>
      <c r="AO61">
        <f t="shared" si="28"/>
        <v>0</v>
      </c>
      <c r="AP61">
        <f t="shared" si="29"/>
        <v>1.4210854715202004E-13</v>
      </c>
      <c r="AQ61">
        <f t="shared" si="30"/>
        <v>5.2180482157382357E-15</v>
      </c>
      <c r="AR61">
        <f t="shared" si="48"/>
        <v>3.5011094632829057E-15</v>
      </c>
      <c r="AS61">
        <f t="shared" si="31"/>
        <v>1.4921397450962104E-13</v>
      </c>
      <c r="AT61">
        <f t="shared" si="49"/>
        <v>2.8862435566833825E-15</v>
      </c>
      <c r="AU61">
        <f t="shared" si="50"/>
        <v>0</v>
      </c>
      <c r="AV61">
        <f t="shared" si="32"/>
        <v>3.0661944299036375E-20</v>
      </c>
      <c r="AW61" t="b">
        <f t="shared" si="51"/>
        <v>1</v>
      </c>
      <c r="AX61">
        <f t="shared" si="33"/>
        <v>7.8539816339744828</v>
      </c>
      <c r="AY61">
        <f t="shared" si="34"/>
        <v>40.589575573786163</v>
      </c>
      <c r="AZ61">
        <f t="shared" si="35"/>
        <v>0.66885448799090064</v>
      </c>
      <c r="BA61">
        <f t="shared" si="36"/>
        <v>2.5859192244165614</v>
      </c>
      <c r="BB61">
        <f t="shared" si="37"/>
        <v>-1.2337005501361696E-20</v>
      </c>
      <c r="BD61" s="15">
        <f t="shared" si="52"/>
        <v>51.698330920168111</v>
      </c>
      <c r="BE61" s="10">
        <f t="shared" si="53"/>
        <v>-1.8474111129762605E-13</v>
      </c>
      <c r="BF61">
        <f t="shared" si="54"/>
        <v>0</v>
      </c>
      <c r="BG61">
        <f t="shared" si="55"/>
        <v>0</v>
      </c>
      <c r="BH61">
        <f t="shared" si="56"/>
        <v>0</v>
      </c>
      <c r="BI61">
        <f t="shared" si="57"/>
        <v>0</v>
      </c>
    </row>
    <row r="62" spans="1:61" x14ac:dyDescent="0.3">
      <c r="A62">
        <f t="shared" si="65"/>
        <v>2.5000000000000001E-2</v>
      </c>
      <c r="B62">
        <f t="shared" si="0"/>
        <v>7.8539816339744828E-2</v>
      </c>
      <c r="C62">
        <f t="shared" si="1"/>
        <v>3.0630528372500483</v>
      </c>
      <c r="D62">
        <f t="shared" si="2"/>
        <v>3.0630528372500483</v>
      </c>
      <c r="E62">
        <f t="shared" si="3"/>
        <v>7.8459095727844944E-2</v>
      </c>
      <c r="F62">
        <f t="shared" si="11"/>
        <v>7.8459095727845068E-2</v>
      </c>
      <c r="G62">
        <f t="shared" si="4"/>
        <v>7.8539816339744828E-2</v>
      </c>
      <c r="H62">
        <f t="shared" si="5"/>
        <v>7.8459095727844944E-2</v>
      </c>
      <c r="I62">
        <f t="shared" si="6"/>
        <v>7.8459095727845068E-2</v>
      </c>
      <c r="J62">
        <f t="shared" si="7"/>
        <v>8.1140340257789457E+20</v>
      </c>
      <c r="K62">
        <f t="shared" si="8"/>
        <v>8.1140340257789457E+20</v>
      </c>
      <c r="L62">
        <f t="shared" si="12"/>
        <v>0</v>
      </c>
      <c r="M62">
        <f t="shared" si="9"/>
        <v>3.0630528372500481E-20</v>
      </c>
      <c r="N62" s="9">
        <f t="shared" si="63"/>
        <v>0</v>
      </c>
      <c r="O62">
        <f t="shared" si="64"/>
        <v>0</v>
      </c>
      <c r="Q62">
        <f t="shared" si="15"/>
        <v>48.145297018121859</v>
      </c>
      <c r="R62">
        <f t="shared" si="16"/>
        <v>-710542.73576010019</v>
      </c>
      <c r="S62">
        <f t="shared" si="38"/>
        <v>-44.9322897820158</v>
      </c>
      <c r="T62" s="9" t="e">
        <f t="shared" si="17"/>
        <v>#N/A</v>
      </c>
      <c r="U62">
        <f t="shared" si="39"/>
        <v>-1.0000000000000001E+300</v>
      </c>
      <c r="V62">
        <f t="shared" si="40"/>
        <v>0</v>
      </c>
      <c r="W62">
        <f t="shared" si="41"/>
        <v>0</v>
      </c>
      <c r="X62">
        <f t="shared" si="18"/>
        <v>3.0630528372500483</v>
      </c>
      <c r="Y62">
        <f t="shared" si="19"/>
        <v>7.8539816339744828</v>
      </c>
      <c r="Z62">
        <f t="shared" si="20"/>
        <v>-3.0630528372500483</v>
      </c>
      <c r="AA62">
        <f t="shared" si="42"/>
        <v>38.919776467819901</v>
      </c>
      <c r="AB62">
        <f t="shared" si="21"/>
        <v>46.773758101794385</v>
      </c>
      <c r="AC62">
        <f t="shared" si="43"/>
        <v>0.66782937257565544</v>
      </c>
      <c r="AD62">
        <f t="shared" si="22"/>
        <v>2.545177863530403</v>
      </c>
      <c r="AE62" s="9">
        <f t="shared" si="44"/>
        <v>49.986765337900444</v>
      </c>
      <c r="AF62">
        <f t="shared" si="45"/>
        <v>0</v>
      </c>
      <c r="AH62">
        <f t="shared" si="23"/>
        <v>7.8539816339744828</v>
      </c>
      <c r="AI62">
        <f t="shared" si="24"/>
        <v>38.919776467819936</v>
      </c>
      <c r="AJ62">
        <f t="shared" si="25"/>
        <v>0.66782937257566033</v>
      </c>
      <c r="AK62">
        <f t="shared" si="26"/>
        <v>2.545177863530403</v>
      </c>
      <c r="AL62" s="9">
        <f t="shared" si="46"/>
        <v>49.986765337900486</v>
      </c>
      <c r="AM62" t="e">
        <f t="shared" si="27"/>
        <v>#N/A</v>
      </c>
      <c r="AN62" t="e">
        <f t="shared" si="47"/>
        <v>#N/A</v>
      </c>
      <c r="AO62">
        <f t="shared" si="28"/>
        <v>0</v>
      </c>
      <c r="AP62">
        <f t="shared" si="29"/>
        <v>0</v>
      </c>
      <c r="AQ62">
        <f t="shared" si="30"/>
        <v>4.8849813083506888E-15</v>
      </c>
      <c r="AR62">
        <f t="shared" si="48"/>
        <v>0</v>
      </c>
      <c r="AS62">
        <f t="shared" si="31"/>
        <v>0</v>
      </c>
      <c r="AT62">
        <f t="shared" si="49"/>
        <v>0</v>
      </c>
      <c r="AU62">
        <f t="shared" si="50"/>
        <v>0</v>
      </c>
      <c r="AV62">
        <f t="shared" si="32"/>
        <v>3.0630528372500481E-20</v>
      </c>
      <c r="AW62" t="b">
        <f t="shared" si="51"/>
        <v>1</v>
      </c>
      <c r="AX62">
        <f t="shared" si="33"/>
        <v>7.8539816339744828</v>
      </c>
      <c r="AY62">
        <f t="shared" si="34"/>
        <v>38.919776467819872</v>
      </c>
      <c r="AZ62">
        <f t="shared" si="35"/>
        <v>0.66782937257565556</v>
      </c>
      <c r="BA62">
        <f t="shared" si="36"/>
        <v>2.5451778635304012</v>
      </c>
      <c r="BB62">
        <f t="shared" si="37"/>
        <v>-1.2337005501361696E-20</v>
      </c>
      <c r="BD62" s="15">
        <f t="shared" si="52"/>
        <v>49.986765337900408</v>
      </c>
      <c r="BE62" s="10">
        <f t="shared" si="53"/>
        <v>-7.815970093361102E-14</v>
      </c>
      <c r="BF62">
        <f t="shared" si="54"/>
        <v>0</v>
      </c>
      <c r="BG62">
        <f t="shared" si="55"/>
        <v>0</v>
      </c>
      <c r="BH62">
        <f t="shared" si="56"/>
        <v>0</v>
      </c>
      <c r="BI62">
        <f t="shared" si="57"/>
        <v>0</v>
      </c>
    </row>
    <row r="63" spans="1:61" x14ac:dyDescent="0.3">
      <c r="A63">
        <f t="shared" si="65"/>
        <v>2.5999999999999999E-2</v>
      </c>
      <c r="B63">
        <f t="shared" si="0"/>
        <v>8.168140899333462E-2</v>
      </c>
      <c r="C63">
        <f t="shared" si="1"/>
        <v>3.0599112445964587</v>
      </c>
      <c r="D63">
        <f t="shared" si="2"/>
        <v>3.0599112445964587</v>
      </c>
      <c r="E63">
        <f t="shared" si="3"/>
        <v>8.1590611568157542E-2</v>
      </c>
      <c r="F63">
        <f t="shared" si="11"/>
        <v>8.1590611568157473E-2</v>
      </c>
      <c r="G63">
        <f t="shared" si="4"/>
        <v>8.168140899333462E-2</v>
      </c>
      <c r="H63">
        <f t="shared" si="5"/>
        <v>8.1590611568157542E-2</v>
      </c>
      <c r="I63">
        <f t="shared" si="6"/>
        <v>8.1590611568157473E-2</v>
      </c>
      <c r="J63">
        <f t="shared" si="7"/>
        <v>7.8026106206566993E+20</v>
      </c>
      <c r="K63">
        <f t="shared" si="8"/>
        <v>7.8026106206566993E+20</v>
      </c>
      <c r="L63">
        <f t="shared" si="12"/>
        <v>1</v>
      </c>
      <c r="M63">
        <f t="shared" si="9"/>
        <v>3.0599112445964582E-20</v>
      </c>
      <c r="N63" s="9">
        <f t="shared" si="63"/>
        <v>3.0599112445964582E-20</v>
      </c>
      <c r="O63">
        <f t="shared" si="64"/>
        <v>3.0599112445964582E-20</v>
      </c>
      <c r="Q63">
        <f t="shared" si="15"/>
        <v>48.106160232534585</v>
      </c>
      <c r="R63">
        <f t="shared" si="16"/>
        <v>0</v>
      </c>
      <c r="S63">
        <f t="shared" si="38"/>
        <v>-44.933315949371114</v>
      </c>
      <c r="T63" s="9" t="e">
        <f t="shared" si="17"/>
        <v>#N/A</v>
      </c>
      <c r="U63">
        <f t="shared" si="39"/>
        <v>-1.0000000000000001E+300</v>
      </c>
      <c r="V63">
        <f t="shared" si="40"/>
        <v>0</v>
      </c>
      <c r="W63">
        <f t="shared" si="41"/>
        <v>0</v>
      </c>
      <c r="X63">
        <f t="shared" si="18"/>
        <v>3.0599112445964587</v>
      </c>
      <c r="Y63">
        <f t="shared" si="19"/>
        <v>7.8539816339744828</v>
      </c>
      <c r="Z63">
        <f t="shared" si="20"/>
        <v>-3.0599112445964587</v>
      </c>
      <c r="AA63">
        <f t="shared" si="42"/>
        <v>37.378188760723923</v>
      </c>
      <c r="AB63">
        <f t="shared" si="21"/>
        <v>45.232170394698407</v>
      </c>
      <c r="AC63">
        <f t="shared" si="43"/>
        <v>0.66680320522034342</v>
      </c>
      <c r="AD63">
        <f t="shared" si="22"/>
        <v>2.5060410779431255</v>
      </c>
      <c r="AE63" s="9">
        <f t="shared" si="44"/>
        <v>48.405014677861871</v>
      </c>
      <c r="AF63">
        <f t="shared" si="45"/>
        <v>0</v>
      </c>
      <c r="AH63">
        <f t="shared" si="23"/>
        <v>7.8539816339744828</v>
      </c>
      <c r="AI63">
        <f t="shared" si="24"/>
        <v>37.378188760723859</v>
      </c>
      <c r="AJ63">
        <f t="shared" si="25"/>
        <v>0.66680320522034719</v>
      </c>
      <c r="AK63">
        <f t="shared" si="26"/>
        <v>2.5060410779431255</v>
      </c>
      <c r="AL63" s="9">
        <f t="shared" si="46"/>
        <v>48.405014677861814</v>
      </c>
      <c r="AM63" t="e">
        <f t="shared" si="27"/>
        <v>#N/A</v>
      </c>
      <c r="AN63" t="e">
        <f t="shared" si="47"/>
        <v>#N/A</v>
      </c>
      <c r="AO63">
        <f t="shared" si="28"/>
        <v>0</v>
      </c>
      <c r="AP63">
        <f t="shared" si="29"/>
        <v>-6.3948846218409017E-14</v>
      </c>
      <c r="AQ63">
        <f t="shared" si="30"/>
        <v>3.7747582837255322E-15</v>
      </c>
      <c r="AR63">
        <f t="shared" si="48"/>
        <v>-1.7108599517161462E-15</v>
      </c>
      <c r="AS63">
        <f t="shared" si="31"/>
        <v>-5.6843418860808015E-14</v>
      </c>
      <c r="AT63">
        <f t="shared" si="49"/>
        <v>-1.1743291317873628E-15</v>
      </c>
      <c r="AU63">
        <f t="shared" si="50"/>
        <v>0</v>
      </c>
      <c r="AV63">
        <f t="shared" si="32"/>
        <v>3.0599112445964588E-20</v>
      </c>
      <c r="AW63" t="b">
        <f t="shared" si="51"/>
        <v>1</v>
      </c>
      <c r="AX63">
        <f t="shared" si="33"/>
        <v>7.8539816339744828</v>
      </c>
      <c r="AY63">
        <f t="shared" si="34"/>
        <v>37.378188760723901</v>
      </c>
      <c r="AZ63">
        <f t="shared" si="35"/>
        <v>0.66680320522034353</v>
      </c>
      <c r="BA63">
        <f t="shared" si="36"/>
        <v>2.5060410779431264</v>
      </c>
      <c r="BB63">
        <f t="shared" si="37"/>
        <v>-1.2337005501361696E-20</v>
      </c>
      <c r="BD63" s="15">
        <f t="shared" si="52"/>
        <v>48.40501467786185</v>
      </c>
      <c r="BE63" s="10">
        <f t="shared" si="53"/>
        <v>0</v>
      </c>
      <c r="BF63">
        <f t="shared" si="54"/>
        <v>0</v>
      </c>
      <c r="BG63">
        <f t="shared" si="55"/>
        <v>0</v>
      </c>
      <c r="BH63">
        <f t="shared" si="56"/>
        <v>0</v>
      </c>
      <c r="BI63">
        <f t="shared" si="57"/>
        <v>0</v>
      </c>
    </row>
    <row r="64" spans="1:61" x14ac:dyDescent="0.3">
      <c r="A64">
        <f t="shared" si="65"/>
        <v>2.7E-2</v>
      </c>
      <c r="B64">
        <f t="shared" si="0"/>
        <v>8.4823001646924412E-2</v>
      </c>
      <c r="C64">
        <f t="shared" si="1"/>
        <v>3.0567696519428686</v>
      </c>
      <c r="D64">
        <f t="shared" si="2"/>
        <v>3.0567696519428686</v>
      </c>
      <c r="E64">
        <f t="shared" si="3"/>
        <v>8.4721322142073438E-2</v>
      </c>
      <c r="F64">
        <f t="shared" si="11"/>
        <v>8.4721322142073618E-2</v>
      </c>
      <c r="G64">
        <f t="shared" si="4"/>
        <v>8.4823001646924412E-2</v>
      </c>
      <c r="H64">
        <f t="shared" si="5"/>
        <v>8.4721322142073438E-2</v>
      </c>
      <c r="I64">
        <f t="shared" si="6"/>
        <v>8.4721322142073618E-2</v>
      </c>
      <c r="J64">
        <f t="shared" si="7"/>
        <v>7.5142804228196742E+20</v>
      </c>
      <c r="K64">
        <f t="shared" si="8"/>
        <v>7.5142804228196742E+20</v>
      </c>
      <c r="L64">
        <f t="shared" si="12"/>
        <v>1</v>
      </c>
      <c r="M64">
        <f t="shared" si="9"/>
        <v>3.0567696519428688E-20</v>
      </c>
      <c r="N64" s="9">
        <f t="shared" si="63"/>
        <v>3.0567696519428688E-20</v>
      </c>
      <c r="O64">
        <f t="shared" si="64"/>
        <v>3.0567696519428688E-20</v>
      </c>
      <c r="Q64">
        <f t="shared" si="15"/>
        <v>48.068507126381519</v>
      </c>
      <c r="R64">
        <f t="shared" si="16"/>
        <v>0</v>
      </c>
      <c r="S64">
        <f t="shared" si="38"/>
        <v>-44.934343170827646</v>
      </c>
      <c r="T64" s="9" t="e">
        <f t="shared" si="17"/>
        <v>#N/A</v>
      </c>
      <c r="U64">
        <f t="shared" si="39"/>
        <v>-1.0000000000000001E+300</v>
      </c>
      <c r="V64">
        <f t="shared" si="40"/>
        <v>0</v>
      </c>
      <c r="W64">
        <f t="shared" si="41"/>
        <v>0</v>
      </c>
      <c r="X64">
        <f t="shared" si="18"/>
        <v>3.0567696519428686</v>
      </c>
      <c r="Y64">
        <f t="shared" si="19"/>
        <v>7.8539816339744828</v>
      </c>
      <c r="Z64">
        <f t="shared" si="20"/>
        <v>-3.0567696519428686</v>
      </c>
      <c r="AA64">
        <f t="shared" si="42"/>
        <v>35.950567426514411</v>
      </c>
      <c r="AB64">
        <f t="shared" si="21"/>
        <v>43.804549060488895</v>
      </c>
      <c r="AC64">
        <f t="shared" si="43"/>
        <v>0.66577598376381331</v>
      </c>
      <c r="AD64">
        <f t="shared" si="22"/>
        <v>2.4683879717900616</v>
      </c>
      <c r="AE64" s="9">
        <f t="shared" si="44"/>
        <v>46.938713016042769</v>
      </c>
      <c r="AF64">
        <f t="shared" si="45"/>
        <v>0</v>
      </c>
      <c r="AH64">
        <f t="shared" si="23"/>
        <v>7.8539816339744828</v>
      </c>
      <c r="AI64">
        <f t="shared" si="24"/>
        <v>35.950567426514461</v>
      </c>
      <c r="AJ64">
        <f t="shared" si="25"/>
        <v>0.6657759837638153</v>
      </c>
      <c r="AK64">
        <f t="shared" si="26"/>
        <v>2.4683879717900616</v>
      </c>
      <c r="AL64" s="9">
        <f t="shared" si="46"/>
        <v>46.938713016042826</v>
      </c>
      <c r="AM64" t="e">
        <f t="shared" si="27"/>
        <v>#N/A</v>
      </c>
      <c r="AN64" t="e">
        <f t="shared" si="47"/>
        <v>#N/A</v>
      </c>
      <c r="AO64">
        <f t="shared" si="28"/>
        <v>0</v>
      </c>
      <c r="AP64">
        <f t="shared" si="29"/>
        <v>0</v>
      </c>
      <c r="AQ64">
        <f t="shared" si="30"/>
        <v>1.9984014443252818E-15</v>
      </c>
      <c r="AR64">
        <f t="shared" si="48"/>
        <v>0</v>
      </c>
      <c r="AS64">
        <f t="shared" si="31"/>
        <v>5.6843418860808015E-14</v>
      </c>
      <c r="AT64">
        <f t="shared" si="49"/>
        <v>1.2110135793748742E-15</v>
      </c>
      <c r="AU64">
        <f t="shared" si="50"/>
        <v>0</v>
      </c>
      <c r="AV64">
        <f t="shared" si="32"/>
        <v>3.0567696519428682E-20</v>
      </c>
      <c r="AW64" t="b">
        <f t="shared" si="51"/>
        <v>1</v>
      </c>
      <c r="AX64">
        <f t="shared" si="33"/>
        <v>7.8539816339744828</v>
      </c>
      <c r="AY64">
        <f t="shared" si="34"/>
        <v>35.950567426514382</v>
      </c>
      <c r="AZ64">
        <f t="shared" si="35"/>
        <v>0.66577598376381331</v>
      </c>
      <c r="BA64">
        <f t="shared" si="36"/>
        <v>2.4683879717900599</v>
      </c>
      <c r="BB64">
        <f t="shared" si="37"/>
        <v>-1.2337005501361696E-20</v>
      </c>
      <c r="BD64" s="15">
        <f t="shared" si="52"/>
        <v>46.93871301604274</v>
      </c>
      <c r="BE64" s="10">
        <f t="shared" si="53"/>
        <v>-8.5265128291212022E-14</v>
      </c>
      <c r="BF64">
        <f t="shared" si="54"/>
        <v>0</v>
      </c>
      <c r="BG64">
        <f t="shared" si="55"/>
        <v>0</v>
      </c>
      <c r="BH64">
        <f t="shared" si="56"/>
        <v>0</v>
      </c>
      <c r="BI64">
        <f t="shared" si="57"/>
        <v>0</v>
      </c>
    </row>
    <row r="65" spans="1:61" x14ac:dyDescent="0.3">
      <c r="A65">
        <f t="shared" si="65"/>
        <v>2.8000000000000001E-2</v>
      </c>
      <c r="B65">
        <f t="shared" si="0"/>
        <v>8.7964594300514204E-2</v>
      </c>
      <c r="C65">
        <f t="shared" si="1"/>
        <v>3.0536280592892791</v>
      </c>
      <c r="D65">
        <f t="shared" si="2"/>
        <v>3.0536280592892791</v>
      </c>
      <c r="E65">
        <f t="shared" si="3"/>
        <v>8.7851196550743166E-2</v>
      </c>
      <c r="F65">
        <f t="shared" si="11"/>
        <v>8.7851196550743152E-2</v>
      </c>
      <c r="G65">
        <f t="shared" si="4"/>
        <v>8.7964594300514204E-2</v>
      </c>
      <c r="H65">
        <f t="shared" si="5"/>
        <v>8.7851196550743166E-2</v>
      </c>
      <c r="I65">
        <f t="shared" si="6"/>
        <v>8.7851196550743152E-2</v>
      </c>
      <c r="J65">
        <f t="shared" si="7"/>
        <v>7.246569168808845E+20</v>
      </c>
      <c r="K65">
        <f t="shared" si="8"/>
        <v>7.246569168808845E+20</v>
      </c>
      <c r="L65">
        <f t="shared" si="12"/>
        <v>1</v>
      </c>
      <c r="M65">
        <f t="shared" si="9"/>
        <v>3.0536280592892789E-20</v>
      </c>
      <c r="N65" s="9">
        <f t="shared" si="63"/>
        <v>3.0536280592892789E-20</v>
      </c>
      <c r="O65">
        <f t="shared" si="64"/>
        <v>3.0536280592892789E-20</v>
      </c>
      <c r="Q65">
        <f t="shared" si="15"/>
        <v>48.032229998649143</v>
      </c>
      <c r="R65">
        <f t="shared" si="16"/>
        <v>-710542.73576010019</v>
      </c>
      <c r="S65">
        <f t="shared" si="38"/>
        <v>-44.935371448553212</v>
      </c>
      <c r="T65" s="9" t="e">
        <f t="shared" si="17"/>
        <v>#N/A</v>
      </c>
      <c r="U65">
        <f t="shared" si="39"/>
        <v>-1.0000000000000001E+300</v>
      </c>
      <c r="V65">
        <f t="shared" si="40"/>
        <v>0</v>
      </c>
      <c r="W65">
        <f t="shared" si="41"/>
        <v>0</v>
      </c>
      <c r="X65">
        <f t="shared" si="18"/>
        <v>3.0536280592892791</v>
      </c>
      <c r="Y65">
        <f t="shared" si="19"/>
        <v>7.8539816339744828</v>
      </c>
      <c r="Z65">
        <f t="shared" si="20"/>
        <v>-3.0536280592892791</v>
      </c>
      <c r="AA65">
        <f t="shared" si="42"/>
        <v>34.624702441289195</v>
      </c>
      <c r="AB65">
        <f t="shared" si="21"/>
        <v>42.478684075263679</v>
      </c>
      <c r="AC65">
        <f t="shared" si="43"/>
        <v>0.6647477060382474</v>
      </c>
      <c r="AD65">
        <f t="shared" si="22"/>
        <v>2.4321108440576875</v>
      </c>
      <c r="AE65" s="9">
        <f t="shared" si="44"/>
        <v>45.575542625359617</v>
      </c>
      <c r="AF65">
        <f t="shared" si="45"/>
        <v>0</v>
      </c>
      <c r="AH65">
        <f t="shared" si="23"/>
        <v>7.8539816339744828</v>
      </c>
      <c r="AI65">
        <f t="shared" si="24"/>
        <v>34.624702441289159</v>
      </c>
      <c r="AJ65">
        <f t="shared" si="25"/>
        <v>0.66474770603824851</v>
      </c>
      <c r="AK65">
        <f t="shared" si="26"/>
        <v>2.4321108440576875</v>
      </c>
      <c r="AL65" s="9">
        <f t="shared" si="46"/>
        <v>45.575542625359581</v>
      </c>
      <c r="AM65" t="e">
        <f t="shared" si="27"/>
        <v>#N/A</v>
      </c>
      <c r="AN65" t="e">
        <f t="shared" si="47"/>
        <v>#N/A</v>
      </c>
      <c r="AO65">
        <f t="shared" si="28"/>
        <v>0</v>
      </c>
      <c r="AP65">
        <f t="shared" si="29"/>
        <v>0</v>
      </c>
      <c r="AQ65">
        <f t="shared" si="30"/>
        <v>1.1102230246251565E-15</v>
      </c>
      <c r="AR65">
        <f t="shared" si="48"/>
        <v>0</v>
      </c>
      <c r="AS65">
        <f t="shared" si="31"/>
        <v>0</v>
      </c>
      <c r="AT65">
        <f t="shared" si="49"/>
        <v>0</v>
      </c>
      <c r="AU65">
        <f t="shared" si="50"/>
        <v>0</v>
      </c>
      <c r="AV65">
        <f t="shared" si="32"/>
        <v>3.0536280592892789E-20</v>
      </c>
      <c r="AW65" t="b">
        <f t="shared" si="51"/>
        <v>1</v>
      </c>
      <c r="AX65">
        <f t="shared" si="33"/>
        <v>7.8539816339744828</v>
      </c>
      <c r="AY65">
        <f t="shared" si="34"/>
        <v>34.624702441289166</v>
      </c>
      <c r="AZ65">
        <f t="shared" si="35"/>
        <v>0.6647477060382474</v>
      </c>
      <c r="BA65">
        <f t="shared" si="36"/>
        <v>2.432110844057688</v>
      </c>
      <c r="BB65">
        <f t="shared" si="37"/>
        <v>-1.2337005501361696E-20</v>
      </c>
      <c r="BD65" s="15">
        <f t="shared" si="52"/>
        <v>45.575542625359589</v>
      </c>
      <c r="BE65" s="10">
        <f t="shared" si="53"/>
        <v>0</v>
      </c>
      <c r="BF65">
        <f t="shared" si="54"/>
        <v>0</v>
      </c>
      <c r="BG65">
        <f t="shared" si="55"/>
        <v>0</v>
      </c>
      <c r="BH65">
        <f t="shared" si="56"/>
        <v>0</v>
      </c>
      <c r="BI65">
        <f t="shared" si="57"/>
        <v>0</v>
      </c>
    </row>
    <row r="66" spans="1:61" x14ac:dyDescent="0.3">
      <c r="A66">
        <f t="shared" si="65"/>
        <v>2.9000000000000001E-2</v>
      </c>
      <c r="B66">
        <f t="shared" si="0"/>
        <v>9.110618695410401E-2</v>
      </c>
      <c r="C66">
        <f t="shared" si="1"/>
        <v>3.050486466635689</v>
      </c>
      <c r="D66">
        <f t="shared" si="2"/>
        <v>3.050486466635689</v>
      </c>
      <c r="E66">
        <f t="shared" si="3"/>
        <v>9.0980203903569923E-2</v>
      </c>
      <c r="F66">
        <f t="shared" si="11"/>
        <v>9.0980203903570145E-2</v>
      </c>
      <c r="G66">
        <f t="shared" si="4"/>
        <v>9.110618695410401E-2</v>
      </c>
      <c r="H66">
        <f t="shared" si="5"/>
        <v>9.0980203903569923E-2</v>
      </c>
      <c r="I66">
        <f t="shared" si="6"/>
        <v>9.0980203903570145E-2</v>
      </c>
      <c r="J66">
        <f t="shared" si="7"/>
        <v>6.9973438732049423E+20</v>
      </c>
      <c r="K66">
        <f t="shared" si="8"/>
        <v>6.9973438732049423E+20</v>
      </c>
      <c r="L66">
        <f t="shared" si="12"/>
        <v>1</v>
      </c>
      <c r="M66">
        <f t="shared" si="9"/>
        <v>3.0504864666356889E-20</v>
      </c>
      <c r="N66" s="9">
        <f t="shared" si="63"/>
        <v>3.0504864666356889E-20</v>
      </c>
      <c r="O66">
        <f t="shared" si="64"/>
        <v>3.0504864666356889E-20</v>
      </c>
      <c r="Q66">
        <f t="shared" si="15"/>
        <v>47.997232490243107</v>
      </c>
      <c r="R66">
        <f t="shared" si="16"/>
        <v>-710542.73576010019</v>
      </c>
      <c r="S66">
        <f t="shared" si="38"/>
        <v>-44.936400784722323</v>
      </c>
      <c r="T66" s="9" t="e">
        <f t="shared" si="17"/>
        <v>#N/A</v>
      </c>
      <c r="U66">
        <f t="shared" si="39"/>
        <v>-1.0000000000000001E+300</v>
      </c>
      <c r="V66">
        <f t="shared" si="40"/>
        <v>0</v>
      </c>
      <c r="W66">
        <f t="shared" si="41"/>
        <v>0</v>
      </c>
      <c r="X66">
        <f t="shared" si="18"/>
        <v>3.050486466635689</v>
      </c>
      <c r="Y66">
        <f t="shared" si="19"/>
        <v>7.8539816339744828</v>
      </c>
      <c r="Z66">
        <f t="shared" si="20"/>
        <v>-3.050486466635689</v>
      </c>
      <c r="AA66">
        <f t="shared" si="42"/>
        <v>33.390067920806324</v>
      </c>
      <c r="AB66">
        <f t="shared" si="21"/>
        <v>41.244049554780808</v>
      </c>
      <c r="AC66">
        <f t="shared" si="43"/>
        <v>0.66371836986913313</v>
      </c>
      <c r="AD66">
        <f t="shared" si="22"/>
        <v>2.3971133356516505</v>
      </c>
      <c r="AE66" s="9">
        <f t="shared" si="44"/>
        <v>44.304881260301592</v>
      </c>
      <c r="AF66">
        <f t="shared" si="45"/>
        <v>0</v>
      </c>
      <c r="AH66">
        <f t="shared" si="23"/>
        <v>7.8539816339744828</v>
      </c>
      <c r="AI66">
        <f t="shared" si="24"/>
        <v>33.390067920806374</v>
      </c>
      <c r="AJ66">
        <f t="shared" si="25"/>
        <v>0.66371836986913735</v>
      </c>
      <c r="AK66">
        <f t="shared" si="26"/>
        <v>2.3971133356516505</v>
      </c>
      <c r="AL66" s="9">
        <f t="shared" si="46"/>
        <v>44.304881260301649</v>
      </c>
      <c r="AM66" t="e">
        <f t="shared" si="27"/>
        <v>#N/A</v>
      </c>
      <c r="AN66" t="e">
        <f t="shared" si="47"/>
        <v>#N/A</v>
      </c>
      <c r="AO66">
        <f t="shared" si="28"/>
        <v>0</v>
      </c>
      <c r="AP66">
        <f t="shared" si="29"/>
        <v>0</v>
      </c>
      <c r="AQ66">
        <f t="shared" si="30"/>
        <v>4.2188474935755949E-15</v>
      </c>
      <c r="AR66">
        <f t="shared" si="48"/>
        <v>0</v>
      </c>
      <c r="AS66">
        <f t="shared" si="31"/>
        <v>5.6843418860808015E-14</v>
      </c>
      <c r="AT66">
        <f t="shared" si="49"/>
        <v>1.283005782745235E-15</v>
      </c>
      <c r="AU66">
        <f t="shared" si="50"/>
        <v>0</v>
      </c>
      <c r="AV66">
        <f t="shared" si="32"/>
        <v>3.0504864666356889E-20</v>
      </c>
      <c r="AW66" t="b">
        <f t="shared" si="51"/>
        <v>1</v>
      </c>
      <c r="AX66">
        <f t="shared" si="33"/>
        <v>7.8539816339744828</v>
      </c>
      <c r="AY66">
        <f t="shared" si="34"/>
        <v>33.390067920806295</v>
      </c>
      <c r="AZ66">
        <f t="shared" si="35"/>
        <v>0.66371836986913313</v>
      </c>
      <c r="BA66">
        <f t="shared" si="36"/>
        <v>2.3971133356516479</v>
      </c>
      <c r="BB66">
        <f t="shared" si="37"/>
        <v>-1.2337005501361696E-20</v>
      </c>
      <c r="BD66" s="15">
        <f t="shared" si="52"/>
        <v>44.304881260301556</v>
      </c>
      <c r="BE66" s="10">
        <f t="shared" si="53"/>
        <v>-9.2370555648813024E-14</v>
      </c>
      <c r="BF66">
        <f t="shared" si="54"/>
        <v>0</v>
      </c>
      <c r="BG66">
        <f t="shared" si="55"/>
        <v>0</v>
      </c>
      <c r="BH66">
        <f t="shared" si="56"/>
        <v>0</v>
      </c>
      <c r="BI66">
        <f t="shared" si="57"/>
        <v>0</v>
      </c>
    </row>
    <row r="67" spans="1:61" x14ac:dyDescent="0.3">
      <c r="A67">
        <f t="shared" si="65"/>
        <v>0.03</v>
      </c>
      <c r="B67">
        <f t="shared" si="0"/>
        <v>9.4247779607693788E-2</v>
      </c>
      <c r="C67">
        <f t="shared" si="1"/>
        <v>3.0473448739820994</v>
      </c>
      <c r="D67">
        <f t="shared" si="2"/>
        <v>3.0473448739820994</v>
      </c>
      <c r="E67">
        <f t="shared" si="3"/>
        <v>9.4108313318514311E-2</v>
      </c>
      <c r="F67">
        <f t="shared" si="11"/>
        <v>9.4108313318514353E-2</v>
      </c>
      <c r="G67">
        <f t="shared" si="4"/>
        <v>9.4247779607693788E-2</v>
      </c>
      <c r="H67">
        <f t="shared" si="5"/>
        <v>9.4108313318514311E-2</v>
      </c>
      <c r="I67">
        <f t="shared" si="6"/>
        <v>9.4108313318514353E-2</v>
      </c>
      <c r="J67">
        <f t="shared" si="7"/>
        <v>6.7647559489554324E+20</v>
      </c>
      <c r="K67">
        <f t="shared" si="8"/>
        <v>6.7647559489554324E+20</v>
      </c>
      <c r="L67">
        <f t="shared" si="12"/>
        <v>1</v>
      </c>
      <c r="M67">
        <f t="shared" si="9"/>
        <v>3.0473448739820989E-20</v>
      </c>
      <c r="N67" s="9">
        <f t="shared" si="63"/>
        <v>3.0473448739820989E-20</v>
      </c>
      <c r="O67">
        <f t="shared" si="64"/>
        <v>3.0473448739820989E-20</v>
      </c>
      <c r="Q67">
        <f t="shared" si="15"/>
        <v>47.963428045310494</v>
      </c>
      <c r="R67">
        <f t="shared" si="16"/>
        <v>0</v>
      </c>
      <c r="S67">
        <f t="shared" si="38"/>
        <v>-44.937431181516224</v>
      </c>
      <c r="T67" s="9" t="e">
        <f t="shared" si="17"/>
        <v>#N/A</v>
      </c>
      <c r="U67">
        <f t="shared" si="39"/>
        <v>-1.0000000000000001E+300</v>
      </c>
      <c r="V67">
        <f t="shared" si="40"/>
        <v>0</v>
      </c>
      <c r="W67">
        <f t="shared" si="41"/>
        <v>0</v>
      </c>
      <c r="X67">
        <f t="shared" si="18"/>
        <v>3.0473448739820994</v>
      </c>
      <c r="Y67">
        <f t="shared" si="19"/>
        <v>7.8539816339744828</v>
      </c>
      <c r="Z67">
        <f t="shared" si="20"/>
        <v>-3.0473448739820994</v>
      </c>
      <c r="AA67">
        <f t="shared" si="42"/>
        <v>32.23754143054957</v>
      </c>
      <c r="AB67">
        <f t="shared" si="21"/>
        <v>40.091523064524054</v>
      </c>
      <c r="AC67">
        <f t="shared" si="43"/>
        <v>0.66268797307523675</v>
      </c>
      <c r="AD67">
        <f t="shared" si="22"/>
        <v>2.3633088907190336</v>
      </c>
      <c r="AE67" s="9">
        <f t="shared" si="44"/>
        <v>43.117519928318323</v>
      </c>
      <c r="AF67">
        <f t="shared" si="45"/>
        <v>0</v>
      </c>
      <c r="AH67">
        <f t="shared" si="23"/>
        <v>7.8539816339744828</v>
      </c>
      <c r="AI67">
        <f t="shared" si="24"/>
        <v>32.237541430549562</v>
      </c>
      <c r="AJ67">
        <f t="shared" si="25"/>
        <v>0.66268797307523641</v>
      </c>
      <c r="AK67">
        <f t="shared" si="26"/>
        <v>2.3633088907190336</v>
      </c>
      <c r="AL67" s="9">
        <f t="shared" si="46"/>
        <v>43.117519928318316</v>
      </c>
      <c r="AM67" t="e">
        <f t="shared" si="27"/>
        <v>#N/A</v>
      </c>
      <c r="AN67" t="e">
        <f t="shared" si="47"/>
        <v>#N/A</v>
      </c>
      <c r="AO67">
        <f t="shared" si="28"/>
        <v>0</v>
      </c>
      <c r="AP67">
        <f t="shared" si="29"/>
        <v>0</v>
      </c>
      <c r="AQ67">
        <f t="shared" si="30"/>
        <v>0</v>
      </c>
      <c r="AR67">
        <f t="shared" si="48"/>
        <v>0</v>
      </c>
      <c r="AS67">
        <f t="shared" si="31"/>
        <v>0</v>
      </c>
      <c r="AT67">
        <f t="shared" si="49"/>
        <v>0</v>
      </c>
      <c r="AU67">
        <f t="shared" si="50"/>
        <v>0</v>
      </c>
      <c r="AV67">
        <f t="shared" si="32"/>
        <v>3.0473448739820995E-20</v>
      </c>
      <c r="AW67" t="b">
        <f t="shared" si="51"/>
        <v>1</v>
      </c>
      <c r="AX67">
        <f t="shared" si="33"/>
        <v>7.8539816339744828</v>
      </c>
      <c r="AY67">
        <f t="shared" si="34"/>
        <v>32.237541430549548</v>
      </c>
      <c r="AZ67">
        <f t="shared" si="35"/>
        <v>0.66268797307523697</v>
      </c>
      <c r="BA67">
        <f t="shared" si="36"/>
        <v>2.3633088907190332</v>
      </c>
      <c r="BB67">
        <f t="shared" si="37"/>
        <v>-1.2337005501361696E-20</v>
      </c>
      <c r="BD67" s="15">
        <f t="shared" si="52"/>
        <v>43.117519928318302</v>
      </c>
      <c r="BE67" s="10">
        <f t="shared" si="53"/>
        <v>0</v>
      </c>
      <c r="BF67">
        <f t="shared" si="54"/>
        <v>0</v>
      </c>
      <c r="BG67">
        <f t="shared" si="55"/>
        <v>0</v>
      </c>
      <c r="BH67">
        <f t="shared" si="56"/>
        <v>0</v>
      </c>
      <c r="BI67">
        <f t="shared" si="57"/>
        <v>0</v>
      </c>
    </row>
    <row r="68" spans="1:61" x14ac:dyDescent="0.3">
      <c r="A68">
        <f t="shared" si="65"/>
        <v>3.1E-2</v>
      </c>
      <c r="B68">
        <f t="shared" si="0"/>
        <v>9.738937226128358E-2</v>
      </c>
      <c r="C68">
        <f t="shared" si="1"/>
        <v>3.0442032813285094</v>
      </c>
      <c r="D68">
        <f t="shared" si="2"/>
        <v>3.0442032813285094</v>
      </c>
      <c r="E68">
        <f t="shared" si="3"/>
        <v>9.7235493922399316E-2</v>
      </c>
      <c r="F68">
        <f t="shared" si="11"/>
        <v>9.7235493922399607E-2</v>
      </c>
      <c r="G68">
        <f t="shared" si="4"/>
        <v>9.738937226128358E-2</v>
      </c>
      <c r="H68">
        <f t="shared" si="5"/>
        <v>9.7235493922399316E-2</v>
      </c>
      <c r="I68">
        <f t="shared" si="6"/>
        <v>9.7235493922399607E-2</v>
      </c>
      <c r="J68">
        <f t="shared" si="7"/>
        <v>6.5471953366704574E+20</v>
      </c>
      <c r="K68">
        <f t="shared" si="8"/>
        <v>6.5471953366704574E+20</v>
      </c>
      <c r="L68">
        <f t="shared" si="12"/>
        <v>1</v>
      </c>
      <c r="M68">
        <f t="shared" si="9"/>
        <v>3.0442032813285096E-20</v>
      </c>
      <c r="N68" s="9">
        <f t="shared" si="63"/>
        <v>3.0442032813285096E-20</v>
      </c>
      <c r="O68">
        <f t="shared" si="64"/>
        <v>3.0442032813285096E-20</v>
      </c>
      <c r="Q68">
        <f t="shared" si="15"/>
        <v>47.930738624952589</v>
      </c>
      <c r="R68">
        <f t="shared" si="16"/>
        <v>0</v>
      </c>
      <c r="S68">
        <f t="shared" si="38"/>
        <v>-44.938462641122882</v>
      </c>
      <c r="T68" s="9" t="e">
        <f t="shared" si="17"/>
        <v>#N/A</v>
      </c>
      <c r="U68">
        <f t="shared" si="39"/>
        <v>-1.0000000000000001E+300</v>
      </c>
      <c r="V68">
        <f t="shared" si="40"/>
        <v>0</v>
      </c>
      <c r="W68">
        <f t="shared" si="41"/>
        <v>0</v>
      </c>
      <c r="X68">
        <f t="shared" si="18"/>
        <v>3.0442032813285094</v>
      </c>
      <c r="Y68">
        <f t="shared" si="19"/>
        <v>7.8539816339744828</v>
      </c>
      <c r="Z68">
        <f t="shared" si="20"/>
        <v>-3.0442032813285094</v>
      </c>
      <c r="AA68">
        <f t="shared" si="42"/>
        <v>31.159177622875276</v>
      </c>
      <c r="AB68">
        <f t="shared" si="21"/>
        <v>39.013159256849761</v>
      </c>
      <c r="AC68">
        <f t="shared" si="43"/>
        <v>0.66165651346857446</v>
      </c>
      <c r="AD68">
        <f t="shared" si="22"/>
        <v>2.3306194703611292</v>
      </c>
      <c r="AE68" s="9">
        <f t="shared" si="44"/>
        <v>42.005435240679461</v>
      </c>
      <c r="AF68">
        <f t="shared" si="45"/>
        <v>0</v>
      </c>
      <c r="AH68">
        <f t="shared" si="23"/>
        <v>7.8539816339744828</v>
      </c>
      <c r="AI68">
        <f t="shared" si="24"/>
        <v>31.159177622875355</v>
      </c>
      <c r="AJ68">
        <f t="shared" si="25"/>
        <v>0.66165651346857857</v>
      </c>
      <c r="AK68">
        <f t="shared" si="26"/>
        <v>2.3306194703611292</v>
      </c>
      <c r="AL68" s="9">
        <f t="shared" si="46"/>
        <v>42.005435240679546</v>
      </c>
      <c r="AM68" t="e">
        <f t="shared" si="27"/>
        <v>#N/A</v>
      </c>
      <c r="AN68" t="e">
        <f t="shared" si="47"/>
        <v>#N/A</v>
      </c>
      <c r="AO68">
        <f t="shared" si="28"/>
        <v>0</v>
      </c>
      <c r="AP68">
        <f t="shared" si="29"/>
        <v>7.815970093361102E-14</v>
      </c>
      <c r="AQ68">
        <f t="shared" si="30"/>
        <v>4.1078251911130792E-15</v>
      </c>
      <c r="AR68">
        <f t="shared" si="48"/>
        <v>2.5084006349458488E-15</v>
      </c>
      <c r="AS68">
        <f t="shared" si="31"/>
        <v>8.5265128291212022E-14</v>
      </c>
      <c r="AT68">
        <f t="shared" si="49"/>
        <v>2.0298594170651104E-15</v>
      </c>
      <c r="AU68">
        <f t="shared" si="50"/>
        <v>0</v>
      </c>
      <c r="AV68">
        <f t="shared" si="32"/>
        <v>3.044203281328509E-20</v>
      </c>
      <c r="AW68" t="b">
        <f t="shared" si="51"/>
        <v>1</v>
      </c>
      <c r="AX68">
        <f t="shared" si="33"/>
        <v>7.8539816339744828</v>
      </c>
      <c r="AY68">
        <f t="shared" si="34"/>
        <v>31.159177622875259</v>
      </c>
      <c r="AZ68">
        <f t="shared" si="35"/>
        <v>0.66165651346857446</v>
      </c>
      <c r="BA68">
        <f t="shared" si="36"/>
        <v>2.330619470361126</v>
      </c>
      <c r="BB68">
        <f t="shared" si="37"/>
        <v>-1.2337005501361696E-20</v>
      </c>
      <c r="BD68" s="15">
        <f t="shared" si="52"/>
        <v>42.005435240679439</v>
      </c>
      <c r="BE68" s="10">
        <f t="shared" si="53"/>
        <v>-1.0658141036401503E-13</v>
      </c>
      <c r="BF68">
        <f t="shared" si="54"/>
        <v>0</v>
      </c>
      <c r="BG68">
        <f t="shared" si="55"/>
        <v>0</v>
      </c>
      <c r="BH68">
        <f t="shared" si="56"/>
        <v>0</v>
      </c>
      <c r="BI68">
        <f t="shared" si="57"/>
        <v>0</v>
      </c>
    </row>
    <row r="69" spans="1:61" x14ac:dyDescent="0.3">
      <c r="A69">
        <f t="shared" si="65"/>
        <v>3.2000000000000001E-2</v>
      </c>
      <c r="B69">
        <f t="shared" si="0"/>
        <v>0.10053096491487339</v>
      </c>
      <c r="C69">
        <f t="shared" si="1"/>
        <v>3.0410616886749198</v>
      </c>
      <c r="D69">
        <f t="shared" si="2"/>
        <v>3.0410616886749198</v>
      </c>
      <c r="E69">
        <f t="shared" si="3"/>
        <v>0.10036171485121489</v>
      </c>
      <c r="F69">
        <f t="shared" si="11"/>
        <v>0.10036171485121498</v>
      </c>
      <c r="G69">
        <f t="shared" si="4"/>
        <v>0.10053096491487339</v>
      </c>
      <c r="H69">
        <f t="shared" si="5"/>
        <v>0.10036171485121489</v>
      </c>
      <c r="I69">
        <f t="shared" si="6"/>
        <v>0.10036171485121498</v>
      </c>
      <c r="J69">
        <f t="shared" si="7"/>
        <v>6.3432532346758221E+20</v>
      </c>
      <c r="K69">
        <f t="shared" si="8"/>
        <v>6.3432532346758221E+20</v>
      </c>
      <c r="L69">
        <f t="shared" si="12"/>
        <v>1</v>
      </c>
      <c r="M69">
        <f t="shared" si="9"/>
        <v>3.0410616886749196E-20</v>
      </c>
      <c r="N69" s="9">
        <f t="shared" si="63"/>
        <v>3.0410616886749196E-20</v>
      </c>
      <c r="O69">
        <f t="shared" si="64"/>
        <v>3.0410616886749196E-20</v>
      </c>
      <c r="Q69">
        <f t="shared" si="15"/>
        <v>47.899093625222406</v>
      </c>
      <c r="R69">
        <f t="shared" si="16"/>
        <v>0</v>
      </c>
      <c r="S69">
        <f t="shared" si="38"/>
        <v>-44.939495165737071</v>
      </c>
      <c r="T69" s="9" t="e">
        <f t="shared" si="17"/>
        <v>#N/A</v>
      </c>
      <c r="U69">
        <f t="shared" si="39"/>
        <v>-1.0000000000000001E+300</v>
      </c>
      <c r="V69">
        <f t="shared" si="40"/>
        <v>0</v>
      </c>
      <c r="W69">
        <f t="shared" si="41"/>
        <v>0</v>
      </c>
      <c r="X69">
        <f t="shared" si="18"/>
        <v>3.0410616886749198</v>
      </c>
      <c r="Y69">
        <f t="shared" si="19"/>
        <v>7.8539816339744828</v>
      </c>
      <c r="Z69">
        <f t="shared" si="20"/>
        <v>-3.0410616886749198</v>
      </c>
      <c r="AA69">
        <f t="shared" si="42"/>
        <v>30.148024317196629</v>
      </c>
      <c r="AB69">
        <f t="shared" si="21"/>
        <v>38.002005951171114</v>
      </c>
      <c r="AC69">
        <f t="shared" si="43"/>
        <v>0.66062398885438522</v>
      </c>
      <c r="AD69">
        <f t="shared" si="22"/>
        <v>2.2989744706309438</v>
      </c>
      <c r="AE69" s="9">
        <f t="shared" si="44"/>
        <v>40.961604410656442</v>
      </c>
      <c r="AF69">
        <f t="shared" si="45"/>
        <v>0</v>
      </c>
      <c r="AH69">
        <f t="shared" si="23"/>
        <v>7.8539816339744828</v>
      </c>
      <c r="AI69">
        <f t="shared" si="24"/>
        <v>30.148024317196633</v>
      </c>
      <c r="AJ69">
        <f t="shared" si="25"/>
        <v>0.66062398885438967</v>
      </c>
      <c r="AK69">
        <f t="shared" si="26"/>
        <v>2.2989744706309438</v>
      </c>
      <c r="AL69" s="9">
        <f t="shared" si="46"/>
        <v>40.961604410656449</v>
      </c>
      <c r="AM69" t="e">
        <f t="shared" si="27"/>
        <v>#N/A</v>
      </c>
      <c r="AN69" t="e">
        <f t="shared" si="47"/>
        <v>#N/A</v>
      </c>
      <c r="AO69">
        <f t="shared" si="28"/>
        <v>0</v>
      </c>
      <c r="AP69">
        <f t="shared" si="29"/>
        <v>0</v>
      </c>
      <c r="AQ69">
        <f t="shared" si="30"/>
        <v>4.4408920985006262E-15</v>
      </c>
      <c r="AR69">
        <f t="shared" si="48"/>
        <v>0</v>
      </c>
      <c r="AS69">
        <f t="shared" si="31"/>
        <v>0</v>
      </c>
      <c r="AT69">
        <f t="shared" si="49"/>
        <v>0</v>
      </c>
      <c r="AU69">
        <f t="shared" si="50"/>
        <v>0</v>
      </c>
      <c r="AV69">
        <f t="shared" si="32"/>
        <v>3.0410616886749196E-20</v>
      </c>
      <c r="AW69" t="b">
        <f t="shared" si="51"/>
        <v>1</v>
      </c>
      <c r="AX69">
        <f t="shared" si="33"/>
        <v>7.8539816339744828</v>
      </c>
      <c r="AY69">
        <f t="shared" si="34"/>
        <v>30.148024317196615</v>
      </c>
      <c r="AZ69">
        <f t="shared" si="35"/>
        <v>0.66062398885438534</v>
      </c>
      <c r="BA69">
        <f t="shared" si="36"/>
        <v>2.298974470630943</v>
      </c>
      <c r="BB69">
        <f t="shared" si="37"/>
        <v>-1.2337005501361696E-20</v>
      </c>
      <c r="BD69" s="15">
        <f t="shared" si="52"/>
        <v>40.961604410656427</v>
      </c>
      <c r="BE69" s="10">
        <f t="shared" si="53"/>
        <v>0</v>
      </c>
      <c r="BF69">
        <f t="shared" si="54"/>
        <v>0</v>
      </c>
      <c r="BG69">
        <f t="shared" si="55"/>
        <v>0</v>
      </c>
      <c r="BH69">
        <f t="shared" si="56"/>
        <v>0</v>
      </c>
      <c r="BI69">
        <f t="shared" si="57"/>
        <v>0</v>
      </c>
    </row>
    <row r="70" spans="1:61" x14ac:dyDescent="0.3">
      <c r="A70">
        <f t="shared" si="65"/>
        <v>3.3000000000000002E-2</v>
      </c>
      <c r="B70">
        <f t="shared" si="0"/>
        <v>0.10367255756846318</v>
      </c>
      <c r="C70">
        <f t="shared" si="1"/>
        <v>3.0379200960213297</v>
      </c>
      <c r="D70">
        <f t="shared" si="2"/>
        <v>3.0379200960213297</v>
      </c>
      <c r="E70">
        <f t="shared" si="3"/>
        <v>0.10348694525042253</v>
      </c>
      <c r="F70">
        <f t="shared" si="11"/>
        <v>0.10348694525042286</v>
      </c>
      <c r="G70">
        <f t="shared" si="4"/>
        <v>0.10367255756846318</v>
      </c>
      <c r="H70">
        <f t="shared" si="5"/>
        <v>0.10348694525042253</v>
      </c>
      <c r="I70">
        <f t="shared" si="6"/>
        <v>0.10348694525042286</v>
      </c>
      <c r="J70">
        <f t="shared" si="7"/>
        <v>6.1516916054199815E+20</v>
      </c>
      <c r="K70">
        <f t="shared" si="8"/>
        <v>6.1516916054199815E+20</v>
      </c>
      <c r="L70" t="e">
        <f t="shared" si="12"/>
        <v>#NUM!</v>
      </c>
      <c r="M70">
        <f t="shared" si="9"/>
        <v>3.0379200960213297E-20</v>
      </c>
      <c r="N70" s="9" t="e">
        <f t="shared" si="63"/>
        <v>#NUM!</v>
      </c>
      <c r="O70" t="e">
        <f t="shared" si="64"/>
        <v>#NUM!</v>
      </c>
      <c r="Q70">
        <f t="shared" si="15"/>
        <v>47.86842896166975</v>
      </c>
      <c r="R70">
        <f t="shared" si="16"/>
        <v>0</v>
      </c>
      <c r="S70">
        <f t="shared" si="38"/>
        <v>-44.940528757560358</v>
      </c>
      <c r="T70" s="9" t="e">
        <f t="shared" si="17"/>
        <v>#N/A</v>
      </c>
      <c r="U70">
        <f t="shared" si="39"/>
        <v>-1.0000000000000001E+300</v>
      </c>
      <c r="V70">
        <f t="shared" si="40"/>
        <v>0</v>
      </c>
      <c r="W70">
        <f t="shared" si="41"/>
        <v>0</v>
      </c>
      <c r="X70">
        <f t="shared" si="18"/>
        <v>3.0379200960213297</v>
      </c>
      <c r="Y70">
        <f t="shared" si="19"/>
        <v>7.8539816339744828</v>
      </c>
      <c r="Z70">
        <f t="shared" si="20"/>
        <v>-3.0379200960213297</v>
      </c>
      <c r="AA70">
        <f t="shared" si="42"/>
        <v>29.197972020132077</v>
      </c>
      <c r="AB70">
        <f t="shared" si="21"/>
        <v>37.051953654106562</v>
      </c>
      <c r="AC70">
        <f t="shared" si="43"/>
        <v>0.65959039703110256</v>
      </c>
      <c r="AD70">
        <f t="shared" si="22"/>
        <v>2.268309807078289</v>
      </c>
      <c r="AE70" s="9">
        <f t="shared" si="44"/>
        <v>39.979853858215954</v>
      </c>
      <c r="AF70">
        <f t="shared" si="45"/>
        <v>0</v>
      </c>
      <c r="AH70">
        <f t="shared" si="23"/>
        <v>7.8539816339744828</v>
      </c>
      <c r="AI70">
        <f t="shared" si="24"/>
        <v>29.197972020132159</v>
      </c>
      <c r="AJ70">
        <f t="shared" si="25"/>
        <v>0.65959039703110278</v>
      </c>
      <c r="AK70">
        <f t="shared" si="26"/>
        <v>2.268309807078289</v>
      </c>
      <c r="AL70" s="9">
        <f t="shared" si="46"/>
        <v>39.979853858216032</v>
      </c>
      <c r="AM70" t="e">
        <f t="shared" si="27"/>
        <v>#N/A</v>
      </c>
      <c r="AN70" t="e">
        <f t="shared" si="47"/>
        <v>#N/A</v>
      </c>
      <c r="AO70">
        <f t="shared" si="28"/>
        <v>0</v>
      </c>
      <c r="AP70">
        <f t="shared" si="29"/>
        <v>8.1712414612411521E-14</v>
      </c>
      <c r="AQ70">
        <f t="shared" si="30"/>
        <v>0</v>
      </c>
      <c r="AR70">
        <f t="shared" si="48"/>
        <v>2.7985647275800652E-15</v>
      </c>
      <c r="AS70">
        <f t="shared" si="31"/>
        <v>7.815970093361102E-14</v>
      </c>
      <c r="AT70">
        <f t="shared" si="49"/>
        <v>1.954977154513757E-15</v>
      </c>
      <c r="AU70">
        <f t="shared" si="50"/>
        <v>0</v>
      </c>
      <c r="AV70">
        <f t="shared" si="32"/>
        <v>3.0379200960213297E-20</v>
      </c>
      <c r="AW70" t="b">
        <f t="shared" si="51"/>
        <v>1</v>
      </c>
      <c r="AX70">
        <f t="shared" si="33"/>
        <v>7.8539816339744828</v>
      </c>
      <c r="AY70">
        <f t="shared" si="34"/>
        <v>29.197972020132063</v>
      </c>
      <c r="AZ70">
        <f t="shared" si="35"/>
        <v>0.65959039703110256</v>
      </c>
      <c r="BA70">
        <f t="shared" si="36"/>
        <v>2.2683098070782854</v>
      </c>
      <c r="BB70">
        <f t="shared" si="37"/>
        <v>-1.2337005501361696E-20</v>
      </c>
      <c r="BD70" s="15">
        <f t="shared" si="52"/>
        <v>39.979853858215932</v>
      </c>
      <c r="BE70" s="10">
        <f t="shared" si="53"/>
        <v>-9.9475983006414026E-14</v>
      </c>
      <c r="BF70">
        <f t="shared" si="54"/>
        <v>0</v>
      </c>
      <c r="BG70">
        <f t="shared" si="55"/>
        <v>0</v>
      </c>
      <c r="BH70">
        <f t="shared" si="56"/>
        <v>0</v>
      </c>
      <c r="BI70">
        <f t="shared" si="57"/>
        <v>0</v>
      </c>
    </row>
    <row r="71" spans="1:61" x14ac:dyDescent="0.3">
      <c r="A71">
        <f t="shared" si="65"/>
        <v>3.4000000000000002E-2</v>
      </c>
      <c r="B71">
        <f t="shared" si="0"/>
        <v>0.10681415022205297</v>
      </c>
      <c r="C71">
        <f t="shared" si="1"/>
        <v>3.0347785033677401</v>
      </c>
      <c r="D71">
        <f t="shared" si="2"/>
        <v>3.0347785033677401</v>
      </c>
      <c r="E71">
        <f t="shared" si="3"/>
        <v>0.10661115427525991</v>
      </c>
      <c r="F71">
        <f t="shared" si="11"/>
        <v>0.10661115427526005</v>
      </c>
      <c r="G71">
        <f t="shared" si="4"/>
        <v>0.10681415022205297</v>
      </c>
      <c r="H71">
        <f t="shared" si="5"/>
        <v>0.10661115427525991</v>
      </c>
      <c r="I71">
        <f t="shared" si="6"/>
        <v>0.10661115427526005</v>
      </c>
      <c r="J71">
        <f t="shared" si="7"/>
        <v>5.9714180631033165E+20</v>
      </c>
      <c r="K71">
        <f t="shared" si="8"/>
        <v>5.9714180631033165E+20</v>
      </c>
      <c r="L71">
        <f t="shared" si="12"/>
        <v>1</v>
      </c>
      <c r="M71">
        <f t="shared" si="9"/>
        <v>3.0347785033677403E-20</v>
      </c>
      <c r="N71" s="9">
        <f t="shared" si="63"/>
        <v>3.0347785033677403E-20</v>
      </c>
      <c r="O71">
        <f t="shared" si="64"/>
        <v>3.0347785033677403E-20</v>
      </c>
      <c r="Q71">
        <f t="shared" si="15"/>
        <v>47.838686290587376</v>
      </c>
      <c r="R71">
        <f t="shared" si="16"/>
        <v>0</v>
      </c>
      <c r="S71">
        <f t="shared" si="38"/>
        <v>-44.941563418801131</v>
      </c>
      <c r="T71" s="9" t="e">
        <f t="shared" si="17"/>
        <v>#N/A</v>
      </c>
      <c r="U71">
        <f t="shared" si="39"/>
        <v>-1.0000000000000001E+300</v>
      </c>
      <c r="V71">
        <f t="shared" si="40"/>
        <v>0</v>
      </c>
      <c r="W71">
        <f t="shared" si="41"/>
        <v>0</v>
      </c>
      <c r="X71">
        <f t="shared" si="18"/>
        <v>3.0347785033677401</v>
      </c>
      <c r="Y71">
        <f t="shared" si="19"/>
        <v>7.8539816339744828</v>
      </c>
      <c r="Z71">
        <f t="shared" si="20"/>
        <v>-3.0347785033677401</v>
      </c>
      <c r="AA71">
        <f t="shared" si="42"/>
        <v>28.30363000092381</v>
      </c>
      <c r="AB71">
        <f t="shared" si="21"/>
        <v>36.157611634898295</v>
      </c>
      <c r="AC71">
        <f t="shared" si="43"/>
        <v>0.65855573579032622</v>
      </c>
      <c r="AD71">
        <f t="shared" si="22"/>
        <v>2.2385671359959165</v>
      </c>
      <c r="AE71" s="9">
        <f t="shared" si="44"/>
        <v>39.054734506684532</v>
      </c>
      <c r="AF71">
        <f t="shared" si="45"/>
        <v>0</v>
      </c>
      <c r="AH71">
        <f t="shared" si="23"/>
        <v>7.8539816339744828</v>
      </c>
      <c r="AI71">
        <f t="shared" si="24"/>
        <v>28.303630000923828</v>
      </c>
      <c r="AJ71">
        <f t="shared" si="25"/>
        <v>0.65855573579032978</v>
      </c>
      <c r="AK71">
        <f t="shared" si="26"/>
        <v>2.2385671359959165</v>
      </c>
      <c r="AL71" s="9">
        <f t="shared" si="46"/>
        <v>39.054734506684554</v>
      </c>
      <c r="AM71" t="e">
        <f t="shared" si="27"/>
        <v>#N/A</v>
      </c>
      <c r="AN71" t="e">
        <f t="shared" si="47"/>
        <v>#N/A</v>
      </c>
      <c r="AO71">
        <f t="shared" si="28"/>
        <v>0</v>
      </c>
      <c r="AP71">
        <f t="shared" si="29"/>
        <v>0</v>
      </c>
      <c r="AQ71">
        <f t="shared" si="30"/>
        <v>3.5527136788005009E-15</v>
      </c>
      <c r="AR71">
        <f t="shared" si="48"/>
        <v>0</v>
      </c>
      <c r="AS71">
        <f t="shared" si="31"/>
        <v>0</v>
      </c>
      <c r="AT71">
        <f t="shared" si="49"/>
        <v>0</v>
      </c>
      <c r="AU71">
        <f t="shared" si="50"/>
        <v>0</v>
      </c>
      <c r="AV71">
        <f t="shared" si="32"/>
        <v>3.0347785033677397E-20</v>
      </c>
      <c r="AW71" t="b">
        <f t="shared" si="51"/>
        <v>1</v>
      </c>
      <c r="AX71">
        <f t="shared" si="33"/>
        <v>7.8539816339744828</v>
      </c>
      <c r="AY71">
        <f t="shared" si="34"/>
        <v>28.303630000923793</v>
      </c>
      <c r="AZ71">
        <f t="shared" si="35"/>
        <v>0.65855573579032622</v>
      </c>
      <c r="BA71">
        <f t="shared" si="36"/>
        <v>2.2385671359959152</v>
      </c>
      <c r="BB71">
        <f t="shared" si="37"/>
        <v>-1.2337005501361696E-20</v>
      </c>
      <c r="BD71" s="15">
        <f t="shared" si="52"/>
        <v>39.054734506684518</v>
      </c>
      <c r="BE71" s="10">
        <f t="shared" si="53"/>
        <v>0</v>
      </c>
      <c r="BF71">
        <f t="shared" si="54"/>
        <v>0</v>
      </c>
      <c r="BG71">
        <f t="shared" si="55"/>
        <v>0</v>
      </c>
      <c r="BH71">
        <f t="shared" si="56"/>
        <v>0</v>
      </c>
      <c r="BI71">
        <f t="shared" si="57"/>
        <v>0</v>
      </c>
    </row>
    <row r="72" spans="1:61" x14ac:dyDescent="0.3">
      <c r="A72">
        <f t="shared" si="65"/>
        <v>3.5000000000000003E-2</v>
      </c>
      <c r="B72">
        <f t="shared" si="0"/>
        <v>0.10995574287564278</v>
      </c>
      <c r="C72">
        <f t="shared" si="1"/>
        <v>3.0316369107141505</v>
      </c>
      <c r="D72">
        <f t="shared" si="2"/>
        <v>3.0316369107141505</v>
      </c>
      <c r="E72">
        <f t="shared" si="3"/>
        <v>0.10973431109104528</v>
      </c>
      <c r="F72">
        <f t="shared" si="11"/>
        <v>0.10973431109104521</v>
      </c>
      <c r="G72">
        <f t="shared" si="4"/>
        <v>0.10995574287564278</v>
      </c>
      <c r="H72">
        <f t="shared" si="5"/>
        <v>0.10973431109104528</v>
      </c>
      <c r="I72">
        <f t="shared" si="6"/>
        <v>0.10973431109104521</v>
      </c>
      <c r="J72">
        <f t="shared" si="7"/>
        <v>5.801465066285288E+20</v>
      </c>
      <c r="K72">
        <f t="shared" si="8"/>
        <v>5.801465066285288E+20</v>
      </c>
      <c r="L72">
        <f t="shared" si="12"/>
        <v>1</v>
      </c>
      <c r="M72">
        <f t="shared" si="9"/>
        <v>3.0316369107141503E-20</v>
      </c>
      <c r="N72" s="9">
        <f t="shared" si="63"/>
        <v>3.0316369107141503E-20</v>
      </c>
      <c r="O72">
        <f t="shared" si="64"/>
        <v>3.0316369107141503E-20</v>
      </c>
      <c r="Q72">
        <f t="shared" si="15"/>
        <v>47.809812343171274</v>
      </c>
      <c r="R72">
        <f t="shared" si="16"/>
        <v>0</v>
      </c>
      <c r="S72">
        <f t="shared" si="38"/>
        <v>-44.942599151674663</v>
      </c>
      <c r="T72" s="9" t="e">
        <f t="shared" si="17"/>
        <v>#N/A</v>
      </c>
      <c r="U72">
        <f t="shared" si="39"/>
        <v>-1.0000000000000001E+300</v>
      </c>
      <c r="V72">
        <f t="shared" si="40"/>
        <v>0</v>
      </c>
      <c r="W72">
        <f t="shared" si="41"/>
        <v>0</v>
      </c>
      <c r="X72">
        <f t="shared" si="18"/>
        <v>3.0316369107141505</v>
      </c>
      <c r="Y72">
        <f t="shared" si="19"/>
        <v>7.8539816339744828</v>
      </c>
      <c r="Z72">
        <f t="shared" si="20"/>
        <v>-3.0316369107141505</v>
      </c>
      <c r="AA72">
        <f t="shared" si="42"/>
        <v>27.460223611068248</v>
      </c>
      <c r="AB72">
        <f t="shared" si="21"/>
        <v>35.314205245042729</v>
      </c>
      <c r="AC72">
        <f t="shared" si="43"/>
        <v>0.65752000291679424</v>
      </c>
      <c r="AD72">
        <f t="shared" si="22"/>
        <v>2.2096931885798115</v>
      </c>
      <c r="AE72" s="9">
        <f t="shared" si="44"/>
        <v>38.181418436539339</v>
      </c>
      <c r="AF72">
        <f t="shared" si="45"/>
        <v>0</v>
      </c>
      <c r="AH72">
        <f t="shared" si="23"/>
        <v>7.8539816339744828</v>
      </c>
      <c r="AI72">
        <f t="shared" si="24"/>
        <v>27.460223611068212</v>
      </c>
      <c r="AJ72">
        <f t="shared" si="25"/>
        <v>0.65752000291679735</v>
      </c>
      <c r="AK72">
        <f t="shared" si="26"/>
        <v>2.2096931885798115</v>
      </c>
      <c r="AL72" s="9">
        <f t="shared" si="46"/>
        <v>38.181418436539303</v>
      </c>
      <c r="AM72" t="e">
        <f t="shared" si="27"/>
        <v>#N/A</v>
      </c>
      <c r="AN72" t="e">
        <f t="shared" si="47"/>
        <v>#N/A</v>
      </c>
      <c r="AO72">
        <f t="shared" si="28"/>
        <v>0</v>
      </c>
      <c r="AP72">
        <f t="shared" si="29"/>
        <v>-3.5527136788005009E-14</v>
      </c>
      <c r="AQ72">
        <f t="shared" si="30"/>
        <v>3.1086244689504383E-15</v>
      </c>
      <c r="AR72">
        <f t="shared" si="48"/>
        <v>-1.2937672063852137E-15</v>
      </c>
      <c r="AS72">
        <f t="shared" si="31"/>
        <v>0</v>
      </c>
      <c r="AT72">
        <f t="shared" si="49"/>
        <v>0</v>
      </c>
      <c r="AU72">
        <f t="shared" si="50"/>
        <v>0</v>
      </c>
      <c r="AV72">
        <f t="shared" si="32"/>
        <v>3.0316369107141503E-20</v>
      </c>
      <c r="AW72" t="b">
        <f t="shared" si="51"/>
        <v>1</v>
      </c>
      <c r="AX72">
        <f t="shared" si="33"/>
        <v>7.8539816339744828</v>
      </c>
      <c r="AY72">
        <f t="shared" si="34"/>
        <v>27.460223611068237</v>
      </c>
      <c r="AZ72">
        <f t="shared" si="35"/>
        <v>0.65752000291679424</v>
      </c>
      <c r="BA72">
        <f t="shared" si="36"/>
        <v>2.2096931885798123</v>
      </c>
      <c r="BB72">
        <f t="shared" si="37"/>
        <v>-1.2337005501361696E-20</v>
      </c>
      <c r="BD72" s="15">
        <f t="shared" si="52"/>
        <v>38.181418436539332</v>
      </c>
      <c r="BE72" s="10">
        <f t="shared" si="53"/>
        <v>0</v>
      </c>
      <c r="BF72">
        <f t="shared" si="54"/>
        <v>0</v>
      </c>
      <c r="BG72">
        <f t="shared" si="55"/>
        <v>0</v>
      </c>
      <c r="BH72">
        <f t="shared" si="56"/>
        <v>0</v>
      </c>
      <c r="BI72">
        <f t="shared" si="57"/>
        <v>0</v>
      </c>
    </row>
    <row r="73" spans="1:61" x14ac:dyDescent="0.3">
      <c r="A73">
        <f t="shared" si="65"/>
        <v>3.5999999999999997E-2</v>
      </c>
      <c r="B73">
        <f t="shared" si="0"/>
        <v>0.11309733552923254</v>
      </c>
      <c r="C73">
        <f t="shared" si="1"/>
        <v>3.0284953180605605</v>
      </c>
      <c r="D73">
        <f t="shared" si="2"/>
        <v>3.0284953180605605</v>
      </c>
      <c r="E73">
        <f t="shared" si="3"/>
        <v>0.11285638487348167</v>
      </c>
      <c r="F73">
        <f t="shared" si="11"/>
        <v>0.11285638487348187</v>
      </c>
      <c r="G73">
        <f t="shared" si="4"/>
        <v>0.11309733552923254</v>
      </c>
      <c r="H73">
        <f t="shared" si="5"/>
        <v>0.11285638487348167</v>
      </c>
      <c r="I73">
        <f t="shared" si="6"/>
        <v>0.11285638487348187</v>
      </c>
      <c r="J73">
        <f t="shared" si="7"/>
        <v>5.6409725783903843E+20</v>
      </c>
      <c r="K73">
        <f t="shared" si="8"/>
        <v>5.6409725783903843E+20</v>
      </c>
      <c r="L73">
        <f t="shared" si="12"/>
        <v>1</v>
      </c>
      <c r="M73">
        <f t="shared" si="9"/>
        <v>3.0284953180605604E-20</v>
      </c>
      <c r="N73" s="9">
        <f t="shared" si="63"/>
        <v>3.0284953180605604E-20</v>
      </c>
      <c r="O73">
        <f t="shared" si="64"/>
        <v>3.0284953180605604E-20</v>
      </c>
      <c r="Q73">
        <f t="shared" si="15"/>
        <v>47.781758353501317</v>
      </c>
      <c r="R73">
        <f t="shared" si="16"/>
        <v>0</v>
      </c>
      <c r="S73">
        <f t="shared" si="38"/>
        <v>-44.943635958403107</v>
      </c>
      <c r="T73" s="9" t="e">
        <f t="shared" si="17"/>
        <v>#N/A</v>
      </c>
      <c r="U73">
        <f t="shared" si="39"/>
        <v>-1.0000000000000001E+300</v>
      </c>
      <c r="V73">
        <f t="shared" si="40"/>
        <v>0</v>
      </c>
      <c r="W73">
        <f t="shared" si="41"/>
        <v>0</v>
      </c>
      <c r="X73">
        <f t="shared" si="18"/>
        <v>3.0284953180605605</v>
      </c>
      <c r="Y73">
        <f t="shared" si="19"/>
        <v>7.8539816339744828</v>
      </c>
      <c r="Z73">
        <f t="shared" si="20"/>
        <v>-3.0284953180605605</v>
      </c>
      <c r="AA73">
        <f t="shared" si="42"/>
        <v>26.663508717342683</v>
      </c>
      <c r="AB73">
        <f t="shared" si="21"/>
        <v>34.517490351317164</v>
      </c>
      <c r="AC73">
        <f t="shared" si="43"/>
        <v>0.65648319618835382</v>
      </c>
      <c r="AD73">
        <f t="shared" si="22"/>
        <v>2.1816391989098598</v>
      </c>
      <c r="AE73" s="9">
        <f t="shared" si="44"/>
        <v>37.355612746415375</v>
      </c>
      <c r="AF73">
        <f t="shared" si="45"/>
        <v>0</v>
      </c>
      <c r="AH73">
        <f t="shared" si="23"/>
        <v>7.8539816339744828</v>
      </c>
      <c r="AI73">
        <f t="shared" si="24"/>
        <v>26.663508717342712</v>
      </c>
      <c r="AJ73">
        <f t="shared" si="25"/>
        <v>0.65648319618835416</v>
      </c>
      <c r="AK73">
        <f t="shared" si="26"/>
        <v>2.1816391989098598</v>
      </c>
      <c r="AL73" s="9">
        <f t="shared" si="46"/>
        <v>37.355612746415403</v>
      </c>
      <c r="AM73" t="e">
        <f t="shared" si="27"/>
        <v>#N/A</v>
      </c>
      <c r="AN73" t="e">
        <f t="shared" si="47"/>
        <v>#N/A</v>
      </c>
      <c r="AO73">
        <f t="shared" si="28"/>
        <v>0</v>
      </c>
      <c r="AP73">
        <f t="shared" si="29"/>
        <v>2.8421709430404007E-14</v>
      </c>
      <c r="AQ73">
        <f t="shared" si="30"/>
        <v>0</v>
      </c>
      <c r="AR73">
        <f t="shared" si="48"/>
        <v>1.0659403355987321E-15</v>
      </c>
      <c r="AS73">
        <f t="shared" si="31"/>
        <v>0</v>
      </c>
      <c r="AT73">
        <f t="shared" si="49"/>
        <v>0</v>
      </c>
      <c r="AU73">
        <f t="shared" si="50"/>
        <v>0</v>
      </c>
      <c r="AV73">
        <f t="shared" si="32"/>
        <v>3.0284953180605604E-20</v>
      </c>
      <c r="AW73" t="b">
        <f t="shared" si="51"/>
        <v>1</v>
      </c>
      <c r="AX73">
        <f t="shared" si="33"/>
        <v>7.8539816339744828</v>
      </c>
      <c r="AY73">
        <f t="shared" si="34"/>
        <v>26.663508717342669</v>
      </c>
      <c r="AZ73">
        <f t="shared" si="35"/>
        <v>0.65648319618835393</v>
      </c>
      <c r="BA73">
        <f t="shared" si="36"/>
        <v>2.1816391989098576</v>
      </c>
      <c r="BB73">
        <f t="shared" si="37"/>
        <v>-1.2337005501361696E-20</v>
      </c>
      <c r="BD73" s="15">
        <f t="shared" si="52"/>
        <v>37.35561274641536</v>
      </c>
      <c r="BE73" s="10">
        <f t="shared" si="53"/>
        <v>0</v>
      </c>
      <c r="BF73">
        <f t="shared" si="54"/>
        <v>0</v>
      </c>
      <c r="BG73">
        <f t="shared" si="55"/>
        <v>0</v>
      </c>
      <c r="BH73">
        <f t="shared" si="56"/>
        <v>0</v>
      </c>
      <c r="BI73">
        <f t="shared" si="57"/>
        <v>0</v>
      </c>
    </row>
    <row r="74" spans="1:61" x14ac:dyDescent="0.3">
      <c r="A74">
        <f t="shared" si="65"/>
        <v>3.6999999999999998E-2</v>
      </c>
      <c r="B74">
        <f t="shared" si="0"/>
        <v>0.11623892818282235</v>
      </c>
      <c r="C74">
        <f t="shared" si="1"/>
        <v>3.0253537254069709</v>
      </c>
      <c r="D74">
        <f t="shared" si="2"/>
        <v>3.0253537254069709</v>
      </c>
      <c r="E74">
        <f t="shared" si="3"/>
        <v>0.11597734480896137</v>
      </c>
      <c r="F74">
        <f t="shared" si="11"/>
        <v>0.11597734480896137</v>
      </c>
      <c r="G74">
        <f t="shared" si="4"/>
        <v>0.11623892818282235</v>
      </c>
      <c r="H74">
        <f t="shared" si="5"/>
        <v>0.11597734480896137</v>
      </c>
      <c r="I74">
        <f t="shared" si="6"/>
        <v>0.11597734480896137</v>
      </c>
      <c r="J74">
        <f t="shared" si="7"/>
        <v>5.4891735400239215E+20</v>
      </c>
      <c r="K74">
        <f t="shared" si="8"/>
        <v>5.4891735400239215E+20</v>
      </c>
      <c r="L74">
        <f t="shared" si="12"/>
        <v>1</v>
      </c>
      <c r="M74">
        <f t="shared" si="9"/>
        <v>3.0253537254069704E-20</v>
      </c>
      <c r="N74" s="9">
        <f t="shared" si="63"/>
        <v>3.0253537254069704E-20</v>
      </c>
      <c r="O74">
        <f t="shared" si="64"/>
        <v>3.0253537254069704E-20</v>
      </c>
      <c r="Q74">
        <f t="shared" si="15"/>
        <v>47.754479564912444</v>
      </c>
      <c r="R74">
        <f t="shared" si="16"/>
        <v>0</v>
      </c>
      <c r="S74">
        <f t="shared" si="38"/>
        <v>-44.944673841215526</v>
      </c>
      <c r="T74" s="9" t="e">
        <f t="shared" si="17"/>
        <v>#N/A</v>
      </c>
      <c r="U74">
        <f t="shared" si="39"/>
        <v>-1.0000000000000001E+300</v>
      </c>
      <c r="V74">
        <f t="shared" si="40"/>
        <v>0</v>
      </c>
      <c r="W74">
        <f t="shared" si="41"/>
        <v>0</v>
      </c>
      <c r="X74">
        <f t="shared" si="18"/>
        <v>3.0253537254069709</v>
      </c>
      <c r="Y74">
        <f t="shared" si="19"/>
        <v>7.8539816339744828</v>
      </c>
      <c r="Z74">
        <f t="shared" si="20"/>
        <v>-3.0253537254069709</v>
      </c>
      <c r="AA74">
        <f t="shared" si="42"/>
        <v>25.909700010557206</v>
      </c>
      <c r="AB74">
        <f t="shared" si="21"/>
        <v>33.763681644531687</v>
      </c>
      <c r="AC74">
        <f t="shared" si="43"/>
        <v>0.65544531337593392</v>
      </c>
      <c r="AD74">
        <f t="shared" si="22"/>
        <v>2.1543604103209821</v>
      </c>
      <c r="AE74" s="9">
        <f t="shared" si="44"/>
        <v>36.573487368228605</v>
      </c>
      <c r="AF74">
        <f t="shared" si="45"/>
        <v>0</v>
      </c>
      <c r="AH74">
        <f t="shared" si="23"/>
        <v>7.8539816339744828</v>
      </c>
      <c r="AI74">
        <f t="shared" si="24"/>
        <v>25.909700010557184</v>
      </c>
      <c r="AJ74">
        <f t="shared" si="25"/>
        <v>0.65544531337593526</v>
      </c>
      <c r="AK74">
        <f t="shared" si="26"/>
        <v>2.1543604103209821</v>
      </c>
      <c r="AL74" s="9">
        <f t="shared" si="46"/>
        <v>36.573487368228584</v>
      </c>
      <c r="AM74" t="e">
        <f t="shared" si="27"/>
        <v>#N/A</v>
      </c>
      <c r="AN74" t="e">
        <f t="shared" si="47"/>
        <v>#N/A</v>
      </c>
      <c r="AO74">
        <f t="shared" si="28"/>
        <v>0</v>
      </c>
      <c r="AP74">
        <f t="shared" si="29"/>
        <v>0</v>
      </c>
      <c r="AQ74">
        <f t="shared" si="30"/>
        <v>1.3322676295501878E-15</v>
      </c>
      <c r="AR74">
        <f t="shared" si="48"/>
        <v>0</v>
      </c>
      <c r="AS74">
        <f t="shared" si="31"/>
        <v>0</v>
      </c>
      <c r="AT74">
        <f t="shared" si="49"/>
        <v>0</v>
      </c>
      <c r="AU74">
        <f t="shared" si="50"/>
        <v>0</v>
      </c>
      <c r="AV74">
        <f t="shared" si="32"/>
        <v>3.025353725406971E-20</v>
      </c>
      <c r="AW74" t="b">
        <f t="shared" si="51"/>
        <v>1</v>
      </c>
      <c r="AX74">
        <f t="shared" si="33"/>
        <v>7.8539816339744828</v>
      </c>
      <c r="AY74">
        <f t="shared" si="34"/>
        <v>25.909700010557188</v>
      </c>
      <c r="AZ74">
        <f t="shared" si="35"/>
        <v>0.65544531337593404</v>
      </c>
      <c r="BA74">
        <f t="shared" si="36"/>
        <v>2.1543604103209821</v>
      </c>
      <c r="BB74">
        <f t="shared" si="37"/>
        <v>-1.2337005501361696E-20</v>
      </c>
      <c r="BD74" s="15">
        <f t="shared" si="52"/>
        <v>36.573487368228591</v>
      </c>
      <c r="BE74" s="10">
        <f t="shared" si="53"/>
        <v>0</v>
      </c>
      <c r="BF74">
        <f t="shared" si="54"/>
        <v>0</v>
      </c>
      <c r="BG74">
        <f t="shared" si="55"/>
        <v>0</v>
      </c>
      <c r="BH74">
        <f t="shared" si="56"/>
        <v>0</v>
      </c>
      <c r="BI74">
        <f t="shared" si="57"/>
        <v>0</v>
      </c>
    </row>
    <row r="75" spans="1:61" x14ac:dyDescent="0.3">
      <c r="A75">
        <f t="shared" si="65"/>
        <v>3.7999999999999999E-2</v>
      </c>
      <c r="B75">
        <f t="shared" si="0"/>
        <v>0.11938052083641214</v>
      </c>
      <c r="C75">
        <f t="shared" si="1"/>
        <v>3.0222121327533809</v>
      </c>
      <c r="D75">
        <f t="shared" si="2"/>
        <v>3.0222121327533809</v>
      </c>
      <c r="E75">
        <f t="shared" si="3"/>
        <v>0.11909716009486973</v>
      </c>
      <c r="F75">
        <f t="shared" si="11"/>
        <v>0.11909716009486998</v>
      </c>
      <c r="G75">
        <f t="shared" si="4"/>
        <v>0.11938052083641214</v>
      </c>
      <c r="H75">
        <f t="shared" si="5"/>
        <v>0.11909716009486973</v>
      </c>
      <c r="I75">
        <f t="shared" si="6"/>
        <v>0.11909716009486998</v>
      </c>
      <c r="J75">
        <f t="shared" si="7"/>
        <v>5.3453816351327479E+20</v>
      </c>
      <c r="K75">
        <f t="shared" si="8"/>
        <v>5.3453816351327479E+20</v>
      </c>
      <c r="L75">
        <f t="shared" si="12"/>
        <v>1</v>
      </c>
      <c r="M75">
        <f t="shared" si="9"/>
        <v>3.0222121327533811E-20</v>
      </c>
      <c r="N75" s="9">
        <f t="shared" si="63"/>
        <v>3.0222121327533811E-20</v>
      </c>
      <c r="O75">
        <f t="shared" si="64"/>
        <v>3.0222121327533811E-20</v>
      </c>
      <c r="Q75">
        <f t="shared" si="15"/>
        <v>47.727934802208054</v>
      </c>
      <c r="R75">
        <f t="shared" si="16"/>
        <v>0</v>
      </c>
      <c r="S75">
        <f t="shared" si="38"/>
        <v>-44.945712802347941</v>
      </c>
      <c r="T75" s="9" t="e">
        <f t="shared" si="17"/>
        <v>#N/A</v>
      </c>
      <c r="U75">
        <f t="shared" si="39"/>
        <v>-1.0000000000000001E+300</v>
      </c>
      <c r="V75">
        <f t="shared" si="40"/>
        <v>0</v>
      </c>
      <c r="W75">
        <f t="shared" si="41"/>
        <v>0</v>
      </c>
      <c r="X75">
        <f t="shared" si="18"/>
        <v>3.0222121327533809</v>
      </c>
      <c r="Y75">
        <f t="shared" si="19"/>
        <v>7.8539816339744828</v>
      </c>
      <c r="Z75">
        <f t="shared" si="20"/>
        <v>-3.0222121327533809</v>
      </c>
      <c r="AA75">
        <f t="shared" si="42"/>
        <v>25.195410633976341</v>
      </c>
      <c r="AB75">
        <f t="shared" si="21"/>
        <v>33.049392267950822</v>
      </c>
      <c r="AC75">
        <f t="shared" si="43"/>
        <v>0.65440635224351473</v>
      </c>
      <c r="AD75">
        <f t="shared" si="22"/>
        <v>2.1278156476165937</v>
      </c>
      <c r="AE75" s="9">
        <f t="shared" si="44"/>
        <v>35.831614267810927</v>
      </c>
      <c r="AF75">
        <f t="shared" si="45"/>
        <v>0</v>
      </c>
      <c r="AH75">
        <f t="shared" si="23"/>
        <v>7.8539816339744828</v>
      </c>
      <c r="AI75">
        <f t="shared" si="24"/>
        <v>25.19541063397638</v>
      </c>
      <c r="AJ75">
        <f t="shared" si="25"/>
        <v>0.65440635224351951</v>
      </c>
      <c r="AK75">
        <f t="shared" si="26"/>
        <v>2.1278156476165937</v>
      </c>
      <c r="AL75" s="9">
        <f t="shared" si="46"/>
        <v>35.831614267810977</v>
      </c>
      <c r="AM75" t="e">
        <f t="shared" si="27"/>
        <v>#N/A</v>
      </c>
      <c r="AN75" t="e">
        <f t="shared" si="47"/>
        <v>#N/A</v>
      </c>
      <c r="AO75">
        <f t="shared" si="28"/>
        <v>0</v>
      </c>
      <c r="AP75">
        <f t="shared" si="29"/>
        <v>3.907985046680551E-14</v>
      </c>
      <c r="AQ75">
        <f t="shared" si="30"/>
        <v>4.7739590058881731E-15</v>
      </c>
      <c r="AR75">
        <f t="shared" si="48"/>
        <v>1.5510701942720377E-15</v>
      </c>
      <c r="AS75">
        <f t="shared" si="31"/>
        <v>0</v>
      </c>
      <c r="AT75">
        <f t="shared" si="49"/>
        <v>0</v>
      </c>
      <c r="AU75">
        <f t="shared" si="50"/>
        <v>0</v>
      </c>
      <c r="AV75">
        <f t="shared" si="32"/>
        <v>3.0222121327533805E-20</v>
      </c>
      <c r="AW75" t="b">
        <f t="shared" si="51"/>
        <v>1</v>
      </c>
      <c r="AX75">
        <f t="shared" si="33"/>
        <v>7.8539816339744828</v>
      </c>
      <c r="AY75">
        <f t="shared" si="34"/>
        <v>25.195410633976326</v>
      </c>
      <c r="AZ75">
        <f t="shared" si="35"/>
        <v>0.65440635224351473</v>
      </c>
      <c r="BA75">
        <f t="shared" si="36"/>
        <v>2.1278156476165915</v>
      </c>
      <c r="BB75">
        <f t="shared" si="37"/>
        <v>-1.2337005501361696E-20</v>
      </c>
      <c r="BD75" s="15">
        <f t="shared" si="52"/>
        <v>35.831614267810913</v>
      </c>
      <c r="BE75" s="10">
        <f t="shared" si="53"/>
        <v>-6.3948846218409017E-14</v>
      </c>
      <c r="BF75">
        <f t="shared" si="54"/>
        <v>0</v>
      </c>
      <c r="BG75">
        <f t="shared" si="55"/>
        <v>0</v>
      </c>
      <c r="BH75">
        <f t="shared" si="56"/>
        <v>0</v>
      </c>
      <c r="BI75">
        <f t="shared" si="57"/>
        <v>0</v>
      </c>
    </row>
    <row r="76" spans="1:61" x14ac:dyDescent="0.3">
      <c r="A76">
        <f t="shared" si="65"/>
        <v>3.9E-2</v>
      </c>
      <c r="B76">
        <f t="shared" si="0"/>
        <v>0.12252211349000193</v>
      </c>
      <c r="C76">
        <f t="shared" si="1"/>
        <v>3.0190705400997913</v>
      </c>
      <c r="D76">
        <f t="shared" si="2"/>
        <v>3.0190705400997913</v>
      </c>
      <c r="E76">
        <f t="shared" si="3"/>
        <v>0.12221579993988943</v>
      </c>
      <c r="F76">
        <f t="shared" si="11"/>
        <v>0.12221579993988949</v>
      </c>
      <c r="G76">
        <f t="shared" si="4"/>
        <v>0.12252211349000193</v>
      </c>
      <c r="H76">
        <f t="shared" si="5"/>
        <v>0.12221579993988943</v>
      </c>
      <c r="I76">
        <f t="shared" si="6"/>
        <v>0.12221579993988949</v>
      </c>
      <c r="J76">
        <f t="shared" si="7"/>
        <v>5.2089809392950523E+20</v>
      </c>
      <c r="K76">
        <f t="shared" si="8"/>
        <v>5.2089809392950523E+20</v>
      </c>
      <c r="L76">
        <f t="shared" si="12"/>
        <v>1</v>
      </c>
      <c r="M76">
        <f t="shared" si="9"/>
        <v>3.0190705400997911E-20</v>
      </c>
      <c r="N76" s="9">
        <f t="shared" si="63"/>
        <v>3.0190705400997911E-20</v>
      </c>
      <c r="O76">
        <f t="shared" si="64"/>
        <v>3.0190705400997911E-20</v>
      </c>
      <c r="Q76">
        <f t="shared" si="15"/>
        <v>47.702086099450298</v>
      </c>
      <c r="R76">
        <f t="shared" si="16"/>
        <v>0</v>
      </c>
      <c r="S76">
        <f t="shared" si="38"/>
        <v>-44.94675284404336</v>
      </c>
      <c r="T76" s="9" t="e">
        <f t="shared" si="17"/>
        <v>#N/A</v>
      </c>
      <c r="U76">
        <f t="shared" si="39"/>
        <v>-1.0000000000000001E+300</v>
      </c>
      <c r="V76">
        <f t="shared" si="40"/>
        <v>0</v>
      </c>
      <c r="W76">
        <f t="shared" si="41"/>
        <v>0</v>
      </c>
      <c r="X76">
        <f t="shared" si="18"/>
        <v>3.0190705400997913</v>
      </c>
      <c r="Y76">
        <f t="shared" si="19"/>
        <v>7.8539816339744828</v>
      </c>
      <c r="Z76">
        <f t="shared" si="20"/>
        <v>-3.0190705400997913</v>
      </c>
      <c r="AA76">
        <f t="shared" si="42"/>
        <v>24.5176010996773</v>
      </c>
      <c r="AB76">
        <f t="shared" si="21"/>
        <v>32.371582733651785</v>
      </c>
      <c r="AC76">
        <f t="shared" si="43"/>
        <v>0.65336631054810079</v>
      </c>
      <c r="AD76">
        <f t="shared" si="22"/>
        <v>2.1019669448588405</v>
      </c>
      <c r="AE76" s="9">
        <f t="shared" si="44"/>
        <v>35.126915989058723</v>
      </c>
      <c r="AF76">
        <f t="shared" si="45"/>
        <v>0</v>
      </c>
      <c r="AH76">
        <f t="shared" si="23"/>
        <v>7.8539816339744828</v>
      </c>
      <c r="AI76">
        <f t="shared" si="24"/>
        <v>24.517601099677293</v>
      </c>
      <c r="AJ76">
        <f t="shared" si="25"/>
        <v>0.65336631054810113</v>
      </c>
      <c r="AK76">
        <f t="shared" si="26"/>
        <v>2.1019669448588405</v>
      </c>
      <c r="AL76" s="9">
        <f t="shared" si="46"/>
        <v>35.126915989058716</v>
      </c>
      <c r="AM76" t="e">
        <f t="shared" si="27"/>
        <v>#N/A</v>
      </c>
      <c r="AN76" t="e">
        <f t="shared" si="47"/>
        <v>#N/A</v>
      </c>
      <c r="AO76">
        <f t="shared" si="28"/>
        <v>0</v>
      </c>
      <c r="AP76">
        <f t="shared" si="29"/>
        <v>0</v>
      </c>
      <c r="AQ76">
        <f t="shared" si="30"/>
        <v>0</v>
      </c>
      <c r="AR76">
        <f t="shared" si="48"/>
        <v>0</v>
      </c>
      <c r="AS76">
        <f t="shared" si="31"/>
        <v>0</v>
      </c>
      <c r="AT76">
        <f t="shared" si="49"/>
        <v>0</v>
      </c>
      <c r="AU76">
        <f t="shared" si="50"/>
        <v>0</v>
      </c>
      <c r="AV76">
        <f t="shared" si="32"/>
        <v>3.0190705400997911E-20</v>
      </c>
      <c r="AW76" t="b">
        <f t="shared" si="51"/>
        <v>1</v>
      </c>
      <c r="AX76">
        <f t="shared" si="33"/>
        <v>7.8539816339744828</v>
      </c>
      <c r="AY76">
        <f t="shared" si="34"/>
        <v>24.517601099677286</v>
      </c>
      <c r="AZ76">
        <f t="shared" si="35"/>
        <v>0.65336631054810079</v>
      </c>
      <c r="BA76">
        <f t="shared" si="36"/>
        <v>2.1019669448588401</v>
      </c>
      <c r="BB76">
        <f t="shared" si="37"/>
        <v>-1.2337005501361696E-20</v>
      </c>
      <c r="BD76" s="15">
        <f t="shared" si="52"/>
        <v>35.126915989058709</v>
      </c>
      <c r="BE76" s="10">
        <f t="shared" si="53"/>
        <v>0</v>
      </c>
      <c r="BF76">
        <f t="shared" si="54"/>
        <v>0</v>
      </c>
      <c r="BG76">
        <f t="shared" si="55"/>
        <v>0</v>
      </c>
      <c r="BH76">
        <f t="shared" si="56"/>
        <v>0</v>
      </c>
      <c r="BI76">
        <f t="shared" si="57"/>
        <v>0</v>
      </c>
    </row>
    <row r="77" spans="1:61" x14ac:dyDescent="0.3">
      <c r="A77">
        <f t="shared" si="65"/>
        <v>0.04</v>
      </c>
      <c r="B77">
        <f t="shared" si="0"/>
        <v>0.12566370614359174</v>
      </c>
      <c r="C77">
        <f t="shared" si="1"/>
        <v>3.0159289474462012</v>
      </c>
      <c r="D77">
        <f t="shared" si="2"/>
        <v>3.0159289474462012</v>
      </c>
      <c r="E77">
        <f t="shared" si="3"/>
        <v>0.12533323356430426</v>
      </c>
      <c r="F77">
        <f t="shared" si="11"/>
        <v>0.12533323356430454</v>
      </c>
      <c r="G77">
        <f t="shared" si="4"/>
        <v>0.12566370614359174</v>
      </c>
      <c r="H77">
        <f t="shared" si="5"/>
        <v>0.12533323356430426</v>
      </c>
      <c r="I77">
        <f t="shared" si="6"/>
        <v>0.12533323356430454</v>
      </c>
      <c r="J77">
        <f t="shared" si="7"/>
        <v>5.079417120766722E+20</v>
      </c>
      <c r="K77">
        <f t="shared" si="8"/>
        <v>5.079417120766722E+20</v>
      </c>
      <c r="L77">
        <f t="shared" si="12"/>
        <v>1</v>
      </c>
      <c r="M77">
        <f t="shared" si="9"/>
        <v>3.0159289474462011E-20</v>
      </c>
      <c r="N77" s="9">
        <f t="shared" si="63"/>
        <v>3.0159289474462011E-20</v>
      </c>
      <c r="O77">
        <f t="shared" si="64"/>
        <v>3.0159289474462011E-20</v>
      </c>
      <c r="Q77">
        <f t="shared" si="15"/>
        <v>47.676898374881617</v>
      </c>
      <c r="R77">
        <f t="shared" si="16"/>
        <v>0</v>
      </c>
      <c r="S77">
        <f t="shared" si="38"/>
        <v>-44.947793968551771</v>
      </c>
      <c r="T77" s="9" t="e">
        <f t="shared" si="17"/>
        <v>#N/A</v>
      </c>
      <c r="U77">
        <f t="shared" si="39"/>
        <v>-1.0000000000000001E+300</v>
      </c>
      <c r="V77">
        <f t="shared" si="40"/>
        <v>0</v>
      </c>
      <c r="W77">
        <f t="shared" si="41"/>
        <v>0</v>
      </c>
      <c r="X77">
        <f t="shared" si="18"/>
        <v>3.0159289474462012</v>
      </c>
      <c r="Y77">
        <f t="shared" si="19"/>
        <v>7.8539816339744828</v>
      </c>
      <c r="Z77">
        <f t="shared" si="20"/>
        <v>-3.0159289474462012</v>
      </c>
      <c r="AA77">
        <f t="shared" si="42"/>
        <v>23.873535867452905</v>
      </c>
      <c r="AB77">
        <f t="shared" si="21"/>
        <v>31.727517501427386</v>
      </c>
      <c r="AC77">
        <f t="shared" si="43"/>
        <v>0.65232518603969014</v>
      </c>
      <c r="AD77">
        <f t="shared" si="22"/>
        <v>2.0767792202901565</v>
      </c>
      <c r="AE77" s="9">
        <f t="shared" si="44"/>
        <v>34.456621907757231</v>
      </c>
      <c r="AF77">
        <f t="shared" si="45"/>
        <v>0</v>
      </c>
      <c r="AH77">
        <f t="shared" si="23"/>
        <v>7.8539816339744828</v>
      </c>
      <c r="AI77">
        <f t="shared" si="24"/>
        <v>23.873535867452954</v>
      </c>
      <c r="AJ77">
        <f t="shared" si="25"/>
        <v>0.6523251860396897</v>
      </c>
      <c r="AK77">
        <f t="shared" si="26"/>
        <v>2.0767792202901565</v>
      </c>
      <c r="AL77" s="9">
        <f t="shared" si="46"/>
        <v>34.456621907757281</v>
      </c>
      <c r="AM77" t="e">
        <f t="shared" si="27"/>
        <v>#N/A</v>
      </c>
      <c r="AN77" t="e">
        <f t="shared" si="47"/>
        <v>#N/A</v>
      </c>
      <c r="AO77">
        <f t="shared" si="28"/>
        <v>0</v>
      </c>
      <c r="AP77">
        <f t="shared" si="29"/>
        <v>4.9737991503207013E-14</v>
      </c>
      <c r="AQ77">
        <f t="shared" si="30"/>
        <v>0</v>
      </c>
      <c r="AR77">
        <f t="shared" si="48"/>
        <v>2.0833944238237182E-15</v>
      </c>
      <c r="AS77">
        <f t="shared" si="31"/>
        <v>0</v>
      </c>
      <c r="AT77">
        <f t="shared" si="49"/>
        <v>0</v>
      </c>
      <c r="AU77">
        <f t="shared" si="50"/>
        <v>0</v>
      </c>
      <c r="AV77">
        <f t="shared" si="32"/>
        <v>3.0159289474462011E-20</v>
      </c>
      <c r="AW77" t="b">
        <f t="shared" si="51"/>
        <v>1</v>
      </c>
      <c r="AX77">
        <f t="shared" si="33"/>
        <v>7.8539816339744828</v>
      </c>
      <c r="AY77">
        <f t="shared" si="34"/>
        <v>23.873535867452894</v>
      </c>
      <c r="AZ77">
        <f t="shared" si="35"/>
        <v>0.65232518603969014</v>
      </c>
      <c r="BA77">
        <f t="shared" si="36"/>
        <v>2.0767792202901543</v>
      </c>
      <c r="BB77">
        <f t="shared" si="37"/>
        <v>-1.2337005501361696E-20</v>
      </c>
      <c r="BD77" s="15">
        <f t="shared" si="52"/>
        <v>34.456621907757224</v>
      </c>
      <c r="BE77" s="10">
        <f t="shared" si="53"/>
        <v>-5.6843418860808015E-14</v>
      </c>
      <c r="BF77">
        <f t="shared" si="54"/>
        <v>0</v>
      </c>
      <c r="BG77">
        <f t="shared" si="55"/>
        <v>0</v>
      </c>
      <c r="BH77">
        <f t="shared" si="56"/>
        <v>0</v>
      </c>
      <c r="BI77">
        <f t="shared" si="57"/>
        <v>0</v>
      </c>
    </row>
    <row r="78" spans="1:61" x14ac:dyDescent="0.3">
      <c r="A78">
        <f t="shared" si="65"/>
        <v>4.1000000000000002E-2</v>
      </c>
      <c r="B78">
        <f t="shared" si="0"/>
        <v>0.12880529879718153</v>
      </c>
      <c r="C78">
        <f t="shared" si="1"/>
        <v>3.0127873547926116</v>
      </c>
      <c r="D78">
        <f t="shared" si="2"/>
        <v>3.0127873547926116</v>
      </c>
      <c r="E78">
        <f t="shared" si="3"/>
        <v>0.12844943020030286</v>
      </c>
      <c r="F78">
        <f t="shared" si="11"/>
        <v>0.12844943020030294</v>
      </c>
      <c r="G78">
        <f t="shared" si="4"/>
        <v>0.12880529879718153</v>
      </c>
      <c r="H78">
        <f t="shared" si="5"/>
        <v>0.12844943020030286</v>
      </c>
      <c r="I78">
        <f t="shared" si="6"/>
        <v>0.12844943020030294</v>
      </c>
      <c r="J78">
        <f t="shared" si="7"/>
        <v>4.956189929179463E+20</v>
      </c>
      <c r="K78">
        <f t="shared" si="8"/>
        <v>4.956189929179463E+20</v>
      </c>
      <c r="L78">
        <f t="shared" si="12"/>
        <v>1</v>
      </c>
      <c r="M78">
        <f t="shared" si="9"/>
        <v>3.0127873547926112E-20</v>
      </c>
      <c r="N78" s="9">
        <f t="shared" si="63"/>
        <v>3.0127873547926112E-20</v>
      </c>
      <c r="O78">
        <f t="shared" si="64"/>
        <v>3.0127873547926112E-20</v>
      </c>
      <c r="Q78">
        <f t="shared" si="15"/>
        <v>47.652339145992485</v>
      </c>
      <c r="R78">
        <f t="shared" si="16"/>
        <v>0</v>
      </c>
      <c r="S78">
        <f t="shared" si="38"/>
        <v>-44.948836178130215</v>
      </c>
      <c r="T78" s="9" t="e">
        <f t="shared" si="17"/>
        <v>#N/A</v>
      </c>
      <c r="U78">
        <f t="shared" si="39"/>
        <v>-1.0000000000000001E+300</v>
      </c>
      <c r="V78">
        <f t="shared" si="40"/>
        <v>0</v>
      </c>
      <c r="W78">
        <f t="shared" si="41"/>
        <v>0</v>
      </c>
      <c r="X78">
        <f t="shared" si="18"/>
        <v>3.0127873547926116</v>
      </c>
      <c r="Y78">
        <f t="shared" si="19"/>
        <v>7.8539816339744828</v>
      </c>
      <c r="Z78">
        <f t="shared" si="20"/>
        <v>-3.0127873547926116</v>
      </c>
      <c r="AA78">
        <f t="shared" si="42"/>
        <v>23.260746278022864</v>
      </c>
      <c r="AB78">
        <f t="shared" si="21"/>
        <v>31.114727911997349</v>
      </c>
      <c r="AC78">
        <f t="shared" si="43"/>
        <v>0.65128297646124644</v>
      </c>
      <c r="AD78">
        <f t="shared" si="22"/>
        <v>2.052219991401028</v>
      </c>
      <c r="AE78" s="9">
        <f t="shared" si="44"/>
        <v>33.818230879859627</v>
      </c>
      <c r="AF78">
        <f t="shared" si="45"/>
        <v>0</v>
      </c>
      <c r="AH78">
        <f t="shared" si="23"/>
        <v>7.8539816339744828</v>
      </c>
      <c r="AI78">
        <f t="shared" si="24"/>
        <v>23.260746278022868</v>
      </c>
      <c r="AJ78">
        <f t="shared" si="25"/>
        <v>0.65128297646124622</v>
      </c>
      <c r="AK78">
        <f t="shared" si="26"/>
        <v>2.052219991401028</v>
      </c>
      <c r="AL78" s="9">
        <f t="shared" si="46"/>
        <v>33.818230879859627</v>
      </c>
      <c r="AM78" t="e">
        <f t="shared" si="27"/>
        <v>#N/A</v>
      </c>
      <c r="AN78" t="e">
        <f t="shared" si="47"/>
        <v>#N/A</v>
      </c>
      <c r="AO78">
        <f t="shared" si="28"/>
        <v>0</v>
      </c>
      <c r="AP78">
        <f t="shared" si="29"/>
        <v>0</v>
      </c>
      <c r="AQ78">
        <f t="shared" si="30"/>
        <v>0</v>
      </c>
      <c r="AR78">
        <f t="shared" si="48"/>
        <v>0</v>
      </c>
      <c r="AS78">
        <f t="shared" si="31"/>
        <v>0</v>
      </c>
      <c r="AT78">
        <f t="shared" si="49"/>
        <v>0</v>
      </c>
      <c r="AU78">
        <f t="shared" si="50"/>
        <v>0</v>
      </c>
      <c r="AV78">
        <f t="shared" si="32"/>
        <v>3.0127873547926112E-20</v>
      </c>
      <c r="AW78" t="b">
        <f t="shared" si="51"/>
        <v>1</v>
      </c>
      <c r="AX78">
        <f t="shared" si="33"/>
        <v>7.8539816339744828</v>
      </c>
      <c r="AY78">
        <f t="shared" si="34"/>
        <v>23.260746278022854</v>
      </c>
      <c r="AZ78">
        <f t="shared" si="35"/>
        <v>0.65128297646124644</v>
      </c>
      <c r="BA78">
        <f t="shared" si="36"/>
        <v>2.0522199914010275</v>
      </c>
      <c r="BB78">
        <f t="shared" si="37"/>
        <v>-1.2337005501361696E-20</v>
      </c>
      <c r="BD78" s="15">
        <f t="shared" si="52"/>
        <v>33.818230879859605</v>
      </c>
      <c r="BE78" s="10">
        <f t="shared" si="53"/>
        <v>0</v>
      </c>
      <c r="BF78">
        <f t="shared" si="54"/>
        <v>0</v>
      </c>
      <c r="BG78">
        <f t="shared" si="55"/>
        <v>0</v>
      </c>
      <c r="BH78">
        <f t="shared" si="56"/>
        <v>0</v>
      </c>
      <c r="BI78">
        <f t="shared" si="57"/>
        <v>0</v>
      </c>
    </row>
    <row r="79" spans="1:61" x14ac:dyDescent="0.3">
      <c r="A79">
        <f t="shared" si="65"/>
        <v>4.2000000000000003E-2</v>
      </c>
      <c r="B79">
        <f t="shared" si="0"/>
        <v>0.13194689145077132</v>
      </c>
      <c r="C79">
        <f t="shared" si="1"/>
        <v>3.009645762139022</v>
      </c>
      <c r="D79">
        <f t="shared" si="2"/>
        <v>3.009645762139022</v>
      </c>
      <c r="E79">
        <f t="shared" si="3"/>
        <v>0.13156435909228251</v>
      </c>
      <c r="F79">
        <f t="shared" si="11"/>
        <v>0.1315643590922824</v>
      </c>
      <c r="G79">
        <f t="shared" si="4"/>
        <v>0.13194689145077132</v>
      </c>
      <c r="H79">
        <f t="shared" si="5"/>
        <v>0.13156435909228251</v>
      </c>
      <c r="I79">
        <f t="shared" si="6"/>
        <v>0.1315643590922824</v>
      </c>
      <c r="J79">
        <f t="shared" si="7"/>
        <v>4.8388467572820423E+20</v>
      </c>
      <c r="K79">
        <f t="shared" si="8"/>
        <v>4.8388467572820423E+20</v>
      </c>
      <c r="L79">
        <f t="shared" si="12"/>
        <v>1</v>
      </c>
      <c r="M79">
        <f t="shared" si="9"/>
        <v>3.0096457621390218E-20</v>
      </c>
      <c r="N79" s="9">
        <f t="shared" si="63"/>
        <v>3.0096457621390218E-20</v>
      </c>
      <c r="O79">
        <f t="shared" si="64"/>
        <v>3.0096457621390218E-20</v>
      </c>
      <c r="Q79">
        <f t="shared" si="15"/>
        <v>47.628378278929027</v>
      </c>
      <c r="R79">
        <f t="shared" si="16"/>
        <v>-710542.73576010019</v>
      </c>
      <c r="S79">
        <f t="shared" si="38"/>
        <v>-44.949879475042792</v>
      </c>
      <c r="T79" s="9" t="e">
        <f t="shared" si="17"/>
        <v>#N/A</v>
      </c>
      <c r="U79">
        <f t="shared" si="39"/>
        <v>-1.0000000000000001E+300</v>
      </c>
      <c r="V79">
        <f t="shared" si="40"/>
        <v>0</v>
      </c>
      <c r="W79">
        <f t="shared" si="41"/>
        <v>0</v>
      </c>
      <c r="X79">
        <f t="shared" si="18"/>
        <v>3.009645762139022</v>
      </c>
      <c r="Y79">
        <f t="shared" si="19"/>
        <v>7.8539816339744828</v>
      </c>
      <c r="Z79">
        <f t="shared" si="20"/>
        <v>-3.009645762139022</v>
      </c>
      <c r="AA79">
        <f t="shared" si="42"/>
        <v>22.676998781499229</v>
      </c>
      <c r="AB79">
        <f t="shared" si="21"/>
        <v>30.530980415473714</v>
      </c>
      <c r="AC79">
        <f t="shared" si="43"/>
        <v>0.6502396795486689</v>
      </c>
      <c r="AD79">
        <f t="shared" si="22"/>
        <v>2.0282591243375707</v>
      </c>
      <c r="AE79" s="9">
        <f t="shared" si="44"/>
        <v>33.209479219359956</v>
      </c>
      <c r="AF79">
        <f t="shared" si="45"/>
        <v>0</v>
      </c>
      <c r="AH79">
        <f t="shared" si="23"/>
        <v>7.8539816339744828</v>
      </c>
      <c r="AI79">
        <f t="shared" si="24"/>
        <v>22.676998781499197</v>
      </c>
      <c r="AJ79">
        <f t="shared" si="25"/>
        <v>0.6502396795486689</v>
      </c>
      <c r="AK79">
        <f t="shared" si="26"/>
        <v>2.0282591243375707</v>
      </c>
      <c r="AL79" s="9">
        <f t="shared" si="46"/>
        <v>33.20947921935992</v>
      </c>
      <c r="AM79" t="e">
        <f t="shared" si="27"/>
        <v>#N/A</v>
      </c>
      <c r="AN79" t="e">
        <f t="shared" si="47"/>
        <v>#N/A</v>
      </c>
      <c r="AO79">
        <f t="shared" si="28"/>
        <v>0</v>
      </c>
      <c r="AP79">
        <f t="shared" si="29"/>
        <v>-3.1974423109204508E-14</v>
      </c>
      <c r="AQ79">
        <f t="shared" si="30"/>
        <v>0</v>
      </c>
      <c r="AR79">
        <f t="shared" si="48"/>
        <v>-1.4099935982397514E-15</v>
      </c>
      <c r="AS79">
        <f t="shared" si="31"/>
        <v>0</v>
      </c>
      <c r="AT79">
        <f t="shared" si="49"/>
        <v>0</v>
      </c>
      <c r="AU79">
        <f t="shared" si="50"/>
        <v>0</v>
      </c>
      <c r="AV79">
        <f t="shared" si="32"/>
        <v>3.0096457621390218E-20</v>
      </c>
      <c r="AW79" t="b">
        <f t="shared" si="51"/>
        <v>1</v>
      </c>
      <c r="AX79">
        <f t="shared" si="33"/>
        <v>7.8539816339744828</v>
      </c>
      <c r="AY79">
        <f t="shared" si="34"/>
        <v>22.676998781499218</v>
      </c>
      <c r="AZ79">
        <f t="shared" si="35"/>
        <v>0.6502396795486689</v>
      </c>
      <c r="BA79">
        <f t="shared" si="36"/>
        <v>2.0282591243375716</v>
      </c>
      <c r="BB79">
        <f t="shared" si="37"/>
        <v>-1.2337005501361696E-20</v>
      </c>
      <c r="BD79" s="15">
        <f t="shared" si="52"/>
        <v>33.209479219359942</v>
      </c>
      <c r="BE79" s="10">
        <f t="shared" si="53"/>
        <v>0</v>
      </c>
      <c r="BF79">
        <f t="shared" si="54"/>
        <v>0</v>
      </c>
      <c r="BG79">
        <f t="shared" si="55"/>
        <v>0</v>
      </c>
      <c r="BH79">
        <f t="shared" si="56"/>
        <v>0</v>
      </c>
      <c r="BI79">
        <f t="shared" si="57"/>
        <v>0</v>
      </c>
    </row>
    <row r="80" spans="1:61" x14ac:dyDescent="0.3">
      <c r="A80">
        <f t="shared" si="65"/>
        <v>4.2999999999999997E-2</v>
      </c>
      <c r="B80">
        <f t="shared" si="0"/>
        <v>0.13508848410436108</v>
      </c>
      <c r="C80">
        <f t="shared" si="1"/>
        <v>3.006504169485432</v>
      </c>
      <c r="D80">
        <f t="shared" si="2"/>
        <v>3.006504169485432</v>
      </c>
      <c r="E80">
        <f t="shared" si="3"/>
        <v>0.13467798949715257</v>
      </c>
      <c r="F80">
        <f t="shared" si="11"/>
        <v>0.13467798949715276</v>
      </c>
      <c r="G80">
        <f t="shared" si="4"/>
        <v>0.13508848410436108</v>
      </c>
      <c r="H80">
        <f t="shared" si="5"/>
        <v>0.13467798949715257</v>
      </c>
      <c r="I80">
        <f t="shared" si="6"/>
        <v>0.13467798949715276</v>
      </c>
      <c r="J80">
        <f t="shared" si="7"/>
        <v>4.7269771010432342E+20</v>
      </c>
      <c r="K80">
        <f t="shared" si="8"/>
        <v>4.7269771010432342E+20</v>
      </c>
      <c r="L80">
        <f t="shared" si="12"/>
        <v>1</v>
      </c>
      <c r="M80">
        <f t="shared" si="9"/>
        <v>3.0065041694854318E-20</v>
      </c>
      <c r="N80" s="9">
        <f t="shared" si="63"/>
        <v>3.0065041694854318E-20</v>
      </c>
      <c r="O80">
        <f t="shared" si="64"/>
        <v>3.0065041694854318E-20</v>
      </c>
      <c r="Q80">
        <f t="shared" si="15"/>
        <v>47.604987767390718</v>
      </c>
      <c r="R80">
        <f t="shared" si="16"/>
        <v>0</v>
      </c>
      <c r="S80">
        <f t="shared" si="38"/>
        <v>-44.950923861560696</v>
      </c>
      <c r="T80" s="9" t="e">
        <f t="shared" si="17"/>
        <v>#N/A</v>
      </c>
      <c r="U80">
        <f t="shared" si="39"/>
        <v>-1.0000000000000001E+300</v>
      </c>
      <c r="V80">
        <f t="shared" si="40"/>
        <v>0</v>
      </c>
      <c r="W80">
        <f t="shared" si="41"/>
        <v>0</v>
      </c>
      <c r="X80">
        <f t="shared" si="18"/>
        <v>3.006504169485432</v>
      </c>
      <c r="Y80">
        <f t="shared" si="19"/>
        <v>7.8539816339744828</v>
      </c>
      <c r="Z80">
        <f t="shared" si="20"/>
        <v>-3.006504169485432</v>
      </c>
      <c r="AA80">
        <f t="shared" si="42"/>
        <v>22.120267599090038</v>
      </c>
      <c r="AB80">
        <f t="shared" si="21"/>
        <v>29.974249233064519</v>
      </c>
      <c r="AC80">
        <f t="shared" si="43"/>
        <v>0.64919529303076251</v>
      </c>
      <c r="AD80">
        <f t="shared" si="22"/>
        <v>2.0048686127992572</v>
      </c>
      <c r="AE80" s="9">
        <f t="shared" si="44"/>
        <v>32.628313138894541</v>
      </c>
      <c r="AF80">
        <f t="shared" si="45"/>
        <v>0</v>
      </c>
      <c r="AH80">
        <f t="shared" si="23"/>
        <v>7.8539816339744828</v>
      </c>
      <c r="AI80">
        <f t="shared" si="24"/>
        <v>22.120267599090059</v>
      </c>
      <c r="AJ80">
        <f t="shared" si="25"/>
        <v>0.64919529303076473</v>
      </c>
      <c r="AK80">
        <f t="shared" si="26"/>
        <v>2.0048686127992572</v>
      </c>
      <c r="AL80" s="9">
        <f t="shared" si="46"/>
        <v>32.628313138894562</v>
      </c>
      <c r="AM80" t="e">
        <f t="shared" si="27"/>
        <v>#N/A</v>
      </c>
      <c r="AN80" t="e">
        <f t="shared" si="47"/>
        <v>#N/A</v>
      </c>
      <c r="AO80">
        <f t="shared" si="28"/>
        <v>0</v>
      </c>
      <c r="AP80">
        <f t="shared" si="29"/>
        <v>0</v>
      </c>
      <c r="AQ80">
        <f t="shared" si="30"/>
        <v>2.2204460492503131E-15</v>
      </c>
      <c r="AR80">
        <f t="shared" si="48"/>
        <v>0</v>
      </c>
      <c r="AS80">
        <f t="shared" si="31"/>
        <v>0</v>
      </c>
      <c r="AT80">
        <f t="shared" si="49"/>
        <v>0</v>
      </c>
      <c r="AU80">
        <f t="shared" si="50"/>
        <v>0</v>
      </c>
      <c r="AV80">
        <f t="shared" si="32"/>
        <v>3.0065041694854318E-20</v>
      </c>
      <c r="AW80" t="b">
        <f t="shared" si="51"/>
        <v>1</v>
      </c>
      <c r="AX80">
        <f t="shared" si="33"/>
        <v>7.8539816339744828</v>
      </c>
      <c r="AY80">
        <f t="shared" si="34"/>
        <v>22.120267599090031</v>
      </c>
      <c r="AZ80">
        <f t="shared" si="35"/>
        <v>0.64919529303076262</v>
      </c>
      <c r="BA80">
        <f t="shared" si="36"/>
        <v>2.0048686127992559</v>
      </c>
      <c r="BB80">
        <f t="shared" si="37"/>
        <v>-1.2337005501361696E-20</v>
      </c>
      <c r="BD80" s="15">
        <f t="shared" si="52"/>
        <v>32.628313138894526</v>
      </c>
      <c r="BE80" s="10">
        <f t="shared" si="53"/>
        <v>0</v>
      </c>
      <c r="BF80">
        <f t="shared" si="54"/>
        <v>0</v>
      </c>
      <c r="BG80">
        <f t="shared" si="55"/>
        <v>0</v>
      </c>
      <c r="BH80">
        <f t="shared" si="56"/>
        <v>0</v>
      </c>
      <c r="BI80">
        <f t="shared" si="57"/>
        <v>0</v>
      </c>
    </row>
    <row r="81" spans="1:61" x14ac:dyDescent="0.3">
      <c r="A81">
        <f t="shared" si="65"/>
        <v>4.3999999999999997E-2</v>
      </c>
      <c r="B81">
        <f t="shared" si="0"/>
        <v>0.13823007675795088</v>
      </c>
      <c r="C81">
        <f t="shared" si="1"/>
        <v>3.0033625768318424</v>
      </c>
      <c r="D81">
        <f t="shared" si="2"/>
        <v>3.0033625768318424</v>
      </c>
      <c r="E81">
        <f t="shared" si="3"/>
        <v>0.13779029068463805</v>
      </c>
      <c r="F81">
        <f t="shared" si="11"/>
        <v>0.13779029068463802</v>
      </c>
      <c r="G81">
        <f t="shared" si="4"/>
        <v>0.13823007675795088</v>
      </c>
      <c r="H81">
        <f t="shared" si="5"/>
        <v>0.13779029068463805</v>
      </c>
      <c r="I81">
        <f t="shared" si="6"/>
        <v>0.13779029068463802</v>
      </c>
      <c r="J81">
        <f t="shared" si="7"/>
        <v>4.6202077751952723E+20</v>
      </c>
      <c r="K81">
        <f t="shared" si="8"/>
        <v>4.6202077751952723E+20</v>
      </c>
      <c r="L81">
        <f t="shared" si="12"/>
        <v>1</v>
      </c>
      <c r="M81">
        <f t="shared" si="9"/>
        <v>3.0033625768318419E-20</v>
      </c>
      <c r="N81" s="9">
        <f t="shared" si="63"/>
        <v>3.0033625768318419E-20</v>
      </c>
      <c r="O81">
        <f t="shared" si="64"/>
        <v>3.0033625768318419E-20</v>
      </c>
      <c r="Q81">
        <f t="shared" si="15"/>
        <v>47.582141536949294</v>
      </c>
      <c r="R81">
        <f t="shared" si="16"/>
        <v>-710542.73576010019</v>
      </c>
      <c r="S81">
        <f t="shared" si="38"/>
        <v>-44.951969339962247</v>
      </c>
      <c r="T81" s="9" t="e">
        <f t="shared" si="17"/>
        <v>#N/A</v>
      </c>
      <c r="U81">
        <f t="shared" si="39"/>
        <v>-1.0000000000000001E+300</v>
      </c>
      <c r="V81">
        <f t="shared" si="40"/>
        <v>0</v>
      </c>
      <c r="W81">
        <f t="shared" si="41"/>
        <v>0</v>
      </c>
      <c r="X81">
        <f t="shared" si="18"/>
        <v>3.0033625768318424</v>
      </c>
      <c r="Y81">
        <f t="shared" si="19"/>
        <v>7.8539816339744828</v>
      </c>
      <c r="Z81">
        <f t="shared" si="20"/>
        <v>-3.0033625768318424</v>
      </c>
      <c r="AA81">
        <f t="shared" si="42"/>
        <v>21.588711112752456</v>
      </c>
      <c r="AB81">
        <f t="shared" si="21"/>
        <v>29.442692746726941</v>
      </c>
      <c r="AC81">
        <f t="shared" si="43"/>
        <v>0.64814981462920962</v>
      </c>
      <c r="AD81">
        <f t="shared" si="22"/>
        <v>1.9820223823578376</v>
      </c>
      <c r="AE81" s="9">
        <f t="shared" si="44"/>
        <v>32.072864943713988</v>
      </c>
      <c r="AF81">
        <f t="shared" si="45"/>
        <v>0</v>
      </c>
      <c r="AH81">
        <f t="shared" si="23"/>
        <v>7.8539816339744828</v>
      </c>
      <c r="AI81">
        <f t="shared" si="24"/>
        <v>21.588711112752442</v>
      </c>
      <c r="AJ81">
        <f t="shared" si="25"/>
        <v>0.64814981462921395</v>
      </c>
      <c r="AK81">
        <f t="shared" si="26"/>
        <v>1.9820223823578376</v>
      </c>
      <c r="AL81" s="9">
        <f t="shared" si="46"/>
        <v>32.072864943713981</v>
      </c>
      <c r="AM81" t="e">
        <f t="shared" si="27"/>
        <v>#N/A</v>
      </c>
      <c r="AN81" t="e">
        <f t="shared" si="47"/>
        <v>#N/A</v>
      </c>
      <c r="AO81">
        <f t="shared" si="28"/>
        <v>0</v>
      </c>
      <c r="AP81">
        <f t="shared" si="29"/>
        <v>0</v>
      </c>
      <c r="AQ81">
        <f t="shared" si="30"/>
        <v>4.3298697960381105E-15</v>
      </c>
      <c r="AR81">
        <f t="shared" si="48"/>
        <v>0</v>
      </c>
      <c r="AS81">
        <f t="shared" si="31"/>
        <v>0</v>
      </c>
      <c r="AT81">
        <f t="shared" si="49"/>
        <v>0</v>
      </c>
      <c r="AU81">
        <f t="shared" si="50"/>
        <v>0</v>
      </c>
      <c r="AV81">
        <f t="shared" si="32"/>
        <v>3.0033625768318425E-20</v>
      </c>
      <c r="AW81" t="b">
        <f t="shared" si="51"/>
        <v>1</v>
      </c>
      <c r="AX81">
        <f t="shared" si="33"/>
        <v>7.8539816339744828</v>
      </c>
      <c r="AY81">
        <f t="shared" si="34"/>
        <v>21.588711112752446</v>
      </c>
      <c r="AZ81">
        <f t="shared" si="35"/>
        <v>0.64814981462920973</v>
      </c>
      <c r="BA81">
        <f t="shared" si="36"/>
        <v>1.9820223823578378</v>
      </c>
      <c r="BB81">
        <f t="shared" si="37"/>
        <v>-1.2337005501361696E-20</v>
      </c>
      <c r="BD81" s="15">
        <f t="shared" si="52"/>
        <v>32.072864943713974</v>
      </c>
      <c r="BE81" s="10">
        <f t="shared" si="53"/>
        <v>0</v>
      </c>
      <c r="BF81">
        <f t="shared" si="54"/>
        <v>0</v>
      </c>
      <c r="BG81">
        <f t="shared" si="55"/>
        <v>0</v>
      </c>
      <c r="BH81">
        <f t="shared" si="56"/>
        <v>0</v>
      </c>
      <c r="BI81">
        <f t="shared" si="57"/>
        <v>0</v>
      </c>
    </row>
    <row r="82" spans="1:61" x14ac:dyDescent="0.3">
      <c r="A82">
        <f t="shared" si="65"/>
        <v>4.4999999999999998E-2</v>
      </c>
      <c r="B82">
        <f t="shared" si="0"/>
        <v>0.1413716694115407</v>
      </c>
      <c r="C82">
        <f t="shared" si="1"/>
        <v>3.0002209841782523</v>
      </c>
      <c r="D82">
        <f t="shared" si="2"/>
        <v>3.0002209841782523</v>
      </c>
      <c r="E82">
        <f t="shared" si="3"/>
        <v>0.14090123193758267</v>
      </c>
      <c r="F82">
        <f t="shared" si="11"/>
        <v>0.14090123193758286</v>
      </c>
      <c r="G82">
        <f t="shared" si="4"/>
        <v>0.1413716694115407</v>
      </c>
      <c r="H82">
        <f t="shared" si="5"/>
        <v>0.14090123193758267</v>
      </c>
      <c r="I82">
        <f t="shared" si="6"/>
        <v>0.14090123193758286</v>
      </c>
      <c r="J82">
        <f t="shared" si="7"/>
        <v>4.5181987667048602E+20</v>
      </c>
      <c r="K82">
        <f t="shared" si="8"/>
        <v>4.5181987667048602E+20</v>
      </c>
      <c r="L82">
        <f t="shared" si="12"/>
        <v>1</v>
      </c>
      <c r="M82">
        <f t="shared" si="9"/>
        <v>3.0002209841782525E-20</v>
      </c>
      <c r="N82" s="9">
        <f t="shared" si="63"/>
        <v>3.0002209841782525E-20</v>
      </c>
      <c r="O82">
        <f t="shared" si="64"/>
        <v>3.0002209841782525E-20</v>
      </c>
      <c r="Q82">
        <f t="shared" si="15"/>
        <v>47.55981527136025</v>
      </c>
      <c r="R82">
        <f t="shared" si="16"/>
        <v>-710542.73576010019</v>
      </c>
      <c r="S82">
        <f t="shared" si="38"/>
        <v>-44.953015912532919</v>
      </c>
      <c r="T82" s="9" t="e">
        <f t="shared" si="17"/>
        <v>#N/A</v>
      </c>
      <c r="U82">
        <f t="shared" si="39"/>
        <v>-1.0000000000000001E+300</v>
      </c>
      <c r="V82">
        <f t="shared" si="40"/>
        <v>0</v>
      </c>
      <c r="W82">
        <f t="shared" si="41"/>
        <v>0</v>
      </c>
      <c r="X82">
        <f t="shared" si="18"/>
        <v>3.0002209841782523</v>
      </c>
      <c r="Y82">
        <f t="shared" si="19"/>
        <v>7.8539816339744828</v>
      </c>
      <c r="Z82">
        <f t="shared" si="20"/>
        <v>-3.0002209841782523</v>
      </c>
      <c r="AA82">
        <f t="shared" si="42"/>
        <v>21.080651402891345</v>
      </c>
      <c r="AB82">
        <f t="shared" si="21"/>
        <v>28.934633036865826</v>
      </c>
      <c r="AC82">
        <f t="shared" si="43"/>
        <v>0.64710324205853842</v>
      </c>
      <c r="AD82">
        <f t="shared" si="22"/>
        <v>1.9596961167687936</v>
      </c>
      <c r="AE82" s="9">
        <f t="shared" si="44"/>
        <v>31.541432395693157</v>
      </c>
      <c r="AF82">
        <f t="shared" si="45"/>
        <v>0</v>
      </c>
      <c r="AH82">
        <f t="shared" si="23"/>
        <v>7.8539816339744828</v>
      </c>
      <c r="AI82">
        <f t="shared" si="24"/>
        <v>21.080651402891363</v>
      </c>
      <c r="AJ82">
        <f t="shared" si="25"/>
        <v>0.64710324205854164</v>
      </c>
      <c r="AK82">
        <f t="shared" si="26"/>
        <v>1.9596961167687936</v>
      </c>
      <c r="AL82" s="9">
        <f t="shared" si="46"/>
        <v>31.541432395693182</v>
      </c>
      <c r="AM82" t="e">
        <f t="shared" si="27"/>
        <v>#N/A</v>
      </c>
      <c r="AN82" t="e">
        <f t="shared" si="47"/>
        <v>#N/A</v>
      </c>
      <c r="AO82">
        <f t="shared" si="28"/>
        <v>0</v>
      </c>
      <c r="AP82">
        <f t="shared" si="29"/>
        <v>0</v>
      </c>
      <c r="AQ82">
        <f t="shared" si="30"/>
        <v>3.219646771412954E-15</v>
      </c>
      <c r="AR82">
        <f t="shared" si="48"/>
        <v>0</v>
      </c>
      <c r="AS82">
        <f t="shared" si="31"/>
        <v>0</v>
      </c>
      <c r="AT82">
        <f t="shared" si="49"/>
        <v>0</v>
      </c>
      <c r="AU82">
        <f t="shared" si="50"/>
        <v>0</v>
      </c>
      <c r="AV82">
        <f t="shared" si="32"/>
        <v>3.0002209841782519E-20</v>
      </c>
      <c r="AW82" t="b">
        <f t="shared" si="51"/>
        <v>1</v>
      </c>
      <c r="AX82">
        <f t="shared" si="33"/>
        <v>7.8539816339744828</v>
      </c>
      <c r="AY82">
        <f t="shared" si="34"/>
        <v>21.080651402891334</v>
      </c>
      <c r="AZ82">
        <f t="shared" si="35"/>
        <v>0.64710324205853842</v>
      </c>
      <c r="BA82">
        <f t="shared" si="36"/>
        <v>1.9596961167687923</v>
      </c>
      <c r="BB82">
        <f t="shared" si="37"/>
        <v>-1.2337005501361696E-20</v>
      </c>
      <c r="BD82" s="15">
        <f t="shared" si="52"/>
        <v>31.54143239569315</v>
      </c>
      <c r="BE82" s="10">
        <f t="shared" si="53"/>
        <v>-3.1974423109204508E-14</v>
      </c>
      <c r="BF82">
        <f t="shared" si="54"/>
        <v>0</v>
      </c>
      <c r="BG82">
        <f t="shared" si="55"/>
        <v>0</v>
      </c>
      <c r="BH82">
        <f t="shared" si="56"/>
        <v>0</v>
      </c>
      <c r="BI82">
        <f t="shared" si="57"/>
        <v>0</v>
      </c>
    </row>
    <row r="83" spans="1:61" x14ac:dyDescent="0.3">
      <c r="A83">
        <f t="shared" si="65"/>
        <v>4.5999999999999999E-2</v>
      </c>
      <c r="B83">
        <f t="shared" si="0"/>
        <v>0.14451326206513049</v>
      </c>
      <c r="C83">
        <f t="shared" si="1"/>
        <v>2.9970793915246627</v>
      </c>
      <c r="D83">
        <f t="shared" si="2"/>
        <v>2.9970793915246627</v>
      </c>
      <c r="E83">
        <f t="shared" si="3"/>
        <v>0.14401078255225216</v>
      </c>
      <c r="F83">
        <f t="shared" si="11"/>
        <v>0.14401078255225216</v>
      </c>
      <c r="G83">
        <f t="shared" si="4"/>
        <v>0.14451326206513049</v>
      </c>
      <c r="H83">
        <f t="shared" si="5"/>
        <v>0.14401078255225216</v>
      </c>
      <c r="I83">
        <f t="shared" si="6"/>
        <v>0.14401078255225216</v>
      </c>
      <c r="J83">
        <f t="shared" si="7"/>
        <v>4.420639629095783E+20</v>
      </c>
      <c r="K83">
        <f t="shared" si="8"/>
        <v>4.420639629095783E+20</v>
      </c>
      <c r="L83" t="e">
        <f t="shared" si="12"/>
        <v>#NUM!</v>
      </c>
      <c r="M83">
        <f t="shared" si="9"/>
        <v>2.9970793915246626E-20</v>
      </c>
      <c r="N83" s="9" t="e">
        <f t="shared" si="63"/>
        <v>#NUM!</v>
      </c>
      <c r="O83" t="e">
        <f t="shared" si="64"/>
        <v>#NUM!</v>
      </c>
      <c r="Q83">
        <f t="shared" si="15"/>
        <v>47.537986257965791</v>
      </c>
      <c r="R83">
        <f t="shared" si="16"/>
        <v>0</v>
      </c>
      <c r="S83">
        <f t="shared" si="38"/>
        <v>-44.954063581565364</v>
      </c>
      <c r="T83" s="9" t="e">
        <f t="shared" si="17"/>
        <v>#N/A</v>
      </c>
      <c r="U83">
        <f t="shared" si="39"/>
        <v>-1.0000000000000001E+300</v>
      </c>
      <c r="V83">
        <f t="shared" si="40"/>
        <v>0</v>
      </c>
      <c r="W83">
        <f t="shared" si="41"/>
        <v>0</v>
      </c>
      <c r="X83">
        <f t="shared" si="18"/>
        <v>2.9970793915246627</v>
      </c>
      <c r="Y83">
        <f t="shared" si="19"/>
        <v>7.8539816339744828</v>
      </c>
      <c r="Z83">
        <f t="shared" si="20"/>
        <v>-2.9970793915246627</v>
      </c>
      <c r="AA83">
        <f t="shared" si="42"/>
        <v>20.594556455054757</v>
      </c>
      <c r="AB83">
        <f t="shared" si="21"/>
        <v>28.448538089029242</v>
      </c>
      <c r="AC83">
        <f t="shared" si="43"/>
        <v>0.64605557302609484</v>
      </c>
      <c r="AD83">
        <f t="shared" si="22"/>
        <v>1.937867103374332</v>
      </c>
      <c r="AE83" s="9">
        <f t="shared" si="44"/>
        <v>31.032460765429668</v>
      </c>
      <c r="AF83">
        <f t="shared" si="45"/>
        <v>0</v>
      </c>
      <c r="AH83">
        <f t="shared" si="23"/>
        <v>7.8539816339744828</v>
      </c>
      <c r="AI83">
        <f t="shared" si="24"/>
        <v>20.594556455054747</v>
      </c>
      <c r="AJ83">
        <f t="shared" si="25"/>
        <v>0.6460555730260964</v>
      </c>
      <c r="AK83">
        <f t="shared" si="26"/>
        <v>1.937867103374332</v>
      </c>
      <c r="AL83" s="9">
        <f t="shared" si="46"/>
        <v>31.032460765429654</v>
      </c>
      <c r="AM83" t="e">
        <f t="shared" si="27"/>
        <v>#N/A</v>
      </c>
      <c r="AN83" t="e">
        <f t="shared" si="47"/>
        <v>#N/A</v>
      </c>
      <c r="AO83">
        <f t="shared" si="28"/>
        <v>0</v>
      </c>
      <c r="AP83">
        <f t="shared" si="29"/>
        <v>0</v>
      </c>
      <c r="AQ83">
        <f t="shared" si="30"/>
        <v>1.5543122344752192E-15</v>
      </c>
      <c r="AR83">
        <f t="shared" si="48"/>
        <v>0</v>
      </c>
      <c r="AS83">
        <f t="shared" si="31"/>
        <v>0</v>
      </c>
      <c r="AT83">
        <f t="shared" si="49"/>
        <v>0</v>
      </c>
      <c r="AU83">
        <f t="shared" si="50"/>
        <v>0</v>
      </c>
      <c r="AV83">
        <f t="shared" si="32"/>
        <v>2.9970793915246626E-20</v>
      </c>
      <c r="AW83" t="b">
        <f t="shared" si="51"/>
        <v>1</v>
      </c>
      <c r="AX83">
        <f t="shared" si="33"/>
        <v>7.8539816339744828</v>
      </c>
      <c r="AY83">
        <f t="shared" si="34"/>
        <v>20.594556455054747</v>
      </c>
      <c r="AZ83">
        <f t="shared" si="35"/>
        <v>0.64605557302609484</v>
      </c>
      <c r="BA83">
        <f t="shared" si="36"/>
        <v>1.937867103374332</v>
      </c>
      <c r="BB83">
        <f t="shared" si="37"/>
        <v>-1.2337005501361696E-20</v>
      </c>
      <c r="BD83" s="15">
        <f t="shared" si="52"/>
        <v>31.032460765429654</v>
      </c>
      <c r="BE83" s="10">
        <f t="shared" si="53"/>
        <v>0</v>
      </c>
      <c r="BF83">
        <f t="shared" si="54"/>
        <v>0</v>
      </c>
      <c r="BG83">
        <f t="shared" si="55"/>
        <v>0</v>
      </c>
      <c r="BH83">
        <f t="shared" si="56"/>
        <v>0</v>
      </c>
      <c r="BI83">
        <f t="shared" si="57"/>
        <v>0</v>
      </c>
    </row>
    <row r="84" spans="1:61" x14ac:dyDescent="0.3">
      <c r="A84">
        <f t="shared" si="65"/>
        <v>4.7E-2</v>
      </c>
      <c r="B84">
        <f t="shared" si="0"/>
        <v>0.14765485471872028</v>
      </c>
      <c r="C84">
        <f t="shared" si="1"/>
        <v>2.9939377988710727</v>
      </c>
      <c r="D84">
        <f t="shared" si="2"/>
        <v>2.9939377988710727</v>
      </c>
      <c r="E84">
        <f t="shared" si="3"/>
        <v>0.14711891183863737</v>
      </c>
      <c r="F84">
        <f t="shared" si="11"/>
        <v>0.14711891183863762</v>
      </c>
      <c r="G84">
        <f t="shared" si="4"/>
        <v>0.14765485471872028</v>
      </c>
      <c r="H84">
        <f t="shared" si="5"/>
        <v>0.14711891183863737</v>
      </c>
      <c r="I84">
        <f t="shared" si="6"/>
        <v>0.14711891183863762</v>
      </c>
      <c r="J84">
        <f t="shared" si="7"/>
        <v>4.3272463370707724E+20</v>
      </c>
      <c r="K84">
        <f t="shared" si="8"/>
        <v>4.3272463370707724E+20</v>
      </c>
      <c r="L84">
        <f t="shared" si="12"/>
        <v>1</v>
      </c>
      <c r="M84">
        <f t="shared" si="9"/>
        <v>2.9939377988710726E-20</v>
      </c>
      <c r="N84" s="9">
        <f t="shared" si="63"/>
        <v>2.9939377988710726E-20</v>
      </c>
      <c r="O84">
        <f t="shared" si="64"/>
        <v>2.9939377988710726E-20</v>
      </c>
      <c r="Q84">
        <f t="shared" si="15"/>
        <v>47.516633249725238</v>
      </c>
      <c r="R84">
        <f t="shared" si="16"/>
        <v>0</v>
      </c>
      <c r="S84">
        <f t="shared" si="38"/>
        <v>-44.955112349359446</v>
      </c>
      <c r="T84" s="9" t="e">
        <f t="shared" si="17"/>
        <v>#N/A</v>
      </c>
      <c r="U84">
        <f t="shared" si="39"/>
        <v>-1.0000000000000001E+300</v>
      </c>
      <c r="V84">
        <f t="shared" si="40"/>
        <v>0</v>
      </c>
      <c r="W84">
        <f t="shared" si="41"/>
        <v>0</v>
      </c>
      <c r="X84">
        <f t="shared" si="18"/>
        <v>2.9939377988710727</v>
      </c>
      <c r="Y84">
        <f t="shared" si="19"/>
        <v>7.8539816339744828</v>
      </c>
      <c r="Z84">
        <f t="shared" si="20"/>
        <v>-2.9939377988710727</v>
      </c>
      <c r="AA84">
        <f t="shared" si="42"/>
        <v>20.129024638113989</v>
      </c>
      <c r="AB84">
        <f t="shared" si="21"/>
        <v>27.983006272088474</v>
      </c>
      <c r="AC84">
        <f t="shared" si="43"/>
        <v>0.64500680523201037</v>
      </c>
      <c r="AD84">
        <f t="shared" si="22"/>
        <v>1.91651409513378</v>
      </c>
      <c r="AE84" s="9">
        <f t="shared" si="44"/>
        <v>30.544527172454266</v>
      </c>
      <c r="AF84">
        <f t="shared" si="45"/>
        <v>0</v>
      </c>
      <c r="AH84">
        <f t="shared" si="23"/>
        <v>7.8539816339744828</v>
      </c>
      <c r="AI84">
        <f t="shared" si="24"/>
        <v>20.129024638114018</v>
      </c>
      <c r="AJ84">
        <f t="shared" si="25"/>
        <v>0.64500680523201481</v>
      </c>
      <c r="AK84">
        <f t="shared" si="26"/>
        <v>1.91651409513378</v>
      </c>
      <c r="AL84" s="9">
        <f t="shared" si="46"/>
        <v>30.544527172454298</v>
      </c>
      <c r="AM84" t="e">
        <f t="shared" si="27"/>
        <v>#N/A</v>
      </c>
      <c r="AN84" t="e">
        <f t="shared" si="47"/>
        <v>#N/A</v>
      </c>
      <c r="AO84">
        <f t="shared" si="28"/>
        <v>0</v>
      </c>
      <c r="AP84">
        <f t="shared" si="29"/>
        <v>2.8421709430404007E-14</v>
      </c>
      <c r="AQ84">
        <f t="shared" si="30"/>
        <v>4.4408920985006262E-15</v>
      </c>
      <c r="AR84">
        <f t="shared" si="48"/>
        <v>1.4119764837779527E-15</v>
      </c>
      <c r="AS84">
        <f t="shared" si="31"/>
        <v>3.1974423109204508E-14</v>
      </c>
      <c r="AT84">
        <f t="shared" si="49"/>
        <v>1.0468134906353934E-15</v>
      </c>
      <c r="AU84">
        <f t="shared" si="50"/>
        <v>0</v>
      </c>
      <c r="AV84">
        <f t="shared" si="32"/>
        <v>2.9939377988710726E-20</v>
      </c>
      <c r="AW84" t="b">
        <f t="shared" si="51"/>
        <v>1</v>
      </c>
      <c r="AX84">
        <f t="shared" si="33"/>
        <v>7.8539816339744828</v>
      </c>
      <c r="AY84">
        <f t="shared" si="34"/>
        <v>20.129024638113986</v>
      </c>
      <c r="AZ84">
        <f t="shared" si="35"/>
        <v>0.64500680523201048</v>
      </c>
      <c r="BA84">
        <f t="shared" si="36"/>
        <v>1.9165140951337785</v>
      </c>
      <c r="BB84">
        <f t="shared" si="37"/>
        <v>-1.2337005501361696E-20</v>
      </c>
      <c r="BD84" s="15">
        <f t="shared" si="52"/>
        <v>30.544527172454256</v>
      </c>
      <c r="BE84" s="10">
        <f t="shared" si="53"/>
        <v>-4.2632564145606011E-14</v>
      </c>
      <c r="BF84">
        <f t="shared" si="54"/>
        <v>0</v>
      </c>
      <c r="BG84">
        <f t="shared" si="55"/>
        <v>0</v>
      </c>
      <c r="BH84">
        <f t="shared" si="56"/>
        <v>0</v>
      </c>
      <c r="BI84">
        <f t="shared" si="57"/>
        <v>0</v>
      </c>
    </row>
    <row r="85" spans="1:61" x14ac:dyDescent="0.3">
      <c r="A85">
        <f t="shared" si="65"/>
        <v>4.8000000000000001E-2</v>
      </c>
      <c r="B85">
        <f t="shared" si="0"/>
        <v>0.15079644737231007</v>
      </c>
      <c r="C85">
        <f t="shared" si="1"/>
        <v>2.9907962062174831</v>
      </c>
      <c r="D85">
        <f t="shared" si="2"/>
        <v>2.9907962062174831</v>
      </c>
      <c r="E85">
        <f t="shared" si="3"/>
        <v>0.15022558912075706</v>
      </c>
      <c r="F85">
        <f t="shared" si="11"/>
        <v>0.15022558912075712</v>
      </c>
      <c r="G85">
        <f t="shared" si="4"/>
        <v>0.15079644737231007</v>
      </c>
      <c r="H85">
        <f t="shared" si="5"/>
        <v>0.15022558912075706</v>
      </c>
      <c r="I85">
        <f t="shared" si="6"/>
        <v>0.15022558912075712</v>
      </c>
      <c r="J85">
        <f t="shared" si="7"/>
        <v>4.2377585343056445E+20</v>
      </c>
      <c r="K85">
        <f t="shared" si="8"/>
        <v>4.2377585343056445E+20</v>
      </c>
      <c r="L85">
        <f t="shared" si="12"/>
        <v>1</v>
      </c>
      <c r="M85">
        <f t="shared" si="9"/>
        <v>2.9907962062174826E-20</v>
      </c>
      <c r="N85" s="9">
        <f t="shared" si="63"/>
        <v>2.9907962062174826E-20</v>
      </c>
      <c r="O85">
        <f t="shared" si="64"/>
        <v>2.9907962062174826E-20</v>
      </c>
      <c r="Q85">
        <f t="shared" si="15"/>
        <v>47.495736341771966</v>
      </c>
      <c r="R85">
        <f t="shared" si="16"/>
        <v>0</v>
      </c>
      <c r="S85">
        <f t="shared" si="38"/>
        <v>-44.956162218222282</v>
      </c>
      <c r="T85" s="9" t="e">
        <f t="shared" si="17"/>
        <v>#N/A</v>
      </c>
      <c r="U85">
        <f t="shared" si="39"/>
        <v>-1.0000000000000001E+300</v>
      </c>
      <c r="V85">
        <f t="shared" si="40"/>
        <v>0</v>
      </c>
      <c r="W85">
        <f t="shared" si="41"/>
        <v>0</v>
      </c>
      <c r="X85">
        <f t="shared" si="18"/>
        <v>2.9907962062174831</v>
      </c>
      <c r="Y85">
        <f t="shared" si="19"/>
        <v>7.8539816339744828</v>
      </c>
      <c r="Z85">
        <f t="shared" si="20"/>
        <v>-2.9907962062174831</v>
      </c>
      <c r="AA85">
        <f t="shared" si="42"/>
        <v>19.682771122672154</v>
      </c>
      <c r="AB85">
        <f t="shared" si="21"/>
        <v>27.536752756646635</v>
      </c>
      <c r="AC85">
        <f t="shared" si="43"/>
        <v>0.64395693636917362</v>
      </c>
      <c r="AD85">
        <f t="shared" si="22"/>
        <v>1.895617187180505</v>
      </c>
      <c r="AE85" s="9">
        <f t="shared" si="44"/>
        <v>30.076326880196316</v>
      </c>
      <c r="AF85">
        <f t="shared" si="45"/>
        <v>0</v>
      </c>
      <c r="AH85">
        <f t="shared" si="23"/>
        <v>7.8539816339744828</v>
      </c>
      <c r="AI85">
        <f t="shared" si="24"/>
        <v>19.68277112267215</v>
      </c>
      <c r="AJ85">
        <f t="shared" si="25"/>
        <v>0.64395693636917883</v>
      </c>
      <c r="AK85">
        <f t="shared" si="26"/>
        <v>1.895617187180505</v>
      </c>
      <c r="AL85" s="9">
        <f t="shared" si="46"/>
        <v>30.076326880196319</v>
      </c>
      <c r="AM85" t="e">
        <f t="shared" si="27"/>
        <v>#N/A</v>
      </c>
      <c r="AN85" t="e">
        <f t="shared" si="47"/>
        <v>#N/A</v>
      </c>
      <c r="AO85">
        <f t="shared" si="28"/>
        <v>0</v>
      </c>
      <c r="AP85">
        <f t="shared" si="29"/>
        <v>0</v>
      </c>
      <c r="AQ85">
        <f t="shared" si="30"/>
        <v>5.2180482157382357E-15</v>
      </c>
      <c r="AR85">
        <f t="shared" si="48"/>
        <v>0</v>
      </c>
      <c r="AS85">
        <f t="shared" si="31"/>
        <v>0</v>
      </c>
      <c r="AT85">
        <f t="shared" si="49"/>
        <v>0</v>
      </c>
      <c r="AU85">
        <f t="shared" si="50"/>
        <v>0</v>
      </c>
      <c r="AV85">
        <f t="shared" si="32"/>
        <v>2.9907962062174826E-20</v>
      </c>
      <c r="AW85" t="b">
        <f t="shared" si="51"/>
        <v>1</v>
      </c>
      <c r="AX85">
        <f t="shared" si="33"/>
        <v>7.8539816339744828</v>
      </c>
      <c r="AY85">
        <f t="shared" si="34"/>
        <v>19.682771122672143</v>
      </c>
      <c r="AZ85">
        <f t="shared" si="35"/>
        <v>0.6439569363691735</v>
      </c>
      <c r="BA85">
        <f t="shared" si="36"/>
        <v>1.8956171871805048</v>
      </c>
      <c r="BB85">
        <f t="shared" si="37"/>
        <v>-1.2337005501361696E-20</v>
      </c>
      <c r="BD85" s="15">
        <f t="shared" si="52"/>
        <v>30.076326880196305</v>
      </c>
      <c r="BE85" s="10">
        <f t="shared" si="53"/>
        <v>0</v>
      </c>
      <c r="BF85">
        <f t="shared" si="54"/>
        <v>0</v>
      </c>
      <c r="BG85">
        <f t="shared" si="55"/>
        <v>0</v>
      </c>
      <c r="BH85">
        <f t="shared" si="56"/>
        <v>0</v>
      </c>
      <c r="BI85">
        <f t="shared" si="57"/>
        <v>0</v>
      </c>
    </row>
    <row r="86" spans="1:61" x14ac:dyDescent="0.3">
      <c r="A86">
        <f t="shared" si="65"/>
        <v>4.9000000000000002E-2</v>
      </c>
      <c r="B86">
        <f t="shared" si="0"/>
        <v>0.15393804002589986</v>
      </c>
      <c r="C86">
        <f t="shared" si="1"/>
        <v>2.9876546135638931</v>
      </c>
      <c r="D86">
        <f t="shared" si="2"/>
        <v>2.9876546135638931</v>
      </c>
      <c r="E86">
        <f t="shared" si="3"/>
        <v>0.15333078373696063</v>
      </c>
      <c r="F86">
        <f t="shared" si="11"/>
        <v>0.15333078373696093</v>
      </c>
      <c r="G86">
        <f t="shared" si="4"/>
        <v>0.15393804002589986</v>
      </c>
      <c r="H86">
        <f t="shared" si="5"/>
        <v>0.15333078373696063</v>
      </c>
      <c r="I86">
        <f t="shared" si="6"/>
        <v>0.15333078373696093</v>
      </c>
      <c r="J86">
        <f t="shared" si="7"/>
        <v>4.1519371182482463E+20</v>
      </c>
      <c r="K86">
        <f t="shared" si="8"/>
        <v>4.1519371182482463E+20</v>
      </c>
      <c r="L86">
        <f t="shared" si="12"/>
        <v>0</v>
      </c>
      <c r="M86">
        <f t="shared" si="9"/>
        <v>2.9876546135638933E-20</v>
      </c>
      <c r="N86" s="9">
        <f t="shared" si="63"/>
        <v>0</v>
      </c>
      <c r="O86">
        <f t="shared" si="64"/>
        <v>0</v>
      </c>
      <c r="Q86">
        <f t="shared" si="15"/>
        <v>47.475276860699239</v>
      </c>
      <c r="R86">
        <f t="shared" si="16"/>
        <v>0</v>
      </c>
      <c r="S86">
        <f t="shared" si="38"/>
        <v>-44.957213190468259</v>
      </c>
      <c r="T86" s="9" t="e">
        <f t="shared" si="17"/>
        <v>#N/A</v>
      </c>
      <c r="U86">
        <f t="shared" si="39"/>
        <v>-1.0000000000000001E+300</v>
      </c>
      <c r="V86">
        <f t="shared" si="40"/>
        <v>0</v>
      </c>
      <c r="W86">
        <f t="shared" si="41"/>
        <v>0</v>
      </c>
      <c r="X86">
        <f t="shared" si="18"/>
        <v>2.9876546135638931</v>
      </c>
      <c r="Y86">
        <f t="shared" si="19"/>
        <v>7.8539816339744828</v>
      </c>
      <c r="Z86">
        <f t="shared" si="20"/>
        <v>-2.9876546135638931</v>
      </c>
      <c r="AA86">
        <f t="shared" si="42"/>
        <v>19.254615962523697</v>
      </c>
      <c r="AB86">
        <f t="shared" si="21"/>
        <v>27.108597596498178</v>
      </c>
      <c r="AC86">
        <f t="shared" si="43"/>
        <v>0.64290596412319856</v>
      </c>
      <c r="AD86">
        <f t="shared" si="22"/>
        <v>1.8751577061077802</v>
      </c>
      <c r="AE86" s="9">
        <f t="shared" si="44"/>
        <v>29.626661266729158</v>
      </c>
      <c r="AF86">
        <f t="shared" si="45"/>
        <v>0</v>
      </c>
      <c r="AH86">
        <f t="shared" si="23"/>
        <v>7.8539816339744828</v>
      </c>
      <c r="AI86">
        <f t="shared" si="24"/>
        <v>19.254615962523737</v>
      </c>
      <c r="AJ86">
        <f t="shared" si="25"/>
        <v>0.64290596412320156</v>
      </c>
      <c r="AK86">
        <f t="shared" si="26"/>
        <v>1.8751577061077802</v>
      </c>
      <c r="AL86" s="9">
        <f t="shared" si="46"/>
        <v>29.626661266729204</v>
      </c>
      <c r="AM86" t="e">
        <f t="shared" si="27"/>
        <v>#N/A</v>
      </c>
      <c r="AN86" t="e">
        <f t="shared" si="47"/>
        <v>#N/A</v>
      </c>
      <c r="AO86">
        <f t="shared" si="28"/>
        <v>0</v>
      </c>
      <c r="AP86">
        <f t="shared" si="29"/>
        <v>3.907985046680551E-14</v>
      </c>
      <c r="AQ86">
        <f t="shared" si="30"/>
        <v>2.9976021664879227E-15</v>
      </c>
      <c r="AR86">
        <f t="shared" si="48"/>
        <v>2.0296354153657834E-15</v>
      </c>
      <c r="AS86">
        <f t="shared" si="31"/>
        <v>4.6185277824406512E-14</v>
      </c>
      <c r="AT86">
        <f t="shared" si="49"/>
        <v>1.5589093016118109E-15</v>
      </c>
      <c r="AU86">
        <f t="shared" si="50"/>
        <v>0</v>
      </c>
      <c r="AV86">
        <f t="shared" si="32"/>
        <v>2.9876546135638927E-20</v>
      </c>
      <c r="AW86" t="b">
        <f t="shared" si="51"/>
        <v>1</v>
      </c>
      <c r="AX86">
        <f t="shared" si="33"/>
        <v>7.8539816339744828</v>
      </c>
      <c r="AY86">
        <f t="shared" si="34"/>
        <v>19.25461596252369</v>
      </c>
      <c r="AZ86">
        <f t="shared" si="35"/>
        <v>0.64290596412319856</v>
      </c>
      <c r="BA86">
        <f t="shared" si="36"/>
        <v>1.8751577061077782</v>
      </c>
      <c r="BB86">
        <f t="shared" si="37"/>
        <v>-1.2337005501361696E-20</v>
      </c>
      <c r="BD86" s="15">
        <f t="shared" si="52"/>
        <v>29.626661266729148</v>
      </c>
      <c r="BE86" s="10">
        <f t="shared" si="53"/>
        <v>-5.6843418860808015E-14</v>
      </c>
      <c r="BF86">
        <f t="shared" si="54"/>
        <v>0</v>
      </c>
      <c r="BG86">
        <f t="shared" si="55"/>
        <v>0</v>
      </c>
      <c r="BH86">
        <f t="shared" si="56"/>
        <v>0</v>
      </c>
      <c r="BI86">
        <f t="shared" si="57"/>
        <v>0</v>
      </c>
    </row>
    <row r="87" spans="1:61" x14ac:dyDescent="0.3">
      <c r="A87">
        <f t="shared" si="65"/>
        <v>0.05</v>
      </c>
      <c r="B87">
        <f t="shared" si="0"/>
        <v>0.15707963267948966</v>
      </c>
      <c r="C87">
        <f t="shared" si="1"/>
        <v>2.9845130209103035</v>
      </c>
      <c r="D87">
        <f t="shared" si="2"/>
        <v>2.9845130209103035</v>
      </c>
      <c r="E87">
        <f t="shared" si="3"/>
        <v>0.15643446504023087</v>
      </c>
      <c r="F87">
        <f t="shared" si="11"/>
        <v>0.15643446504023098</v>
      </c>
      <c r="G87">
        <f t="shared" si="4"/>
        <v>0.15707963267948966</v>
      </c>
      <c r="H87">
        <f t="shared" si="5"/>
        <v>0.15643446504023087</v>
      </c>
      <c r="I87">
        <f t="shared" si="6"/>
        <v>0.15643446504023098</v>
      </c>
      <c r="J87">
        <f t="shared" si="7"/>
        <v>4.0695621147415269E+20</v>
      </c>
      <c r="K87">
        <f t="shared" si="8"/>
        <v>4.0695621147415269E+20</v>
      </c>
      <c r="L87">
        <f t="shared" si="12"/>
        <v>1</v>
      </c>
      <c r="M87">
        <f t="shared" si="9"/>
        <v>2.9845130209103033E-20</v>
      </c>
      <c r="N87" s="9">
        <f t="shared" si="63"/>
        <v>2.9845130209103033E-20</v>
      </c>
      <c r="O87">
        <f t="shared" si="64"/>
        <v>2.9845130209103033E-20</v>
      </c>
      <c r="Q87">
        <f t="shared" si="15"/>
        <v>47.455237265031762</v>
      </c>
      <c r="R87">
        <f t="shared" si="16"/>
        <v>0</v>
      </c>
      <c r="S87">
        <f t="shared" si="38"/>
        <v>-44.958265268419062</v>
      </c>
      <c r="T87" s="9" t="e">
        <f t="shared" si="17"/>
        <v>#N/A</v>
      </c>
      <c r="U87">
        <f t="shared" si="39"/>
        <v>-1.0000000000000001E+300</v>
      </c>
      <c r="V87">
        <f t="shared" si="40"/>
        <v>0</v>
      </c>
      <c r="W87">
        <f t="shared" si="41"/>
        <v>0</v>
      </c>
      <c r="X87">
        <f t="shared" si="18"/>
        <v>2.9845130209103035</v>
      </c>
      <c r="Y87">
        <f t="shared" si="19"/>
        <v>7.8539816339744828</v>
      </c>
      <c r="Z87">
        <f t="shared" si="20"/>
        <v>-2.9845130209103035</v>
      </c>
      <c r="AA87">
        <f t="shared" si="42"/>
        <v>18.84347360633981</v>
      </c>
      <c r="AB87">
        <f t="shared" si="21"/>
        <v>26.697455240314291</v>
      </c>
      <c r="AC87">
        <f t="shared" si="43"/>
        <v>0.64185388617239469</v>
      </c>
      <c r="AD87">
        <f t="shared" si="22"/>
        <v>1.8551181104403036</v>
      </c>
      <c r="AE87" s="9">
        <f t="shared" si="44"/>
        <v>29.194427236926991</v>
      </c>
      <c r="AF87">
        <f t="shared" si="45"/>
        <v>0</v>
      </c>
      <c r="AH87">
        <f t="shared" si="23"/>
        <v>7.8539816339744828</v>
      </c>
      <c r="AI87">
        <f t="shared" si="24"/>
        <v>18.843473606339817</v>
      </c>
      <c r="AJ87">
        <f t="shared" si="25"/>
        <v>0.6418538861723988</v>
      </c>
      <c r="AK87">
        <f t="shared" si="26"/>
        <v>1.8551181104403036</v>
      </c>
      <c r="AL87" s="9">
        <f t="shared" si="46"/>
        <v>29.194427236927002</v>
      </c>
      <c r="AM87" t="e">
        <f t="shared" si="27"/>
        <v>#N/A</v>
      </c>
      <c r="AN87" t="e">
        <f t="shared" si="47"/>
        <v>#N/A</v>
      </c>
      <c r="AO87">
        <f t="shared" si="28"/>
        <v>0</v>
      </c>
      <c r="AP87">
        <f t="shared" si="29"/>
        <v>0</v>
      </c>
      <c r="AQ87">
        <f t="shared" si="30"/>
        <v>4.1078251911130792E-15</v>
      </c>
      <c r="AR87">
        <f t="shared" si="48"/>
        <v>0</v>
      </c>
      <c r="AS87">
        <f t="shared" si="31"/>
        <v>0</v>
      </c>
      <c r="AT87">
        <f t="shared" si="49"/>
        <v>0</v>
      </c>
      <c r="AU87">
        <f t="shared" si="50"/>
        <v>0</v>
      </c>
      <c r="AV87">
        <f t="shared" si="32"/>
        <v>2.9845130209103033E-20</v>
      </c>
      <c r="AW87" t="b">
        <f t="shared" si="51"/>
        <v>1</v>
      </c>
      <c r="AX87">
        <f t="shared" si="33"/>
        <v>7.8539816339744828</v>
      </c>
      <c r="AY87">
        <f t="shared" si="34"/>
        <v>18.843473606339803</v>
      </c>
      <c r="AZ87">
        <f t="shared" si="35"/>
        <v>0.64185388617239481</v>
      </c>
      <c r="BA87">
        <f t="shared" si="36"/>
        <v>1.8551181104403029</v>
      </c>
      <c r="BB87">
        <f t="shared" si="37"/>
        <v>-1.2337005501361696E-20</v>
      </c>
      <c r="BD87" s="15">
        <f t="shared" si="52"/>
        <v>29.19442723692698</v>
      </c>
      <c r="BE87" s="10">
        <f t="shared" si="53"/>
        <v>0</v>
      </c>
      <c r="BF87">
        <f t="shared" si="54"/>
        <v>0</v>
      </c>
      <c r="BG87">
        <f t="shared" si="55"/>
        <v>0</v>
      </c>
      <c r="BH87">
        <f t="shared" si="56"/>
        <v>0</v>
      </c>
      <c r="BI87">
        <f t="shared" si="57"/>
        <v>0</v>
      </c>
    </row>
    <row r="88" spans="1:61" x14ac:dyDescent="0.3">
      <c r="A88">
        <f t="shared" si="65"/>
        <v>5.0999999999999997E-2</v>
      </c>
      <c r="B88">
        <f t="shared" ref="B88:B151" si="66">th_max*A88</f>
        <v>0.16022122533307945</v>
      </c>
      <c r="C88">
        <f t="shared" ref="C88:C151" si="67">th_max-B88</f>
        <v>2.9813714282567139</v>
      </c>
      <c r="D88">
        <f t="shared" ref="D88:D151" si="68">IF(use_th_l,B88,C88)</f>
        <v>2.9813714282567139</v>
      </c>
      <c r="E88">
        <f t="shared" si="3"/>
        <v>0.1595366023984863</v>
      </c>
      <c r="F88">
        <f t="shared" si="11"/>
        <v>0.15953660239848622</v>
      </c>
      <c r="G88">
        <f t="shared" ref="G88:G151" si="69">alpha*B88</f>
        <v>0.16022122533307945</v>
      </c>
      <c r="H88">
        <f t="shared" ref="H88:H151" si="70">SIN(G88)</f>
        <v>0.1595366023984863</v>
      </c>
      <c r="I88">
        <f t="shared" ref="I88:I151" si="71">SIN(alpha*C88+add_r)</f>
        <v>0.15953660239848622</v>
      </c>
      <c r="J88">
        <f t="shared" si="7"/>
        <v>3.9904308026909675E+20</v>
      </c>
      <c r="K88">
        <f t="shared" si="8"/>
        <v>3.9904308026909675E+20</v>
      </c>
      <c r="L88">
        <f t="shared" si="12"/>
        <v>1</v>
      </c>
      <c r="M88">
        <f t="shared" ref="M88:M151" si="72">-SIN((alpha_m_1)*B88+add_l)</f>
        <v>2.9813714282567134E-20</v>
      </c>
      <c r="N88" s="9">
        <f t="shared" si="63"/>
        <v>2.9813714282567134E-20</v>
      </c>
      <c r="O88">
        <f t="shared" si="64"/>
        <v>2.9813714282567134E-20</v>
      </c>
      <c r="Q88">
        <f t="shared" si="15"/>
        <v>47.435601055553519</v>
      </c>
      <c r="R88">
        <f t="shared" si="16"/>
        <v>0</v>
      </c>
      <c r="S88">
        <f t="shared" si="38"/>
        <v>-44.959318454403721</v>
      </c>
      <c r="T88" s="9" t="e">
        <f t="shared" si="17"/>
        <v>#N/A</v>
      </c>
      <c r="U88">
        <f t="shared" si="39"/>
        <v>-1.0000000000000001E+300</v>
      </c>
      <c r="V88">
        <f t="shared" si="40"/>
        <v>0</v>
      </c>
      <c r="W88">
        <f t="shared" si="41"/>
        <v>0</v>
      </c>
      <c r="X88">
        <f t="shared" si="18"/>
        <v>2.9813714282567139</v>
      </c>
      <c r="Y88">
        <f t="shared" si="19"/>
        <v>7.8539816339744828</v>
      </c>
      <c r="Z88">
        <f t="shared" si="20"/>
        <v>-2.9813714282567139</v>
      </c>
      <c r="AA88">
        <f t="shared" si="42"/>
        <v>18.448343643272196</v>
      </c>
      <c r="AB88">
        <f t="shared" si="21"/>
        <v>26.30232527724668</v>
      </c>
      <c r="AC88">
        <f t="shared" si="43"/>
        <v>0.64080070018773616</v>
      </c>
      <c r="AD88">
        <f t="shared" si="22"/>
        <v>1.8354819009620611</v>
      </c>
      <c r="AE88" s="9">
        <f t="shared" si="44"/>
        <v>28.778607878396478</v>
      </c>
      <c r="AF88">
        <f t="shared" si="45"/>
        <v>0</v>
      </c>
      <c r="AH88">
        <f t="shared" si="23"/>
        <v>7.8539816339744828</v>
      </c>
      <c r="AI88">
        <f t="shared" si="24"/>
        <v>18.448343643272178</v>
      </c>
      <c r="AJ88">
        <f t="shared" si="25"/>
        <v>0.64080070018773938</v>
      </c>
      <c r="AK88">
        <f t="shared" si="26"/>
        <v>1.8354819009620611</v>
      </c>
      <c r="AL88" s="9">
        <f t="shared" si="46"/>
        <v>28.778607878396461</v>
      </c>
      <c r="AM88" t="e">
        <f t="shared" si="27"/>
        <v>#N/A</v>
      </c>
      <c r="AN88" t="e">
        <f t="shared" si="47"/>
        <v>#N/A</v>
      </c>
      <c r="AO88">
        <f t="shared" si="28"/>
        <v>0</v>
      </c>
      <c r="AP88">
        <f t="shared" si="29"/>
        <v>0</v>
      </c>
      <c r="AQ88">
        <f t="shared" si="30"/>
        <v>3.219646771412954E-15</v>
      </c>
      <c r="AR88">
        <f t="shared" si="48"/>
        <v>0</v>
      </c>
      <c r="AS88">
        <f t="shared" si="31"/>
        <v>0</v>
      </c>
      <c r="AT88">
        <f t="shared" si="49"/>
        <v>0</v>
      </c>
      <c r="AU88">
        <f t="shared" si="50"/>
        <v>0</v>
      </c>
      <c r="AV88">
        <f t="shared" si="32"/>
        <v>2.981371428256714E-20</v>
      </c>
      <c r="AW88" t="b">
        <f t="shared" si="51"/>
        <v>1</v>
      </c>
      <c r="AX88">
        <f t="shared" si="33"/>
        <v>7.8539816339744828</v>
      </c>
      <c r="AY88">
        <f t="shared" si="34"/>
        <v>18.448343643272189</v>
      </c>
      <c r="AZ88">
        <f t="shared" si="35"/>
        <v>0.64080070018773627</v>
      </c>
      <c r="BA88">
        <f t="shared" si="36"/>
        <v>1.8354819009620618</v>
      </c>
      <c r="BB88">
        <f t="shared" si="37"/>
        <v>-1.2337005501361696E-20</v>
      </c>
      <c r="BD88" s="15">
        <f t="shared" si="52"/>
        <v>28.778607878396471</v>
      </c>
      <c r="BE88" s="10">
        <f t="shared" si="53"/>
        <v>0</v>
      </c>
      <c r="BF88">
        <f t="shared" si="54"/>
        <v>0</v>
      </c>
      <c r="BG88">
        <f t="shared" si="55"/>
        <v>0</v>
      </c>
      <c r="BH88">
        <f t="shared" si="56"/>
        <v>0</v>
      </c>
      <c r="BI88">
        <f t="shared" si="57"/>
        <v>0</v>
      </c>
    </row>
    <row r="89" spans="1:61" x14ac:dyDescent="0.3">
      <c r="A89">
        <f t="shared" si="65"/>
        <v>5.1999999999999998E-2</v>
      </c>
      <c r="B89">
        <f t="shared" si="66"/>
        <v>0.16336281798666924</v>
      </c>
      <c r="C89">
        <f t="shared" si="67"/>
        <v>2.9782298356031238</v>
      </c>
      <c r="D89">
        <f t="shared" si="68"/>
        <v>2.9782298356031238</v>
      </c>
      <c r="E89">
        <f t="shared" ref="E89:E152" si="73">SIN(B89-add_l)</f>
        <v>0.16263716519488358</v>
      </c>
      <c r="F89">
        <f t="shared" ref="F89:F152" si="74">SIN(C89)</f>
        <v>0.16263716519488378</v>
      </c>
      <c r="G89">
        <f t="shared" si="69"/>
        <v>0.16336281798666924</v>
      </c>
      <c r="H89">
        <f t="shared" si="70"/>
        <v>0.16263716519488358</v>
      </c>
      <c r="I89">
        <f t="shared" si="71"/>
        <v>0.16263716519488378</v>
      </c>
      <c r="J89">
        <f t="shared" si="7"/>
        <v>3.9143560551165395E+20</v>
      </c>
      <c r="K89">
        <f t="shared" si="8"/>
        <v>3.9143560551165395E+20</v>
      </c>
      <c r="L89" t="e">
        <f t="shared" ref="L89:L152" si="75">(cat0*E89*K89)^(1/(alpha_m_1))</f>
        <v>#NUM!</v>
      </c>
      <c r="M89">
        <f t="shared" si="72"/>
        <v>2.978229835603124E-20</v>
      </c>
      <c r="N89" s="9" t="e">
        <f t="shared" si="63"/>
        <v>#NUM!</v>
      </c>
      <c r="O89" t="e">
        <f t="shared" si="64"/>
        <v>#NUM!</v>
      </c>
      <c r="Q89">
        <f t="shared" ref="Q89:Q152" si="76">alpha*LN(J89)</f>
        <v>47.416352694343409</v>
      </c>
      <c r="R89">
        <f t="shared" ref="R89:R152" si="77">(LN(cat0)+LN(E89)+Q89)/(alpha_m_1)</f>
        <v>0</v>
      </c>
      <c r="S89">
        <f t="shared" si="38"/>
        <v>-44.96037275075863</v>
      </c>
      <c r="T89" s="9" t="e">
        <f t="shared" ref="T89:T152" si="78">IF(ABS(alpha_m_1)&gt;0.00000000000001,R89+S89,NA())</f>
        <v>#N/A</v>
      </c>
      <c r="U89">
        <f t="shared" si="39"/>
        <v>-1.0000000000000001E+300</v>
      </c>
      <c r="V89">
        <f t="shared" si="40"/>
        <v>0</v>
      </c>
      <c r="W89">
        <f t="shared" si="41"/>
        <v>0</v>
      </c>
      <c r="X89">
        <f t="shared" ref="X89:X152" si="79">C89</f>
        <v>2.9782298356031238</v>
      </c>
      <c r="Y89">
        <f t="shared" ref="Y89:Y152" si="80">ea</f>
        <v>7.8539816339744828</v>
      </c>
      <c r="Z89">
        <f t="shared" ref="Z89:Z152" si="81">p2b+PI()/2-X89</f>
        <v>-2.9782298356031238</v>
      </c>
      <c r="AA89">
        <f t="shared" si="42"/>
        <v>18.068302616372424</v>
      </c>
      <c r="AB89">
        <f t="shared" ref="AB89:AB152" si="82">$AA$7+AA89</f>
        <v>25.922284250346905</v>
      </c>
      <c r="AC89">
        <f t="shared" si="43"/>
        <v>0.63974640383282999</v>
      </c>
      <c r="AD89">
        <f t="shared" ref="AD89:AD152" si="83">-LN(SIN(A89*PI()))</f>
        <v>1.8162335397519496</v>
      </c>
      <c r="AE89" s="9">
        <f t="shared" si="44"/>
        <v>28.378264193931685</v>
      </c>
      <c r="AF89">
        <f t="shared" si="45"/>
        <v>0</v>
      </c>
      <c r="AH89">
        <f t="shared" ref="AH89:AH152" si="84">IF(use_alpha_near_1,$D$18,NA())</f>
        <v>7.8539816339744828</v>
      </c>
      <c r="AI89">
        <f t="shared" ref="AI89:AI152" si="85">IF(use_alpha_near_1,alpha/(alpha_m_1)*(log1p(-SIN(add_l)*_xlfn.COT(B89)-2*SIN(add_l/2)^2)-log1p(SIN(alpha_m_1*B89)*_xlfn.COT(B89)-2*SIN(alpha_m_1*B89/2)^2)),NA())</f>
        <v>18.068302616372439</v>
      </c>
      <c r="AJ89">
        <f t="shared" ref="AJ89:AJ152" si="86">IF(use_alpha_near_1,$D$21+LN(M89),NA())</f>
        <v>0.63974640383283088</v>
      </c>
      <c r="AK89">
        <f t="shared" ref="AK89:AK152" si="87">IF(use_alpha_near_1,-LN(E89),NA())</f>
        <v>1.8162335397519496</v>
      </c>
      <c r="AL89" s="9">
        <f t="shared" si="46"/>
        <v>28.378264193931699</v>
      </c>
      <c r="AM89" t="e">
        <f t="shared" ref="AM89:AM152" si="88">AL89-T89</f>
        <v>#N/A</v>
      </c>
      <c r="AN89" t="e">
        <f t="shared" si="47"/>
        <v>#N/A</v>
      </c>
      <c r="AO89">
        <f t="shared" ref="AO89:AO152" si="89">AH89-Y89</f>
        <v>0</v>
      </c>
      <c r="AP89">
        <f t="shared" ref="AP89:AP152" si="90">AI89-AA89</f>
        <v>0</v>
      </c>
      <c r="AQ89">
        <f t="shared" ref="AQ89:AQ152" si="91">AJ89-AC89</f>
        <v>8.8817841970012523E-16</v>
      </c>
      <c r="AR89">
        <f t="shared" si="48"/>
        <v>0</v>
      </c>
      <c r="AS89">
        <f t="shared" ref="AS89:AS152" si="92">AL89-AE89</f>
        <v>0</v>
      </c>
      <c r="AT89">
        <f t="shared" si="49"/>
        <v>0</v>
      </c>
      <c r="AU89">
        <f t="shared" si="50"/>
        <v>0</v>
      </c>
      <c r="AV89">
        <f t="shared" ref="AV89:AV152" si="93">alpha_m_1*C89+add_r</f>
        <v>2.9782298356031234E-20</v>
      </c>
      <c r="AW89" t="b">
        <f t="shared" si="51"/>
        <v>1</v>
      </c>
      <c r="AX89">
        <f t="shared" ref="AX89:AX152" si="94">IF(use_alpha_near_1,$D$18,NA())</f>
        <v>7.8539816339744828</v>
      </c>
      <c r="AY89">
        <f t="shared" ref="AY89:AY152" si="95">-alpha/alpha_m_1*log1p(_xlfn.COT(C89)*SIN(AV89)-2*SIN(AV89/2)^2)</f>
        <v>18.068302616372417</v>
      </c>
      <c r="AZ89">
        <f t="shared" ref="AZ89:AZ152" si="96">LN(ABS(zeta)*SIN(AV89))</f>
        <v>0.63974640383282999</v>
      </c>
      <c r="BA89">
        <f t="shared" ref="BA89:BA152" si="97">-LN(SIN(C89))</f>
        <v>1.8162335397519485</v>
      </c>
      <c r="BB89">
        <f t="shared" ref="BB89:BB152" si="98">-log1p(zeta^-2)/(2*alpha_m_1)</f>
        <v>-1.2337005501361696E-20</v>
      </c>
      <c r="BD89" s="15">
        <f t="shared" si="52"/>
        <v>28.378264193931678</v>
      </c>
      <c r="BE89" s="10">
        <f t="shared" si="53"/>
        <v>0</v>
      </c>
      <c r="BF89">
        <f t="shared" si="54"/>
        <v>0</v>
      </c>
      <c r="BG89">
        <f t="shared" si="55"/>
        <v>0</v>
      </c>
      <c r="BH89">
        <f t="shared" si="56"/>
        <v>0</v>
      </c>
      <c r="BI89">
        <f t="shared" si="57"/>
        <v>0</v>
      </c>
    </row>
    <row r="90" spans="1:61" x14ac:dyDescent="0.3">
      <c r="A90">
        <f t="shared" si="65"/>
        <v>5.2999999999999999E-2</v>
      </c>
      <c r="B90">
        <f t="shared" si="66"/>
        <v>0.16650441064025903</v>
      </c>
      <c r="C90">
        <f t="shared" si="67"/>
        <v>2.9750882429495342</v>
      </c>
      <c r="D90">
        <f t="shared" si="68"/>
        <v>2.9750882429495342</v>
      </c>
      <c r="E90">
        <f t="shared" si="73"/>
        <v>0.1657361228281197</v>
      </c>
      <c r="F90">
        <f t="shared" si="74"/>
        <v>0.16573612282811967</v>
      </c>
      <c r="G90">
        <f t="shared" si="69"/>
        <v>0.16650441064025903</v>
      </c>
      <c r="H90">
        <f t="shared" si="70"/>
        <v>0.1657361228281197</v>
      </c>
      <c r="I90">
        <f t="shared" si="71"/>
        <v>0.16573612282811967</v>
      </c>
      <c r="J90">
        <f t="shared" si="7"/>
        <v>3.8411648680101079E+20</v>
      </c>
      <c r="K90">
        <f t="shared" si="8"/>
        <v>3.8411648680101079E+20</v>
      </c>
      <c r="L90">
        <f t="shared" si="75"/>
        <v>1</v>
      </c>
      <c r="M90">
        <f t="shared" si="72"/>
        <v>2.975088242949534E-20</v>
      </c>
      <c r="N90" s="9">
        <f t="shared" si="63"/>
        <v>2.975088242949534E-20</v>
      </c>
      <c r="O90">
        <f t="shared" si="64"/>
        <v>2.975088242949534E-20</v>
      </c>
      <c r="Q90">
        <f t="shared" si="76"/>
        <v>47.397477531523222</v>
      </c>
      <c r="R90">
        <f t="shared" si="77"/>
        <v>0</v>
      </c>
      <c r="S90">
        <f t="shared" ref="S90:S153" si="99">LN(M90)</f>
        <v>-44.96142815982757</v>
      </c>
      <c r="T90" s="9" t="e">
        <f t="shared" si="78"/>
        <v>#N/A</v>
      </c>
      <c r="U90">
        <f t="shared" ref="U90:U153" si="100">IFERROR(T90-EXP(T90),-1E+300)</f>
        <v>-1.0000000000000001E+300</v>
      </c>
      <c r="V90">
        <f t="shared" ref="V90:V153" si="101">EXP(U90)</f>
        <v>0</v>
      </c>
      <c r="W90">
        <f t="shared" ref="W90:W153" si="102">IFERROR(T90-LN(N90),0)</f>
        <v>0</v>
      </c>
      <c r="X90">
        <f t="shared" si="79"/>
        <v>2.9750882429495342</v>
      </c>
      <c r="Y90">
        <f t="shared" si="80"/>
        <v>7.8539816339744828</v>
      </c>
      <c r="Z90">
        <f t="shared" si="81"/>
        <v>-2.9750882429495342</v>
      </c>
      <c r="AA90">
        <f t="shared" ref="AA90:AA153" si="103">Z90*TAN(PI()/2-X90)</f>
        <v>17.702496762793935</v>
      </c>
      <c r="AB90">
        <f t="shared" si="82"/>
        <v>25.556478396768419</v>
      </c>
      <c r="AC90">
        <f t="shared" ref="AC90:AC153" si="104">LN(Z90/$AA$6)</f>
        <v>0.63869099476388658</v>
      </c>
      <c r="AD90">
        <f t="shared" si="83"/>
        <v>1.797358376931764</v>
      </c>
      <c r="AE90" s="9">
        <f t="shared" ref="AE90:AE153" si="105">AB90+AC90+AD90</f>
        <v>27.992527768464072</v>
      </c>
      <c r="AF90">
        <f t="shared" ref="AF90:AF153" si="106">IFERROR(EXP(AE90)*EXP(-EXP(AE90)),0)</f>
        <v>0</v>
      </c>
      <c r="AH90">
        <f t="shared" si="84"/>
        <v>7.8539816339744828</v>
      </c>
      <c r="AI90">
        <f t="shared" si="85"/>
        <v>17.702496762793924</v>
      </c>
      <c r="AJ90">
        <f t="shared" si="86"/>
        <v>0.63869099476389124</v>
      </c>
      <c r="AK90">
        <f t="shared" si="87"/>
        <v>1.797358376931764</v>
      </c>
      <c r="AL90" s="9">
        <f t="shared" ref="AL90:AL153" si="107">SUM(AH90:AK90)</f>
        <v>27.992527768464061</v>
      </c>
      <c r="AM90" t="e">
        <f t="shared" si="88"/>
        <v>#N/A</v>
      </c>
      <c r="AN90" t="e">
        <f t="shared" ref="AN90:AN153" si="108">AM90/AL90</f>
        <v>#N/A</v>
      </c>
      <c r="AO90">
        <f t="shared" si="89"/>
        <v>0</v>
      </c>
      <c r="AP90">
        <f t="shared" si="90"/>
        <v>0</v>
      </c>
      <c r="AQ90">
        <f t="shared" si="91"/>
        <v>4.6629367034256575E-15</v>
      </c>
      <c r="AR90">
        <f t="shared" ref="AR90:AR153" si="109">AP90/AI90</f>
        <v>0</v>
      </c>
      <c r="AS90">
        <f t="shared" si="92"/>
        <v>0</v>
      </c>
      <c r="AT90">
        <f t="shared" ref="AT90:AT153" si="110">AS90/AL90</f>
        <v>0</v>
      </c>
      <c r="AU90">
        <f t="shared" ref="AU90:AU153" si="111">IFERROR(EXP(AL90)*EXP(-EXP(AL90)),0)</f>
        <v>0</v>
      </c>
      <c r="AV90">
        <f t="shared" si="93"/>
        <v>2.975088242949534E-20</v>
      </c>
      <c r="AW90" t="b">
        <f t="shared" ref="AW90:AW153" si="112">(ABS(_xlfn.COT(C90)*SIN(AV90))&lt;0.00000001)</f>
        <v>1</v>
      </c>
      <c r="AX90">
        <f t="shared" si="94"/>
        <v>7.8539816339744828</v>
      </c>
      <c r="AY90">
        <f t="shared" si="95"/>
        <v>17.702496762793928</v>
      </c>
      <c r="AZ90">
        <f t="shared" si="96"/>
        <v>0.63869099476388658</v>
      </c>
      <c r="BA90">
        <f t="shared" si="97"/>
        <v>1.797358376931764</v>
      </c>
      <c r="BB90">
        <f t="shared" si="98"/>
        <v>-1.2337005501361696E-20</v>
      </c>
      <c r="BD90" s="15">
        <f t="shared" ref="BD90:BD153" si="113">SUM(AX90:BB90)</f>
        <v>27.992527768464065</v>
      </c>
      <c r="BE90" s="10">
        <f t="shared" ref="BE90:BE153" si="114">BD90-AL90</f>
        <v>0</v>
      </c>
      <c r="BF90">
        <f t="shared" ref="BF90:BF153" si="115">BD90-AE90</f>
        <v>0</v>
      </c>
      <c r="BG90">
        <f t="shared" ref="BG90:BG153" si="116">AX90-Y90</f>
        <v>0</v>
      </c>
      <c r="BH90">
        <f t="shared" ref="BH90:BH153" si="117">AY90-AA90</f>
        <v>0</v>
      </c>
      <c r="BI90">
        <f t="shared" ref="BI90:BI153" si="118">AZ90-AC90</f>
        <v>0</v>
      </c>
    </row>
    <row r="91" spans="1:61" x14ac:dyDescent="0.3">
      <c r="A91">
        <f t="shared" si="65"/>
        <v>5.3999999999999999E-2</v>
      </c>
      <c r="B91">
        <f t="shared" si="66"/>
        <v>0.16964600329384882</v>
      </c>
      <c r="C91">
        <f t="shared" si="67"/>
        <v>2.9719466502959442</v>
      </c>
      <c r="D91">
        <f t="shared" si="68"/>
        <v>2.9719466502959442</v>
      </c>
      <c r="E91">
        <f t="shared" si="73"/>
        <v>0.16883344471273387</v>
      </c>
      <c r="F91">
        <f t="shared" si="74"/>
        <v>0.16883344471273409</v>
      </c>
      <c r="G91">
        <f t="shared" si="69"/>
        <v>0.16964600329384882</v>
      </c>
      <c r="H91">
        <f t="shared" si="70"/>
        <v>0.16883344471273387</v>
      </c>
      <c r="I91">
        <f t="shared" si="71"/>
        <v>0.16883344471273409</v>
      </c>
      <c r="J91">
        <f t="shared" si="7"/>
        <v>3.7706970526531342E+20</v>
      </c>
      <c r="K91">
        <f t="shared" si="8"/>
        <v>3.7706970526531342E+20</v>
      </c>
      <c r="L91">
        <f t="shared" si="75"/>
        <v>1</v>
      </c>
      <c r="M91">
        <f t="shared" si="72"/>
        <v>2.9719466502959441E-20</v>
      </c>
      <c r="N91" s="9">
        <f t="shared" si="63"/>
        <v>2.9719466502959441E-20</v>
      </c>
      <c r="O91">
        <f t="shared" si="64"/>
        <v>2.9719466502959441E-20</v>
      </c>
      <c r="Q91">
        <f t="shared" si="76"/>
        <v>47.378961738852887</v>
      </c>
      <c r="R91">
        <f t="shared" si="77"/>
        <v>0</v>
      </c>
      <c r="S91">
        <f t="shared" si="99"/>
        <v>-44.962484683961769</v>
      </c>
      <c r="T91" s="9" t="e">
        <f t="shared" si="78"/>
        <v>#N/A</v>
      </c>
      <c r="U91">
        <f t="shared" si="100"/>
        <v>-1.0000000000000001E+300</v>
      </c>
      <c r="V91">
        <f t="shared" si="101"/>
        <v>0</v>
      </c>
      <c r="W91">
        <f t="shared" si="102"/>
        <v>0</v>
      </c>
      <c r="X91">
        <f t="shared" si="79"/>
        <v>2.9719466502959442</v>
      </c>
      <c r="Y91">
        <f t="shared" si="80"/>
        <v>7.8539816339744828</v>
      </c>
      <c r="Z91">
        <f t="shared" si="81"/>
        <v>-2.9719466502959442</v>
      </c>
      <c r="AA91">
        <f t="shared" si="103"/>
        <v>17.350135560637703</v>
      </c>
      <c r="AB91">
        <f t="shared" si="82"/>
        <v>25.204117194612188</v>
      </c>
      <c r="AC91">
        <f t="shared" si="104"/>
        <v>0.63763447062968648</v>
      </c>
      <c r="AD91">
        <f t="shared" si="83"/>
        <v>1.7788425842614268</v>
      </c>
      <c r="AE91" s="9">
        <f t="shared" si="105"/>
        <v>27.620594249503299</v>
      </c>
      <c r="AF91">
        <f t="shared" si="106"/>
        <v>0</v>
      </c>
      <c r="AH91">
        <f t="shared" si="84"/>
        <v>7.8539816339744828</v>
      </c>
      <c r="AI91">
        <f t="shared" si="85"/>
        <v>17.350135560637725</v>
      </c>
      <c r="AJ91">
        <f t="shared" si="86"/>
        <v>0.63763447062969192</v>
      </c>
      <c r="AK91">
        <f t="shared" si="87"/>
        <v>1.7788425842614268</v>
      </c>
      <c r="AL91" s="9">
        <f t="shared" si="107"/>
        <v>27.620594249503327</v>
      </c>
      <c r="AM91" t="e">
        <f t="shared" si="88"/>
        <v>#N/A</v>
      </c>
      <c r="AN91" t="e">
        <f t="shared" si="108"/>
        <v>#N/A</v>
      </c>
      <c r="AO91">
        <f t="shared" si="89"/>
        <v>0</v>
      </c>
      <c r="AP91">
        <f t="shared" si="90"/>
        <v>0</v>
      </c>
      <c r="AQ91">
        <f t="shared" si="91"/>
        <v>5.440092820663267E-15</v>
      </c>
      <c r="AR91">
        <f t="shared" si="109"/>
        <v>0</v>
      </c>
      <c r="AS91">
        <f t="shared" si="92"/>
        <v>2.8421709430404007E-14</v>
      </c>
      <c r="AT91">
        <f t="shared" si="110"/>
        <v>1.0290042702797782E-15</v>
      </c>
      <c r="AU91">
        <f t="shared" si="111"/>
        <v>0</v>
      </c>
      <c r="AV91">
        <f t="shared" si="93"/>
        <v>2.9719466502959441E-20</v>
      </c>
      <c r="AW91" t="b">
        <f t="shared" si="112"/>
        <v>1</v>
      </c>
      <c r="AX91">
        <f t="shared" si="94"/>
        <v>7.8539816339744828</v>
      </c>
      <c r="AY91">
        <f t="shared" si="95"/>
        <v>17.3501355606377</v>
      </c>
      <c r="AZ91">
        <f t="shared" si="96"/>
        <v>0.63763447062968659</v>
      </c>
      <c r="BA91">
        <f t="shared" si="97"/>
        <v>1.7788425842614257</v>
      </c>
      <c r="BB91">
        <f t="shared" si="98"/>
        <v>-1.2337005501361696E-20</v>
      </c>
      <c r="BD91" s="15">
        <f t="shared" si="113"/>
        <v>27.620594249503291</v>
      </c>
      <c r="BE91" s="10">
        <f t="shared" si="114"/>
        <v>-3.5527136788005009E-14</v>
      </c>
      <c r="BF91">
        <f t="shared" si="115"/>
        <v>0</v>
      </c>
      <c r="BG91">
        <f t="shared" si="116"/>
        <v>0</v>
      </c>
      <c r="BH91">
        <f t="shared" si="117"/>
        <v>0</v>
      </c>
      <c r="BI91">
        <f t="shared" si="118"/>
        <v>0</v>
      </c>
    </row>
    <row r="92" spans="1:61" x14ac:dyDescent="0.3">
      <c r="A92">
        <f t="shared" si="65"/>
        <v>5.5E-2</v>
      </c>
      <c r="B92">
        <f t="shared" si="66"/>
        <v>0.17278759594743862</v>
      </c>
      <c r="C92">
        <f t="shared" si="67"/>
        <v>2.9688050576423546</v>
      </c>
      <c r="D92">
        <f t="shared" si="68"/>
        <v>2.9688050576423546</v>
      </c>
      <c r="E92">
        <f t="shared" si="73"/>
        <v>0.17192910027940952</v>
      </c>
      <c r="F92">
        <f t="shared" si="74"/>
        <v>0.17192910027940958</v>
      </c>
      <c r="G92">
        <f t="shared" si="69"/>
        <v>0.17278759594743862</v>
      </c>
      <c r="H92">
        <f t="shared" si="70"/>
        <v>0.17192910027940952</v>
      </c>
      <c r="I92">
        <f t="shared" si="71"/>
        <v>0.17192910027940958</v>
      </c>
      <c r="J92">
        <f t="shared" si="7"/>
        <v>3.7028040705906252E+20</v>
      </c>
      <c r="K92">
        <f t="shared" si="8"/>
        <v>3.7028040705906252E+20</v>
      </c>
      <c r="L92">
        <f t="shared" si="75"/>
        <v>1</v>
      </c>
      <c r="M92">
        <f t="shared" si="72"/>
        <v>2.9688050576423541E-20</v>
      </c>
      <c r="N92" s="9">
        <f t="shared" si="63"/>
        <v>2.9688050576423541E-20</v>
      </c>
      <c r="O92">
        <f t="shared" si="64"/>
        <v>2.9688050576423541E-20</v>
      </c>
      <c r="Q92">
        <f t="shared" si="76"/>
        <v>47.360792249418935</v>
      </c>
      <c r="R92">
        <f t="shared" si="77"/>
        <v>0</v>
      </c>
      <c r="S92">
        <f t="shared" si="99"/>
        <v>-44.96354232551991</v>
      </c>
      <c r="T92" s="9" t="e">
        <f t="shared" si="78"/>
        <v>#N/A</v>
      </c>
      <c r="U92">
        <f t="shared" si="100"/>
        <v>-1.0000000000000001E+300</v>
      </c>
      <c r="V92">
        <f t="shared" si="101"/>
        <v>0</v>
      </c>
      <c r="W92">
        <f t="shared" si="102"/>
        <v>0</v>
      </c>
      <c r="X92">
        <f t="shared" si="79"/>
        <v>2.9688050576423546</v>
      </c>
      <c r="Y92">
        <f t="shared" si="80"/>
        <v>7.8539816339744828</v>
      </c>
      <c r="Z92">
        <f t="shared" si="81"/>
        <v>-2.9688050576423546</v>
      </c>
      <c r="AA92">
        <f t="shared" si="103"/>
        <v>17.010485979779183</v>
      </c>
      <c r="AB92">
        <f t="shared" si="82"/>
        <v>24.864467613753668</v>
      </c>
      <c r="AC92">
        <f t="shared" si="104"/>
        <v>0.63657682907155111</v>
      </c>
      <c r="AD92">
        <f t="shared" si="83"/>
        <v>1.7606730948274745</v>
      </c>
      <c r="AE92" s="9">
        <f t="shared" si="105"/>
        <v>27.261717537652693</v>
      </c>
      <c r="AF92">
        <f t="shared" si="106"/>
        <v>0</v>
      </c>
      <c r="AH92">
        <f t="shared" si="84"/>
        <v>7.8539816339744828</v>
      </c>
      <c r="AI92">
        <f t="shared" si="85"/>
        <v>17.01048597977918</v>
      </c>
      <c r="AJ92">
        <f t="shared" si="86"/>
        <v>0.63657682907155078</v>
      </c>
      <c r="AK92">
        <f t="shared" si="87"/>
        <v>1.7606730948274745</v>
      </c>
      <c r="AL92" s="9">
        <f t="shared" si="107"/>
        <v>27.261717537652686</v>
      </c>
      <c r="AM92" t="e">
        <f t="shared" si="88"/>
        <v>#N/A</v>
      </c>
      <c r="AN92" t="e">
        <f t="shared" si="108"/>
        <v>#N/A</v>
      </c>
      <c r="AO92">
        <f t="shared" si="89"/>
        <v>0</v>
      </c>
      <c r="AP92">
        <f t="shared" si="90"/>
        <v>0</v>
      </c>
      <c r="AQ92">
        <f t="shared" si="91"/>
        <v>0</v>
      </c>
      <c r="AR92">
        <f t="shared" si="109"/>
        <v>0</v>
      </c>
      <c r="AS92">
        <f t="shared" si="92"/>
        <v>0</v>
      </c>
      <c r="AT92">
        <f t="shared" si="110"/>
        <v>0</v>
      </c>
      <c r="AU92">
        <f t="shared" si="111"/>
        <v>0</v>
      </c>
      <c r="AV92">
        <f t="shared" si="93"/>
        <v>2.9688050576423547E-20</v>
      </c>
      <c r="AW92" t="b">
        <f t="shared" si="112"/>
        <v>1</v>
      </c>
      <c r="AX92">
        <f t="shared" si="94"/>
        <v>7.8539816339744828</v>
      </c>
      <c r="AY92">
        <f t="shared" si="95"/>
        <v>17.010485979779176</v>
      </c>
      <c r="AZ92">
        <f t="shared" si="96"/>
        <v>0.63657682907155122</v>
      </c>
      <c r="BA92">
        <f t="shared" si="97"/>
        <v>1.760673094827474</v>
      </c>
      <c r="BB92">
        <f t="shared" si="98"/>
        <v>-1.2337005501361696E-20</v>
      </c>
      <c r="BD92" s="15">
        <f t="shared" si="113"/>
        <v>27.261717537652686</v>
      </c>
      <c r="BE92" s="10">
        <f t="shared" si="114"/>
        <v>0</v>
      </c>
      <c r="BF92">
        <f t="shared" si="115"/>
        <v>0</v>
      </c>
      <c r="BG92">
        <f t="shared" si="116"/>
        <v>0</v>
      </c>
      <c r="BH92">
        <f t="shared" si="117"/>
        <v>0</v>
      </c>
      <c r="BI92">
        <f t="shared" si="118"/>
        <v>0</v>
      </c>
    </row>
    <row r="93" spans="1:61" x14ac:dyDescent="0.3">
      <c r="A93">
        <f t="shared" si="65"/>
        <v>5.6000000000000001E-2</v>
      </c>
      <c r="B93">
        <f t="shared" si="66"/>
        <v>0.17592918860102841</v>
      </c>
      <c r="C93">
        <f t="shared" si="67"/>
        <v>2.9656634649887645</v>
      </c>
      <c r="D93">
        <f t="shared" si="68"/>
        <v>2.9656634649887645</v>
      </c>
      <c r="E93">
        <f t="shared" si="73"/>
        <v>0.17502305897527604</v>
      </c>
      <c r="F93">
        <f t="shared" si="74"/>
        <v>0.17502305897527631</v>
      </c>
      <c r="G93">
        <f t="shared" si="69"/>
        <v>0.17592918860102841</v>
      </c>
      <c r="H93">
        <f t="shared" si="70"/>
        <v>0.17502305897527604</v>
      </c>
      <c r="I93">
        <f t="shared" si="71"/>
        <v>0.17502305897527631</v>
      </c>
      <c r="J93">
        <f t="shared" si="7"/>
        <v>3.637347993429318E+20</v>
      </c>
      <c r="K93">
        <f t="shared" si="8"/>
        <v>3.637347993429318E+20</v>
      </c>
      <c r="L93">
        <f t="shared" si="75"/>
        <v>1</v>
      </c>
      <c r="M93">
        <f t="shared" si="72"/>
        <v>2.9656634649887648E-20</v>
      </c>
      <c r="N93" s="9">
        <f t="shared" si="63"/>
        <v>2.9656634649887648E-20</v>
      </c>
      <c r="O93">
        <f t="shared" si="64"/>
        <v>2.9656634649887648E-20</v>
      </c>
      <c r="Q93">
        <f t="shared" si="76"/>
        <v>47.342956702757398</v>
      </c>
      <c r="R93">
        <f t="shared" si="77"/>
        <v>0</v>
      </c>
      <c r="S93">
        <f t="shared" si="99"/>
        <v>-44.96460108686815</v>
      </c>
      <c r="T93" s="9" t="e">
        <f t="shared" si="78"/>
        <v>#N/A</v>
      </c>
      <c r="U93">
        <f t="shared" si="100"/>
        <v>-1.0000000000000001E+300</v>
      </c>
      <c r="V93">
        <f t="shared" si="101"/>
        <v>0</v>
      </c>
      <c r="W93">
        <f t="shared" si="102"/>
        <v>0</v>
      </c>
      <c r="X93">
        <f t="shared" si="79"/>
        <v>2.9656634649887645</v>
      </c>
      <c r="Y93">
        <f t="shared" si="80"/>
        <v>7.8539816339744828</v>
      </c>
      <c r="Z93">
        <f t="shared" si="81"/>
        <v>-2.9656634649887645</v>
      </c>
      <c r="AA93">
        <f t="shared" si="103"/>
        <v>16.682867348677203</v>
      </c>
      <c r="AB93">
        <f t="shared" si="82"/>
        <v>24.536848982651684</v>
      </c>
      <c r="AC93">
        <f t="shared" si="104"/>
        <v>0.63551806772330888</v>
      </c>
      <c r="AD93">
        <f t="shared" si="83"/>
        <v>1.7428375481659377</v>
      </c>
      <c r="AE93" s="9">
        <f t="shared" si="105"/>
        <v>26.915204598540928</v>
      </c>
      <c r="AF93">
        <f t="shared" si="106"/>
        <v>0</v>
      </c>
      <c r="AH93">
        <f t="shared" si="84"/>
        <v>7.8539816339744828</v>
      </c>
      <c r="AI93">
        <f t="shared" si="85"/>
        <v>16.68286734867722</v>
      </c>
      <c r="AJ93">
        <f t="shared" si="86"/>
        <v>0.63551806772331076</v>
      </c>
      <c r="AK93">
        <f t="shared" si="87"/>
        <v>1.7428375481659377</v>
      </c>
      <c r="AL93" s="9">
        <f t="shared" si="107"/>
        <v>26.915204598540953</v>
      </c>
      <c r="AM93" t="e">
        <f t="shared" si="88"/>
        <v>#N/A</v>
      </c>
      <c r="AN93" t="e">
        <f t="shared" si="108"/>
        <v>#N/A</v>
      </c>
      <c r="AO93">
        <f t="shared" si="89"/>
        <v>0</v>
      </c>
      <c r="AP93">
        <f t="shared" si="90"/>
        <v>0</v>
      </c>
      <c r="AQ93">
        <f t="shared" si="91"/>
        <v>1.8873791418627661E-15</v>
      </c>
      <c r="AR93">
        <f t="shared" si="109"/>
        <v>0</v>
      </c>
      <c r="AS93">
        <f t="shared" si="92"/>
        <v>0</v>
      </c>
      <c r="AT93">
        <f t="shared" si="110"/>
        <v>0</v>
      </c>
      <c r="AU93">
        <f t="shared" si="111"/>
        <v>0</v>
      </c>
      <c r="AV93">
        <f t="shared" si="93"/>
        <v>2.9656634649887642E-20</v>
      </c>
      <c r="AW93" t="b">
        <f t="shared" si="112"/>
        <v>1</v>
      </c>
      <c r="AX93">
        <f t="shared" si="94"/>
        <v>7.8539816339744828</v>
      </c>
      <c r="AY93">
        <f t="shared" si="95"/>
        <v>16.682867348677192</v>
      </c>
      <c r="AZ93">
        <f t="shared" si="96"/>
        <v>0.63551806772330888</v>
      </c>
      <c r="BA93">
        <f t="shared" si="97"/>
        <v>1.7428375481659362</v>
      </c>
      <c r="BB93">
        <f t="shared" si="98"/>
        <v>-1.2337005501361696E-20</v>
      </c>
      <c r="BD93" s="15">
        <f t="shared" si="113"/>
        <v>26.915204598540921</v>
      </c>
      <c r="BE93" s="10">
        <f t="shared" si="114"/>
        <v>-3.1974423109204508E-14</v>
      </c>
      <c r="BF93">
        <f t="shared" si="115"/>
        <v>0</v>
      </c>
      <c r="BG93">
        <f t="shared" si="116"/>
        <v>0</v>
      </c>
      <c r="BH93">
        <f t="shared" si="117"/>
        <v>0</v>
      </c>
      <c r="BI93">
        <f t="shared" si="118"/>
        <v>0</v>
      </c>
    </row>
    <row r="94" spans="1:61" x14ac:dyDescent="0.3">
      <c r="A94">
        <f t="shared" si="65"/>
        <v>5.7000000000000002E-2</v>
      </c>
      <c r="B94">
        <f t="shared" si="66"/>
        <v>0.17907078125461823</v>
      </c>
      <c r="C94">
        <f t="shared" si="67"/>
        <v>2.9625218723351749</v>
      </c>
      <c r="D94">
        <f t="shared" si="68"/>
        <v>2.9625218723351749</v>
      </c>
      <c r="E94">
        <f t="shared" si="73"/>
        <v>0.17811529026421014</v>
      </c>
      <c r="F94">
        <f t="shared" si="74"/>
        <v>0.17811529026421022</v>
      </c>
      <c r="G94">
        <f t="shared" si="69"/>
        <v>0.17907078125461823</v>
      </c>
      <c r="H94">
        <f t="shared" si="70"/>
        <v>0.17811529026421014</v>
      </c>
      <c r="I94">
        <f t="shared" si="71"/>
        <v>0.17811529026421022</v>
      </c>
      <c r="J94">
        <f t="shared" si="7"/>
        <v>3.5742005721307893E+20</v>
      </c>
      <c r="K94">
        <f t="shared" si="8"/>
        <v>3.5742005721307893E+20</v>
      </c>
      <c r="L94" t="e">
        <f t="shared" si="75"/>
        <v>#NUM!</v>
      </c>
      <c r="M94">
        <f t="shared" si="72"/>
        <v>2.9625218723351748E-20</v>
      </c>
      <c r="N94" s="9" t="e">
        <f t="shared" si="63"/>
        <v>#NUM!</v>
      </c>
      <c r="O94" t="e">
        <f t="shared" si="64"/>
        <v>#NUM!</v>
      </c>
      <c r="Q94">
        <f t="shared" si="76"/>
        <v>47.325443394833869</v>
      </c>
      <c r="R94">
        <f t="shared" si="77"/>
        <v>0</v>
      </c>
      <c r="S94">
        <f t="shared" si="99"/>
        <v>-44.965660970380192</v>
      </c>
      <c r="T94" s="9" t="e">
        <f t="shared" si="78"/>
        <v>#N/A</v>
      </c>
      <c r="U94">
        <f t="shared" si="100"/>
        <v>-1.0000000000000001E+300</v>
      </c>
      <c r="V94">
        <f t="shared" si="101"/>
        <v>0</v>
      </c>
      <c r="W94">
        <f t="shared" si="102"/>
        <v>0</v>
      </c>
      <c r="X94">
        <f t="shared" si="79"/>
        <v>2.9625218723351749</v>
      </c>
      <c r="Y94">
        <f t="shared" si="80"/>
        <v>7.8539816339744828</v>
      </c>
      <c r="Z94">
        <f t="shared" si="81"/>
        <v>-2.9625218723351749</v>
      </c>
      <c r="AA94">
        <f t="shared" si="103"/>
        <v>16.366646761519547</v>
      </c>
      <c r="AB94">
        <f t="shared" si="82"/>
        <v>24.220628395494032</v>
      </c>
      <c r="AC94">
        <f t="shared" si="104"/>
        <v>0.63445818421126576</v>
      </c>
      <c r="AD94">
        <f t="shared" si="83"/>
        <v>1.7253242402424063</v>
      </c>
      <c r="AE94" s="9">
        <f t="shared" si="105"/>
        <v>26.580410819947705</v>
      </c>
      <c r="AF94">
        <f t="shared" si="106"/>
        <v>0</v>
      </c>
      <c r="AH94">
        <f t="shared" si="84"/>
        <v>7.8539816339744828</v>
      </c>
      <c r="AI94">
        <f t="shared" si="85"/>
        <v>16.366646761519544</v>
      </c>
      <c r="AJ94">
        <f t="shared" si="86"/>
        <v>0.63445818421126887</v>
      </c>
      <c r="AK94">
        <f t="shared" si="87"/>
        <v>1.7253242402424063</v>
      </c>
      <c r="AL94" s="9">
        <f t="shared" si="107"/>
        <v>26.580410819947701</v>
      </c>
      <c r="AM94" t="e">
        <f t="shared" si="88"/>
        <v>#N/A</v>
      </c>
      <c r="AN94" t="e">
        <f t="shared" si="108"/>
        <v>#N/A</v>
      </c>
      <c r="AO94">
        <f t="shared" si="89"/>
        <v>0</v>
      </c>
      <c r="AP94">
        <f t="shared" si="90"/>
        <v>0</v>
      </c>
      <c r="AQ94">
        <f t="shared" si="91"/>
        <v>3.1086244689504383E-15</v>
      </c>
      <c r="AR94">
        <f t="shared" si="109"/>
        <v>0</v>
      </c>
      <c r="AS94">
        <f t="shared" si="92"/>
        <v>0</v>
      </c>
      <c r="AT94">
        <f t="shared" si="110"/>
        <v>0</v>
      </c>
      <c r="AU94">
        <f t="shared" si="111"/>
        <v>0</v>
      </c>
      <c r="AV94">
        <f t="shared" si="93"/>
        <v>2.9625218723351748E-20</v>
      </c>
      <c r="AW94" t="b">
        <f t="shared" si="112"/>
        <v>1</v>
      </c>
      <c r="AX94">
        <f t="shared" si="94"/>
        <v>7.8539816339744828</v>
      </c>
      <c r="AY94">
        <f t="shared" si="95"/>
        <v>16.36664676151954</v>
      </c>
      <c r="AZ94">
        <f t="shared" si="96"/>
        <v>0.63445818421126576</v>
      </c>
      <c r="BA94">
        <f t="shared" si="97"/>
        <v>1.7253242402424058</v>
      </c>
      <c r="BB94">
        <f t="shared" si="98"/>
        <v>-1.2337005501361696E-20</v>
      </c>
      <c r="BD94" s="15">
        <f t="shared" si="113"/>
        <v>26.580410819947694</v>
      </c>
      <c r="BE94" s="10">
        <f t="shared" si="114"/>
        <v>0</v>
      </c>
      <c r="BF94">
        <f t="shared" si="115"/>
        <v>0</v>
      </c>
      <c r="BG94">
        <f t="shared" si="116"/>
        <v>0</v>
      </c>
      <c r="BH94">
        <f t="shared" si="117"/>
        <v>0</v>
      </c>
      <c r="BI94">
        <f t="shared" si="118"/>
        <v>0</v>
      </c>
    </row>
    <row r="95" spans="1:61" x14ac:dyDescent="0.3">
      <c r="A95">
        <f t="shared" si="65"/>
        <v>5.8000000000000003E-2</v>
      </c>
      <c r="B95">
        <f t="shared" si="66"/>
        <v>0.18221237390820802</v>
      </c>
      <c r="C95">
        <f t="shared" si="67"/>
        <v>2.9593802796815849</v>
      </c>
      <c r="D95">
        <f t="shared" si="68"/>
        <v>2.9593802796815849</v>
      </c>
      <c r="E95">
        <f t="shared" si="73"/>
        <v>0.18120576362713736</v>
      </c>
      <c r="F95">
        <f t="shared" si="74"/>
        <v>0.18120576362713767</v>
      </c>
      <c r="G95">
        <f t="shared" si="69"/>
        <v>0.18221237390820802</v>
      </c>
      <c r="H95">
        <f t="shared" si="70"/>
        <v>0.18120576362713736</v>
      </c>
      <c r="I95">
        <f t="shared" si="71"/>
        <v>0.18120576362713767</v>
      </c>
      <c r="J95">
        <f t="shared" si="7"/>
        <v>3.5132424025846016E+20</v>
      </c>
      <c r="K95">
        <f t="shared" si="8"/>
        <v>3.5132424025846016E+20</v>
      </c>
      <c r="L95" t="e">
        <f t="shared" si="75"/>
        <v>#NUM!</v>
      </c>
      <c r="M95">
        <f t="shared" si="72"/>
        <v>2.9593802796815848E-20</v>
      </c>
      <c r="N95" s="9" t="e">
        <f t="shared" si="63"/>
        <v>#NUM!</v>
      </c>
      <c r="O95" t="e">
        <f t="shared" si="64"/>
        <v>#NUM!</v>
      </c>
      <c r="Q95">
        <f t="shared" si="76"/>
        <v>47.308241232373803</v>
      </c>
      <c r="R95">
        <f t="shared" si="77"/>
        <v>0</v>
      </c>
      <c r="S95">
        <f t="shared" si="99"/>
        <v>-44.966721978437285</v>
      </c>
      <c r="T95" s="9" t="e">
        <f t="shared" si="78"/>
        <v>#N/A</v>
      </c>
      <c r="U95">
        <f t="shared" si="100"/>
        <v>-1.0000000000000001E+300</v>
      </c>
      <c r="V95">
        <f t="shared" si="101"/>
        <v>0</v>
      </c>
      <c r="W95">
        <f t="shared" si="102"/>
        <v>0</v>
      </c>
      <c r="X95">
        <f t="shared" si="79"/>
        <v>2.9593802796815849</v>
      </c>
      <c r="Y95">
        <f t="shared" si="80"/>
        <v>7.8539816339744828</v>
      </c>
      <c r="Z95">
        <f t="shared" si="81"/>
        <v>-2.9593802796815849</v>
      </c>
      <c r="AA95">
        <f t="shared" si="103"/>
        <v>16.061234960490676</v>
      </c>
      <c r="AB95">
        <f t="shared" si="82"/>
        <v>23.915216594465157</v>
      </c>
      <c r="AC95">
        <f t="shared" si="104"/>
        <v>0.63339717615417124</v>
      </c>
      <c r="AD95">
        <f t="shared" si="83"/>
        <v>1.7081220777823403</v>
      </c>
      <c r="AE95" s="9">
        <f t="shared" si="105"/>
        <v>26.256735848401672</v>
      </c>
      <c r="AF95">
        <f t="shared" si="106"/>
        <v>0</v>
      </c>
      <c r="AH95">
        <f t="shared" si="84"/>
        <v>7.8539816339744828</v>
      </c>
      <c r="AI95">
        <f t="shared" si="85"/>
        <v>16.061234960490697</v>
      </c>
      <c r="AJ95">
        <f t="shared" si="86"/>
        <v>0.63339717615417612</v>
      </c>
      <c r="AK95">
        <f t="shared" si="87"/>
        <v>1.7081220777823403</v>
      </c>
      <c r="AL95" s="9">
        <f t="shared" si="107"/>
        <v>26.256735848401696</v>
      </c>
      <c r="AM95" t="e">
        <f t="shared" si="88"/>
        <v>#N/A</v>
      </c>
      <c r="AN95" t="e">
        <f t="shared" si="108"/>
        <v>#N/A</v>
      </c>
      <c r="AO95">
        <f t="shared" si="89"/>
        <v>0</v>
      </c>
      <c r="AP95">
        <f t="shared" si="90"/>
        <v>0</v>
      </c>
      <c r="AQ95">
        <f t="shared" si="91"/>
        <v>4.8849813083506888E-15</v>
      </c>
      <c r="AR95">
        <f t="shared" si="109"/>
        <v>0</v>
      </c>
      <c r="AS95">
        <f t="shared" si="92"/>
        <v>0</v>
      </c>
      <c r="AT95">
        <f t="shared" si="110"/>
        <v>0</v>
      </c>
      <c r="AU95">
        <f t="shared" si="111"/>
        <v>0</v>
      </c>
      <c r="AV95">
        <f t="shared" si="93"/>
        <v>2.9593802796815848E-20</v>
      </c>
      <c r="AW95" t="b">
        <f t="shared" si="112"/>
        <v>1</v>
      </c>
      <c r="AX95">
        <f t="shared" si="94"/>
        <v>7.8539816339744828</v>
      </c>
      <c r="AY95">
        <f t="shared" si="95"/>
        <v>16.061234960490665</v>
      </c>
      <c r="AZ95">
        <f t="shared" si="96"/>
        <v>0.63339717615417124</v>
      </c>
      <c r="BA95">
        <f t="shared" si="97"/>
        <v>1.7081220777823387</v>
      </c>
      <c r="BB95">
        <f t="shared" si="98"/>
        <v>-1.2337005501361696E-20</v>
      </c>
      <c r="BD95" s="15">
        <f t="shared" si="113"/>
        <v>26.256735848401661</v>
      </c>
      <c r="BE95" s="10">
        <f t="shared" si="114"/>
        <v>-3.5527136788005009E-14</v>
      </c>
      <c r="BF95">
        <f t="shared" si="115"/>
        <v>0</v>
      </c>
      <c r="BG95">
        <f t="shared" si="116"/>
        <v>0</v>
      </c>
      <c r="BH95">
        <f t="shared" si="117"/>
        <v>0</v>
      </c>
      <c r="BI95">
        <f t="shared" si="118"/>
        <v>0</v>
      </c>
    </row>
    <row r="96" spans="1:61" x14ac:dyDescent="0.3">
      <c r="A96">
        <f t="shared" si="65"/>
        <v>5.8999999999999997E-2</v>
      </c>
      <c r="B96">
        <f t="shared" si="66"/>
        <v>0.18535396656179778</v>
      </c>
      <c r="C96">
        <f t="shared" si="67"/>
        <v>2.9562386870279953</v>
      </c>
      <c r="D96">
        <f t="shared" si="68"/>
        <v>2.9562386870279953</v>
      </c>
      <c r="E96">
        <f t="shared" si="73"/>
        <v>0.18429444856233329</v>
      </c>
      <c r="F96">
        <f t="shared" si="74"/>
        <v>0.18429444856233343</v>
      </c>
      <c r="G96">
        <f t="shared" si="69"/>
        <v>0.18535396656179778</v>
      </c>
      <c r="H96">
        <f t="shared" si="70"/>
        <v>0.18429444856233329</v>
      </c>
      <c r="I96">
        <f t="shared" si="71"/>
        <v>0.18429444856233343</v>
      </c>
      <c r="J96">
        <f t="shared" si="7"/>
        <v>3.4543621760384152E+20</v>
      </c>
      <c r="K96">
        <f t="shared" si="8"/>
        <v>3.4543621760384152E+20</v>
      </c>
      <c r="L96">
        <f t="shared" si="75"/>
        <v>1</v>
      </c>
      <c r="M96">
        <f t="shared" si="72"/>
        <v>2.9562386870279955E-20</v>
      </c>
      <c r="N96" s="9">
        <f t="shared" si="63"/>
        <v>2.9562386870279955E-20</v>
      </c>
      <c r="O96">
        <f t="shared" si="64"/>
        <v>2.9562386870279955E-20</v>
      </c>
      <c r="Q96">
        <f t="shared" si="76"/>
        <v>47.29133969109683</v>
      </c>
      <c r="R96">
        <f t="shared" si="77"/>
        <v>0</v>
      </c>
      <c r="S96">
        <f t="shared" si="99"/>
        <v>-44.967784113428273</v>
      </c>
      <c r="T96" s="9" t="e">
        <f t="shared" si="78"/>
        <v>#N/A</v>
      </c>
      <c r="U96">
        <f t="shared" si="100"/>
        <v>-1.0000000000000001E+300</v>
      </c>
      <c r="V96">
        <f t="shared" si="101"/>
        <v>0</v>
      </c>
      <c r="W96">
        <f t="shared" si="102"/>
        <v>0</v>
      </c>
      <c r="X96">
        <f t="shared" si="79"/>
        <v>2.9562386870279953</v>
      </c>
      <c r="Y96">
        <f t="shared" si="80"/>
        <v>7.8539816339744828</v>
      </c>
      <c r="Z96">
        <f t="shared" si="81"/>
        <v>-2.9562386870279953</v>
      </c>
      <c r="AA96">
        <f t="shared" si="103"/>
        <v>15.766082636792511</v>
      </c>
      <c r="AB96">
        <f t="shared" si="82"/>
        <v>23.620064270766996</v>
      </c>
      <c r="AC96">
        <f t="shared" si="104"/>
        <v>0.63233504116318784</v>
      </c>
      <c r="AD96">
        <f t="shared" si="83"/>
        <v>1.6912205365053714</v>
      </c>
      <c r="AE96" s="9">
        <f t="shared" si="105"/>
        <v>25.943619848435556</v>
      </c>
      <c r="AF96">
        <f t="shared" si="106"/>
        <v>0</v>
      </c>
      <c r="AH96">
        <f t="shared" si="84"/>
        <v>7.8539816339744828</v>
      </c>
      <c r="AI96">
        <f t="shared" si="85"/>
        <v>15.766082636792518</v>
      </c>
      <c r="AJ96">
        <f t="shared" si="86"/>
        <v>0.63233504116318784</v>
      </c>
      <c r="AK96">
        <f t="shared" si="87"/>
        <v>1.6912205365053714</v>
      </c>
      <c r="AL96" s="9">
        <f t="shared" si="107"/>
        <v>25.943619848435564</v>
      </c>
      <c r="AM96" t="e">
        <f t="shared" si="88"/>
        <v>#N/A</v>
      </c>
      <c r="AN96" t="e">
        <f t="shared" si="108"/>
        <v>#N/A</v>
      </c>
      <c r="AO96">
        <f t="shared" si="89"/>
        <v>0</v>
      </c>
      <c r="AP96">
        <f t="shared" si="90"/>
        <v>0</v>
      </c>
      <c r="AQ96">
        <f t="shared" si="91"/>
        <v>0</v>
      </c>
      <c r="AR96">
        <f t="shared" si="109"/>
        <v>0</v>
      </c>
      <c r="AS96">
        <f t="shared" si="92"/>
        <v>0</v>
      </c>
      <c r="AT96">
        <f t="shared" si="110"/>
        <v>0</v>
      </c>
      <c r="AU96">
        <f t="shared" si="111"/>
        <v>0</v>
      </c>
      <c r="AV96">
        <f t="shared" si="93"/>
        <v>2.9562386870279949E-20</v>
      </c>
      <c r="AW96" t="b">
        <f t="shared" si="112"/>
        <v>1</v>
      </c>
      <c r="AX96">
        <f t="shared" si="94"/>
        <v>7.8539816339744828</v>
      </c>
      <c r="AY96">
        <f t="shared" si="95"/>
        <v>15.766082636792504</v>
      </c>
      <c r="AZ96">
        <f t="shared" si="96"/>
        <v>0.63233504116318784</v>
      </c>
      <c r="BA96">
        <f t="shared" si="97"/>
        <v>1.6912205365053705</v>
      </c>
      <c r="BB96">
        <f t="shared" si="98"/>
        <v>-1.2337005501361696E-20</v>
      </c>
      <c r="BD96" s="15">
        <f t="shared" si="113"/>
        <v>25.943619848435546</v>
      </c>
      <c r="BE96" s="10">
        <f t="shared" si="114"/>
        <v>0</v>
      </c>
      <c r="BF96">
        <f t="shared" si="115"/>
        <v>0</v>
      </c>
      <c r="BG96">
        <f t="shared" si="116"/>
        <v>0</v>
      </c>
      <c r="BH96">
        <f t="shared" si="117"/>
        <v>0</v>
      </c>
      <c r="BI96">
        <f t="shared" si="118"/>
        <v>0</v>
      </c>
    </row>
    <row r="97" spans="1:61" x14ac:dyDescent="0.3">
      <c r="A97">
        <f t="shared" si="65"/>
        <v>0.06</v>
      </c>
      <c r="B97">
        <f t="shared" si="66"/>
        <v>0.18849555921538758</v>
      </c>
      <c r="C97">
        <f t="shared" si="67"/>
        <v>2.9530970943744057</v>
      </c>
      <c r="D97">
        <f t="shared" si="68"/>
        <v>2.9530970943744057</v>
      </c>
      <c r="E97">
        <f t="shared" si="73"/>
        <v>0.1873813145857246</v>
      </c>
      <c r="F97">
        <f t="shared" si="74"/>
        <v>0.18738131458572457</v>
      </c>
      <c r="G97">
        <f t="shared" si="69"/>
        <v>0.18849555921538758</v>
      </c>
      <c r="H97">
        <f t="shared" si="70"/>
        <v>0.1873813145857246</v>
      </c>
      <c r="I97">
        <f t="shared" si="71"/>
        <v>0.18738131458572457</v>
      </c>
      <c r="J97">
        <f t="shared" si="7"/>
        <v>3.3974560044850997E+20</v>
      </c>
      <c r="K97">
        <f t="shared" si="8"/>
        <v>3.3974560044850997E+20</v>
      </c>
      <c r="L97">
        <f t="shared" si="75"/>
        <v>1</v>
      </c>
      <c r="M97">
        <f t="shared" si="72"/>
        <v>2.9530970943744055E-20</v>
      </c>
      <c r="N97" s="9">
        <f t="shared" si="63"/>
        <v>2.9530970943744055E-20</v>
      </c>
      <c r="O97">
        <f t="shared" si="64"/>
        <v>2.9530970943744055E-20</v>
      </c>
      <c r="Q97">
        <f t="shared" si="76"/>
        <v>47.274728777461306</v>
      </c>
      <c r="R97">
        <f t="shared" si="77"/>
        <v>0</v>
      </c>
      <c r="S97">
        <f t="shared" si="99"/>
        <v>-44.968847377749604</v>
      </c>
      <c r="T97" s="9" t="e">
        <f t="shared" si="78"/>
        <v>#N/A</v>
      </c>
      <c r="U97">
        <f t="shared" si="100"/>
        <v>-1.0000000000000001E+300</v>
      </c>
      <c r="V97">
        <f t="shared" si="101"/>
        <v>0</v>
      </c>
      <c r="W97">
        <f t="shared" si="102"/>
        <v>0</v>
      </c>
      <c r="X97">
        <f t="shared" si="79"/>
        <v>2.9530970943744057</v>
      </c>
      <c r="Y97">
        <f t="shared" si="80"/>
        <v>7.8539816339744828</v>
      </c>
      <c r="Z97">
        <f t="shared" si="81"/>
        <v>-2.9530970943744057</v>
      </c>
      <c r="AA97">
        <f t="shared" si="103"/>
        <v>15.48067710156255</v>
      </c>
      <c r="AB97">
        <f t="shared" si="82"/>
        <v>23.334658735537033</v>
      </c>
      <c r="AC97">
        <f t="shared" si="104"/>
        <v>0.63127177684185787</v>
      </c>
      <c r="AD97">
        <f t="shared" si="83"/>
        <v>1.6746096228698468</v>
      </c>
      <c r="AE97" s="9">
        <f t="shared" si="105"/>
        <v>25.640540135248738</v>
      </c>
      <c r="AF97">
        <f t="shared" si="106"/>
        <v>0</v>
      </c>
      <c r="AH97">
        <f t="shared" si="84"/>
        <v>7.8539816339744828</v>
      </c>
      <c r="AI97">
        <f t="shared" si="85"/>
        <v>15.48067710156254</v>
      </c>
      <c r="AJ97">
        <f t="shared" si="86"/>
        <v>0.63127177684185654</v>
      </c>
      <c r="AK97">
        <f t="shared" si="87"/>
        <v>1.6746096228698468</v>
      </c>
      <c r="AL97" s="9">
        <f t="shared" si="107"/>
        <v>25.640540135248727</v>
      </c>
      <c r="AM97" t="e">
        <f t="shared" si="88"/>
        <v>#N/A</v>
      </c>
      <c r="AN97" t="e">
        <f t="shared" si="108"/>
        <v>#N/A</v>
      </c>
      <c r="AO97">
        <f t="shared" si="89"/>
        <v>0</v>
      </c>
      <c r="AP97">
        <f t="shared" si="90"/>
        <v>0</v>
      </c>
      <c r="AQ97">
        <f t="shared" si="91"/>
        <v>-1.3322676295501878E-15</v>
      </c>
      <c r="AR97">
        <f t="shared" si="109"/>
        <v>0</v>
      </c>
      <c r="AS97">
        <f t="shared" si="92"/>
        <v>0</v>
      </c>
      <c r="AT97">
        <f t="shared" si="110"/>
        <v>0</v>
      </c>
      <c r="AU97">
        <f t="shared" si="111"/>
        <v>0</v>
      </c>
      <c r="AV97">
        <f t="shared" si="93"/>
        <v>2.9530970943744055E-20</v>
      </c>
      <c r="AW97" t="b">
        <f t="shared" si="112"/>
        <v>1</v>
      </c>
      <c r="AX97">
        <f t="shared" si="94"/>
        <v>7.8539816339744828</v>
      </c>
      <c r="AY97">
        <f t="shared" si="95"/>
        <v>15.480677101562543</v>
      </c>
      <c r="AZ97">
        <f t="shared" si="96"/>
        <v>0.63127177684185787</v>
      </c>
      <c r="BA97">
        <f t="shared" si="97"/>
        <v>1.6746096228698468</v>
      </c>
      <c r="BB97">
        <f t="shared" si="98"/>
        <v>-1.2337005501361696E-20</v>
      </c>
      <c r="BD97" s="15">
        <f t="shared" si="113"/>
        <v>25.640540135248731</v>
      </c>
      <c r="BE97" s="10">
        <f t="shared" si="114"/>
        <v>0</v>
      </c>
      <c r="BF97">
        <f t="shared" si="115"/>
        <v>0</v>
      </c>
      <c r="BG97">
        <f t="shared" si="116"/>
        <v>0</v>
      </c>
      <c r="BH97">
        <f t="shared" si="117"/>
        <v>0</v>
      </c>
      <c r="BI97">
        <f t="shared" si="118"/>
        <v>0</v>
      </c>
    </row>
    <row r="98" spans="1:61" x14ac:dyDescent="0.3">
      <c r="A98">
        <f t="shared" si="65"/>
        <v>6.0999999999999999E-2</v>
      </c>
      <c r="B98">
        <f t="shared" si="66"/>
        <v>0.19163715186897737</v>
      </c>
      <c r="C98">
        <f t="shared" si="67"/>
        <v>2.9499555017208157</v>
      </c>
      <c r="D98">
        <f t="shared" si="68"/>
        <v>2.9499555017208157</v>
      </c>
      <c r="E98">
        <f t="shared" si="73"/>
        <v>0.19046633123118986</v>
      </c>
      <c r="F98">
        <f t="shared" si="74"/>
        <v>0.19046633123119008</v>
      </c>
      <c r="G98">
        <f t="shared" si="69"/>
        <v>0.19163715186897737</v>
      </c>
      <c r="H98">
        <f t="shared" si="70"/>
        <v>0.19046633123118986</v>
      </c>
      <c r="I98">
        <f t="shared" si="71"/>
        <v>0.19046633123119008</v>
      </c>
      <c r="J98">
        <f t="shared" si="7"/>
        <v>3.3424268124052134E+20</v>
      </c>
      <c r="K98">
        <f t="shared" si="8"/>
        <v>3.3424268124052134E+20</v>
      </c>
      <c r="L98" t="e">
        <f t="shared" si="75"/>
        <v>#NUM!</v>
      </c>
      <c r="M98">
        <f t="shared" si="72"/>
        <v>2.9499555017208155E-20</v>
      </c>
      <c r="N98" s="9" t="e">
        <f t="shared" si="63"/>
        <v>#NUM!</v>
      </c>
      <c r="O98" t="e">
        <f t="shared" si="64"/>
        <v>#NUM!</v>
      </c>
      <c r="Q98">
        <f t="shared" si="76"/>
        <v>47.258398993570893</v>
      </c>
      <c r="R98">
        <f t="shared" si="77"/>
        <v>0</v>
      </c>
      <c r="S98">
        <f t="shared" si="99"/>
        <v>-44.969911773805386</v>
      </c>
      <c r="T98" s="9" t="e">
        <f t="shared" si="78"/>
        <v>#N/A</v>
      </c>
      <c r="U98">
        <f t="shared" si="100"/>
        <v>-1.0000000000000001E+300</v>
      </c>
      <c r="V98">
        <f t="shared" si="101"/>
        <v>0</v>
      </c>
      <c r="W98">
        <f t="shared" si="102"/>
        <v>0</v>
      </c>
      <c r="X98">
        <f t="shared" si="79"/>
        <v>2.9499555017208157</v>
      </c>
      <c r="Y98">
        <f t="shared" si="80"/>
        <v>7.8539816339744828</v>
      </c>
      <c r="Z98">
        <f t="shared" si="81"/>
        <v>-2.9499555017208157</v>
      </c>
      <c r="AA98">
        <f t="shared" si="103"/>
        <v>15.204539284243012</v>
      </c>
      <c r="AB98">
        <f t="shared" si="82"/>
        <v>23.058520918217496</v>
      </c>
      <c r="AC98">
        <f t="shared" si="104"/>
        <v>0.63020738078607108</v>
      </c>
      <c r="AD98">
        <f t="shared" si="83"/>
        <v>1.6582798389794342</v>
      </c>
      <c r="AE98" s="9">
        <f t="shared" si="105"/>
        <v>25.347008137983003</v>
      </c>
      <c r="AF98">
        <f t="shared" si="106"/>
        <v>0</v>
      </c>
      <c r="AH98">
        <f t="shared" si="84"/>
        <v>7.8539816339744828</v>
      </c>
      <c r="AI98">
        <f t="shared" si="85"/>
        <v>15.204539284243022</v>
      </c>
      <c r="AJ98">
        <f t="shared" si="86"/>
        <v>0.63020738078607508</v>
      </c>
      <c r="AK98">
        <f t="shared" si="87"/>
        <v>1.6582798389794342</v>
      </c>
      <c r="AL98" s="9">
        <f t="shared" si="107"/>
        <v>25.347008137983014</v>
      </c>
      <c r="AM98" t="e">
        <f t="shared" si="88"/>
        <v>#N/A</v>
      </c>
      <c r="AN98" t="e">
        <f t="shared" si="108"/>
        <v>#N/A</v>
      </c>
      <c r="AO98">
        <f t="shared" si="89"/>
        <v>0</v>
      </c>
      <c r="AP98">
        <f t="shared" si="90"/>
        <v>0</v>
      </c>
      <c r="AQ98">
        <f t="shared" si="91"/>
        <v>3.9968028886505635E-15</v>
      </c>
      <c r="AR98">
        <f t="shared" si="109"/>
        <v>0</v>
      </c>
      <c r="AS98">
        <f t="shared" si="92"/>
        <v>0</v>
      </c>
      <c r="AT98">
        <f t="shared" si="110"/>
        <v>0</v>
      </c>
      <c r="AU98">
        <f t="shared" si="111"/>
        <v>0</v>
      </c>
      <c r="AV98">
        <f t="shared" si="93"/>
        <v>2.9499555017208155E-20</v>
      </c>
      <c r="AW98" t="b">
        <f t="shared" si="112"/>
        <v>1</v>
      </c>
      <c r="AX98">
        <f t="shared" si="94"/>
        <v>7.8539816339744828</v>
      </c>
      <c r="AY98">
        <f t="shared" si="95"/>
        <v>15.204539284243006</v>
      </c>
      <c r="AZ98">
        <f t="shared" si="96"/>
        <v>0.63020738078607119</v>
      </c>
      <c r="BA98">
        <f t="shared" si="97"/>
        <v>1.6582798389794331</v>
      </c>
      <c r="BB98">
        <f t="shared" si="98"/>
        <v>-1.2337005501361696E-20</v>
      </c>
      <c r="BD98" s="15">
        <f t="shared" si="113"/>
        <v>25.347008137982993</v>
      </c>
      <c r="BE98" s="10">
        <f t="shared" si="114"/>
        <v>0</v>
      </c>
      <c r="BF98">
        <f t="shared" si="115"/>
        <v>0</v>
      </c>
      <c r="BG98">
        <f t="shared" si="116"/>
        <v>0</v>
      </c>
      <c r="BH98">
        <f t="shared" si="117"/>
        <v>0</v>
      </c>
      <c r="BI98">
        <f t="shared" si="118"/>
        <v>0</v>
      </c>
    </row>
    <row r="99" spans="1:61" x14ac:dyDescent="0.3">
      <c r="A99">
        <f t="shared" si="65"/>
        <v>6.2E-2</v>
      </c>
      <c r="B99">
        <f t="shared" si="66"/>
        <v>0.19477874452256716</v>
      </c>
      <c r="C99">
        <f t="shared" si="67"/>
        <v>2.9468139090672261</v>
      </c>
      <c r="D99">
        <f t="shared" si="68"/>
        <v>2.9468139090672261</v>
      </c>
      <c r="E99">
        <f t="shared" si="73"/>
        <v>0.19354946805086023</v>
      </c>
      <c r="F99">
        <f t="shared" si="74"/>
        <v>0.19354946805086026</v>
      </c>
      <c r="G99">
        <f t="shared" si="69"/>
        <v>0.19477874452256716</v>
      </c>
      <c r="H99">
        <f t="shared" si="70"/>
        <v>0.19354946805086023</v>
      </c>
      <c r="I99">
        <f t="shared" si="71"/>
        <v>0.19354946805086026</v>
      </c>
      <c r="J99">
        <f t="shared" si="7"/>
        <v>3.2891837873731214E+20</v>
      </c>
      <c r="K99">
        <f t="shared" si="8"/>
        <v>3.2891837873731214E+20</v>
      </c>
      <c r="L99">
        <f t="shared" si="75"/>
        <v>1</v>
      </c>
      <c r="M99">
        <f t="shared" si="72"/>
        <v>2.9468139090672256E-20</v>
      </c>
      <c r="N99" s="9">
        <f t="shared" si="63"/>
        <v>2.9468139090672256E-20</v>
      </c>
      <c r="O99">
        <f t="shared" si="64"/>
        <v>2.9468139090672256E-20</v>
      </c>
      <c r="Q99">
        <f t="shared" si="76"/>
        <v>47.242341304934705</v>
      </c>
      <c r="R99">
        <f t="shared" si="77"/>
        <v>0</v>
      </c>
      <c r="S99">
        <f t="shared" si="99"/>
        <v>-44.970977304007427</v>
      </c>
      <c r="T99" s="9" t="e">
        <f t="shared" si="78"/>
        <v>#N/A</v>
      </c>
      <c r="U99">
        <f t="shared" si="100"/>
        <v>-1.0000000000000001E+300</v>
      </c>
      <c r="V99">
        <f t="shared" si="101"/>
        <v>0</v>
      </c>
      <c r="W99">
        <f t="shared" si="102"/>
        <v>0</v>
      </c>
      <c r="X99">
        <f t="shared" si="79"/>
        <v>2.9468139090672261</v>
      </c>
      <c r="Y99">
        <f t="shared" si="80"/>
        <v>7.8539816339744828</v>
      </c>
      <c r="Z99">
        <f t="shared" si="81"/>
        <v>-2.9468139090672261</v>
      </c>
      <c r="AA99">
        <f t="shared" si="103"/>
        <v>14.937221021430393</v>
      </c>
      <c r="AB99">
        <f t="shared" si="82"/>
        <v>22.791202655404874</v>
      </c>
      <c r="AC99">
        <f t="shared" si="104"/>
        <v>0.62914185058403305</v>
      </c>
      <c r="AD99">
        <f t="shared" si="83"/>
        <v>1.6422221503432424</v>
      </c>
      <c r="AE99" s="9">
        <f t="shared" si="105"/>
        <v>25.062566656332152</v>
      </c>
      <c r="AF99">
        <f t="shared" si="106"/>
        <v>0</v>
      </c>
      <c r="AH99">
        <f t="shared" si="84"/>
        <v>7.8539816339744828</v>
      </c>
      <c r="AI99">
        <f t="shared" si="85"/>
        <v>14.937221021430387</v>
      </c>
      <c r="AJ99">
        <f t="shared" si="86"/>
        <v>0.62914185058403405</v>
      </c>
      <c r="AK99">
        <f t="shared" si="87"/>
        <v>1.6422221503432424</v>
      </c>
      <c r="AL99" s="9">
        <f t="shared" si="107"/>
        <v>25.062566656332148</v>
      </c>
      <c r="AM99" t="e">
        <f t="shared" si="88"/>
        <v>#N/A</v>
      </c>
      <c r="AN99" t="e">
        <f t="shared" si="108"/>
        <v>#N/A</v>
      </c>
      <c r="AO99">
        <f t="shared" si="89"/>
        <v>0</v>
      </c>
      <c r="AP99">
        <f t="shared" si="90"/>
        <v>0</v>
      </c>
      <c r="AQ99">
        <f t="shared" si="91"/>
        <v>9.9920072216264089E-16</v>
      </c>
      <c r="AR99">
        <f t="shared" si="109"/>
        <v>0</v>
      </c>
      <c r="AS99">
        <f t="shared" si="92"/>
        <v>0</v>
      </c>
      <c r="AT99">
        <f t="shared" si="110"/>
        <v>0</v>
      </c>
      <c r="AU99">
        <f t="shared" si="111"/>
        <v>0</v>
      </c>
      <c r="AV99">
        <f t="shared" si="93"/>
        <v>2.9468139090672262E-20</v>
      </c>
      <c r="AW99" t="b">
        <f t="shared" si="112"/>
        <v>1</v>
      </c>
      <c r="AX99">
        <f t="shared" si="94"/>
        <v>7.8539816339744828</v>
      </c>
      <c r="AY99">
        <f t="shared" si="95"/>
        <v>14.937221021430389</v>
      </c>
      <c r="AZ99">
        <f t="shared" si="96"/>
        <v>0.62914185058403316</v>
      </c>
      <c r="BA99">
        <f t="shared" si="97"/>
        <v>1.6422221503432421</v>
      </c>
      <c r="BB99">
        <f t="shared" si="98"/>
        <v>-1.2337005501361696E-20</v>
      </c>
      <c r="BD99" s="15">
        <f t="shared" si="113"/>
        <v>25.062566656332152</v>
      </c>
      <c r="BE99" s="10">
        <f t="shared" si="114"/>
        <v>0</v>
      </c>
      <c r="BF99">
        <f t="shared" si="115"/>
        <v>0</v>
      </c>
      <c r="BG99">
        <f t="shared" si="116"/>
        <v>0</v>
      </c>
      <c r="BH99">
        <f t="shared" si="117"/>
        <v>0</v>
      </c>
      <c r="BI99">
        <f t="shared" si="118"/>
        <v>0</v>
      </c>
    </row>
    <row r="100" spans="1:61" x14ac:dyDescent="0.3">
      <c r="A100">
        <f t="shared" si="65"/>
        <v>6.3E-2</v>
      </c>
      <c r="B100">
        <f t="shared" si="66"/>
        <v>0.19792033717615698</v>
      </c>
      <c r="C100">
        <f t="shared" si="67"/>
        <v>2.943672316413636</v>
      </c>
      <c r="D100">
        <f t="shared" si="68"/>
        <v>2.943672316413636</v>
      </c>
      <c r="E100">
        <f t="shared" si="73"/>
        <v>0.19663069461542007</v>
      </c>
      <c r="F100">
        <f t="shared" si="74"/>
        <v>0.19663069461542029</v>
      </c>
      <c r="G100">
        <f t="shared" si="69"/>
        <v>0.19792033717615698</v>
      </c>
      <c r="H100">
        <f t="shared" si="70"/>
        <v>0.19663069461542007</v>
      </c>
      <c r="I100">
        <f t="shared" si="71"/>
        <v>0.19663069461542029</v>
      </c>
      <c r="J100">
        <f t="shared" si="7"/>
        <v>3.237641882986344E+20</v>
      </c>
      <c r="K100">
        <f t="shared" si="8"/>
        <v>3.237641882986344E+20</v>
      </c>
      <c r="L100">
        <f t="shared" si="75"/>
        <v>1</v>
      </c>
      <c r="M100">
        <f t="shared" si="72"/>
        <v>2.9436723164136362E-20</v>
      </c>
      <c r="N100" s="9">
        <f t="shared" si="63"/>
        <v>2.9436723164136362E-20</v>
      </c>
      <c r="O100">
        <f t="shared" si="64"/>
        <v>2.9436723164136362E-20</v>
      </c>
      <c r="Q100">
        <f t="shared" si="76"/>
        <v>47.226547110806933</v>
      </c>
      <c r="R100">
        <f t="shared" si="77"/>
        <v>-710542.73576010019</v>
      </c>
      <c r="S100">
        <f t="shared" si="99"/>
        <v>-44.972043970775225</v>
      </c>
      <c r="T100" s="9" t="e">
        <f t="shared" si="78"/>
        <v>#N/A</v>
      </c>
      <c r="U100">
        <f t="shared" si="100"/>
        <v>-1.0000000000000001E+300</v>
      </c>
      <c r="V100">
        <f t="shared" si="101"/>
        <v>0</v>
      </c>
      <c r="W100">
        <f t="shared" si="102"/>
        <v>0</v>
      </c>
      <c r="X100">
        <f t="shared" si="79"/>
        <v>2.943672316413636</v>
      </c>
      <c r="Y100">
        <f t="shared" si="80"/>
        <v>7.8539816339744828</v>
      </c>
      <c r="Z100">
        <f t="shared" si="81"/>
        <v>-2.943672316413636</v>
      </c>
      <c r="AA100">
        <f t="shared" si="103"/>
        <v>14.67830260392941</v>
      </c>
      <c r="AB100">
        <f t="shared" si="82"/>
        <v>22.532284237903895</v>
      </c>
      <c r="AC100">
        <f t="shared" si="104"/>
        <v>0.6280751838162304</v>
      </c>
      <c r="AD100">
        <f t="shared" si="83"/>
        <v>1.6264279562154766</v>
      </c>
      <c r="AE100" s="9">
        <f t="shared" si="105"/>
        <v>24.7867873779356</v>
      </c>
      <c r="AF100">
        <f t="shared" si="106"/>
        <v>0</v>
      </c>
      <c r="AH100">
        <f t="shared" si="84"/>
        <v>7.8539816339744828</v>
      </c>
      <c r="AI100">
        <f t="shared" si="85"/>
        <v>14.678302603929424</v>
      </c>
      <c r="AJ100">
        <f t="shared" si="86"/>
        <v>0.62807518381623595</v>
      </c>
      <c r="AK100">
        <f t="shared" si="87"/>
        <v>1.6264279562154766</v>
      </c>
      <c r="AL100" s="9">
        <f t="shared" si="107"/>
        <v>24.786787377935621</v>
      </c>
      <c r="AM100" t="e">
        <f t="shared" si="88"/>
        <v>#N/A</v>
      </c>
      <c r="AN100" t="e">
        <f t="shared" si="108"/>
        <v>#N/A</v>
      </c>
      <c r="AO100">
        <f t="shared" si="89"/>
        <v>0</v>
      </c>
      <c r="AP100">
        <f t="shared" si="90"/>
        <v>1.4210854715202004E-14</v>
      </c>
      <c r="AQ100">
        <f t="shared" si="91"/>
        <v>5.5511151231257827E-15</v>
      </c>
      <c r="AR100">
        <f t="shared" si="109"/>
        <v>9.681538185074421E-16</v>
      </c>
      <c r="AS100">
        <f t="shared" si="92"/>
        <v>0</v>
      </c>
      <c r="AT100">
        <f t="shared" si="110"/>
        <v>0</v>
      </c>
      <c r="AU100">
        <f t="shared" si="111"/>
        <v>0</v>
      </c>
      <c r="AV100">
        <f t="shared" si="93"/>
        <v>2.9436723164136356E-20</v>
      </c>
      <c r="AW100" t="b">
        <f t="shared" si="112"/>
        <v>1</v>
      </c>
      <c r="AX100">
        <f t="shared" si="94"/>
        <v>7.8539816339744828</v>
      </c>
      <c r="AY100">
        <f t="shared" si="95"/>
        <v>14.678302603929406</v>
      </c>
      <c r="AZ100">
        <f t="shared" si="96"/>
        <v>0.6280751838162304</v>
      </c>
      <c r="BA100">
        <f t="shared" si="97"/>
        <v>1.6264279562154753</v>
      </c>
      <c r="BB100">
        <f t="shared" si="98"/>
        <v>-1.2337005501361696E-20</v>
      </c>
      <c r="BD100" s="15">
        <f t="shared" si="113"/>
        <v>24.786787377935593</v>
      </c>
      <c r="BE100" s="10">
        <f t="shared" si="114"/>
        <v>-2.8421709430404007E-14</v>
      </c>
      <c r="BF100">
        <f t="shared" si="115"/>
        <v>0</v>
      </c>
      <c r="BG100">
        <f t="shared" si="116"/>
        <v>0</v>
      </c>
      <c r="BH100">
        <f t="shared" si="117"/>
        <v>0</v>
      </c>
      <c r="BI100">
        <f t="shared" si="118"/>
        <v>0</v>
      </c>
    </row>
    <row r="101" spans="1:61" x14ac:dyDescent="0.3">
      <c r="A101">
        <f t="shared" si="65"/>
        <v>6.4000000000000001E-2</v>
      </c>
      <c r="B101">
        <f t="shared" si="66"/>
        <v>0.20106192982974677</v>
      </c>
      <c r="C101">
        <f t="shared" si="67"/>
        <v>2.9405307237600464</v>
      </c>
      <c r="D101">
        <f t="shared" si="68"/>
        <v>2.9405307237600464</v>
      </c>
      <c r="E101">
        <f t="shared" si="73"/>
        <v>0.19970998051440703</v>
      </c>
      <c r="F101">
        <f t="shared" si="74"/>
        <v>0.19970998051440705</v>
      </c>
      <c r="G101">
        <f t="shared" si="69"/>
        <v>0.20106192982974677</v>
      </c>
      <c r="H101">
        <f t="shared" si="70"/>
        <v>0.19970998051440703</v>
      </c>
      <c r="I101">
        <f t="shared" si="71"/>
        <v>0.19970998051440705</v>
      </c>
      <c r="J101">
        <f t="shared" ref="J101:J164" si="119">x_m_zeta/H101</f>
        <v>3.1877213683952858E+20</v>
      </c>
      <c r="K101">
        <f t="shared" ref="K101:K164" si="120">(J101)^alpha</f>
        <v>3.1877213683952858E+20</v>
      </c>
      <c r="L101">
        <f t="shared" si="75"/>
        <v>1</v>
      </c>
      <c r="M101">
        <f t="shared" si="72"/>
        <v>2.9405307237600463E-20</v>
      </c>
      <c r="N101" s="9">
        <f t="shared" si="63"/>
        <v>2.9405307237600463E-20</v>
      </c>
      <c r="O101">
        <f t="shared" si="64"/>
        <v>2.9405307237600463E-20</v>
      </c>
      <c r="Q101">
        <f t="shared" si="76"/>
        <v>47.211008216862318</v>
      </c>
      <c r="R101">
        <f t="shared" si="77"/>
        <v>0</v>
      </c>
      <c r="S101">
        <f t="shared" si="99"/>
        <v>-44.973111776536058</v>
      </c>
      <c r="T101" s="9" t="e">
        <f t="shared" si="78"/>
        <v>#N/A</v>
      </c>
      <c r="U101">
        <f t="shared" si="100"/>
        <v>-1.0000000000000001E+300</v>
      </c>
      <c r="V101">
        <f t="shared" si="101"/>
        <v>0</v>
      </c>
      <c r="W101">
        <f t="shared" si="102"/>
        <v>0</v>
      </c>
      <c r="X101">
        <f t="shared" si="79"/>
        <v>2.9405307237600464</v>
      </c>
      <c r="Y101">
        <f t="shared" si="80"/>
        <v>7.8539816339744828</v>
      </c>
      <c r="Z101">
        <f t="shared" si="81"/>
        <v>-2.9405307237600464</v>
      </c>
      <c r="AA101">
        <f t="shared" si="103"/>
        <v>14.427390553771207</v>
      </c>
      <c r="AB101">
        <f t="shared" si="82"/>
        <v>22.281372187745689</v>
      </c>
      <c r="AC101">
        <f t="shared" si="104"/>
        <v>0.62700737805540041</v>
      </c>
      <c r="AD101">
        <f t="shared" si="83"/>
        <v>1.6108890622708605</v>
      </c>
      <c r="AE101" s="9">
        <f t="shared" si="105"/>
        <v>24.519268628071949</v>
      </c>
      <c r="AF101">
        <f t="shared" si="106"/>
        <v>0</v>
      </c>
      <c r="AH101">
        <f t="shared" si="84"/>
        <v>7.8539816339744828</v>
      </c>
      <c r="AI101">
        <f t="shared" si="85"/>
        <v>14.427390553771206</v>
      </c>
      <c r="AJ101">
        <f t="shared" si="86"/>
        <v>0.62700737805540285</v>
      </c>
      <c r="AK101">
        <f t="shared" si="87"/>
        <v>1.6108890622708605</v>
      </c>
      <c r="AL101" s="9">
        <f t="shared" si="107"/>
        <v>24.519268628071952</v>
      </c>
      <c r="AM101" t="e">
        <f t="shared" si="88"/>
        <v>#N/A</v>
      </c>
      <c r="AN101" t="e">
        <f t="shared" si="108"/>
        <v>#N/A</v>
      </c>
      <c r="AO101">
        <f t="shared" si="89"/>
        <v>0</v>
      </c>
      <c r="AP101">
        <f t="shared" si="90"/>
        <v>0</v>
      </c>
      <c r="AQ101">
        <f t="shared" si="91"/>
        <v>2.4424906541753444E-15</v>
      </c>
      <c r="AR101">
        <f t="shared" si="109"/>
        <v>0</v>
      </c>
      <c r="AS101">
        <f t="shared" si="92"/>
        <v>0</v>
      </c>
      <c r="AT101">
        <f t="shared" si="110"/>
        <v>0</v>
      </c>
      <c r="AU101">
        <f t="shared" si="111"/>
        <v>0</v>
      </c>
      <c r="AV101">
        <f t="shared" si="93"/>
        <v>2.9405307237600463E-20</v>
      </c>
      <c r="AW101" t="b">
        <f t="shared" si="112"/>
        <v>1</v>
      </c>
      <c r="AX101">
        <f t="shared" si="94"/>
        <v>7.8539816339744828</v>
      </c>
      <c r="AY101">
        <f t="shared" si="95"/>
        <v>14.427390553771206</v>
      </c>
      <c r="AZ101">
        <f t="shared" si="96"/>
        <v>0.62700737805540041</v>
      </c>
      <c r="BA101">
        <f t="shared" si="97"/>
        <v>1.6108890622708603</v>
      </c>
      <c r="BB101">
        <f t="shared" si="98"/>
        <v>-1.2337005501361696E-20</v>
      </c>
      <c r="BD101" s="15">
        <f t="shared" si="113"/>
        <v>24.519268628071949</v>
      </c>
      <c r="BE101" s="10">
        <f t="shared" si="114"/>
        <v>0</v>
      </c>
      <c r="BF101">
        <f t="shared" si="115"/>
        <v>0</v>
      </c>
      <c r="BG101">
        <f t="shared" si="116"/>
        <v>0</v>
      </c>
      <c r="BH101">
        <f t="shared" si="117"/>
        <v>0</v>
      </c>
      <c r="BI101">
        <f t="shared" si="118"/>
        <v>0</v>
      </c>
    </row>
    <row r="102" spans="1:61" x14ac:dyDescent="0.3">
      <c r="A102">
        <f t="shared" si="65"/>
        <v>6.5000000000000002E-2</v>
      </c>
      <c r="B102">
        <f t="shared" si="66"/>
        <v>0.20420352248333656</v>
      </c>
      <c r="C102">
        <f t="shared" si="67"/>
        <v>2.9373891311064564</v>
      </c>
      <c r="D102">
        <f t="shared" si="68"/>
        <v>2.9373891311064564</v>
      </c>
      <c r="E102">
        <f t="shared" si="73"/>
        <v>0.20278729535651249</v>
      </c>
      <c r="F102">
        <f t="shared" si="74"/>
        <v>0.20278729535651277</v>
      </c>
      <c r="G102">
        <f t="shared" si="69"/>
        <v>0.20420352248333656</v>
      </c>
      <c r="H102">
        <f t="shared" si="70"/>
        <v>0.20278729535651249</v>
      </c>
      <c r="I102">
        <f t="shared" si="71"/>
        <v>0.20278729535651277</v>
      </c>
      <c r="J102">
        <f t="shared" si="119"/>
        <v>3.1393474194148347E+20</v>
      </c>
      <c r="K102">
        <f t="shared" si="120"/>
        <v>3.1393474194148347E+20</v>
      </c>
      <c r="L102">
        <f t="shared" si="75"/>
        <v>1</v>
      </c>
      <c r="M102">
        <f t="shared" si="72"/>
        <v>2.9373891311064563E-20</v>
      </c>
      <c r="N102" s="9">
        <f t="shared" ref="N102:N165" si="121">L102*M102</f>
        <v>2.9373891311064563E-20</v>
      </c>
      <c r="O102">
        <f t="shared" ref="O102:O165" si="122">N102*EXP(-N102)</f>
        <v>2.9373891311064563E-20</v>
      </c>
      <c r="Q102">
        <f t="shared" si="76"/>
        <v>47.195716809989968</v>
      </c>
      <c r="R102">
        <f t="shared" si="77"/>
        <v>0</v>
      </c>
      <c r="S102">
        <f t="shared" si="99"/>
        <v>-44.974180723724963</v>
      </c>
      <c r="T102" s="9" t="e">
        <f t="shared" si="78"/>
        <v>#N/A</v>
      </c>
      <c r="U102">
        <f t="shared" si="100"/>
        <v>-1.0000000000000001E+300</v>
      </c>
      <c r="V102">
        <f t="shared" si="101"/>
        <v>0</v>
      </c>
      <c r="W102">
        <f t="shared" si="102"/>
        <v>0</v>
      </c>
      <c r="X102">
        <f t="shared" si="79"/>
        <v>2.9373891311064564</v>
      </c>
      <c r="Y102">
        <f t="shared" si="80"/>
        <v>7.8539816339744828</v>
      </c>
      <c r="Z102">
        <f t="shared" si="81"/>
        <v>-2.9373891311064564</v>
      </c>
      <c r="AA102">
        <f t="shared" si="103"/>
        <v>14.184115606429254</v>
      </c>
      <c r="AB102">
        <f t="shared" si="82"/>
        <v>22.038097240403737</v>
      </c>
      <c r="AC102">
        <f t="shared" si="104"/>
        <v>0.62593843086649514</v>
      </c>
      <c r="AD102">
        <f t="shared" si="83"/>
        <v>1.5955976553985052</v>
      </c>
      <c r="AE102" s="9">
        <f t="shared" si="105"/>
        <v>24.259633326668737</v>
      </c>
      <c r="AF102">
        <f t="shared" si="106"/>
        <v>0</v>
      </c>
      <c r="AH102">
        <f t="shared" si="84"/>
        <v>7.8539816339744828</v>
      </c>
      <c r="AI102">
        <f t="shared" si="85"/>
        <v>14.184115606429271</v>
      </c>
      <c r="AJ102">
        <f t="shared" si="86"/>
        <v>0.6259384308664977</v>
      </c>
      <c r="AK102">
        <f t="shared" si="87"/>
        <v>1.5955976553985052</v>
      </c>
      <c r="AL102" s="9">
        <f t="shared" si="107"/>
        <v>24.259633326668759</v>
      </c>
      <c r="AM102" t="e">
        <f t="shared" si="88"/>
        <v>#N/A</v>
      </c>
      <c r="AN102" t="e">
        <f t="shared" si="108"/>
        <v>#N/A</v>
      </c>
      <c r="AO102">
        <f t="shared" si="89"/>
        <v>0</v>
      </c>
      <c r="AP102">
        <f t="shared" si="90"/>
        <v>1.7763568394002505E-14</v>
      </c>
      <c r="AQ102">
        <f t="shared" si="91"/>
        <v>2.55351295663786E-15</v>
      </c>
      <c r="AR102">
        <f t="shared" si="109"/>
        <v>1.2523564307351503E-15</v>
      </c>
      <c r="AS102">
        <f t="shared" si="92"/>
        <v>0</v>
      </c>
      <c r="AT102">
        <f t="shared" si="110"/>
        <v>0</v>
      </c>
      <c r="AU102">
        <f t="shared" si="111"/>
        <v>0</v>
      </c>
      <c r="AV102">
        <f t="shared" si="93"/>
        <v>2.9373891311064563E-20</v>
      </c>
      <c r="AW102" t="b">
        <f t="shared" si="112"/>
        <v>1</v>
      </c>
      <c r="AX102">
        <f t="shared" si="94"/>
        <v>7.8539816339744828</v>
      </c>
      <c r="AY102">
        <f t="shared" si="95"/>
        <v>14.184115606429247</v>
      </c>
      <c r="AZ102">
        <f t="shared" si="96"/>
        <v>0.62593843086649537</v>
      </c>
      <c r="BA102">
        <f t="shared" si="97"/>
        <v>1.5955976553985038</v>
      </c>
      <c r="BB102">
        <f t="shared" si="98"/>
        <v>-1.2337005501361696E-20</v>
      </c>
      <c r="BD102" s="15">
        <f t="shared" si="113"/>
        <v>24.259633326668727</v>
      </c>
      <c r="BE102" s="10">
        <f t="shared" si="114"/>
        <v>-3.1974423109204508E-14</v>
      </c>
      <c r="BF102">
        <f t="shared" si="115"/>
        <v>0</v>
      </c>
      <c r="BG102">
        <f t="shared" si="116"/>
        <v>0</v>
      </c>
      <c r="BH102">
        <f t="shared" si="117"/>
        <v>0</v>
      </c>
      <c r="BI102">
        <f t="shared" si="118"/>
        <v>0</v>
      </c>
    </row>
    <row r="103" spans="1:61" x14ac:dyDescent="0.3">
      <c r="A103">
        <f t="shared" ref="A103:A166" si="123">ROUND(A102+1/1000,3)</f>
        <v>6.6000000000000003E-2</v>
      </c>
      <c r="B103">
        <f t="shared" si="66"/>
        <v>0.20734511513692636</v>
      </c>
      <c r="C103">
        <f t="shared" si="67"/>
        <v>2.9342475384528668</v>
      </c>
      <c r="D103">
        <f t="shared" si="68"/>
        <v>2.9342475384528668</v>
      </c>
      <c r="E103">
        <f t="shared" si="73"/>
        <v>0.20586260876988133</v>
      </c>
      <c r="F103">
        <f t="shared" si="74"/>
        <v>0.20586260876988141</v>
      </c>
      <c r="G103">
        <f t="shared" si="69"/>
        <v>0.20734511513692636</v>
      </c>
      <c r="H103">
        <f t="shared" si="70"/>
        <v>0.20586260876988133</v>
      </c>
      <c r="I103">
        <f t="shared" si="71"/>
        <v>0.20586260876988141</v>
      </c>
      <c r="J103">
        <f t="shared" si="119"/>
        <v>3.0924497468076484E+20</v>
      </c>
      <c r="K103">
        <f t="shared" si="120"/>
        <v>3.0924497468076484E+20</v>
      </c>
      <c r="L103" t="e">
        <f t="shared" si="75"/>
        <v>#NUM!</v>
      </c>
      <c r="M103">
        <f t="shared" si="72"/>
        <v>2.9342475384528663E-20</v>
      </c>
      <c r="N103" s="9" t="e">
        <f t="shared" si="121"/>
        <v>#NUM!</v>
      </c>
      <c r="O103" t="e">
        <f t="shared" si="122"/>
        <v>#NUM!</v>
      </c>
      <c r="Q103">
        <f t="shared" si="76"/>
        <v>47.180665435011605</v>
      </c>
      <c r="R103">
        <f t="shared" si="77"/>
        <v>-710542.73576010019</v>
      </c>
      <c r="S103">
        <f t="shared" si="99"/>
        <v>-44.975250814784808</v>
      </c>
      <c r="T103" s="9" t="e">
        <f t="shared" si="78"/>
        <v>#N/A</v>
      </c>
      <c r="U103">
        <f t="shared" si="100"/>
        <v>-1.0000000000000001E+300</v>
      </c>
      <c r="V103">
        <f t="shared" si="101"/>
        <v>0</v>
      </c>
      <c r="W103">
        <f t="shared" si="102"/>
        <v>0</v>
      </c>
      <c r="X103">
        <f t="shared" si="79"/>
        <v>2.9342475384528668</v>
      </c>
      <c r="Y103">
        <f t="shared" si="80"/>
        <v>7.8539816339744828</v>
      </c>
      <c r="Z103">
        <f t="shared" si="81"/>
        <v>-2.9342475384528668</v>
      </c>
      <c r="AA103">
        <f t="shared" si="103"/>
        <v>13.948130876470733</v>
      </c>
      <c r="AB103">
        <f t="shared" si="82"/>
        <v>21.802112510445216</v>
      </c>
      <c r="AC103">
        <f t="shared" si="104"/>
        <v>0.62486833980665091</v>
      </c>
      <c r="AD103">
        <f t="shared" si="83"/>
        <v>1.5805462804201484</v>
      </c>
      <c r="AE103" s="9">
        <f t="shared" si="105"/>
        <v>24.007527130672013</v>
      </c>
      <c r="AF103">
        <f t="shared" si="106"/>
        <v>0</v>
      </c>
      <c r="AH103">
        <f t="shared" si="84"/>
        <v>7.8539816339744828</v>
      </c>
      <c r="AI103">
        <f t="shared" si="85"/>
        <v>13.948130876470735</v>
      </c>
      <c r="AJ103">
        <f t="shared" si="86"/>
        <v>0.62486833980665324</v>
      </c>
      <c r="AK103">
        <f t="shared" si="87"/>
        <v>1.5805462804201484</v>
      </c>
      <c r="AL103" s="9">
        <f t="shared" si="107"/>
        <v>24.00752713067202</v>
      </c>
      <c r="AM103" t="e">
        <f t="shared" si="88"/>
        <v>#N/A</v>
      </c>
      <c r="AN103" t="e">
        <f t="shared" si="108"/>
        <v>#N/A</v>
      </c>
      <c r="AO103">
        <f t="shared" si="89"/>
        <v>0</v>
      </c>
      <c r="AP103">
        <f t="shared" si="90"/>
        <v>0</v>
      </c>
      <c r="AQ103">
        <f t="shared" si="91"/>
        <v>2.3314683517128287E-15</v>
      </c>
      <c r="AR103">
        <f t="shared" si="109"/>
        <v>0</v>
      </c>
      <c r="AS103">
        <f t="shared" si="92"/>
        <v>0</v>
      </c>
      <c r="AT103">
        <f t="shared" si="110"/>
        <v>0</v>
      </c>
      <c r="AU103">
        <f t="shared" si="111"/>
        <v>0</v>
      </c>
      <c r="AV103">
        <f t="shared" si="93"/>
        <v>2.9342475384528663E-20</v>
      </c>
      <c r="AW103" t="b">
        <f t="shared" si="112"/>
        <v>1</v>
      </c>
      <c r="AX103">
        <f t="shared" si="94"/>
        <v>7.8539816339744828</v>
      </c>
      <c r="AY103">
        <f t="shared" si="95"/>
        <v>13.948130876470726</v>
      </c>
      <c r="AZ103">
        <f t="shared" si="96"/>
        <v>0.6248683398066508</v>
      </c>
      <c r="BA103">
        <f t="shared" si="97"/>
        <v>1.580546280420148</v>
      </c>
      <c r="BB103">
        <f t="shared" si="98"/>
        <v>-1.2337005501361696E-20</v>
      </c>
      <c r="BD103" s="15">
        <f t="shared" si="113"/>
        <v>24.007527130672006</v>
      </c>
      <c r="BE103" s="10">
        <f t="shared" si="114"/>
        <v>0</v>
      </c>
      <c r="BF103">
        <f t="shared" si="115"/>
        <v>0</v>
      </c>
      <c r="BG103">
        <f t="shared" si="116"/>
        <v>0</v>
      </c>
      <c r="BH103">
        <f t="shared" si="117"/>
        <v>0</v>
      </c>
      <c r="BI103">
        <f t="shared" si="118"/>
        <v>0</v>
      </c>
    </row>
    <row r="104" spans="1:61" x14ac:dyDescent="0.3">
      <c r="A104">
        <f t="shared" si="123"/>
        <v>6.7000000000000004E-2</v>
      </c>
      <c r="B104">
        <f t="shared" si="66"/>
        <v>0.21048670779051615</v>
      </c>
      <c r="C104">
        <f t="shared" si="67"/>
        <v>2.9311059457992767</v>
      </c>
      <c r="D104">
        <f t="shared" si="68"/>
        <v>2.9311059457992767</v>
      </c>
      <c r="E104">
        <f t="shared" si="73"/>
        <v>0.2089358904024117</v>
      </c>
      <c r="F104">
        <f t="shared" si="74"/>
        <v>0.20893589040241203</v>
      </c>
      <c r="G104">
        <f t="shared" si="69"/>
        <v>0.21048670779051615</v>
      </c>
      <c r="H104">
        <f t="shared" si="70"/>
        <v>0.2089358904024117</v>
      </c>
      <c r="I104">
        <f t="shared" si="71"/>
        <v>0.20893589040241203</v>
      </c>
      <c r="J104">
        <f t="shared" si="119"/>
        <v>3.0469622578554988E+20</v>
      </c>
      <c r="K104">
        <f t="shared" si="120"/>
        <v>3.0469622578554988E+20</v>
      </c>
      <c r="L104">
        <f t="shared" si="75"/>
        <v>1</v>
      </c>
      <c r="M104">
        <f t="shared" si="72"/>
        <v>2.931105945799277E-20</v>
      </c>
      <c r="N104" s="9">
        <f t="shared" si="121"/>
        <v>2.931105945799277E-20</v>
      </c>
      <c r="O104">
        <f t="shared" si="122"/>
        <v>2.931105945799277E-20</v>
      </c>
      <c r="Q104">
        <f t="shared" si="76"/>
        <v>47.165846973150565</v>
      </c>
      <c r="R104">
        <f t="shared" si="77"/>
        <v>0</v>
      </c>
      <c r="S104">
        <f t="shared" si="99"/>
        <v>-44.97632205216631</v>
      </c>
      <c r="T104" s="9" t="e">
        <f t="shared" si="78"/>
        <v>#N/A</v>
      </c>
      <c r="U104">
        <f t="shared" si="100"/>
        <v>-1.0000000000000001E+300</v>
      </c>
      <c r="V104">
        <f t="shared" si="101"/>
        <v>0</v>
      </c>
      <c r="W104">
        <f t="shared" si="102"/>
        <v>0</v>
      </c>
      <c r="X104">
        <f t="shared" si="79"/>
        <v>2.9311059457992767</v>
      </c>
      <c r="Y104">
        <f t="shared" si="80"/>
        <v>7.8539816339744828</v>
      </c>
      <c r="Z104">
        <f t="shared" si="81"/>
        <v>-2.9311059457992767</v>
      </c>
      <c r="AA104">
        <f t="shared" si="103"/>
        <v>13.719110187477392</v>
      </c>
      <c r="AB104">
        <f t="shared" si="82"/>
        <v>21.573091821451875</v>
      </c>
      <c r="AC104">
        <f t="shared" si="104"/>
        <v>0.62379710242515207</v>
      </c>
      <c r="AD104">
        <f t="shared" si="83"/>
        <v>1.5657278185591073</v>
      </c>
      <c r="AE104" s="9">
        <f t="shared" si="105"/>
        <v>23.762616742436133</v>
      </c>
      <c r="AF104">
        <f t="shared" si="106"/>
        <v>0</v>
      </c>
      <c r="AH104">
        <f t="shared" si="84"/>
        <v>7.8539816339744828</v>
      </c>
      <c r="AI104">
        <f t="shared" si="85"/>
        <v>13.719110187477412</v>
      </c>
      <c r="AJ104">
        <f t="shared" si="86"/>
        <v>0.62379710242515074</v>
      </c>
      <c r="AK104">
        <f t="shared" si="87"/>
        <v>1.5657278185591073</v>
      </c>
      <c r="AL104" s="9">
        <f t="shared" si="107"/>
        <v>23.762616742436155</v>
      </c>
      <c r="AM104" t="e">
        <f t="shared" si="88"/>
        <v>#N/A</v>
      </c>
      <c r="AN104" t="e">
        <f t="shared" si="108"/>
        <v>#N/A</v>
      </c>
      <c r="AO104">
        <f t="shared" si="89"/>
        <v>0</v>
      </c>
      <c r="AP104">
        <f t="shared" si="90"/>
        <v>1.9539925233402755E-14</v>
      </c>
      <c r="AQ104">
        <f t="shared" si="91"/>
        <v>-1.3322676295501878E-15</v>
      </c>
      <c r="AR104">
        <f t="shared" si="109"/>
        <v>1.4242851734829341E-15</v>
      </c>
      <c r="AS104">
        <f t="shared" si="92"/>
        <v>0</v>
      </c>
      <c r="AT104">
        <f t="shared" si="110"/>
        <v>0</v>
      </c>
      <c r="AU104">
        <f t="shared" si="111"/>
        <v>0</v>
      </c>
      <c r="AV104">
        <f t="shared" si="93"/>
        <v>2.9311059457992764E-20</v>
      </c>
      <c r="AW104" t="b">
        <f t="shared" si="112"/>
        <v>1</v>
      </c>
      <c r="AX104">
        <f t="shared" si="94"/>
        <v>7.8539816339744828</v>
      </c>
      <c r="AY104">
        <f t="shared" si="95"/>
        <v>13.719110187477387</v>
      </c>
      <c r="AZ104">
        <f t="shared" si="96"/>
        <v>0.62379710242515207</v>
      </c>
      <c r="BA104">
        <f t="shared" si="97"/>
        <v>1.5657278185591057</v>
      </c>
      <c r="BB104">
        <f t="shared" si="98"/>
        <v>-1.2337005501361696E-20</v>
      </c>
      <c r="BD104" s="15">
        <f t="shared" si="113"/>
        <v>23.762616742436123</v>
      </c>
      <c r="BE104" s="10">
        <f t="shared" si="114"/>
        <v>-3.1974423109204508E-14</v>
      </c>
      <c r="BF104">
        <f t="shared" si="115"/>
        <v>0</v>
      </c>
      <c r="BG104">
        <f t="shared" si="116"/>
        <v>0</v>
      </c>
      <c r="BH104">
        <f t="shared" si="117"/>
        <v>0</v>
      </c>
      <c r="BI104">
        <f t="shared" si="118"/>
        <v>0</v>
      </c>
    </row>
    <row r="105" spans="1:61" x14ac:dyDescent="0.3">
      <c r="A105">
        <f t="shared" si="123"/>
        <v>6.8000000000000005E-2</v>
      </c>
      <c r="B105">
        <f t="shared" si="66"/>
        <v>0.21362830044410594</v>
      </c>
      <c r="C105">
        <f t="shared" si="67"/>
        <v>2.9279643531456871</v>
      </c>
      <c r="D105">
        <f t="shared" si="68"/>
        <v>2.9279643531456871</v>
      </c>
      <c r="E105">
        <f t="shared" si="73"/>
        <v>0.21200710992205463</v>
      </c>
      <c r="F105">
        <f t="shared" si="74"/>
        <v>0.21200710992205479</v>
      </c>
      <c r="G105">
        <f t="shared" si="69"/>
        <v>0.21362830044410594</v>
      </c>
      <c r="H105">
        <f t="shared" si="70"/>
        <v>0.21200710992205463</v>
      </c>
      <c r="I105">
        <f t="shared" si="71"/>
        <v>0.21200710992205479</v>
      </c>
      <c r="J105">
        <f t="shared" si="119"/>
        <v>3.0028227477919846E+20</v>
      </c>
      <c r="K105">
        <f t="shared" si="120"/>
        <v>3.0028227477919846E+20</v>
      </c>
      <c r="L105">
        <f t="shared" si="75"/>
        <v>1</v>
      </c>
      <c r="M105">
        <f t="shared" si="72"/>
        <v>2.927964353145687E-20</v>
      </c>
      <c r="N105" s="9">
        <f t="shared" si="121"/>
        <v>2.927964353145687E-20</v>
      </c>
      <c r="O105">
        <f t="shared" si="122"/>
        <v>2.927964353145687E-20</v>
      </c>
      <c r="Q105">
        <f t="shared" si="76"/>
        <v>47.151254622095763</v>
      </c>
      <c r="R105">
        <f t="shared" si="77"/>
        <v>-710542.73576010019</v>
      </c>
      <c r="S105">
        <f t="shared" si="99"/>
        <v>-44.977394438328062</v>
      </c>
      <c r="T105" s="9" t="e">
        <f t="shared" si="78"/>
        <v>#N/A</v>
      </c>
      <c r="U105">
        <f t="shared" si="100"/>
        <v>-1.0000000000000001E+300</v>
      </c>
      <c r="V105">
        <f t="shared" si="101"/>
        <v>0</v>
      </c>
      <c r="W105">
        <f t="shared" si="102"/>
        <v>0</v>
      </c>
      <c r="X105">
        <f t="shared" si="79"/>
        <v>2.9279643531456871</v>
      </c>
      <c r="Y105">
        <f t="shared" si="80"/>
        <v>7.8539816339744828</v>
      </c>
      <c r="Z105">
        <f t="shared" si="81"/>
        <v>-2.9279643531456871</v>
      </c>
      <c r="AA105">
        <f t="shared" si="103"/>
        <v>13.496746549326826</v>
      </c>
      <c r="AB105">
        <f t="shared" si="82"/>
        <v>21.350728183301307</v>
      </c>
      <c r="AC105">
        <f t="shared" si="104"/>
        <v>0.62272471626339942</v>
      </c>
      <c r="AD105">
        <f t="shared" si="83"/>
        <v>1.5511354675043074</v>
      </c>
      <c r="AE105" s="9">
        <f t="shared" si="105"/>
        <v>23.524588367069011</v>
      </c>
      <c r="AF105">
        <f t="shared" si="106"/>
        <v>0</v>
      </c>
      <c r="AH105">
        <f t="shared" si="84"/>
        <v>7.8539816339744828</v>
      </c>
      <c r="AI105">
        <f t="shared" si="85"/>
        <v>13.496746549326829</v>
      </c>
      <c r="AJ105">
        <f t="shared" si="86"/>
        <v>0.62272471626339865</v>
      </c>
      <c r="AK105">
        <f t="shared" si="87"/>
        <v>1.5511354675043074</v>
      </c>
      <c r="AL105" s="9">
        <f t="shared" si="107"/>
        <v>23.524588367069018</v>
      </c>
      <c r="AM105" t="e">
        <f t="shared" si="88"/>
        <v>#N/A</v>
      </c>
      <c r="AN105" t="e">
        <f t="shared" si="108"/>
        <v>#N/A</v>
      </c>
      <c r="AO105">
        <f t="shared" si="89"/>
        <v>0</v>
      </c>
      <c r="AP105">
        <f t="shared" si="90"/>
        <v>0</v>
      </c>
      <c r="AQ105">
        <f t="shared" si="91"/>
        <v>0</v>
      </c>
      <c r="AR105">
        <f t="shared" si="109"/>
        <v>0</v>
      </c>
      <c r="AS105">
        <f t="shared" si="92"/>
        <v>0</v>
      </c>
      <c r="AT105">
        <f t="shared" si="110"/>
        <v>0</v>
      </c>
      <c r="AU105">
        <f t="shared" si="111"/>
        <v>0</v>
      </c>
      <c r="AV105">
        <f t="shared" si="93"/>
        <v>2.927964353145687E-20</v>
      </c>
      <c r="AW105" t="b">
        <f t="shared" si="112"/>
        <v>1</v>
      </c>
      <c r="AX105">
        <f t="shared" si="94"/>
        <v>7.8539816339744828</v>
      </c>
      <c r="AY105">
        <f t="shared" si="95"/>
        <v>13.49674654932682</v>
      </c>
      <c r="AZ105">
        <f t="shared" si="96"/>
        <v>0.62272471626339954</v>
      </c>
      <c r="BA105">
        <f t="shared" si="97"/>
        <v>1.5511354675043065</v>
      </c>
      <c r="BB105">
        <f t="shared" si="98"/>
        <v>-1.2337005501361696E-20</v>
      </c>
      <c r="BD105" s="15">
        <f t="shared" si="113"/>
        <v>23.524588367069008</v>
      </c>
      <c r="BE105" s="10">
        <f t="shared" si="114"/>
        <v>0</v>
      </c>
      <c r="BF105">
        <f t="shared" si="115"/>
        <v>0</v>
      </c>
      <c r="BG105">
        <f t="shared" si="116"/>
        <v>0</v>
      </c>
      <c r="BH105">
        <f t="shared" si="117"/>
        <v>0</v>
      </c>
      <c r="BI105">
        <f t="shared" si="118"/>
        <v>0</v>
      </c>
    </row>
    <row r="106" spans="1:61" x14ac:dyDescent="0.3">
      <c r="A106">
        <f t="shared" si="123"/>
        <v>6.9000000000000006E-2</v>
      </c>
      <c r="B106">
        <f t="shared" si="66"/>
        <v>0.21676989309769573</v>
      </c>
      <c r="C106">
        <f t="shared" si="67"/>
        <v>2.9248227604920976</v>
      </c>
      <c r="D106">
        <f t="shared" si="68"/>
        <v>2.9248227604920976</v>
      </c>
      <c r="E106">
        <f t="shared" si="73"/>
        <v>0.21507623701711337</v>
      </c>
      <c r="F106">
        <f t="shared" si="74"/>
        <v>0.21507623701711334</v>
      </c>
      <c r="G106">
        <f t="shared" si="69"/>
        <v>0.21676989309769573</v>
      </c>
      <c r="H106">
        <f t="shared" si="70"/>
        <v>0.21507623701711337</v>
      </c>
      <c r="I106">
        <f t="shared" si="71"/>
        <v>0.21507623701711334</v>
      </c>
      <c r="J106">
        <f t="shared" si="119"/>
        <v>2.9599726180671757E+20</v>
      </c>
      <c r="K106">
        <f t="shared" si="120"/>
        <v>2.9599726180671757E+20</v>
      </c>
      <c r="L106" t="e">
        <f t="shared" si="75"/>
        <v>#NUM!</v>
      </c>
      <c r="M106">
        <f t="shared" si="72"/>
        <v>2.9248227604920971E-20</v>
      </c>
      <c r="N106" s="9" t="e">
        <f t="shared" si="121"/>
        <v>#NUM!</v>
      </c>
      <c r="O106" t="e">
        <f t="shared" si="122"/>
        <v>#NUM!</v>
      </c>
      <c r="Q106">
        <f t="shared" si="76"/>
        <v>47.136881877521112</v>
      </c>
      <c r="R106">
        <f t="shared" si="77"/>
        <v>0</v>
      </c>
      <c r="S106">
        <f t="shared" si="99"/>
        <v>-44.978467975736585</v>
      </c>
      <c r="T106" s="9" t="e">
        <f t="shared" si="78"/>
        <v>#N/A</v>
      </c>
      <c r="U106">
        <f t="shared" si="100"/>
        <v>-1.0000000000000001E+300</v>
      </c>
      <c r="V106">
        <f t="shared" si="101"/>
        <v>0</v>
      </c>
      <c r="W106">
        <f t="shared" si="102"/>
        <v>0</v>
      </c>
      <c r="X106">
        <f t="shared" si="79"/>
        <v>2.9248227604920976</v>
      </c>
      <c r="Y106">
        <f t="shared" si="80"/>
        <v>7.8539816339744828</v>
      </c>
      <c r="Z106">
        <f t="shared" si="81"/>
        <v>-2.9248227604920976</v>
      </c>
      <c r="AA106">
        <f t="shared" si="103"/>
        <v>13.280750767883589</v>
      </c>
      <c r="AB106">
        <f t="shared" si="82"/>
        <v>21.134732401858074</v>
      </c>
      <c r="AC106">
        <f t="shared" si="104"/>
        <v>0.62165117885487542</v>
      </c>
      <c r="AD106">
        <f t="shared" si="83"/>
        <v>1.536762722929655</v>
      </c>
      <c r="AE106" s="9">
        <f t="shared" si="105"/>
        <v>23.293146303642605</v>
      </c>
      <c r="AF106">
        <f t="shared" si="106"/>
        <v>0</v>
      </c>
      <c r="AH106">
        <f t="shared" si="84"/>
        <v>7.8539816339744828</v>
      </c>
      <c r="AI106">
        <f t="shared" si="85"/>
        <v>13.28075076788358</v>
      </c>
      <c r="AJ106">
        <f t="shared" si="86"/>
        <v>0.62165117885487575</v>
      </c>
      <c r="AK106">
        <f t="shared" si="87"/>
        <v>1.536762722929655</v>
      </c>
      <c r="AL106" s="9">
        <f t="shared" si="107"/>
        <v>23.293146303642594</v>
      </c>
      <c r="AM106" t="e">
        <f t="shared" si="88"/>
        <v>#N/A</v>
      </c>
      <c r="AN106" t="e">
        <f t="shared" si="108"/>
        <v>#N/A</v>
      </c>
      <c r="AO106">
        <f t="shared" si="89"/>
        <v>0</v>
      </c>
      <c r="AP106">
        <f t="shared" si="90"/>
        <v>0</v>
      </c>
      <c r="AQ106">
        <f t="shared" si="91"/>
        <v>0</v>
      </c>
      <c r="AR106">
        <f t="shared" si="109"/>
        <v>0</v>
      </c>
      <c r="AS106">
        <f t="shared" si="92"/>
        <v>0</v>
      </c>
      <c r="AT106">
        <f t="shared" si="110"/>
        <v>0</v>
      </c>
      <c r="AU106">
        <f t="shared" si="111"/>
        <v>0</v>
      </c>
      <c r="AV106">
        <f t="shared" si="93"/>
        <v>2.9248227604920977E-20</v>
      </c>
      <c r="AW106" t="b">
        <f t="shared" si="112"/>
        <v>1</v>
      </c>
      <c r="AX106">
        <f t="shared" si="94"/>
        <v>7.8539816339744828</v>
      </c>
      <c r="AY106">
        <f t="shared" si="95"/>
        <v>13.280750767883585</v>
      </c>
      <c r="AZ106">
        <f t="shared" si="96"/>
        <v>0.62165117885487553</v>
      </c>
      <c r="BA106">
        <f t="shared" si="97"/>
        <v>1.536762722929655</v>
      </c>
      <c r="BB106">
        <f t="shared" si="98"/>
        <v>-1.2337005501361696E-20</v>
      </c>
      <c r="BD106" s="15">
        <f t="shared" si="113"/>
        <v>23.293146303642597</v>
      </c>
      <c r="BE106" s="10">
        <f t="shared" si="114"/>
        <v>0</v>
      </c>
      <c r="BF106">
        <f t="shared" si="115"/>
        <v>0</v>
      </c>
      <c r="BG106">
        <f t="shared" si="116"/>
        <v>0</v>
      </c>
      <c r="BH106">
        <f t="shared" si="117"/>
        <v>0</v>
      </c>
      <c r="BI106">
        <f t="shared" si="118"/>
        <v>0</v>
      </c>
    </row>
    <row r="107" spans="1:61" x14ac:dyDescent="0.3">
      <c r="A107">
        <f t="shared" si="123"/>
        <v>7.0000000000000007E-2</v>
      </c>
      <c r="B107">
        <f t="shared" si="66"/>
        <v>0.21991148575128555</v>
      </c>
      <c r="C107">
        <f t="shared" si="67"/>
        <v>2.9216811678385075</v>
      </c>
      <c r="D107">
        <f t="shared" si="68"/>
        <v>2.9216811678385075</v>
      </c>
      <c r="E107">
        <f t="shared" si="73"/>
        <v>0.21814324139654256</v>
      </c>
      <c r="F107">
        <f t="shared" si="74"/>
        <v>0.21814324139654276</v>
      </c>
      <c r="G107">
        <f t="shared" si="69"/>
        <v>0.21991148575128555</v>
      </c>
      <c r="H107">
        <f t="shared" si="70"/>
        <v>0.21814324139654256</v>
      </c>
      <c r="I107">
        <f t="shared" si="71"/>
        <v>0.21814324139654276</v>
      </c>
      <c r="J107">
        <f t="shared" si="119"/>
        <v>2.9183566187610132E+20</v>
      </c>
      <c r="K107">
        <f t="shared" si="120"/>
        <v>2.9183566187610132E+20</v>
      </c>
      <c r="L107">
        <f t="shared" si="75"/>
        <v>1</v>
      </c>
      <c r="M107">
        <f t="shared" si="72"/>
        <v>2.9216811678385077E-20</v>
      </c>
      <c r="N107" s="9">
        <f t="shared" si="121"/>
        <v>2.9216811678385077E-20</v>
      </c>
      <c r="O107">
        <f t="shared" si="122"/>
        <v>2.9216811678385077E-20</v>
      </c>
      <c r="Q107">
        <f t="shared" si="76"/>
        <v>47.122722515934555</v>
      </c>
      <c r="R107">
        <f t="shared" si="77"/>
        <v>0</v>
      </c>
      <c r="S107">
        <f t="shared" si="99"/>
        <v>-44.979542666866351</v>
      </c>
      <c r="T107" s="9" t="e">
        <f t="shared" si="78"/>
        <v>#N/A</v>
      </c>
      <c r="U107">
        <f t="shared" si="100"/>
        <v>-1.0000000000000001E+300</v>
      </c>
      <c r="V107">
        <f t="shared" si="101"/>
        <v>0</v>
      </c>
      <c r="W107">
        <f t="shared" si="102"/>
        <v>0</v>
      </c>
      <c r="X107">
        <f t="shared" si="79"/>
        <v>2.9216811678385075</v>
      </c>
      <c r="Y107">
        <f t="shared" si="80"/>
        <v>7.8539816339744828</v>
      </c>
      <c r="Z107">
        <f t="shared" si="81"/>
        <v>-2.9216811678385075</v>
      </c>
      <c r="AA107">
        <f t="shared" si="103"/>
        <v>13.070850173859954</v>
      </c>
      <c r="AB107">
        <f t="shared" si="82"/>
        <v>20.924831807834437</v>
      </c>
      <c r="AC107">
        <f t="shared" si="104"/>
        <v>0.62057648772510976</v>
      </c>
      <c r="AD107">
        <f t="shared" si="83"/>
        <v>1.5226033613430949</v>
      </c>
      <c r="AE107" s="9">
        <f t="shared" si="105"/>
        <v>23.068011656902641</v>
      </c>
      <c r="AF107">
        <f t="shared" si="106"/>
        <v>0</v>
      </c>
      <c r="AH107">
        <f t="shared" si="84"/>
        <v>7.8539816339744828</v>
      </c>
      <c r="AI107">
        <f t="shared" si="85"/>
        <v>13.070850173859963</v>
      </c>
      <c r="AJ107">
        <f t="shared" si="86"/>
        <v>0.62057648772510987</v>
      </c>
      <c r="AK107">
        <f t="shared" si="87"/>
        <v>1.5226033613430949</v>
      </c>
      <c r="AL107" s="9">
        <f t="shared" si="107"/>
        <v>23.068011656902648</v>
      </c>
      <c r="AM107" t="e">
        <f t="shared" si="88"/>
        <v>#N/A</v>
      </c>
      <c r="AN107" t="e">
        <f t="shared" si="108"/>
        <v>#N/A</v>
      </c>
      <c r="AO107">
        <f t="shared" si="89"/>
        <v>0</v>
      </c>
      <c r="AP107">
        <f t="shared" si="90"/>
        <v>0</v>
      </c>
      <c r="AQ107">
        <f t="shared" si="91"/>
        <v>0</v>
      </c>
      <c r="AR107">
        <f t="shared" si="109"/>
        <v>0</v>
      </c>
      <c r="AS107">
        <f t="shared" si="92"/>
        <v>0</v>
      </c>
      <c r="AT107">
        <f t="shared" si="110"/>
        <v>0</v>
      </c>
      <c r="AU107">
        <f t="shared" si="111"/>
        <v>0</v>
      </c>
      <c r="AV107">
        <f t="shared" si="93"/>
        <v>2.9216811678385071E-20</v>
      </c>
      <c r="AW107" t="b">
        <f t="shared" si="112"/>
        <v>1</v>
      </c>
      <c r="AX107">
        <f t="shared" si="94"/>
        <v>7.8539816339744828</v>
      </c>
      <c r="AY107">
        <f t="shared" si="95"/>
        <v>13.070850173859947</v>
      </c>
      <c r="AZ107">
        <f t="shared" si="96"/>
        <v>0.62057648772510976</v>
      </c>
      <c r="BA107">
        <f t="shared" si="97"/>
        <v>1.522603361343094</v>
      </c>
      <c r="BB107">
        <f t="shared" si="98"/>
        <v>-1.2337005501361696E-20</v>
      </c>
      <c r="BD107" s="15">
        <f t="shared" si="113"/>
        <v>23.068011656902634</v>
      </c>
      <c r="BE107" s="10">
        <f t="shared" si="114"/>
        <v>0</v>
      </c>
      <c r="BF107">
        <f t="shared" si="115"/>
        <v>0</v>
      </c>
      <c r="BG107">
        <f t="shared" si="116"/>
        <v>0</v>
      </c>
      <c r="BH107">
        <f t="shared" si="117"/>
        <v>0</v>
      </c>
      <c r="BI107">
        <f t="shared" si="118"/>
        <v>0</v>
      </c>
    </row>
    <row r="108" spans="1:61" x14ac:dyDescent="0.3">
      <c r="A108">
        <f t="shared" si="123"/>
        <v>7.0999999999999994E-2</v>
      </c>
      <c r="B108">
        <f t="shared" si="66"/>
        <v>0.22305307840487529</v>
      </c>
      <c r="C108">
        <f t="shared" si="67"/>
        <v>2.9185395751849179</v>
      </c>
      <c r="D108">
        <f t="shared" si="68"/>
        <v>2.9185395751849179</v>
      </c>
      <c r="E108">
        <f t="shared" si="73"/>
        <v>0.22120809279024709</v>
      </c>
      <c r="F108">
        <f t="shared" si="74"/>
        <v>0.22120809279024714</v>
      </c>
      <c r="G108">
        <f t="shared" si="69"/>
        <v>0.22305307840487529</v>
      </c>
      <c r="H108">
        <f t="shared" si="70"/>
        <v>0.22120809279024709</v>
      </c>
      <c r="I108">
        <f t="shared" si="71"/>
        <v>0.22120809279024714</v>
      </c>
      <c r="J108">
        <f t="shared" si="119"/>
        <v>2.8779226127645976E+20</v>
      </c>
      <c r="K108">
        <f t="shared" si="120"/>
        <v>2.8779226127645976E+20</v>
      </c>
      <c r="L108">
        <f t="shared" si="75"/>
        <v>1</v>
      </c>
      <c r="M108">
        <f t="shared" si="72"/>
        <v>2.9185395751849177E-20</v>
      </c>
      <c r="N108" s="9">
        <f t="shared" si="121"/>
        <v>2.9185395751849177E-20</v>
      </c>
      <c r="O108">
        <f t="shared" si="122"/>
        <v>2.9185395751849177E-20</v>
      </c>
      <c r="Q108">
        <f t="shared" si="76"/>
        <v>47.108770578743638</v>
      </c>
      <c r="R108">
        <f t="shared" si="77"/>
        <v>0</v>
      </c>
      <c r="S108">
        <f t="shared" si="99"/>
        <v>-44.980618514199811</v>
      </c>
      <c r="T108" s="9" t="e">
        <f t="shared" si="78"/>
        <v>#N/A</v>
      </c>
      <c r="U108">
        <f t="shared" si="100"/>
        <v>-1.0000000000000001E+300</v>
      </c>
      <c r="V108">
        <f t="shared" si="101"/>
        <v>0</v>
      </c>
      <c r="W108">
        <f t="shared" si="102"/>
        <v>0</v>
      </c>
      <c r="X108">
        <f t="shared" si="79"/>
        <v>2.9185395751849179</v>
      </c>
      <c r="Y108">
        <f t="shared" si="80"/>
        <v>7.8539816339744828</v>
      </c>
      <c r="Z108">
        <f t="shared" si="81"/>
        <v>-2.9185395751849179</v>
      </c>
      <c r="AA108">
        <f t="shared" si="103"/>
        <v>12.866787459096853</v>
      </c>
      <c r="AB108">
        <f t="shared" si="82"/>
        <v>20.720769093071336</v>
      </c>
      <c r="AC108">
        <f t="shared" si="104"/>
        <v>0.61950064039164687</v>
      </c>
      <c r="AD108">
        <f t="shared" si="83"/>
        <v>1.5086514241521767</v>
      </c>
      <c r="AE108" s="9">
        <f t="shared" si="105"/>
        <v>22.848921157615159</v>
      </c>
      <c r="AF108">
        <f t="shared" si="106"/>
        <v>0</v>
      </c>
      <c r="AH108">
        <f t="shared" si="84"/>
        <v>7.8539816339744828</v>
      </c>
      <c r="AI108">
        <f t="shared" si="85"/>
        <v>12.866787459096852</v>
      </c>
      <c r="AJ108">
        <f t="shared" si="86"/>
        <v>0.61950064039164943</v>
      </c>
      <c r="AK108">
        <f t="shared" si="87"/>
        <v>1.5086514241521767</v>
      </c>
      <c r="AL108" s="9">
        <f t="shared" si="107"/>
        <v>22.848921157615159</v>
      </c>
      <c r="AM108" t="e">
        <f t="shared" si="88"/>
        <v>#N/A</v>
      </c>
      <c r="AN108" t="e">
        <f t="shared" si="108"/>
        <v>#N/A</v>
      </c>
      <c r="AO108">
        <f t="shared" si="89"/>
        <v>0</v>
      </c>
      <c r="AP108">
        <f t="shared" si="90"/>
        <v>0</v>
      </c>
      <c r="AQ108">
        <f t="shared" si="91"/>
        <v>2.55351295663786E-15</v>
      </c>
      <c r="AR108">
        <f t="shared" si="109"/>
        <v>0</v>
      </c>
      <c r="AS108">
        <f t="shared" si="92"/>
        <v>0</v>
      </c>
      <c r="AT108">
        <f t="shared" si="110"/>
        <v>0</v>
      </c>
      <c r="AU108">
        <f t="shared" si="111"/>
        <v>0</v>
      </c>
      <c r="AV108">
        <f t="shared" si="93"/>
        <v>2.9185395751849177E-20</v>
      </c>
      <c r="AW108" t="b">
        <f t="shared" si="112"/>
        <v>1</v>
      </c>
      <c r="AX108">
        <f t="shared" si="94"/>
        <v>7.8539816339744828</v>
      </c>
      <c r="AY108">
        <f t="shared" si="95"/>
        <v>12.866787459096846</v>
      </c>
      <c r="AZ108">
        <f t="shared" si="96"/>
        <v>0.61950064039164687</v>
      </c>
      <c r="BA108">
        <f t="shared" si="97"/>
        <v>1.5086514241521765</v>
      </c>
      <c r="BB108">
        <f t="shared" si="98"/>
        <v>-1.2337005501361696E-20</v>
      </c>
      <c r="BD108" s="15">
        <f t="shared" si="113"/>
        <v>22.848921157615152</v>
      </c>
      <c r="BE108" s="10">
        <f t="shared" si="114"/>
        <v>0</v>
      </c>
      <c r="BF108">
        <f t="shared" si="115"/>
        <v>0</v>
      </c>
      <c r="BG108">
        <f t="shared" si="116"/>
        <v>0</v>
      </c>
      <c r="BH108">
        <f t="shared" si="117"/>
        <v>0</v>
      </c>
      <c r="BI108">
        <f t="shared" si="118"/>
        <v>0</v>
      </c>
    </row>
    <row r="109" spans="1:61" x14ac:dyDescent="0.3">
      <c r="A109">
        <f t="shared" si="123"/>
        <v>7.1999999999999995E-2</v>
      </c>
      <c r="B109">
        <f t="shared" si="66"/>
        <v>0.22619467105846508</v>
      </c>
      <c r="C109">
        <f t="shared" si="67"/>
        <v>2.9153979825313279</v>
      </c>
      <c r="D109">
        <f t="shared" si="68"/>
        <v>2.9153979825313279</v>
      </c>
      <c r="E109">
        <f t="shared" si="73"/>
        <v>0.22427076094938114</v>
      </c>
      <c r="F109">
        <f t="shared" si="74"/>
        <v>0.22427076094938145</v>
      </c>
      <c r="G109">
        <f t="shared" si="69"/>
        <v>0.22619467105846508</v>
      </c>
      <c r="H109">
        <f t="shared" si="70"/>
        <v>0.22427076094938114</v>
      </c>
      <c r="I109">
        <f t="shared" si="71"/>
        <v>0.22427076094938145</v>
      </c>
      <c r="J109">
        <f t="shared" si="119"/>
        <v>2.8386213596130312E+20</v>
      </c>
      <c r="K109">
        <f t="shared" si="120"/>
        <v>2.8386213596130312E+20</v>
      </c>
      <c r="L109">
        <f t="shared" si="75"/>
        <v>1</v>
      </c>
      <c r="M109">
        <f t="shared" si="72"/>
        <v>2.9153979825313278E-20</v>
      </c>
      <c r="N109" s="9">
        <f t="shared" si="121"/>
        <v>2.9153979825313278E-20</v>
      </c>
      <c r="O109">
        <f t="shared" si="122"/>
        <v>2.9153979825313278E-20</v>
      </c>
      <c r="Q109">
        <f t="shared" si="76"/>
        <v>47.095020357435487</v>
      </c>
      <c r="R109">
        <f t="shared" si="77"/>
        <v>0</v>
      </c>
      <c r="S109">
        <f t="shared" si="99"/>
        <v>-44.981695520227447</v>
      </c>
      <c r="T109" s="9" t="e">
        <f t="shared" si="78"/>
        <v>#N/A</v>
      </c>
      <c r="U109">
        <f t="shared" si="100"/>
        <v>-1.0000000000000001E+300</v>
      </c>
      <c r="V109">
        <f t="shared" si="101"/>
        <v>0</v>
      </c>
      <c r="W109">
        <f t="shared" si="102"/>
        <v>0</v>
      </c>
      <c r="X109">
        <f t="shared" si="79"/>
        <v>2.9153979825313279</v>
      </c>
      <c r="Y109">
        <f t="shared" si="80"/>
        <v>7.8539816339744828</v>
      </c>
      <c r="Z109">
        <f t="shared" si="81"/>
        <v>-2.9153979825313279</v>
      </c>
      <c r="AA109">
        <f t="shared" si="103"/>
        <v>12.668319609821113</v>
      </c>
      <c r="AB109">
        <f t="shared" si="82"/>
        <v>20.522301243795596</v>
      </c>
      <c r="AC109">
        <f t="shared" si="104"/>
        <v>0.61842363436400871</v>
      </c>
      <c r="AD109">
        <f t="shared" si="83"/>
        <v>1.4949012028440278</v>
      </c>
      <c r="AE109" s="9">
        <f t="shared" si="105"/>
        <v>22.635626081003632</v>
      </c>
      <c r="AF109">
        <f t="shared" si="106"/>
        <v>0</v>
      </c>
      <c r="AH109">
        <f t="shared" si="84"/>
        <v>7.8539816339744828</v>
      </c>
      <c r="AI109">
        <f t="shared" si="85"/>
        <v>12.668319609821125</v>
      </c>
      <c r="AJ109">
        <f t="shared" si="86"/>
        <v>0.61842363436401371</v>
      </c>
      <c r="AK109">
        <f t="shared" si="87"/>
        <v>1.4949012028440278</v>
      </c>
      <c r="AL109" s="9">
        <f t="shared" si="107"/>
        <v>22.63562608100365</v>
      </c>
      <c r="AM109" t="e">
        <f t="shared" si="88"/>
        <v>#N/A</v>
      </c>
      <c r="AN109" t="e">
        <f t="shared" si="108"/>
        <v>#N/A</v>
      </c>
      <c r="AO109">
        <f t="shared" si="89"/>
        <v>0</v>
      </c>
      <c r="AP109">
        <f t="shared" si="90"/>
        <v>0</v>
      </c>
      <c r="AQ109">
        <f t="shared" si="91"/>
        <v>4.9960036108132044E-15</v>
      </c>
      <c r="AR109">
        <f t="shared" si="109"/>
        <v>0</v>
      </c>
      <c r="AS109">
        <f t="shared" si="92"/>
        <v>0</v>
      </c>
      <c r="AT109">
        <f t="shared" si="110"/>
        <v>0</v>
      </c>
      <c r="AU109">
        <f t="shared" si="111"/>
        <v>0</v>
      </c>
      <c r="AV109">
        <f t="shared" si="93"/>
        <v>2.9153979825313278E-20</v>
      </c>
      <c r="AW109" t="b">
        <f t="shared" si="112"/>
        <v>1</v>
      </c>
      <c r="AX109">
        <f t="shared" si="94"/>
        <v>7.8539816339744828</v>
      </c>
      <c r="AY109">
        <f t="shared" si="95"/>
        <v>12.668319609821109</v>
      </c>
      <c r="AZ109">
        <f t="shared" si="96"/>
        <v>0.61842363436400893</v>
      </c>
      <c r="BA109">
        <f t="shared" si="97"/>
        <v>1.4949012028440263</v>
      </c>
      <c r="BB109">
        <f t="shared" si="98"/>
        <v>-1.2337005501361696E-20</v>
      </c>
      <c r="BD109" s="15">
        <f t="shared" si="113"/>
        <v>22.635626081003629</v>
      </c>
      <c r="BE109" s="10">
        <f t="shared" si="114"/>
        <v>0</v>
      </c>
      <c r="BF109">
        <f t="shared" si="115"/>
        <v>0</v>
      </c>
      <c r="BG109">
        <f t="shared" si="116"/>
        <v>0</v>
      </c>
      <c r="BH109">
        <f t="shared" si="117"/>
        <v>0</v>
      </c>
      <c r="BI109">
        <f t="shared" si="118"/>
        <v>0</v>
      </c>
    </row>
    <row r="110" spans="1:61" x14ac:dyDescent="0.3">
      <c r="A110">
        <f t="shared" si="123"/>
        <v>7.2999999999999995E-2</v>
      </c>
      <c r="B110">
        <f t="shared" si="66"/>
        <v>0.22933626371205487</v>
      </c>
      <c r="C110">
        <f t="shared" si="67"/>
        <v>2.9122563898777383</v>
      </c>
      <c r="D110">
        <f t="shared" si="68"/>
        <v>2.9122563898777383</v>
      </c>
      <c r="E110">
        <f t="shared" si="73"/>
        <v>0.22733121564664641</v>
      </c>
      <c r="F110">
        <f t="shared" si="74"/>
        <v>0.22733121564664649</v>
      </c>
      <c r="G110">
        <f t="shared" si="69"/>
        <v>0.22933626371205487</v>
      </c>
      <c r="H110">
        <f t="shared" si="70"/>
        <v>0.22733121564664641</v>
      </c>
      <c r="I110">
        <f t="shared" si="71"/>
        <v>0.22733121564664649</v>
      </c>
      <c r="J110">
        <f t="shared" si="119"/>
        <v>2.8004063170854417E+20</v>
      </c>
      <c r="K110">
        <f t="shared" si="120"/>
        <v>2.8004063170854417E+20</v>
      </c>
      <c r="L110">
        <f t="shared" si="75"/>
        <v>1</v>
      </c>
      <c r="M110">
        <f t="shared" si="72"/>
        <v>2.9122563898777378E-20</v>
      </c>
      <c r="N110" s="9">
        <f t="shared" si="121"/>
        <v>2.9122563898777378E-20</v>
      </c>
      <c r="O110">
        <f t="shared" si="122"/>
        <v>2.9122563898777378E-20</v>
      </c>
      <c r="Q110">
        <f t="shared" si="76"/>
        <v>47.081466379778966</v>
      </c>
      <c r="R110">
        <f t="shared" si="77"/>
        <v>0</v>
      </c>
      <c r="S110">
        <f t="shared" si="99"/>
        <v>-44.982773687447796</v>
      </c>
      <c r="T110" s="9" t="e">
        <f t="shared" si="78"/>
        <v>#N/A</v>
      </c>
      <c r="U110">
        <f t="shared" si="100"/>
        <v>-1.0000000000000001E+300</v>
      </c>
      <c r="V110">
        <f t="shared" si="101"/>
        <v>0</v>
      </c>
      <c r="W110">
        <f t="shared" si="102"/>
        <v>0</v>
      </c>
      <c r="X110">
        <f t="shared" si="79"/>
        <v>2.9122563898777383</v>
      </c>
      <c r="Y110">
        <f t="shared" si="80"/>
        <v>7.8539816339744828</v>
      </c>
      <c r="Z110">
        <f t="shared" si="81"/>
        <v>-2.9122563898777383</v>
      </c>
      <c r="AA110">
        <f t="shared" si="103"/>
        <v>12.475216927580588</v>
      </c>
      <c r="AB110">
        <f t="shared" si="82"/>
        <v>20.329198561555071</v>
      </c>
      <c r="AC110">
        <f t="shared" si="104"/>
        <v>0.61734546714366345</v>
      </c>
      <c r="AD110">
        <f t="shared" si="83"/>
        <v>1.4813472251875053</v>
      </c>
      <c r="AE110" s="9">
        <f t="shared" si="105"/>
        <v>22.427891253886241</v>
      </c>
      <c r="AF110">
        <f t="shared" si="106"/>
        <v>0</v>
      </c>
      <c r="AH110">
        <f t="shared" si="84"/>
        <v>7.8539816339744828</v>
      </c>
      <c r="AI110">
        <f t="shared" si="85"/>
        <v>12.47521692758059</v>
      </c>
      <c r="AJ110">
        <f t="shared" si="86"/>
        <v>0.61734546714366445</v>
      </c>
      <c r="AK110">
        <f t="shared" si="87"/>
        <v>1.4813472251875053</v>
      </c>
      <c r="AL110" s="9">
        <f t="shared" si="107"/>
        <v>22.427891253886244</v>
      </c>
      <c r="AM110" t="e">
        <f t="shared" si="88"/>
        <v>#N/A</v>
      </c>
      <c r="AN110" t="e">
        <f t="shared" si="108"/>
        <v>#N/A</v>
      </c>
      <c r="AO110">
        <f t="shared" si="89"/>
        <v>0</v>
      </c>
      <c r="AP110">
        <f t="shared" si="90"/>
        <v>0</v>
      </c>
      <c r="AQ110">
        <f t="shared" si="91"/>
        <v>9.9920072216264089E-16</v>
      </c>
      <c r="AR110">
        <f t="shared" si="109"/>
        <v>0</v>
      </c>
      <c r="AS110">
        <f t="shared" si="92"/>
        <v>0</v>
      </c>
      <c r="AT110">
        <f t="shared" si="110"/>
        <v>0</v>
      </c>
      <c r="AU110">
        <f t="shared" si="111"/>
        <v>0</v>
      </c>
      <c r="AV110">
        <f t="shared" si="93"/>
        <v>2.9122563898777378E-20</v>
      </c>
      <c r="AW110" t="b">
        <f t="shared" si="112"/>
        <v>1</v>
      </c>
      <c r="AX110">
        <f t="shared" si="94"/>
        <v>7.8539816339744828</v>
      </c>
      <c r="AY110">
        <f t="shared" si="95"/>
        <v>12.475216927580583</v>
      </c>
      <c r="AZ110">
        <f t="shared" si="96"/>
        <v>0.61734546714366334</v>
      </c>
      <c r="BA110">
        <f t="shared" si="97"/>
        <v>1.4813472251875048</v>
      </c>
      <c r="BB110">
        <f t="shared" si="98"/>
        <v>-1.2337005501361696E-20</v>
      </c>
      <c r="BD110" s="15">
        <f t="shared" si="113"/>
        <v>22.427891253886237</v>
      </c>
      <c r="BE110" s="10">
        <f t="shared" si="114"/>
        <v>0</v>
      </c>
      <c r="BF110">
        <f t="shared" si="115"/>
        <v>0</v>
      </c>
      <c r="BG110">
        <f t="shared" si="116"/>
        <v>0</v>
      </c>
      <c r="BH110">
        <f t="shared" si="117"/>
        <v>0</v>
      </c>
      <c r="BI110">
        <f t="shared" si="118"/>
        <v>0</v>
      </c>
    </row>
    <row r="111" spans="1:61" x14ac:dyDescent="0.3">
      <c r="A111">
        <f t="shared" si="123"/>
        <v>7.3999999999999996E-2</v>
      </c>
      <c r="B111">
        <f t="shared" si="66"/>
        <v>0.23247785636564469</v>
      </c>
      <c r="C111">
        <f t="shared" si="67"/>
        <v>2.9091147972241482</v>
      </c>
      <c r="D111">
        <f t="shared" si="68"/>
        <v>2.9091147972241482</v>
      </c>
      <c r="E111">
        <f t="shared" si="73"/>
        <v>0.23038942667659057</v>
      </c>
      <c r="F111">
        <f t="shared" si="74"/>
        <v>0.23038942667659087</v>
      </c>
      <c r="G111">
        <f t="shared" si="69"/>
        <v>0.23247785636564469</v>
      </c>
      <c r="H111">
        <f t="shared" si="70"/>
        <v>0.23038942667659057</v>
      </c>
      <c r="I111">
        <f t="shared" si="71"/>
        <v>0.23038942667659087</v>
      </c>
      <c r="J111">
        <f t="shared" si="119"/>
        <v>2.7632334588914847E+20</v>
      </c>
      <c r="K111">
        <f t="shared" si="120"/>
        <v>2.7632334588914847E+20</v>
      </c>
      <c r="L111">
        <f t="shared" si="75"/>
        <v>1</v>
      </c>
      <c r="M111">
        <f t="shared" si="72"/>
        <v>2.9091147972241485E-20</v>
      </c>
      <c r="N111" s="9">
        <f t="shared" si="121"/>
        <v>2.9091147972241485E-20</v>
      </c>
      <c r="O111">
        <f t="shared" si="122"/>
        <v>2.9091147972241485E-20</v>
      </c>
      <c r="Q111">
        <f t="shared" si="76"/>
        <v>47.068103396965526</v>
      </c>
      <c r="R111">
        <f t="shared" si="77"/>
        <v>0</v>
      </c>
      <c r="S111">
        <f t="shared" si="99"/>
        <v>-44.983853018367469</v>
      </c>
      <c r="T111" s="9" t="e">
        <f t="shared" si="78"/>
        <v>#N/A</v>
      </c>
      <c r="U111">
        <f t="shared" si="100"/>
        <v>-1.0000000000000001E+300</v>
      </c>
      <c r="V111">
        <f t="shared" si="101"/>
        <v>0</v>
      </c>
      <c r="W111">
        <f t="shared" si="102"/>
        <v>0</v>
      </c>
      <c r="X111">
        <f t="shared" si="79"/>
        <v>2.9091147972241482</v>
      </c>
      <c r="Y111">
        <f t="shared" si="80"/>
        <v>7.8539816339744828</v>
      </c>
      <c r="Z111">
        <f t="shared" si="81"/>
        <v>-2.9091147972241482</v>
      </c>
      <c r="AA111">
        <f t="shared" si="103"/>
        <v>12.287262129562494</v>
      </c>
      <c r="AB111">
        <f t="shared" si="82"/>
        <v>20.141243763536977</v>
      </c>
      <c r="AC111">
        <f t="shared" si="104"/>
        <v>0.61626613622398752</v>
      </c>
      <c r="AD111">
        <f t="shared" si="83"/>
        <v>1.4679842423740637</v>
      </c>
      <c r="AE111" s="9">
        <f t="shared" si="105"/>
        <v>22.22549414213503</v>
      </c>
      <c r="AF111">
        <f t="shared" si="106"/>
        <v>0</v>
      </c>
      <c r="AH111">
        <f t="shared" si="84"/>
        <v>7.8539816339744828</v>
      </c>
      <c r="AI111">
        <f t="shared" si="85"/>
        <v>12.287262129562507</v>
      </c>
      <c r="AJ111">
        <f t="shared" si="86"/>
        <v>0.61626613622399162</v>
      </c>
      <c r="AK111">
        <f t="shared" si="87"/>
        <v>1.4679842423740637</v>
      </c>
      <c r="AL111" s="9">
        <f t="shared" si="107"/>
        <v>22.225494142135048</v>
      </c>
      <c r="AM111" t="e">
        <f t="shared" si="88"/>
        <v>#N/A</v>
      </c>
      <c r="AN111" t="e">
        <f t="shared" si="108"/>
        <v>#N/A</v>
      </c>
      <c r="AO111">
        <f t="shared" si="89"/>
        <v>0</v>
      </c>
      <c r="AP111">
        <f t="shared" si="90"/>
        <v>0</v>
      </c>
      <c r="AQ111">
        <f t="shared" si="91"/>
        <v>4.1078251911130792E-15</v>
      </c>
      <c r="AR111">
        <f t="shared" si="109"/>
        <v>0</v>
      </c>
      <c r="AS111">
        <f t="shared" si="92"/>
        <v>0</v>
      </c>
      <c r="AT111">
        <f t="shared" si="110"/>
        <v>0</v>
      </c>
      <c r="AU111">
        <f t="shared" si="111"/>
        <v>0</v>
      </c>
      <c r="AV111">
        <f t="shared" si="93"/>
        <v>2.9091147972241479E-20</v>
      </c>
      <c r="AW111" t="b">
        <f t="shared" si="112"/>
        <v>1</v>
      </c>
      <c r="AX111">
        <f t="shared" si="94"/>
        <v>7.8539816339744828</v>
      </c>
      <c r="AY111">
        <f t="shared" si="95"/>
        <v>12.287262129562487</v>
      </c>
      <c r="AZ111">
        <f t="shared" si="96"/>
        <v>0.61626613622398752</v>
      </c>
      <c r="BA111">
        <f t="shared" si="97"/>
        <v>1.4679842423740623</v>
      </c>
      <c r="BB111">
        <f t="shared" si="98"/>
        <v>-1.2337005501361696E-20</v>
      </c>
      <c r="BD111" s="15">
        <f t="shared" si="113"/>
        <v>22.22549414213502</v>
      </c>
      <c r="BE111" s="10">
        <f t="shared" si="114"/>
        <v>-2.8421709430404007E-14</v>
      </c>
      <c r="BF111">
        <f t="shared" si="115"/>
        <v>0</v>
      </c>
      <c r="BG111">
        <f t="shared" si="116"/>
        <v>0</v>
      </c>
      <c r="BH111">
        <f t="shared" si="117"/>
        <v>0</v>
      </c>
      <c r="BI111">
        <f t="shared" si="118"/>
        <v>0</v>
      </c>
    </row>
    <row r="112" spans="1:61" x14ac:dyDescent="0.3">
      <c r="A112">
        <f t="shared" si="123"/>
        <v>7.4999999999999997E-2</v>
      </c>
      <c r="B112">
        <f t="shared" si="66"/>
        <v>0.23561944901923448</v>
      </c>
      <c r="C112">
        <f t="shared" si="67"/>
        <v>2.9059732045705586</v>
      </c>
      <c r="D112">
        <f t="shared" si="68"/>
        <v>2.9059732045705586</v>
      </c>
      <c r="E112">
        <f t="shared" si="73"/>
        <v>0.23344536385590539</v>
      </c>
      <c r="F112">
        <f t="shared" si="74"/>
        <v>0.23344536385590553</v>
      </c>
      <c r="G112">
        <f t="shared" si="69"/>
        <v>0.23561944901923448</v>
      </c>
      <c r="H112">
        <f t="shared" si="70"/>
        <v>0.23344536385590539</v>
      </c>
      <c r="I112">
        <f t="shared" si="71"/>
        <v>0.23344536385590553</v>
      </c>
      <c r="J112">
        <f t="shared" si="119"/>
        <v>2.7270611069429344E+20</v>
      </c>
      <c r="K112">
        <f t="shared" si="120"/>
        <v>2.7270611069429344E+20</v>
      </c>
      <c r="L112" t="e">
        <f t="shared" si="75"/>
        <v>#NUM!</v>
      </c>
      <c r="M112">
        <f t="shared" si="72"/>
        <v>2.9059732045705585E-20</v>
      </c>
      <c r="N112" s="9" t="e">
        <f t="shared" si="121"/>
        <v>#NUM!</v>
      </c>
      <c r="O112" t="e">
        <f t="shared" si="122"/>
        <v>#NUM!</v>
      </c>
      <c r="Q112">
        <f t="shared" si="76"/>
        <v>47.054926371613192</v>
      </c>
      <c r="R112">
        <f t="shared" si="77"/>
        <v>-710542.73576010019</v>
      </c>
      <c r="S112">
        <f t="shared" si="99"/>
        <v>-44.984933515501226</v>
      </c>
      <c r="T112" s="9" t="e">
        <f t="shared" si="78"/>
        <v>#N/A</v>
      </c>
      <c r="U112">
        <f t="shared" si="100"/>
        <v>-1.0000000000000001E+300</v>
      </c>
      <c r="V112">
        <f t="shared" si="101"/>
        <v>0</v>
      </c>
      <c r="W112">
        <f t="shared" si="102"/>
        <v>0</v>
      </c>
      <c r="X112">
        <f t="shared" si="79"/>
        <v>2.9059732045705586</v>
      </c>
      <c r="Y112">
        <f t="shared" si="80"/>
        <v>7.8539816339744828</v>
      </c>
      <c r="Z112">
        <f t="shared" si="81"/>
        <v>-2.9059732045705586</v>
      </c>
      <c r="AA112">
        <f t="shared" si="103"/>
        <v>12.104249520886658</v>
      </c>
      <c r="AB112">
        <f t="shared" si="82"/>
        <v>19.958231154861139</v>
      </c>
      <c r="AC112">
        <f t="shared" si="104"/>
        <v>0.61518563909023349</v>
      </c>
      <c r="AD112">
        <f t="shared" si="83"/>
        <v>1.4548072170217359</v>
      </c>
      <c r="AE112" s="9">
        <f t="shared" si="105"/>
        <v>22.028224010973108</v>
      </c>
      <c r="AF112">
        <f t="shared" si="106"/>
        <v>0</v>
      </c>
      <c r="AH112">
        <f t="shared" si="84"/>
        <v>7.8539816339744828</v>
      </c>
      <c r="AI112">
        <f t="shared" si="85"/>
        <v>12.104249520886661</v>
      </c>
      <c r="AJ112">
        <f t="shared" si="86"/>
        <v>0.61518563909023527</v>
      </c>
      <c r="AK112">
        <f t="shared" si="87"/>
        <v>1.4548072170217359</v>
      </c>
      <c r="AL112" s="9">
        <f t="shared" si="107"/>
        <v>22.028224010973116</v>
      </c>
      <c r="AM112" t="e">
        <f t="shared" si="88"/>
        <v>#N/A</v>
      </c>
      <c r="AN112" t="e">
        <f t="shared" si="108"/>
        <v>#N/A</v>
      </c>
      <c r="AO112">
        <f t="shared" si="89"/>
        <v>0</v>
      </c>
      <c r="AP112">
        <f t="shared" si="90"/>
        <v>0</v>
      </c>
      <c r="AQ112">
        <f t="shared" si="91"/>
        <v>1.7763568394002505E-15</v>
      </c>
      <c r="AR112">
        <f t="shared" si="109"/>
        <v>0</v>
      </c>
      <c r="AS112">
        <f t="shared" si="92"/>
        <v>0</v>
      </c>
      <c r="AT112">
        <f t="shared" si="110"/>
        <v>0</v>
      </c>
      <c r="AU112">
        <f t="shared" si="111"/>
        <v>0</v>
      </c>
      <c r="AV112">
        <f t="shared" si="93"/>
        <v>2.9059732045705585E-20</v>
      </c>
      <c r="AW112" t="b">
        <f t="shared" si="112"/>
        <v>1</v>
      </c>
      <c r="AX112">
        <f t="shared" si="94"/>
        <v>7.8539816339744828</v>
      </c>
      <c r="AY112">
        <f t="shared" si="95"/>
        <v>12.104249520886654</v>
      </c>
      <c r="AZ112">
        <f t="shared" si="96"/>
        <v>0.61518563909023349</v>
      </c>
      <c r="BA112">
        <f t="shared" si="97"/>
        <v>1.4548072170217354</v>
      </c>
      <c r="BB112">
        <f t="shared" si="98"/>
        <v>-1.2337005501361696E-20</v>
      </c>
      <c r="BD112" s="15">
        <f t="shared" si="113"/>
        <v>22.028224010973108</v>
      </c>
      <c r="BE112" s="10">
        <f t="shared" si="114"/>
        <v>0</v>
      </c>
      <c r="BF112">
        <f t="shared" si="115"/>
        <v>0</v>
      </c>
      <c r="BG112">
        <f t="shared" si="116"/>
        <v>0</v>
      </c>
      <c r="BH112">
        <f t="shared" si="117"/>
        <v>0</v>
      </c>
      <c r="BI112">
        <f t="shared" si="118"/>
        <v>0</v>
      </c>
    </row>
    <row r="113" spans="1:61" x14ac:dyDescent="0.3">
      <c r="A113">
        <f t="shared" si="123"/>
        <v>7.5999999999999998E-2</v>
      </c>
      <c r="B113">
        <f t="shared" si="66"/>
        <v>0.23876104167282428</v>
      </c>
      <c r="C113">
        <f t="shared" si="67"/>
        <v>2.902831611916969</v>
      </c>
      <c r="D113">
        <f t="shared" si="68"/>
        <v>2.902831611916969</v>
      </c>
      <c r="E113">
        <f t="shared" si="73"/>
        <v>0.23649899702372468</v>
      </c>
      <c r="F113">
        <f t="shared" si="74"/>
        <v>0.23649899702372459</v>
      </c>
      <c r="G113">
        <f t="shared" si="69"/>
        <v>0.23876104167282428</v>
      </c>
      <c r="H113">
        <f t="shared" si="70"/>
        <v>0.23649899702372468</v>
      </c>
      <c r="I113">
        <f t="shared" si="71"/>
        <v>0.23649899702372459</v>
      </c>
      <c r="J113">
        <f t="shared" si="119"/>
        <v>2.6918497768669951E+20</v>
      </c>
      <c r="K113">
        <f t="shared" si="120"/>
        <v>2.6918497768669951E+20</v>
      </c>
      <c r="L113">
        <f t="shared" si="75"/>
        <v>1</v>
      </c>
      <c r="M113">
        <f t="shared" si="72"/>
        <v>2.9028316119169685E-20</v>
      </c>
      <c r="N113" s="9">
        <f t="shared" si="121"/>
        <v>2.9028316119169685E-20</v>
      </c>
      <c r="O113">
        <f t="shared" si="122"/>
        <v>2.9028316119169685E-20</v>
      </c>
      <c r="Q113">
        <f t="shared" si="76"/>
        <v>47.041930466565084</v>
      </c>
      <c r="R113">
        <f t="shared" si="77"/>
        <v>0</v>
      </c>
      <c r="S113">
        <f t="shared" si="99"/>
        <v>-44.986015181371968</v>
      </c>
      <c r="T113" s="9" t="e">
        <f t="shared" si="78"/>
        <v>#N/A</v>
      </c>
      <c r="U113">
        <f t="shared" si="100"/>
        <v>-1.0000000000000001E+300</v>
      </c>
      <c r="V113">
        <f t="shared" si="101"/>
        <v>0</v>
      </c>
      <c r="W113">
        <f t="shared" si="102"/>
        <v>0</v>
      </c>
      <c r="X113">
        <f t="shared" si="79"/>
        <v>2.902831611916969</v>
      </c>
      <c r="Y113">
        <f t="shared" si="80"/>
        <v>7.8539816339744828</v>
      </c>
      <c r="Z113">
        <f t="shared" si="81"/>
        <v>-2.902831611916969</v>
      </c>
      <c r="AA113">
        <f t="shared" si="103"/>
        <v>11.925984232243668</v>
      </c>
      <c r="AB113">
        <f t="shared" si="82"/>
        <v>19.779965866218149</v>
      </c>
      <c r="AC113">
        <f t="shared" si="104"/>
        <v>0.6141039732194925</v>
      </c>
      <c r="AD113">
        <f t="shared" si="83"/>
        <v>1.4418113119736256</v>
      </c>
      <c r="AE113" s="9">
        <f t="shared" si="105"/>
        <v>21.835881151411268</v>
      </c>
      <c r="AF113">
        <f t="shared" si="106"/>
        <v>0</v>
      </c>
      <c r="AH113">
        <f t="shared" si="84"/>
        <v>7.8539816339744828</v>
      </c>
      <c r="AI113">
        <f t="shared" si="85"/>
        <v>11.925984232243659</v>
      </c>
      <c r="AJ113">
        <f t="shared" si="86"/>
        <v>0.61410397321949262</v>
      </c>
      <c r="AK113">
        <f t="shared" si="87"/>
        <v>1.4418113119736256</v>
      </c>
      <c r="AL113" s="9">
        <f t="shared" si="107"/>
        <v>21.835881151411261</v>
      </c>
      <c r="AM113" t="e">
        <f t="shared" si="88"/>
        <v>#N/A</v>
      </c>
      <c r="AN113" t="e">
        <f t="shared" si="108"/>
        <v>#N/A</v>
      </c>
      <c r="AO113">
        <f t="shared" si="89"/>
        <v>0</v>
      </c>
      <c r="AP113">
        <f t="shared" si="90"/>
        <v>0</v>
      </c>
      <c r="AQ113">
        <f t="shared" si="91"/>
        <v>0</v>
      </c>
      <c r="AR113">
        <f t="shared" si="109"/>
        <v>0</v>
      </c>
      <c r="AS113">
        <f t="shared" si="92"/>
        <v>0</v>
      </c>
      <c r="AT113">
        <f t="shared" si="110"/>
        <v>0</v>
      </c>
      <c r="AU113">
        <f t="shared" si="111"/>
        <v>0</v>
      </c>
      <c r="AV113">
        <f t="shared" si="93"/>
        <v>2.9028316119169691E-20</v>
      </c>
      <c r="AW113" t="b">
        <f t="shared" si="112"/>
        <v>1</v>
      </c>
      <c r="AX113">
        <f t="shared" si="94"/>
        <v>7.8539816339744828</v>
      </c>
      <c r="AY113">
        <f t="shared" si="95"/>
        <v>11.925984232243666</v>
      </c>
      <c r="AZ113">
        <f t="shared" si="96"/>
        <v>0.61410397321949262</v>
      </c>
      <c r="BA113">
        <f t="shared" si="97"/>
        <v>1.4418113119736258</v>
      </c>
      <c r="BB113">
        <f t="shared" si="98"/>
        <v>-1.2337005501361696E-20</v>
      </c>
      <c r="BD113" s="15">
        <f t="shared" si="113"/>
        <v>21.835881151411268</v>
      </c>
      <c r="BE113" s="10">
        <f t="shared" si="114"/>
        <v>0</v>
      </c>
      <c r="BF113">
        <f t="shared" si="115"/>
        <v>0</v>
      </c>
      <c r="BG113">
        <f t="shared" si="116"/>
        <v>0</v>
      </c>
      <c r="BH113">
        <f t="shared" si="117"/>
        <v>0</v>
      </c>
      <c r="BI113">
        <f t="shared" si="118"/>
        <v>0</v>
      </c>
    </row>
    <row r="114" spans="1:61" x14ac:dyDescent="0.3">
      <c r="A114">
        <f t="shared" si="123"/>
        <v>7.6999999999999999E-2</v>
      </c>
      <c r="B114">
        <f t="shared" si="66"/>
        <v>0.24190263432641407</v>
      </c>
      <c r="C114">
        <f t="shared" si="67"/>
        <v>2.899690019263379</v>
      </c>
      <c r="D114">
        <f t="shared" si="68"/>
        <v>2.899690019263379</v>
      </c>
      <c r="E114">
        <f t="shared" si="73"/>
        <v>0.23955029604192182</v>
      </c>
      <c r="F114">
        <f t="shared" si="74"/>
        <v>0.23955029604192199</v>
      </c>
      <c r="G114">
        <f t="shared" si="69"/>
        <v>0.24190263432641407</v>
      </c>
      <c r="H114">
        <f t="shared" si="70"/>
        <v>0.23955029604192182</v>
      </c>
      <c r="I114">
        <f t="shared" si="71"/>
        <v>0.23955029604192199</v>
      </c>
      <c r="J114">
        <f t="shared" si="119"/>
        <v>2.6575620355575415E+20</v>
      </c>
      <c r="K114">
        <f t="shared" si="120"/>
        <v>2.6575620355575415E+20</v>
      </c>
      <c r="L114" t="e">
        <f t="shared" si="75"/>
        <v>#NUM!</v>
      </c>
      <c r="M114">
        <f t="shared" si="72"/>
        <v>2.8996900192633792E-20</v>
      </c>
      <c r="N114" s="9" t="e">
        <f t="shared" si="121"/>
        <v>#NUM!</v>
      </c>
      <c r="O114" t="e">
        <f t="shared" si="122"/>
        <v>#NUM!</v>
      </c>
      <c r="Q114">
        <f t="shared" si="76"/>
        <v>47.029111034420048</v>
      </c>
      <c r="R114">
        <f t="shared" si="77"/>
        <v>0</v>
      </c>
      <c r="S114">
        <f t="shared" si="99"/>
        <v>-44.9870980185108</v>
      </c>
      <c r="T114" s="9" t="e">
        <f t="shared" si="78"/>
        <v>#N/A</v>
      </c>
      <c r="U114">
        <f t="shared" si="100"/>
        <v>-1.0000000000000001E+300</v>
      </c>
      <c r="V114">
        <f t="shared" si="101"/>
        <v>0</v>
      </c>
      <c r="W114">
        <f t="shared" si="102"/>
        <v>0</v>
      </c>
      <c r="X114">
        <f t="shared" si="79"/>
        <v>2.899690019263379</v>
      </c>
      <c r="Y114">
        <f t="shared" si="80"/>
        <v>7.8539816339744828</v>
      </c>
      <c r="Z114">
        <f t="shared" si="81"/>
        <v>-2.899690019263379</v>
      </c>
      <c r="AA114">
        <f t="shared" si="103"/>
        <v>11.752281516938069</v>
      </c>
      <c r="AB114">
        <f t="shared" si="82"/>
        <v>19.606263150912554</v>
      </c>
      <c r="AC114">
        <f t="shared" si="104"/>
        <v>0.61302113608066033</v>
      </c>
      <c r="AD114">
        <f t="shared" si="83"/>
        <v>1.4289918798285897</v>
      </c>
      <c r="AE114" s="9">
        <f t="shared" si="105"/>
        <v>21.648276166821805</v>
      </c>
      <c r="AF114">
        <f t="shared" si="106"/>
        <v>0</v>
      </c>
      <c r="AH114">
        <f t="shared" si="84"/>
        <v>7.8539816339744828</v>
      </c>
      <c r="AI114">
        <f t="shared" si="85"/>
        <v>11.752281516938073</v>
      </c>
      <c r="AJ114">
        <f t="shared" si="86"/>
        <v>0.61302113608066122</v>
      </c>
      <c r="AK114">
        <f t="shared" si="87"/>
        <v>1.4289918798285897</v>
      </c>
      <c r="AL114" s="9">
        <f t="shared" si="107"/>
        <v>21.648276166821805</v>
      </c>
      <c r="AM114" t="e">
        <f t="shared" si="88"/>
        <v>#N/A</v>
      </c>
      <c r="AN114" t="e">
        <f t="shared" si="108"/>
        <v>#N/A</v>
      </c>
      <c r="AO114">
        <f t="shared" si="89"/>
        <v>0</v>
      </c>
      <c r="AP114">
        <f t="shared" si="90"/>
        <v>0</v>
      </c>
      <c r="AQ114">
        <f t="shared" si="91"/>
        <v>8.8817841970012523E-16</v>
      </c>
      <c r="AR114">
        <f t="shared" si="109"/>
        <v>0</v>
      </c>
      <c r="AS114">
        <f t="shared" si="92"/>
        <v>0</v>
      </c>
      <c r="AT114">
        <f t="shared" si="110"/>
        <v>0</v>
      </c>
      <c r="AU114">
        <f t="shared" si="111"/>
        <v>0</v>
      </c>
      <c r="AV114">
        <f t="shared" si="93"/>
        <v>2.8996900192633786E-20</v>
      </c>
      <c r="AW114" t="b">
        <f t="shared" si="112"/>
        <v>1</v>
      </c>
      <c r="AX114">
        <f t="shared" si="94"/>
        <v>7.8539816339744828</v>
      </c>
      <c r="AY114">
        <f t="shared" si="95"/>
        <v>11.75228151693806</v>
      </c>
      <c r="AZ114">
        <f t="shared" si="96"/>
        <v>0.61302113608066033</v>
      </c>
      <c r="BA114">
        <f t="shared" si="97"/>
        <v>1.428991879828589</v>
      </c>
      <c r="BB114">
        <f t="shared" si="98"/>
        <v>-1.2337005501361696E-20</v>
      </c>
      <c r="BD114" s="15">
        <f t="shared" si="113"/>
        <v>21.648276166821795</v>
      </c>
      <c r="BE114" s="10">
        <f t="shared" si="114"/>
        <v>0</v>
      </c>
      <c r="BF114">
        <f t="shared" si="115"/>
        <v>0</v>
      </c>
      <c r="BG114">
        <f t="shared" si="116"/>
        <v>0</v>
      </c>
      <c r="BH114">
        <f t="shared" si="117"/>
        <v>0</v>
      </c>
      <c r="BI114">
        <f t="shared" si="118"/>
        <v>0</v>
      </c>
    </row>
    <row r="115" spans="1:61" x14ac:dyDescent="0.3">
      <c r="A115">
        <f t="shared" si="123"/>
        <v>7.8E-2</v>
      </c>
      <c r="B115">
        <f t="shared" si="66"/>
        <v>0.24504422698000386</v>
      </c>
      <c r="C115">
        <f t="shared" si="67"/>
        <v>2.8965484266097894</v>
      </c>
      <c r="D115">
        <f t="shared" si="68"/>
        <v>2.8965484266097894</v>
      </c>
      <c r="E115">
        <f t="shared" si="73"/>
        <v>0.24259923079540741</v>
      </c>
      <c r="F115">
        <f t="shared" si="74"/>
        <v>0.24259923079540741</v>
      </c>
      <c r="G115">
        <f t="shared" si="69"/>
        <v>0.24504422698000386</v>
      </c>
      <c r="H115">
        <f t="shared" si="70"/>
        <v>0.24259923079540741</v>
      </c>
      <c r="I115">
        <f t="shared" si="71"/>
        <v>0.24259923079540741</v>
      </c>
      <c r="J115">
        <f t="shared" si="119"/>
        <v>2.6241623696839567E+20</v>
      </c>
      <c r="K115">
        <f t="shared" si="120"/>
        <v>2.6241623696839567E+20</v>
      </c>
      <c r="L115">
        <f t="shared" si="75"/>
        <v>1</v>
      </c>
      <c r="M115">
        <f t="shared" si="72"/>
        <v>2.8965484266097892E-20</v>
      </c>
      <c r="N115" s="9">
        <f t="shared" si="121"/>
        <v>2.8965484266097892E-20</v>
      </c>
      <c r="O115">
        <f t="shared" si="122"/>
        <v>2.8965484266097892E-20</v>
      </c>
      <c r="Q115">
        <f t="shared" si="76"/>
        <v>47.016463607738885</v>
      </c>
      <c r="R115">
        <f t="shared" si="77"/>
        <v>0</v>
      </c>
      <c r="S115">
        <f t="shared" si="99"/>
        <v>-44.988182029457057</v>
      </c>
      <c r="T115" s="9" t="e">
        <f t="shared" si="78"/>
        <v>#N/A</v>
      </c>
      <c r="U115">
        <f t="shared" si="100"/>
        <v>-1.0000000000000001E+300</v>
      </c>
      <c r="V115">
        <f t="shared" si="101"/>
        <v>0</v>
      </c>
      <c r="W115">
        <f t="shared" si="102"/>
        <v>0</v>
      </c>
      <c r="X115">
        <f t="shared" si="79"/>
        <v>2.8965484266097894</v>
      </c>
      <c r="Y115">
        <f t="shared" si="80"/>
        <v>7.8539816339744828</v>
      </c>
      <c r="Z115">
        <f t="shared" si="81"/>
        <v>-2.8965484266097894</v>
      </c>
      <c r="AA115">
        <f t="shared" si="103"/>
        <v>11.582966102005146</v>
      </c>
      <c r="AB115">
        <f t="shared" si="82"/>
        <v>19.436947735979629</v>
      </c>
      <c r="AC115">
        <f t="shared" si="104"/>
        <v>0.61193712513440213</v>
      </c>
      <c r="AD115">
        <f t="shared" si="83"/>
        <v>1.4163444531474225</v>
      </c>
      <c r="AE115" s="9">
        <f t="shared" si="105"/>
        <v>21.465229314261457</v>
      </c>
      <c r="AF115">
        <f t="shared" si="106"/>
        <v>0</v>
      </c>
      <c r="AH115">
        <f t="shared" si="84"/>
        <v>7.8539816339744828</v>
      </c>
      <c r="AI115">
        <f t="shared" si="85"/>
        <v>11.582966102005143</v>
      </c>
      <c r="AJ115">
        <f t="shared" si="86"/>
        <v>0.61193712513440346</v>
      </c>
      <c r="AK115">
        <f t="shared" si="87"/>
        <v>1.4163444531474225</v>
      </c>
      <c r="AL115" s="9">
        <f t="shared" si="107"/>
        <v>21.465229314261453</v>
      </c>
      <c r="AM115" t="e">
        <f t="shared" si="88"/>
        <v>#N/A</v>
      </c>
      <c r="AN115" t="e">
        <f t="shared" si="108"/>
        <v>#N/A</v>
      </c>
      <c r="AO115">
        <f t="shared" si="89"/>
        <v>0</v>
      </c>
      <c r="AP115">
        <f t="shared" si="90"/>
        <v>0</v>
      </c>
      <c r="AQ115">
        <f t="shared" si="91"/>
        <v>1.3322676295501878E-15</v>
      </c>
      <c r="AR115">
        <f t="shared" si="109"/>
        <v>0</v>
      </c>
      <c r="AS115">
        <f t="shared" si="92"/>
        <v>0</v>
      </c>
      <c r="AT115">
        <f t="shared" si="110"/>
        <v>0</v>
      </c>
      <c r="AU115">
        <f t="shared" si="111"/>
        <v>0</v>
      </c>
      <c r="AV115">
        <f t="shared" si="93"/>
        <v>2.8965484266097892E-20</v>
      </c>
      <c r="AW115" t="b">
        <f t="shared" si="112"/>
        <v>1</v>
      </c>
      <c r="AX115">
        <f t="shared" si="94"/>
        <v>7.8539816339744828</v>
      </c>
      <c r="AY115">
        <f t="shared" si="95"/>
        <v>11.582966102005143</v>
      </c>
      <c r="AZ115">
        <f t="shared" si="96"/>
        <v>0.61193712513440213</v>
      </c>
      <c r="BA115">
        <f t="shared" si="97"/>
        <v>1.4163444531474225</v>
      </c>
      <c r="BB115">
        <f t="shared" si="98"/>
        <v>-1.2337005501361696E-20</v>
      </c>
      <c r="BD115" s="15">
        <f t="shared" si="113"/>
        <v>21.465229314261453</v>
      </c>
      <c r="BE115" s="10">
        <f t="shared" si="114"/>
        <v>0</v>
      </c>
      <c r="BF115">
        <f t="shared" si="115"/>
        <v>0</v>
      </c>
      <c r="BG115">
        <f t="shared" si="116"/>
        <v>0</v>
      </c>
      <c r="BH115">
        <f t="shared" si="117"/>
        <v>0</v>
      </c>
      <c r="BI115">
        <f t="shared" si="118"/>
        <v>0</v>
      </c>
    </row>
    <row r="116" spans="1:61" x14ac:dyDescent="0.3">
      <c r="A116">
        <f t="shared" si="123"/>
        <v>7.9000000000000001E-2</v>
      </c>
      <c r="B116">
        <f t="shared" si="66"/>
        <v>0.24818581963359365</v>
      </c>
      <c r="C116">
        <f t="shared" si="67"/>
        <v>2.8934068339561994</v>
      </c>
      <c r="D116">
        <f t="shared" si="68"/>
        <v>2.8934068339561994</v>
      </c>
      <c r="E116">
        <f t="shared" si="73"/>
        <v>0.24564577119242634</v>
      </c>
      <c r="F116">
        <f t="shared" si="74"/>
        <v>0.24564577119242656</v>
      </c>
      <c r="G116">
        <f t="shared" si="69"/>
        <v>0.24818581963359365</v>
      </c>
      <c r="H116">
        <f t="shared" si="70"/>
        <v>0.24564577119242634</v>
      </c>
      <c r="I116">
        <f t="shared" si="71"/>
        <v>0.24564577119242656</v>
      </c>
      <c r="J116">
        <f t="shared" si="119"/>
        <v>2.5916170641866496E+20</v>
      </c>
      <c r="K116">
        <f t="shared" si="120"/>
        <v>2.5916170641866496E+20</v>
      </c>
      <c r="L116">
        <f t="shared" si="75"/>
        <v>1</v>
      </c>
      <c r="M116">
        <f t="shared" si="72"/>
        <v>2.8934068339561993E-20</v>
      </c>
      <c r="N116" s="9">
        <f t="shared" si="121"/>
        <v>2.8934068339561993E-20</v>
      </c>
      <c r="O116">
        <f t="shared" si="122"/>
        <v>2.8934068339561993E-20</v>
      </c>
      <c r="Q116">
        <f t="shared" si="76"/>
        <v>47.003983889874362</v>
      </c>
      <c r="R116">
        <f t="shared" si="77"/>
        <v>0</v>
      </c>
      <c r="S116">
        <f t="shared" si="99"/>
        <v>-44.989267216758343</v>
      </c>
      <c r="T116" s="9" t="e">
        <f t="shared" si="78"/>
        <v>#N/A</v>
      </c>
      <c r="U116">
        <f t="shared" si="100"/>
        <v>-1.0000000000000001E+300</v>
      </c>
      <c r="V116">
        <f t="shared" si="101"/>
        <v>0</v>
      </c>
      <c r="W116">
        <f t="shared" si="102"/>
        <v>0</v>
      </c>
      <c r="X116">
        <f t="shared" si="79"/>
        <v>2.8934068339561994</v>
      </c>
      <c r="Y116">
        <f t="shared" si="80"/>
        <v>7.8539816339744828</v>
      </c>
      <c r="Z116">
        <f t="shared" si="81"/>
        <v>-2.8934068339561994</v>
      </c>
      <c r="AA116">
        <f t="shared" si="103"/>
        <v>11.417871588609739</v>
      </c>
      <c r="AB116">
        <f t="shared" si="82"/>
        <v>19.27185322258422</v>
      </c>
      <c r="AC116">
        <f t="shared" si="104"/>
        <v>0.61085193783311498</v>
      </c>
      <c r="AD116">
        <f t="shared" si="83"/>
        <v>1.4038647352829003</v>
      </c>
      <c r="AE116" s="9">
        <f t="shared" si="105"/>
        <v>21.286569895700236</v>
      </c>
      <c r="AF116">
        <f t="shared" si="106"/>
        <v>0</v>
      </c>
      <c r="AH116">
        <f t="shared" si="84"/>
        <v>7.8539816339744828</v>
      </c>
      <c r="AI116">
        <f t="shared" si="85"/>
        <v>11.417871588609747</v>
      </c>
      <c r="AJ116">
        <f t="shared" si="86"/>
        <v>0.61085193783311809</v>
      </c>
      <c r="AK116">
        <f t="shared" si="87"/>
        <v>1.4038647352829003</v>
      </c>
      <c r="AL116" s="9">
        <f t="shared" si="107"/>
        <v>21.28656989570025</v>
      </c>
      <c r="AM116" t="e">
        <f t="shared" si="88"/>
        <v>#N/A</v>
      </c>
      <c r="AN116" t="e">
        <f t="shared" si="108"/>
        <v>#N/A</v>
      </c>
      <c r="AO116">
        <f t="shared" si="89"/>
        <v>0</v>
      </c>
      <c r="AP116">
        <f t="shared" si="90"/>
        <v>0</v>
      </c>
      <c r="AQ116">
        <f t="shared" si="91"/>
        <v>3.1086244689504383E-15</v>
      </c>
      <c r="AR116">
        <f t="shared" si="109"/>
        <v>0</v>
      </c>
      <c r="AS116">
        <f t="shared" si="92"/>
        <v>0</v>
      </c>
      <c r="AT116">
        <f t="shared" si="110"/>
        <v>0</v>
      </c>
      <c r="AU116">
        <f t="shared" si="111"/>
        <v>0</v>
      </c>
      <c r="AV116">
        <f t="shared" si="93"/>
        <v>2.8934068339561993E-20</v>
      </c>
      <c r="AW116" t="b">
        <f t="shared" si="112"/>
        <v>1</v>
      </c>
      <c r="AX116">
        <f t="shared" si="94"/>
        <v>7.8539816339744828</v>
      </c>
      <c r="AY116">
        <f t="shared" si="95"/>
        <v>11.417871588609737</v>
      </c>
      <c r="AZ116">
        <f t="shared" si="96"/>
        <v>0.6108519378331152</v>
      </c>
      <c r="BA116">
        <f t="shared" si="97"/>
        <v>1.4038647352828995</v>
      </c>
      <c r="BB116">
        <f t="shared" si="98"/>
        <v>-1.2337005501361696E-20</v>
      </c>
      <c r="BD116" s="15">
        <f t="shared" si="113"/>
        <v>21.286569895700232</v>
      </c>
      <c r="BE116" s="10">
        <f t="shared" si="114"/>
        <v>0</v>
      </c>
      <c r="BF116">
        <f t="shared" si="115"/>
        <v>0</v>
      </c>
      <c r="BG116">
        <f t="shared" si="116"/>
        <v>0</v>
      </c>
      <c r="BH116">
        <f t="shared" si="117"/>
        <v>0</v>
      </c>
      <c r="BI116">
        <f t="shared" si="118"/>
        <v>0</v>
      </c>
    </row>
    <row r="117" spans="1:61" x14ac:dyDescent="0.3">
      <c r="A117">
        <f t="shared" si="123"/>
        <v>0.08</v>
      </c>
      <c r="B117">
        <f t="shared" si="66"/>
        <v>0.25132741228718347</v>
      </c>
      <c r="C117">
        <f t="shared" si="67"/>
        <v>2.8902652413026098</v>
      </c>
      <c r="D117">
        <f t="shared" si="68"/>
        <v>2.8902652413026098</v>
      </c>
      <c r="E117">
        <f t="shared" si="73"/>
        <v>0.24868988716485479</v>
      </c>
      <c r="F117">
        <f t="shared" si="74"/>
        <v>0.24868988716485482</v>
      </c>
      <c r="G117">
        <f t="shared" si="69"/>
        <v>0.25132741228718347</v>
      </c>
      <c r="H117">
        <f t="shared" si="70"/>
        <v>0.24868988716485479</v>
      </c>
      <c r="I117">
        <f t="shared" si="71"/>
        <v>0.24868988716485482</v>
      </c>
      <c r="J117">
        <f t="shared" si="119"/>
        <v>2.5598940898854106E+20</v>
      </c>
      <c r="K117">
        <f t="shared" si="120"/>
        <v>2.5598940898854106E+20</v>
      </c>
      <c r="L117">
        <f t="shared" si="75"/>
        <v>1</v>
      </c>
      <c r="M117">
        <f t="shared" si="72"/>
        <v>2.8902652413026093E-20</v>
      </c>
      <c r="N117" s="9">
        <f t="shared" si="121"/>
        <v>2.8902652413026093E-20</v>
      </c>
      <c r="O117">
        <f t="shared" si="122"/>
        <v>2.8902652413026093E-20</v>
      </c>
      <c r="Q117">
        <f t="shared" si="76"/>
        <v>46.991667746378063</v>
      </c>
      <c r="R117">
        <f t="shared" si="77"/>
        <v>0</v>
      </c>
      <c r="S117">
        <f t="shared" si="99"/>
        <v>-44.990353582970563</v>
      </c>
      <c r="T117" s="9" t="e">
        <f t="shared" si="78"/>
        <v>#N/A</v>
      </c>
      <c r="U117">
        <f t="shared" si="100"/>
        <v>-1.0000000000000001E+300</v>
      </c>
      <c r="V117">
        <f t="shared" si="101"/>
        <v>0</v>
      </c>
      <c r="W117">
        <f t="shared" si="102"/>
        <v>0</v>
      </c>
      <c r="X117">
        <f t="shared" si="79"/>
        <v>2.8902652413026098</v>
      </c>
      <c r="Y117">
        <f t="shared" si="80"/>
        <v>7.8539816339744828</v>
      </c>
      <c r="Z117">
        <f t="shared" si="81"/>
        <v>-2.8902652413026098</v>
      </c>
      <c r="AA117">
        <f t="shared" si="103"/>
        <v>11.256839897415466</v>
      </c>
      <c r="AB117">
        <f t="shared" si="82"/>
        <v>19.110821531389949</v>
      </c>
      <c r="AC117">
        <f t="shared" si="104"/>
        <v>0.60976557162089429</v>
      </c>
      <c r="AD117">
        <f t="shared" si="83"/>
        <v>1.3915485917866053</v>
      </c>
      <c r="AE117" s="9">
        <f t="shared" si="105"/>
        <v>21.112135694797448</v>
      </c>
      <c r="AF117">
        <f t="shared" si="106"/>
        <v>0</v>
      </c>
      <c r="AH117">
        <f t="shared" si="84"/>
        <v>7.8539816339744828</v>
      </c>
      <c r="AI117">
        <f t="shared" si="85"/>
        <v>11.256839897415462</v>
      </c>
      <c r="AJ117">
        <f t="shared" si="86"/>
        <v>0.60976557162089762</v>
      </c>
      <c r="AK117">
        <f t="shared" si="87"/>
        <v>1.3915485917866053</v>
      </c>
      <c r="AL117" s="9">
        <f t="shared" si="107"/>
        <v>21.112135694797448</v>
      </c>
      <c r="AM117" t="e">
        <f t="shared" si="88"/>
        <v>#N/A</v>
      </c>
      <c r="AN117" t="e">
        <f t="shared" si="108"/>
        <v>#N/A</v>
      </c>
      <c r="AO117">
        <f t="shared" si="89"/>
        <v>0</v>
      </c>
      <c r="AP117">
        <f t="shared" si="90"/>
        <v>0</v>
      </c>
      <c r="AQ117">
        <f t="shared" si="91"/>
        <v>3.3306690738754696E-15</v>
      </c>
      <c r="AR117">
        <f t="shared" si="109"/>
        <v>0</v>
      </c>
      <c r="AS117">
        <f t="shared" si="92"/>
        <v>0</v>
      </c>
      <c r="AT117">
        <f t="shared" si="110"/>
        <v>0</v>
      </c>
      <c r="AU117">
        <f t="shared" si="111"/>
        <v>0</v>
      </c>
      <c r="AV117">
        <f t="shared" si="93"/>
        <v>2.8902652413026099E-20</v>
      </c>
      <c r="AW117" t="b">
        <f t="shared" si="112"/>
        <v>1</v>
      </c>
      <c r="AX117">
        <f t="shared" si="94"/>
        <v>7.8539816339744828</v>
      </c>
      <c r="AY117">
        <f t="shared" si="95"/>
        <v>11.256839897415464</v>
      </c>
      <c r="AZ117">
        <f t="shared" si="96"/>
        <v>0.6097655716208944</v>
      </c>
      <c r="BA117">
        <f t="shared" si="97"/>
        <v>1.3915485917866051</v>
      </c>
      <c r="BB117">
        <f t="shared" si="98"/>
        <v>-1.2337005501361696E-20</v>
      </c>
      <c r="BD117" s="15">
        <f t="shared" si="113"/>
        <v>21.112135694797445</v>
      </c>
      <c r="BE117" s="10">
        <f t="shared" si="114"/>
        <v>0</v>
      </c>
      <c r="BF117">
        <f t="shared" si="115"/>
        <v>0</v>
      </c>
      <c r="BG117">
        <f t="shared" si="116"/>
        <v>0</v>
      </c>
      <c r="BH117">
        <f t="shared" si="117"/>
        <v>0</v>
      </c>
      <c r="BI117">
        <f t="shared" si="118"/>
        <v>0</v>
      </c>
    </row>
    <row r="118" spans="1:61" x14ac:dyDescent="0.3">
      <c r="A118">
        <f t="shared" si="123"/>
        <v>8.1000000000000003E-2</v>
      </c>
      <c r="B118">
        <f t="shared" si="66"/>
        <v>0.25446900494077324</v>
      </c>
      <c r="C118">
        <f t="shared" si="67"/>
        <v>2.8871236486490197</v>
      </c>
      <c r="D118">
        <f t="shared" si="68"/>
        <v>2.8871236486490197</v>
      </c>
      <c r="E118">
        <f t="shared" si="73"/>
        <v>0.25173154866849706</v>
      </c>
      <c r="F118">
        <f t="shared" si="74"/>
        <v>0.25173154866849734</v>
      </c>
      <c r="G118">
        <f t="shared" si="69"/>
        <v>0.25446900494077324</v>
      </c>
      <c r="H118">
        <f t="shared" si="70"/>
        <v>0.25173154866849706</v>
      </c>
      <c r="I118">
        <f t="shared" si="71"/>
        <v>0.25173154866849734</v>
      </c>
      <c r="J118">
        <f t="shared" si="119"/>
        <v>2.5289629994130774E+20</v>
      </c>
      <c r="K118">
        <f t="shared" si="120"/>
        <v>2.5289629994130774E+20</v>
      </c>
      <c r="L118">
        <f t="shared" si="75"/>
        <v>1</v>
      </c>
      <c r="M118">
        <f t="shared" si="72"/>
        <v>2.8871236486490199E-20</v>
      </c>
      <c r="N118" s="9">
        <f t="shared" si="121"/>
        <v>2.8871236486490199E-20</v>
      </c>
      <c r="O118">
        <f t="shared" si="122"/>
        <v>2.8871236486490199E-20</v>
      </c>
      <c r="Q118">
        <f t="shared" si="76"/>
        <v>46.979511196940983</v>
      </c>
      <c r="R118">
        <f t="shared" si="77"/>
        <v>-710542.73576010019</v>
      </c>
      <c r="S118">
        <f t="shared" si="99"/>
        <v>-44.991441130657961</v>
      </c>
      <c r="T118" s="9" t="e">
        <f t="shared" si="78"/>
        <v>#N/A</v>
      </c>
      <c r="U118">
        <f t="shared" si="100"/>
        <v>-1.0000000000000001E+300</v>
      </c>
      <c r="V118">
        <f t="shared" si="101"/>
        <v>0</v>
      </c>
      <c r="W118">
        <f t="shared" si="102"/>
        <v>0</v>
      </c>
      <c r="X118">
        <f t="shared" si="79"/>
        <v>2.8871236486490197</v>
      </c>
      <c r="Y118">
        <f t="shared" si="80"/>
        <v>7.8539816339744828</v>
      </c>
      <c r="Z118">
        <f t="shared" si="81"/>
        <v>-2.8871236486490197</v>
      </c>
      <c r="AA118">
        <f t="shared" si="103"/>
        <v>11.099720755037353</v>
      </c>
      <c r="AB118">
        <f t="shared" si="82"/>
        <v>18.953702389011838</v>
      </c>
      <c r="AC118">
        <f t="shared" si="104"/>
        <v>0.60867802393349524</v>
      </c>
      <c r="AD118">
        <f t="shared" si="83"/>
        <v>1.3793920423495272</v>
      </c>
      <c r="AE118" s="9">
        <f t="shared" si="105"/>
        <v>20.94177245529486</v>
      </c>
      <c r="AF118">
        <f t="shared" si="106"/>
        <v>0</v>
      </c>
      <c r="AH118">
        <f t="shared" si="84"/>
        <v>7.8539816339744828</v>
      </c>
      <c r="AI118">
        <f t="shared" si="85"/>
        <v>11.099720755037366</v>
      </c>
      <c r="AJ118">
        <f t="shared" si="86"/>
        <v>0.6086780239334999</v>
      </c>
      <c r="AK118">
        <f t="shared" si="87"/>
        <v>1.3793920423495272</v>
      </c>
      <c r="AL118" s="9">
        <f t="shared" si="107"/>
        <v>20.941772455294874</v>
      </c>
      <c r="AM118" t="e">
        <f t="shared" si="88"/>
        <v>#N/A</v>
      </c>
      <c r="AN118" t="e">
        <f t="shared" si="108"/>
        <v>#N/A</v>
      </c>
      <c r="AO118">
        <f t="shared" si="89"/>
        <v>0</v>
      </c>
      <c r="AP118">
        <f t="shared" si="90"/>
        <v>0</v>
      </c>
      <c r="AQ118">
        <f t="shared" si="91"/>
        <v>4.6629367034256575E-15</v>
      </c>
      <c r="AR118">
        <f t="shared" si="109"/>
        <v>0</v>
      </c>
      <c r="AS118">
        <f t="shared" si="92"/>
        <v>0</v>
      </c>
      <c r="AT118">
        <f t="shared" si="110"/>
        <v>0</v>
      </c>
      <c r="AU118">
        <f t="shared" si="111"/>
        <v>0</v>
      </c>
      <c r="AV118">
        <f t="shared" si="93"/>
        <v>2.8871236486490193E-20</v>
      </c>
      <c r="AW118" t="b">
        <f t="shared" si="112"/>
        <v>1</v>
      </c>
      <c r="AX118">
        <f t="shared" si="94"/>
        <v>7.8539816339744828</v>
      </c>
      <c r="AY118">
        <f t="shared" si="95"/>
        <v>11.099720755037348</v>
      </c>
      <c r="AZ118">
        <f t="shared" si="96"/>
        <v>0.60867802393349524</v>
      </c>
      <c r="BA118">
        <f t="shared" si="97"/>
        <v>1.3793920423495261</v>
      </c>
      <c r="BB118">
        <f t="shared" si="98"/>
        <v>-1.2337005501361696E-20</v>
      </c>
      <c r="BD118" s="15">
        <f t="shared" si="113"/>
        <v>20.941772455294853</v>
      </c>
      <c r="BE118" s="10">
        <f t="shared" si="114"/>
        <v>0</v>
      </c>
      <c r="BF118">
        <f t="shared" si="115"/>
        <v>0</v>
      </c>
      <c r="BG118">
        <f t="shared" si="116"/>
        <v>0</v>
      </c>
      <c r="BH118">
        <f t="shared" si="117"/>
        <v>0</v>
      </c>
      <c r="BI118">
        <f t="shared" si="118"/>
        <v>0</v>
      </c>
    </row>
    <row r="119" spans="1:61" x14ac:dyDescent="0.3">
      <c r="A119">
        <f t="shared" si="123"/>
        <v>8.2000000000000003E-2</v>
      </c>
      <c r="B119">
        <f t="shared" si="66"/>
        <v>0.25761059759436306</v>
      </c>
      <c r="C119">
        <f t="shared" si="67"/>
        <v>2.8839820559954301</v>
      </c>
      <c r="D119">
        <f t="shared" si="68"/>
        <v>2.8839820559954301</v>
      </c>
      <c r="E119">
        <f t="shared" si="73"/>
        <v>0.25477072568338216</v>
      </c>
      <c r="F119">
        <f t="shared" si="74"/>
        <v>0.25477072568338227</v>
      </c>
      <c r="G119">
        <f t="shared" si="69"/>
        <v>0.25761059759436306</v>
      </c>
      <c r="H119">
        <f t="shared" si="70"/>
        <v>0.25477072568338216</v>
      </c>
      <c r="I119">
        <f t="shared" si="71"/>
        <v>0.25477072568338227</v>
      </c>
      <c r="J119">
        <f t="shared" si="119"/>
        <v>2.4987948307638157E+20</v>
      </c>
      <c r="K119">
        <f t="shared" si="120"/>
        <v>2.4987948307638157E+20</v>
      </c>
      <c r="L119" t="e">
        <f t="shared" si="75"/>
        <v>#NUM!</v>
      </c>
      <c r="M119">
        <f t="shared" si="72"/>
        <v>2.88398205599543E-20</v>
      </c>
      <c r="N119" s="9" t="e">
        <f t="shared" si="121"/>
        <v>#NUM!</v>
      </c>
      <c r="O119" t="e">
        <f t="shared" si="122"/>
        <v>#NUM!</v>
      </c>
      <c r="Q119">
        <f t="shared" si="76"/>
        <v>46.967510407828605</v>
      </c>
      <c r="R119">
        <f t="shared" si="77"/>
        <v>-710542.73576010019</v>
      </c>
      <c r="S119">
        <f t="shared" si="99"/>
        <v>-44.992529862393162</v>
      </c>
      <c r="T119" s="9" t="e">
        <f t="shared" si="78"/>
        <v>#N/A</v>
      </c>
      <c r="U119">
        <f t="shared" si="100"/>
        <v>-1.0000000000000001E+300</v>
      </c>
      <c r="V119">
        <f t="shared" si="101"/>
        <v>0</v>
      </c>
      <c r="W119">
        <f t="shared" si="102"/>
        <v>0</v>
      </c>
      <c r="X119">
        <f t="shared" si="79"/>
        <v>2.8839820559954301</v>
      </c>
      <c r="Y119">
        <f t="shared" si="80"/>
        <v>7.8539816339744828</v>
      </c>
      <c r="Z119">
        <f t="shared" si="81"/>
        <v>-2.8839820559954301</v>
      </c>
      <c r="AA119">
        <f t="shared" si="103"/>
        <v>10.946371218071434</v>
      </c>
      <c r="AB119">
        <f t="shared" si="82"/>
        <v>18.800352852045918</v>
      </c>
      <c r="AC119">
        <f t="shared" si="104"/>
        <v>0.60758929219829871</v>
      </c>
      <c r="AD119">
        <f t="shared" si="83"/>
        <v>1.3673912532371491</v>
      </c>
      <c r="AE119" s="9">
        <f t="shared" si="105"/>
        <v>20.775333397481365</v>
      </c>
      <c r="AF119">
        <f t="shared" si="106"/>
        <v>0</v>
      </c>
      <c r="AH119">
        <f t="shared" si="84"/>
        <v>7.8539816339744828</v>
      </c>
      <c r="AI119">
        <f t="shared" si="85"/>
        <v>10.946371218071434</v>
      </c>
      <c r="AJ119">
        <f t="shared" si="86"/>
        <v>0.60758929219829838</v>
      </c>
      <c r="AK119">
        <f t="shared" si="87"/>
        <v>1.3673912532371491</v>
      </c>
      <c r="AL119" s="9">
        <f t="shared" si="107"/>
        <v>20.775333397481365</v>
      </c>
      <c r="AM119" t="e">
        <f t="shared" si="88"/>
        <v>#N/A</v>
      </c>
      <c r="AN119" t="e">
        <f t="shared" si="108"/>
        <v>#N/A</v>
      </c>
      <c r="AO119">
        <f t="shared" si="89"/>
        <v>0</v>
      </c>
      <c r="AP119">
        <f t="shared" si="90"/>
        <v>0</v>
      </c>
      <c r="AQ119">
        <f t="shared" si="91"/>
        <v>0</v>
      </c>
      <c r="AR119">
        <f t="shared" si="109"/>
        <v>0</v>
      </c>
      <c r="AS119">
        <f t="shared" si="92"/>
        <v>0</v>
      </c>
      <c r="AT119">
        <f t="shared" si="110"/>
        <v>0</v>
      </c>
      <c r="AU119">
        <f t="shared" si="111"/>
        <v>0</v>
      </c>
      <c r="AV119">
        <f t="shared" si="93"/>
        <v>2.88398205599543E-20</v>
      </c>
      <c r="AW119" t="b">
        <f t="shared" si="112"/>
        <v>1</v>
      </c>
      <c r="AX119">
        <f t="shared" si="94"/>
        <v>7.8539816339744828</v>
      </c>
      <c r="AY119">
        <f t="shared" si="95"/>
        <v>10.946371218071429</v>
      </c>
      <c r="AZ119">
        <f t="shared" si="96"/>
        <v>0.60758929219829871</v>
      </c>
      <c r="BA119">
        <f t="shared" si="97"/>
        <v>1.3673912532371486</v>
      </c>
      <c r="BB119">
        <f t="shared" si="98"/>
        <v>-1.2337005501361696E-20</v>
      </c>
      <c r="BD119" s="15">
        <f t="shared" si="113"/>
        <v>20.775333397481358</v>
      </c>
      <c r="BE119" s="10">
        <f t="shared" si="114"/>
        <v>0</v>
      </c>
      <c r="BF119">
        <f t="shared" si="115"/>
        <v>0</v>
      </c>
      <c r="BG119">
        <f t="shared" si="116"/>
        <v>0</v>
      </c>
      <c r="BH119">
        <f t="shared" si="117"/>
        <v>0</v>
      </c>
      <c r="BI119">
        <f t="shared" si="118"/>
        <v>0</v>
      </c>
    </row>
    <row r="120" spans="1:61" x14ac:dyDescent="0.3">
      <c r="A120">
        <f t="shared" si="123"/>
        <v>8.3000000000000004E-2</v>
      </c>
      <c r="B120">
        <f t="shared" si="66"/>
        <v>0.26075219024795282</v>
      </c>
      <c r="C120">
        <f t="shared" si="67"/>
        <v>2.8808404633418405</v>
      </c>
      <c r="D120">
        <f t="shared" si="68"/>
        <v>2.8808404633418405</v>
      </c>
      <c r="E120">
        <f t="shared" si="73"/>
        <v>0.25780738821405985</v>
      </c>
      <c r="F120">
        <f t="shared" si="74"/>
        <v>0.25780738821405974</v>
      </c>
      <c r="G120">
        <f t="shared" si="69"/>
        <v>0.26075219024795282</v>
      </c>
      <c r="H120">
        <f t="shared" si="70"/>
        <v>0.25780738821405985</v>
      </c>
      <c r="I120">
        <f t="shared" si="71"/>
        <v>0.25780738821405974</v>
      </c>
      <c r="J120">
        <f t="shared" si="119"/>
        <v>2.4693620178138189E+20</v>
      </c>
      <c r="K120">
        <f t="shared" si="120"/>
        <v>2.4693620178138189E+20</v>
      </c>
      <c r="L120">
        <f t="shared" si="75"/>
        <v>1</v>
      </c>
      <c r="M120">
        <f t="shared" si="72"/>
        <v>2.88084046334184E-20</v>
      </c>
      <c r="N120" s="9">
        <f t="shared" si="121"/>
        <v>2.88084046334184E-20</v>
      </c>
      <c r="O120">
        <f t="shared" si="122"/>
        <v>2.88084046334184E-20</v>
      </c>
      <c r="Q120">
        <f t="shared" si="76"/>
        <v>46.955661684774505</v>
      </c>
      <c r="R120">
        <f t="shared" si="77"/>
        <v>-710542.73576010019</v>
      </c>
      <c r="S120">
        <f t="shared" si="99"/>
        <v>-44.993619780757186</v>
      </c>
      <c r="T120" s="9" t="e">
        <f t="shared" si="78"/>
        <v>#N/A</v>
      </c>
      <c r="U120">
        <f t="shared" si="100"/>
        <v>-1.0000000000000001E+300</v>
      </c>
      <c r="V120">
        <f t="shared" si="101"/>
        <v>0</v>
      </c>
      <c r="W120">
        <f t="shared" si="102"/>
        <v>0</v>
      </c>
      <c r="X120">
        <f t="shared" si="79"/>
        <v>2.8808404633418405</v>
      </c>
      <c r="Y120">
        <f t="shared" si="80"/>
        <v>7.8539816339744828</v>
      </c>
      <c r="Z120">
        <f t="shared" si="81"/>
        <v>-2.8808404633418405</v>
      </c>
      <c r="AA120">
        <f t="shared" si="103"/>
        <v>10.796655231531506</v>
      </c>
      <c r="AB120">
        <f t="shared" si="82"/>
        <v>18.650636865505987</v>
      </c>
      <c r="AC120">
        <f t="shared" si="104"/>
        <v>0.6064993738342731</v>
      </c>
      <c r="AD120">
        <f t="shared" si="83"/>
        <v>1.3555425301830486</v>
      </c>
      <c r="AE120" s="9">
        <f t="shared" si="105"/>
        <v>20.612678769523306</v>
      </c>
      <c r="AF120">
        <f t="shared" si="106"/>
        <v>0</v>
      </c>
      <c r="AH120">
        <f t="shared" si="84"/>
        <v>7.8539816339744828</v>
      </c>
      <c r="AI120">
        <f t="shared" si="85"/>
        <v>10.796655231531499</v>
      </c>
      <c r="AJ120">
        <f t="shared" si="86"/>
        <v>0.60649937383427499</v>
      </c>
      <c r="AK120">
        <f t="shared" si="87"/>
        <v>1.3555425301830486</v>
      </c>
      <c r="AL120" s="9">
        <f t="shared" si="107"/>
        <v>20.612678769523303</v>
      </c>
      <c r="AM120" t="e">
        <f t="shared" si="88"/>
        <v>#N/A</v>
      </c>
      <c r="AN120" t="e">
        <f t="shared" si="108"/>
        <v>#N/A</v>
      </c>
      <c r="AO120">
        <f t="shared" si="89"/>
        <v>0</v>
      </c>
      <c r="AP120">
        <f t="shared" si="90"/>
        <v>0</v>
      </c>
      <c r="AQ120">
        <f t="shared" si="91"/>
        <v>1.8873791418627661E-15</v>
      </c>
      <c r="AR120">
        <f t="shared" si="109"/>
        <v>0</v>
      </c>
      <c r="AS120">
        <f t="shared" si="92"/>
        <v>0</v>
      </c>
      <c r="AT120">
        <f t="shared" si="110"/>
        <v>0</v>
      </c>
      <c r="AU120">
        <f t="shared" si="111"/>
        <v>0</v>
      </c>
      <c r="AV120">
        <f t="shared" si="93"/>
        <v>2.8808404633418406E-20</v>
      </c>
      <c r="AW120" t="b">
        <f t="shared" si="112"/>
        <v>1</v>
      </c>
      <c r="AX120">
        <f t="shared" si="94"/>
        <v>7.8539816339744828</v>
      </c>
      <c r="AY120">
        <f t="shared" si="95"/>
        <v>10.796655231531505</v>
      </c>
      <c r="AZ120">
        <f t="shared" si="96"/>
        <v>0.60649937383427321</v>
      </c>
      <c r="BA120">
        <f t="shared" si="97"/>
        <v>1.355542530183049</v>
      </c>
      <c r="BB120">
        <f t="shared" si="98"/>
        <v>-1.2337005501361696E-20</v>
      </c>
      <c r="BD120" s="15">
        <f t="shared" si="113"/>
        <v>20.61267876952331</v>
      </c>
      <c r="BE120" s="10">
        <f t="shared" si="114"/>
        <v>0</v>
      </c>
      <c r="BF120">
        <f t="shared" si="115"/>
        <v>0</v>
      </c>
      <c r="BG120">
        <f t="shared" si="116"/>
        <v>0</v>
      </c>
      <c r="BH120">
        <f t="shared" si="117"/>
        <v>0</v>
      </c>
      <c r="BI120">
        <f t="shared" si="118"/>
        <v>0</v>
      </c>
    </row>
    <row r="121" spans="1:61" x14ac:dyDescent="0.3">
      <c r="A121">
        <f t="shared" si="123"/>
        <v>8.4000000000000005E-2</v>
      </c>
      <c r="B121">
        <f t="shared" si="66"/>
        <v>0.26389378290154264</v>
      </c>
      <c r="C121">
        <f t="shared" si="67"/>
        <v>2.8776988706882505</v>
      </c>
      <c r="D121">
        <f t="shared" si="68"/>
        <v>2.8776988706882505</v>
      </c>
      <c r="E121">
        <f t="shared" si="73"/>
        <v>0.26084150628989694</v>
      </c>
      <c r="F121">
        <f t="shared" si="74"/>
        <v>0.26084150628989705</v>
      </c>
      <c r="G121">
        <f t="shared" si="69"/>
        <v>0.26389378290154264</v>
      </c>
      <c r="H121">
        <f t="shared" si="70"/>
        <v>0.26084150628989694</v>
      </c>
      <c r="I121">
        <f t="shared" si="71"/>
        <v>0.26084150628989705</v>
      </c>
      <c r="J121">
        <f t="shared" si="119"/>
        <v>2.440638307233389E+20</v>
      </c>
      <c r="K121">
        <f t="shared" si="120"/>
        <v>2.440638307233389E+20</v>
      </c>
      <c r="L121" t="e">
        <f t="shared" si="75"/>
        <v>#NUM!</v>
      </c>
      <c r="M121">
        <f t="shared" si="72"/>
        <v>2.8776988706882506E-20</v>
      </c>
      <c r="N121" s="9" t="e">
        <f t="shared" si="121"/>
        <v>#NUM!</v>
      </c>
      <c r="O121" t="e">
        <f t="shared" si="122"/>
        <v>#NUM!</v>
      </c>
      <c r="Q121">
        <f t="shared" si="76"/>
        <v>46.943961466299527</v>
      </c>
      <c r="R121">
        <f t="shared" si="77"/>
        <v>0</v>
      </c>
      <c r="S121">
        <f t="shared" si="99"/>
        <v>-44.994710888339519</v>
      </c>
      <c r="T121" s="9" t="e">
        <f t="shared" si="78"/>
        <v>#N/A</v>
      </c>
      <c r="U121">
        <f t="shared" si="100"/>
        <v>-1.0000000000000001E+300</v>
      </c>
      <c r="V121">
        <f t="shared" si="101"/>
        <v>0</v>
      </c>
      <c r="W121">
        <f t="shared" si="102"/>
        <v>0</v>
      </c>
      <c r="X121">
        <f t="shared" si="79"/>
        <v>2.8776988706882505</v>
      </c>
      <c r="Y121">
        <f t="shared" si="80"/>
        <v>7.8539816339744828</v>
      </c>
      <c r="Z121">
        <f t="shared" si="81"/>
        <v>-2.8776988706882505</v>
      </c>
      <c r="AA121">
        <f t="shared" si="103"/>
        <v>10.650443218826352</v>
      </c>
      <c r="AB121">
        <f t="shared" si="82"/>
        <v>18.504424852800835</v>
      </c>
      <c r="AC121">
        <f t="shared" si="104"/>
        <v>0.60540826625193855</v>
      </c>
      <c r="AD121">
        <f t="shared" si="83"/>
        <v>1.3438423117080645</v>
      </c>
      <c r="AE121" s="9">
        <f t="shared" si="105"/>
        <v>20.453675430760839</v>
      </c>
      <c r="AF121">
        <f t="shared" si="106"/>
        <v>0</v>
      </c>
      <c r="AH121">
        <f t="shared" si="84"/>
        <v>7.8539816339744828</v>
      </c>
      <c r="AI121">
        <f t="shared" si="85"/>
        <v>10.650443218826354</v>
      </c>
      <c r="AJ121">
        <f t="shared" si="86"/>
        <v>0.605408266251942</v>
      </c>
      <c r="AK121">
        <f t="shared" si="87"/>
        <v>1.3438423117080645</v>
      </c>
      <c r="AL121" s="9">
        <f t="shared" si="107"/>
        <v>20.453675430760846</v>
      </c>
      <c r="AM121" t="e">
        <f t="shared" si="88"/>
        <v>#N/A</v>
      </c>
      <c r="AN121" t="e">
        <f t="shared" si="108"/>
        <v>#N/A</v>
      </c>
      <c r="AO121">
        <f t="shared" si="89"/>
        <v>0</v>
      </c>
      <c r="AP121">
        <f t="shared" si="90"/>
        <v>0</v>
      </c>
      <c r="AQ121">
        <f t="shared" si="91"/>
        <v>3.4416913763379853E-15</v>
      </c>
      <c r="AR121">
        <f t="shared" si="109"/>
        <v>0</v>
      </c>
      <c r="AS121">
        <f t="shared" si="92"/>
        <v>0</v>
      </c>
      <c r="AT121">
        <f t="shared" si="110"/>
        <v>0</v>
      </c>
      <c r="AU121">
        <f t="shared" si="111"/>
        <v>0</v>
      </c>
      <c r="AV121">
        <f t="shared" si="93"/>
        <v>2.87769887068825E-20</v>
      </c>
      <c r="AW121" t="b">
        <f t="shared" si="112"/>
        <v>1</v>
      </c>
      <c r="AX121">
        <f t="shared" si="94"/>
        <v>7.8539816339744828</v>
      </c>
      <c r="AY121">
        <f t="shared" si="95"/>
        <v>10.650443218826346</v>
      </c>
      <c r="AZ121">
        <f t="shared" si="96"/>
        <v>0.60540826625193844</v>
      </c>
      <c r="BA121">
        <f t="shared" si="97"/>
        <v>1.343842311708064</v>
      </c>
      <c r="BB121">
        <f t="shared" si="98"/>
        <v>-1.2337005501361696E-20</v>
      </c>
      <c r="BD121" s="15">
        <f t="shared" si="113"/>
        <v>20.453675430760832</v>
      </c>
      <c r="BE121" s="10">
        <f t="shared" si="114"/>
        <v>0</v>
      </c>
      <c r="BF121">
        <f t="shared" si="115"/>
        <v>0</v>
      </c>
      <c r="BG121">
        <f t="shared" si="116"/>
        <v>0</v>
      </c>
      <c r="BH121">
        <f t="shared" si="117"/>
        <v>0</v>
      </c>
      <c r="BI121">
        <f t="shared" si="118"/>
        <v>0</v>
      </c>
    </row>
    <row r="122" spans="1:61" x14ac:dyDescent="0.3">
      <c r="A122">
        <f t="shared" si="123"/>
        <v>8.5000000000000006E-2</v>
      </c>
      <c r="B122">
        <f t="shared" si="66"/>
        <v>0.26703537555513246</v>
      </c>
      <c r="C122">
        <f t="shared" si="67"/>
        <v>2.8745572780346604</v>
      </c>
      <c r="D122">
        <f t="shared" si="68"/>
        <v>2.8745572780346604</v>
      </c>
      <c r="E122">
        <f t="shared" si="73"/>
        <v>0.26387304996537292</v>
      </c>
      <c r="F122">
        <f t="shared" si="74"/>
        <v>0.26387304996537325</v>
      </c>
      <c r="G122">
        <f t="shared" si="69"/>
        <v>0.26703537555513246</v>
      </c>
      <c r="H122">
        <f t="shared" si="70"/>
        <v>0.26387304996537292</v>
      </c>
      <c r="I122">
        <f t="shared" si="71"/>
        <v>0.26387304996537325</v>
      </c>
      <c r="J122">
        <f t="shared" si="119"/>
        <v>2.4125986812640497E+20</v>
      </c>
      <c r="K122">
        <f t="shared" si="120"/>
        <v>2.4125986812640497E+20</v>
      </c>
      <c r="L122">
        <f t="shared" si="75"/>
        <v>1</v>
      </c>
      <c r="M122">
        <f t="shared" si="72"/>
        <v>2.8745572780346607E-20</v>
      </c>
      <c r="N122" s="9">
        <f t="shared" si="121"/>
        <v>2.8745572780346607E-20</v>
      </c>
      <c r="O122">
        <f t="shared" si="122"/>
        <v>2.8745572780346607E-20</v>
      </c>
      <c r="Q122">
        <f t="shared" si="76"/>
        <v>46.93240631742627</v>
      </c>
      <c r="R122">
        <f t="shared" si="77"/>
        <v>0</v>
      </c>
      <c r="S122">
        <f t="shared" si="99"/>
        <v>-44.995803187738126</v>
      </c>
      <c r="T122" s="9" t="e">
        <f t="shared" si="78"/>
        <v>#N/A</v>
      </c>
      <c r="U122">
        <f t="shared" si="100"/>
        <v>-1.0000000000000001E+300</v>
      </c>
      <c r="V122">
        <f t="shared" si="101"/>
        <v>0</v>
      </c>
      <c r="W122">
        <f t="shared" si="102"/>
        <v>0</v>
      </c>
      <c r="X122">
        <f t="shared" si="79"/>
        <v>2.8745572780346604</v>
      </c>
      <c r="Y122">
        <f t="shared" si="80"/>
        <v>7.8539816339744828</v>
      </c>
      <c r="Z122">
        <f t="shared" si="81"/>
        <v>-2.8745572780346604</v>
      </c>
      <c r="AA122">
        <f t="shared" si="103"/>
        <v>10.507611700679671</v>
      </c>
      <c r="AB122">
        <f t="shared" si="82"/>
        <v>18.361593334654152</v>
      </c>
      <c r="AC122">
        <f t="shared" si="104"/>
        <v>0.60431596685332944</v>
      </c>
      <c r="AD122">
        <f t="shared" si="83"/>
        <v>1.3322871628348081</v>
      </c>
      <c r="AE122" s="9">
        <f t="shared" si="105"/>
        <v>20.29819646434229</v>
      </c>
      <c r="AF122">
        <f t="shared" si="106"/>
        <v>0</v>
      </c>
      <c r="AH122">
        <f t="shared" si="84"/>
        <v>7.8539816339744828</v>
      </c>
      <c r="AI122">
        <f t="shared" si="85"/>
        <v>10.507611700679682</v>
      </c>
      <c r="AJ122">
        <f t="shared" si="86"/>
        <v>0.60431596685333488</v>
      </c>
      <c r="AK122">
        <f t="shared" si="87"/>
        <v>1.3322871628348081</v>
      </c>
      <c r="AL122" s="9">
        <f t="shared" si="107"/>
        <v>20.298196464342311</v>
      </c>
      <c r="AM122" t="e">
        <f t="shared" si="88"/>
        <v>#N/A</v>
      </c>
      <c r="AN122" t="e">
        <f t="shared" si="108"/>
        <v>#N/A</v>
      </c>
      <c r="AO122">
        <f t="shared" si="89"/>
        <v>0</v>
      </c>
      <c r="AP122">
        <f t="shared" si="90"/>
        <v>0</v>
      </c>
      <c r="AQ122">
        <f t="shared" si="91"/>
        <v>5.440092820663267E-15</v>
      </c>
      <c r="AR122">
        <f t="shared" si="109"/>
        <v>0</v>
      </c>
      <c r="AS122">
        <f t="shared" si="92"/>
        <v>0</v>
      </c>
      <c r="AT122">
        <f t="shared" si="110"/>
        <v>0</v>
      </c>
      <c r="AU122">
        <f t="shared" si="111"/>
        <v>0</v>
      </c>
      <c r="AV122">
        <f t="shared" si="93"/>
        <v>2.8745572780346601E-20</v>
      </c>
      <c r="AW122" t="b">
        <f t="shared" si="112"/>
        <v>1</v>
      </c>
      <c r="AX122">
        <f t="shared" si="94"/>
        <v>7.8539816339744828</v>
      </c>
      <c r="AY122">
        <f t="shared" si="95"/>
        <v>10.507611700679668</v>
      </c>
      <c r="AZ122">
        <f t="shared" si="96"/>
        <v>0.60431596685332944</v>
      </c>
      <c r="BA122">
        <f t="shared" si="97"/>
        <v>1.332287162834807</v>
      </c>
      <c r="BB122">
        <f t="shared" si="98"/>
        <v>-1.2337005501361696E-20</v>
      </c>
      <c r="BD122" s="15">
        <f t="shared" si="113"/>
        <v>20.298196464342286</v>
      </c>
      <c r="BE122" s="10">
        <f t="shared" si="114"/>
        <v>0</v>
      </c>
      <c r="BF122">
        <f t="shared" si="115"/>
        <v>0</v>
      </c>
      <c r="BG122">
        <f t="shared" si="116"/>
        <v>0</v>
      </c>
      <c r="BH122">
        <f t="shared" si="117"/>
        <v>0</v>
      </c>
      <c r="BI122">
        <f t="shared" si="118"/>
        <v>0</v>
      </c>
    </row>
    <row r="123" spans="1:61" x14ac:dyDescent="0.3">
      <c r="A123">
        <f t="shared" si="123"/>
        <v>8.5999999999999993E-2</v>
      </c>
      <c r="B123">
        <f t="shared" si="66"/>
        <v>0.27017696820872217</v>
      </c>
      <c r="C123">
        <f t="shared" si="67"/>
        <v>2.8714156853810708</v>
      </c>
      <c r="D123">
        <f t="shared" si="68"/>
        <v>2.8714156853810708</v>
      </c>
      <c r="E123">
        <f t="shared" si="73"/>
        <v>0.26690198932037551</v>
      </c>
      <c r="F123">
        <f t="shared" si="74"/>
        <v>0.26690198932037573</v>
      </c>
      <c r="G123">
        <f t="shared" si="69"/>
        <v>0.27017696820872217</v>
      </c>
      <c r="H123">
        <f t="shared" si="70"/>
        <v>0.26690198932037551</v>
      </c>
      <c r="I123">
        <f t="shared" si="71"/>
        <v>0.26690198932037573</v>
      </c>
      <c r="J123">
        <f t="shared" si="119"/>
        <v>2.3852192858833119E+20</v>
      </c>
      <c r="K123">
        <f t="shared" si="120"/>
        <v>2.3852192858833119E+20</v>
      </c>
      <c r="L123">
        <f t="shared" si="75"/>
        <v>1</v>
      </c>
      <c r="M123">
        <f t="shared" si="72"/>
        <v>2.8714156853810707E-20</v>
      </c>
      <c r="N123" s="9">
        <f t="shared" si="121"/>
        <v>2.8714156853810707E-20</v>
      </c>
      <c r="O123">
        <f t="shared" si="122"/>
        <v>2.8714156853810707E-20</v>
      </c>
      <c r="Q123">
        <f t="shared" si="76"/>
        <v>46.92099292376124</v>
      </c>
      <c r="R123">
        <f t="shared" si="77"/>
        <v>0</v>
      </c>
      <c r="S123">
        <f t="shared" si="99"/>
        <v>-44.996896681559498</v>
      </c>
      <c r="T123" s="9" t="e">
        <f t="shared" si="78"/>
        <v>#N/A</v>
      </c>
      <c r="U123">
        <f t="shared" si="100"/>
        <v>-1.0000000000000001E+300</v>
      </c>
      <c r="V123">
        <f t="shared" si="101"/>
        <v>0</v>
      </c>
      <c r="W123">
        <f t="shared" si="102"/>
        <v>0</v>
      </c>
      <c r="X123">
        <f t="shared" si="79"/>
        <v>2.8714156853810708</v>
      </c>
      <c r="Y123">
        <f t="shared" si="80"/>
        <v>7.8539816339744828</v>
      </c>
      <c r="Z123">
        <f t="shared" si="81"/>
        <v>-2.8714156853810708</v>
      </c>
      <c r="AA123">
        <f t="shared" si="103"/>
        <v>10.368042940636931</v>
      </c>
      <c r="AB123">
        <f t="shared" si="82"/>
        <v>18.222024574611414</v>
      </c>
      <c r="AC123">
        <f t="shared" si="104"/>
        <v>0.6032224730319582</v>
      </c>
      <c r="AD123">
        <f t="shared" si="83"/>
        <v>1.3208737691697781</v>
      </c>
      <c r="AE123" s="9">
        <f t="shared" si="105"/>
        <v>20.146120816813152</v>
      </c>
      <c r="AF123">
        <f t="shared" si="106"/>
        <v>0</v>
      </c>
      <c r="AH123">
        <f t="shared" si="84"/>
        <v>7.8539816339744828</v>
      </c>
      <c r="AI123">
        <f t="shared" si="85"/>
        <v>10.368042940636936</v>
      </c>
      <c r="AJ123">
        <f t="shared" si="86"/>
        <v>0.60322247303196264</v>
      </c>
      <c r="AK123">
        <f t="shared" si="87"/>
        <v>1.3208737691697781</v>
      </c>
      <c r="AL123" s="9">
        <f t="shared" si="107"/>
        <v>20.146120816813159</v>
      </c>
      <c r="AM123" t="e">
        <f t="shared" si="88"/>
        <v>#N/A</v>
      </c>
      <c r="AN123" t="e">
        <f t="shared" si="108"/>
        <v>#N/A</v>
      </c>
      <c r="AO123">
        <f t="shared" si="89"/>
        <v>0</v>
      </c>
      <c r="AP123">
        <f t="shared" si="90"/>
        <v>0</v>
      </c>
      <c r="AQ123">
        <f t="shared" si="91"/>
        <v>4.4408920985006262E-15</v>
      </c>
      <c r="AR123">
        <f t="shared" si="109"/>
        <v>0</v>
      </c>
      <c r="AS123">
        <f t="shared" si="92"/>
        <v>0</v>
      </c>
      <c r="AT123">
        <f t="shared" si="110"/>
        <v>0</v>
      </c>
      <c r="AU123">
        <f t="shared" si="111"/>
        <v>0</v>
      </c>
      <c r="AV123">
        <f t="shared" si="93"/>
        <v>2.8714156853810707E-20</v>
      </c>
      <c r="AW123" t="b">
        <f t="shared" si="112"/>
        <v>1</v>
      </c>
      <c r="AX123">
        <f t="shared" si="94"/>
        <v>7.8539816339744828</v>
      </c>
      <c r="AY123">
        <f t="shared" si="95"/>
        <v>10.368042940636929</v>
      </c>
      <c r="AZ123">
        <f t="shared" si="96"/>
        <v>0.60322247303195831</v>
      </c>
      <c r="BA123">
        <f t="shared" si="97"/>
        <v>1.3208737691697772</v>
      </c>
      <c r="BB123">
        <f t="shared" si="98"/>
        <v>-1.2337005501361696E-20</v>
      </c>
      <c r="BD123" s="15">
        <f t="shared" si="113"/>
        <v>20.146120816813145</v>
      </c>
      <c r="BE123" s="10">
        <f t="shared" si="114"/>
        <v>0</v>
      </c>
      <c r="BF123">
        <f t="shared" si="115"/>
        <v>0</v>
      </c>
      <c r="BG123">
        <f t="shared" si="116"/>
        <v>0</v>
      </c>
      <c r="BH123">
        <f t="shared" si="117"/>
        <v>0</v>
      </c>
      <c r="BI123">
        <f t="shared" si="118"/>
        <v>0</v>
      </c>
    </row>
    <row r="124" spans="1:61" x14ac:dyDescent="0.3">
      <c r="A124">
        <f t="shared" si="123"/>
        <v>8.6999999999999994E-2</v>
      </c>
      <c r="B124">
        <f t="shared" si="66"/>
        <v>0.27331856086231199</v>
      </c>
      <c r="C124">
        <f t="shared" si="67"/>
        <v>2.8682740927274812</v>
      </c>
      <c r="D124">
        <f t="shared" si="68"/>
        <v>2.8682740927274812</v>
      </c>
      <c r="E124">
        <f t="shared" si="73"/>
        <v>0.26992829446049632</v>
      </c>
      <c r="F124">
        <f t="shared" si="74"/>
        <v>0.26992829446049632</v>
      </c>
      <c r="G124">
        <f t="shared" si="69"/>
        <v>0.27331856086231199</v>
      </c>
      <c r="H124">
        <f t="shared" si="70"/>
        <v>0.26992829446049632</v>
      </c>
      <c r="I124">
        <f t="shared" si="71"/>
        <v>0.26992829446049632</v>
      </c>
      <c r="J124">
        <f t="shared" si="119"/>
        <v>2.3584773639235882E+20</v>
      </c>
      <c r="K124">
        <f t="shared" si="120"/>
        <v>2.3584773639235882E+20</v>
      </c>
      <c r="L124">
        <f t="shared" si="75"/>
        <v>1</v>
      </c>
      <c r="M124">
        <f t="shared" si="72"/>
        <v>2.8682740927274808E-20</v>
      </c>
      <c r="N124" s="9">
        <f t="shared" si="121"/>
        <v>2.8682740927274808E-20</v>
      </c>
      <c r="O124">
        <f t="shared" si="122"/>
        <v>2.8682740927274808E-20</v>
      </c>
      <c r="Q124">
        <f t="shared" si="76"/>
        <v>46.909718085919025</v>
      </c>
      <c r="R124">
        <f t="shared" si="77"/>
        <v>-710542.73576010019</v>
      </c>
      <c r="S124">
        <f t="shared" si="99"/>
        <v>-44.997991372418682</v>
      </c>
      <c r="T124" s="9" t="e">
        <f t="shared" si="78"/>
        <v>#N/A</v>
      </c>
      <c r="U124">
        <f t="shared" si="100"/>
        <v>-1.0000000000000001E+300</v>
      </c>
      <c r="V124">
        <f t="shared" si="101"/>
        <v>0</v>
      </c>
      <c r="W124">
        <f t="shared" si="102"/>
        <v>0</v>
      </c>
      <c r="X124">
        <f t="shared" si="79"/>
        <v>2.8682740927274812</v>
      </c>
      <c r="Y124">
        <f t="shared" si="80"/>
        <v>7.8539816339744828</v>
      </c>
      <c r="Z124">
        <f t="shared" si="81"/>
        <v>-2.8682740927274812</v>
      </c>
      <c r="AA124">
        <f t="shared" si="103"/>
        <v>10.23162461502001</v>
      </c>
      <c r="AB124">
        <f t="shared" si="82"/>
        <v>18.085606248994495</v>
      </c>
      <c r="AC124">
        <f t="shared" si="104"/>
        <v>0.60212778217277674</v>
      </c>
      <c r="AD124">
        <f t="shared" si="83"/>
        <v>1.3095989313275682</v>
      </c>
      <c r="AE124" s="9">
        <f t="shared" si="105"/>
        <v>19.997332962494838</v>
      </c>
      <c r="AF124">
        <f t="shared" si="106"/>
        <v>0</v>
      </c>
      <c r="AH124">
        <f t="shared" si="84"/>
        <v>7.8539816339744828</v>
      </c>
      <c r="AI124">
        <f t="shared" si="85"/>
        <v>10.231624615020007</v>
      </c>
      <c r="AJ124">
        <f t="shared" si="86"/>
        <v>0.60212778217277929</v>
      </c>
      <c r="AK124">
        <f t="shared" si="87"/>
        <v>1.3095989313275682</v>
      </c>
      <c r="AL124" s="9">
        <f t="shared" si="107"/>
        <v>19.997332962494834</v>
      </c>
      <c r="AM124" t="e">
        <f t="shared" si="88"/>
        <v>#N/A</v>
      </c>
      <c r="AN124" t="e">
        <f t="shared" si="108"/>
        <v>#N/A</v>
      </c>
      <c r="AO124">
        <f t="shared" si="89"/>
        <v>0</v>
      </c>
      <c r="AP124">
        <f t="shared" si="90"/>
        <v>0</v>
      </c>
      <c r="AQ124">
        <f t="shared" si="91"/>
        <v>2.55351295663786E-15</v>
      </c>
      <c r="AR124">
        <f t="shared" si="109"/>
        <v>0</v>
      </c>
      <c r="AS124">
        <f t="shared" si="92"/>
        <v>0</v>
      </c>
      <c r="AT124">
        <f t="shared" si="110"/>
        <v>0</v>
      </c>
      <c r="AU124">
        <f t="shared" si="111"/>
        <v>0</v>
      </c>
      <c r="AV124">
        <f t="shared" si="93"/>
        <v>2.8682740927274814E-20</v>
      </c>
      <c r="AW124" t="b">
        <f t="shared" si="112"/>
        <v>1</v>
      </c>
      <c r="AX124">
        <f t="shared" si="94"/>
        <v>7.8539816339744828</v>
      </c>
      <c r="AY124">
        <f t="shared" si="95"/>
        <v>10.231624615020008</v>
      </c>
      <c r="AZ124">
        <f t="shared" si="96"/>
        <v>0.60212778217277685</v>
      </c>
      <c r="BA124">
        <f t="shared" si="97"/>
        <v>1.3095989313275682</v>
      </c>
      <c r="BB124">
        <f t="shared" si="98"/>
        <v>-1.2337005501361696E-20</v>
      </c>
      <c r="BD124" s="15">
        <f t="shared" si="113"/>
        <v>19.997332962494834</v>
      </c>
      <c r="BE124" s="10">
        <f t="shared" si="114"/>
        <v>0</v>
      </c>
      <c r="BF124">
        <f t="shared" si="115"/>
        <v>0</v>
      </c>
      <c r="BG124">
        <f t="shared" si="116"/>
        <v>0</v>
      </c>
      <c r="BH124">
        <f t="shared" si="117"/>
        <v>0</v>
      </c>
      <c r="BI124">
        <f t="shared" si="118"/>
        <v>0</v>
      </c>
    </row>
    <row r="125" spans="1:61" x14ac:dyDescent="0.3">
      <c r="A125">
        <f t="shared" si="123"/>
        <v>8.7999999999999995E-2</v>
      </c>
      <c r="B125">
        <f t="shared" si="66"/>
        <v>0.27646015351590175</v>
      </c>
      <c r="C125">
        <f t="shared" si="67"/>
        <v>2.8651325000738912</v>
      </c>
      <c r="D125">
        <f t="shared" si="68"/>
        <v>2.8651325000738912</v>
      </c>
      <c r="E125">
        <f t="shared" si="73"/>
        <v>0.27295193551732516</v>
      </c>
      <c r="F125">
        <f t="shared" si="74"/>
        <v>0.27295193551732544</v>
      </c>
      <c r="G125">
        <f t="shared" si="69"/>
        <v>0.27646015351590175</v>
      </c>
      <c r="H125">
        <f t="shared" si="70"/>
        <v>0.27295193551732516</v>
      </c>
      <c r="I125">
        <f t="shared" si="71"/>
        <v>0.27295193551732544</v>
      </c>
      <c r="J125">
        <f t="shared" si="119"/>
        <v>2.332351192751198E+20</v>
      </c>
      <c r="K125">
        <f t="shared" si="120"/>
        <v>2.332351192751198E+20</v>
      </c>
      <c r="L125">
        <f t="shared" si="75"/>
        <v>1</v>
      </c>
      <c r="M125">
        <f t="shared" si="72"/>
        <v>2.8651325000738914E-20</v>
      </c>
      <c r="N125" s="9">
        <f t="shared" si="121"/>
        <v>2.8651325000738914E-20</v>
      </c>
      <c r="O125">
        <f t="shared" si="122"/>
        <v>2.8651325000738914E-20</v>
      </c>
      <c r="Q125">
        <f t="shared" si="76"/>
        <v>46.898578714265184</v>
      </c>
      <c r="R125">
        <f t="shared" si="77"/>
        <v>0</v>
      </c>
      <c r="S125">
        <f t="shared" si="99"/>
        <v>-44.999087262939319</v>
      </c>
      <c r="T125" s="9" t="e">
        <f t="shared" si="78"/>
        <v>#N/A</v>
      </c>
      <c r="U125">
        <f t="shared" si="100"/>
        <v>-1.0000000000000001E+300</v>
      </c>
      <c r="V125">
        <f t="shared" si="101"/>
        <v>0</v>
      </c>
      <c r="W125">
        <f t="shared" si="102"/>
        <v>0</v>
      </c>
      <c r="X125">
        <f t="shared" si="79"/>
        <v>2.8651325000738912</v>
      </c>
      <c r="Y125">
        <f t="shared" si="80"/>
        <v>7.8539816339744828</v>
      </c>
      <c r="Z125">
        <f t="shared" si="81"/>
        <v>-2.8651325000738912</v>
      </c>
      <c r="AA125">
        <f t="shared" si="103"/>
        <v>10.098249505384988</v>
      </c>
      <c r="AB125">
        <f t="shared" si="82"/>
        <v>17.952231139359469</v>
      </c>
      <c r="AC125">
        <f t="shared" si="104"/>
        <v>0.60103189165213955</v>
      </c>
      <c r="AD125">
        <f t="shared" si="83"/>
        <v>1.298459559673723</v>
      </c>
      <c r="AE125" s="9">
        <f t="shared" si="105"/>
        <v>19.851722590685334</v>
      </c>
      <c r="AF125">
        <f t="shared" si="106"/>
        <v>0</v>
      </c>
      <c r="AH125">
        <f t="shared" si="84"/>
        <v>7.8539816339744828</v>
      </c>
      <c r="AI125">
        <f t="shared" si="85"/>
        <v>10.098249505384999</v>
      </c>
      <c r="AJ125">
        <f t="shared" si="86"/>
        <v>0.60103189165214133</v>
      </c>
      <c r="AK125">
        <f t="shared" si="87"/>
        <v>1.298459559673723</v>
      </c>
      <c r="AL125" s="9">
        <f t="shared" si="107"/>
        <v>19.851722590685348</v>
      </c>
      <c r="AM125" t="e">
        <f t="shared" si="88"/>
        <v>#N/A</v>
      </c>
      <c r="AN125" t="e">
        <f t="shared" si="108"/>
        <v>#N/A</v>
      </c>
      <c r="AO125">
        <f t="shared" si="89"/>
        <v>0</v>
      </c>
      <c r="AP125">
        <f t="shared" si="90"/>
        <v>0</v>
      </c>
      <c r="AQ125">
        <f t="shared" si="91"/>
        <v>1.7763568394002505E-15</v>
      </c>
      <c r="AR125">
        <f t="shared" si="109"/>
        <v>0</v>
      </c>
      <c r="AS125">
        <f t="shared" si="92"/>
        <v>0</v>
      </c>
      <c r="AT125">
        <f t="shared" si="110"/>
        <v>0</v>
      </c>
      <c r="AU125">
        <f t="shared" si="111"/>
        <v>0</v>
      </c>
      <c r="AV125">
        <f t="shared" si="93"/>
        <v>2.8651325000738908E-20</v>
      </c>
      <c r="AW125" t="b">
        <f t="shared" si="112"/>
        <v>1</v>
      </c>
      <c r="AX125">
        <f t="shared" si="94"/>
        <v>7.8539816339744828</v>
      </c>
      <c r="AY125">
        <f t="shared" si="95"/>
        <v>10.098249505384983</v>
      </c>
      <c r="AZ125">
        <f t="shared" si="96"/>
        <v>0.60103189165213955</v>
      </c>
      <c r="BA125">
        <f t="shared" si="97"/>
        <v>1.2984595596737221</v>
      </c>
      <c r="BB125">
        <f t="shared" si="98"/>
        <v>-1.2337005501361696E-20</v>
      </c>
      <c r="BD125" s="15">
        <f t="shared" si="113"/>
        <v>19.851722590685327</v>
      </c>
      <c r="BE125" s="10">
        <f t="shared" si="114"/>
        <v>0</v>
      </c>
      <c r="BF125">
        <f t="shared" si="115"/>
        <v>0</v>
      </c>
      <c r="BG125">
        <f t="shared" si="116"/>
        <v>0</v>
      </c>
      <c r="BH125">
        <f t="shared" si="117"/>
        <v>0</v>
      </c>
      <c r="BI125">
        <f t="shared" si="118"/>
        <v>0</v>
      </c>
    </row>
    <row r="126" spans="1:61" x14ac:dyDescent="0.3">
      <c r="A126">
        <f t="shared" si="123"/>
        <v>8.8999999999999996E-2</v>
      </c>
      <c r="B126">
        <f t="shared" si="66"/>
        <v>0.27960174616949157</v>
      </c>
      <c r="C126">
        <f t="shared" si="67"/>
        <v>2.8619909074203016</v>
      </c>
      <c r="D126">
        <f t="shared" si="68"/>
        <v>2.8619909074203016</v>
      </c>
      <c r="E126">
        <f t="shared" si="73"/>
        <v>0.2759728826487457</v>
      </c>
      <c r="F126">
        <f t="shared" si="74"/>
        <v>0.27597288264874575</v>
      </c>
      <c r="G126">
        <f t="shared" si="69"/>
        <v>0.27960174616949157</v>
      </c>
      <c r="H126">
        <f t="shared" si="70"/>
        <v>0.2759728826487457</v>
      </c>
      <c r="I126">
        <f t="shared" si="71"/>
        <v>0.27597288264874575</v>
      </c>
      <c r="J126">
        <f t="shared" si="119"/>
        <v>2.3068200261467786E+20</v>
      </c>
      <c r="K126">
        <f t="shared" si="120"/>
        <v>2.3068200261467786E+20</v>
      </c>
      <c r="L126">
        <f t="shared" si="75"/>
        <v>1</v>
      </c>
      <c r="M126">
        <f t="shared" si="72"/>
        <v>2.8619909074203014E-20</v>
      </c>
      <c r="N126" s="9">
        <f t="shared" si="121"/>
        <v>2.8619909074203014E-20</v>
      </c>
      <c r="O126">
        <f t="shared" si="122"/>
        <v>2.8619909074203014E-20</v>
      </c>
      <c r="Q126">
        <f t="shared" si="76"/>
        <v>46.88757182395608</v>
      </c>
      <c r="R126">
        <f t="shared" si="77"/>
        <v>0</v>
      </c>
      <c r="S126">
        <f t="shared" si="99"/>
        <v>-45.000184355753696</v>
      </c>
      <c r="T126" s="9" t="e">
        <f t="shared" si="78"/>
        <v>#N/A</v>
      </c>
      <c r="U126">
        <f t="shared" si="100"/>
        <v>-1.0000000000000001E+300</v>
      </c>
      <c r="V126">
        <f t="shared" si="101"/>
        <v>0</v>
      </c>
      <c r="W126">
        <f t="shared" si="102"/>
        <v>0</v>
      </c>
      <c r="X126">
        <f t="shared" si="79"/>
        <v>2.8619909074203016</v>
      </c>
      <c r="Y126">
        <f t="shared" si="80"/>
        <v>7.8539816339744828</v>
      </c>
      <c r="Z126">
        <f t="shared" si="81"/>
        <v>-2.8619909074203016</v>
      </c>
      <c r="AA126">
        <f t="shared" si="103"/>
        <v>9.9678152117131411</v>
      </c>
      <c r="AB126">
        <f t="shared" si="82"/>
        <v>17.821796845687622</v>
      </c>
      <c r="AC126">
        <f t="shared" si="104"/>
        <v>0.59993479883776657</v>
      </c>
      <c r="AD126">
        <f t="shared" si="83"/>
        <v>1.28745266936462</v>
      </c>
      <c r="AE126" s="9">
        <f t="shared" si="105"/>
        <v>19.709184313890006</v>
      </c>
      <c r="AF126">
        <f t="shared" si="106"/>
        <v>0</v>
      </c>
      <c r="AH126">
        <f t="shared" si="84"/>
        <v>7.8539816339744828</v>
      </c>
      <c r="AI126">
        <f t="shared" si="85"/>
        <v>9.9678152117131429</v>
      </c>
      <c r="AJ126">
        <f t="shared" si="86"/>
        <v>0.59993479883776502</v>
      </c>
      <c r="AK126">
        <f t="shared" si="87"/>
        <v>1.28745266936462</v>
      </c>
      <c r="AL126" s="9">
        <f t="shared" si="107"/>
        <v>19.70918431389001</v>
      </c>
      <c r="AM126" t="e">
        <f t="shared" si="88"/>
        <v>#N/A</v>
      </c>
      <c r="AN126" t="e">
        <f t="shared" si="108"/>
        <v>#N/A</v>
      </c>
      <c r="AO126">
        <f t="shared" si="89"/>
        <v>0</v>
      </c>
      <c r="AP126">
        <f t="shared" si="90"/>
        <v>0</v>
      </c>
      <c r="AQ126">
        <f t="shared" si="91"/>
        <v>-1.5543122344752192E-15</v>
      </c>
      <c r="AR126">
        <f t="shared" si="109"/>
        <v>0</v>
      </c>
      <c r="AS126">
        <f t="shared" si="92"/>
        <v>0</v>
      </c>
      <c r="AT126">
        <f t="shared" si="110"/>
        <v>0</v>
      </c>
      <c r="AU126">
        <f t="shared" si="111"/>
        <v>0</v>
      </c>
      <c r="AV126">
        <f t="shared" si="93"/>
        <v>2.8619909074203014E-20</v>
      </c>
      <c r="AW126" t="b">
        <f t="shared" si="112"/>
        <v>1</v>
      </c>
      <c r="AX126">
        <f t="shared" si="94"/>
        <v>7.8539816339744828</v>
      </c>
      <c r="AY126">
        <f t="shared" si="95"/>
        <v>9.9678152117131376</v>
      </c>
      <c r="AZ126">
        <f t="shared" si="96"/>
        <v>0.59993479883776657</v>
      </c>
      <c r="BA126">
        <f t="shared" si="97"/>
        <v>1.2874526693646198</v>
      </c>
      <c r="BB126">
        <f t="shared" si="98"/>
        <v>-1.2337005501361696E-20</v>
      </c>
      <c r="BD126" s="15">
        <f t="shared" si="113"/>
        <v>19.709184313890006</v>
      </c>
      <c r="BE126" s="10">
        <f t="shared" si="114"/>
        <v>0</v>
      </c>
      <c r="BF126">
        <f t="shared" si="115"/>
        <v>0</v>
      </c>
      <c r="BG126">
        <f t="shared" si="116"/>
        <v>0</v>
      </c>
      <c r="BH126">
        <f t="shared" si="117"/>
        <v>0</v>
      </c>
      <c r="BI126">
        <f t="shared" si="118"/>
        <v>0</v>
      </c>
    </row>
    <row r="127" spans="1:61" x14ac:dyDescent="0.3">
      <c r="A127">
        <f t="shared" si="123"/>
        <v>0.09</v>
      </c>
      <c r="B127">
        <f t="shared" si="66"/>
        <v>0.28274333882308139</v>
      </c>
      <c r="C127">
        <f t="shared" si="67"/>
        <v>2.8588493147667116</v>
      </c>
      <c r="D127">
        <f t="shared" si="68"/>
        <v>2.8588493147667116</v>
      </c>
      <c r="E127">
        <f t="shared" si="73"/>
        <v>0.27899110603922928</v>
      </c>
      <c r="F127">
        <f t="shared" si="74"/>
        <v>0.27899110603922955</v>
      </c>
      <c r="G127">
        <f t="shared" si="69"/>
        <v>0.28274333882308139</v>
      </c>
      <c r="H127">
        <f t="shared" si="70"/>
        <v>0.27899110603922928</v>
      </c>
      <c r="I127">
        <f t="shared" si="71"/>
        <v>0.27899110603922955</v>
      </c>
      <c r="J127">
        <f t="shared" si="119"/>
        <v>2.2818640400603506E+20</v>
      </c>
      <c r="K127">
        <f t="shared" si="120"/>
        <v>2.2818640400603506E+20</v>
      </c>
      <c r="L127">
        <f t="shared" si="75"/>
        <v>1</v>
      </c>
      <c r="M127">
        <f t="shared" si="72"/>
        <v>2.8588493147667115E-20</v>
      </c>
      <c r="N127" s="9">
        <f t="shared" si="121"/>
        <v>2.8588493147667115E-20</v>
      </c>
      <c r="O127">
        <f t="shared" si="122"/>
        <v>2.8588493147667115E-20</v>
      </c>
      <c r="Q127">
        <f t="shared" si="76"/>
        <v>46.876694530255939</v>
      </c>
      <c r="R127">
        <f t="shared" si="77"/>
        <v>0</v>
      </c>
      <c r="S127">
        <f t="shared" si="99"/>
        <v>-45.001282653502756</v>
      </c>
      <c r="T127" s="9" t="e">
        <f t="shared" si="78"/>
        <v>#N/A</v>
      </c>
      <c r="U127">
        <f t="shared" si="100"/>
        <v>-1.0000000000000001E+300</v>
      </c>
      <c r="V127">
        <f t="shared" si="101"/>
        <v>0</v>
      </c>
      <c r="W127">
        <f t="shared" si="102"/>
        <v>0</v>
      </c>
      <c r="X127">
        <f t="shared" si="79"/>
        <v>2.8588493147667116</v>
      </c>
      <c r="Y127">
        <f t="shared" si="80"/>
        <v>7.8539816339744828</v>
      </c>
      <c r="Z127">
        <f t="shared" si="81"/>
        <v>-2.8588493147667116</v>
      </c>
      <c r="AA127">
        <f t="shared" si="103"/>
        <v>9.840223884722338</v>
      </c>
      <c r="AB127">
        <f t="shared" si="82"/>
        <v>17.694205518696819</v>
      </c>
      <c r="AC127">
        <f t="shared" si="104"/>
        <v>0.5988365010887039</v>
      </c>
      <c r="AD127">
        <f t="shared" si="83"/>
        <v>1.2765753756644795</v>
      </c>
      <c r="AE127" s="9">
        <f t="shared" si="105"/>
        <v>19.569617395450003</v>
      </c>
      <c r="AF127">
        <f t="shared" si="106"/>
        <v>0</v>
      </c>
      <c r="AH127">
        <f t="shared" si="84"/>
        <v>7.8539816339744828</v>
      </c>
      <c r="AI127">
        <f t="shared" si="85"/>
        <v>9.8402238847223451</v>
      </c>
      <c r="AJ127">
        <f t="shared" si="86"/>
        <v>0.59883650108870512</v>
      </c>
      <c r="AK127">
        <f t="shared" si="87"/>
        <v>1.2765753756644795</v>
      </c>
      <c r="AL127" s="9">
        <f t="shared" si="107"/>
        <v>19.56961739545001</v>
      </c>
      <c r="AM127" t="e">
        <f t="shared" si="88"/>
        <v>#N/A</v>
      </c>
      <c r="AN127" t="e">
        <f t="shared" si="108"/>
        <v>#N/A</v>
      </c>
      <c r="AO127">
        <f t="shared" si="89"/>
        <v>0</v>
      </c>
      <c r="AP127">
        <f t="shared" si="90"/>
        <v>0</v>
      </c>
      <c r="AQ127">
        <f t="shared" si="91"/>
        <v>1.2212453270876722E-15</v>
      </c>
      <c r="AR127">
        <f t="shared" si="109"/>
        <v>0</v>
      </c>
      <c r="AS127">
        <f t="shared" si="92"/>
        <v>0</v>
      </c>
      <c r="AT127">
        <f t="shared" si="110"/>
        <v>0</v>
      </c>
      <c r="AU127">
        <f t="shared" si="111"/>
        <v>0</v>
      </c>
      <c r="AV127">
        <f t="shared" si="93"/>
        <v>2.8588493147667115E-20</v>
      </c>
      <c r="AW127" t="b">
        <f t="shared" si="112"/>
        <v>1</v>
      </c>
      <c r="AX127">
        <f t="shared" si="94"/>
        <v>7.8539816339744828</v>
      </c>
      <c r="AY127">
        <f t="shared" si="95"/>
        <v>9.8402238847223362</v>
      </c>
      <c r="AZ127">
        <f t="shared" si="96"/>
        <v>0.59883650108870401</v>
      </c>
      <c r="BA127">
        <f t="shared" si="97"/>
        <v>1.2765753756644784</v>
      </c>
      <c r="BB127">
        <f t="shared" si="98"/>
        <v>-1.2337005501361696E-20</v>
      </c>
      <c r="BD127" s="15">
        <f t="shared" si="113"/>
        <v>19.569617395450003</v>
      </c>
      <c r="BE127" s="10">
        <f t="shared" si="114"/>
        <v>0</v>
      </c>
      <c r="BF127">
        <f t="shared" si="115"/>
        <v>0</v>
      </c>
      <c r="BG127">
        <f t="shared" si="116"/>
        <v>0</v>
      </c>
      <c r="BH127">
        <f t="shared" si="117"/>
        <v>0</v>
      </c>
      <c r="BI127">
        <f t="shared" si="118"/>
        <v>0</v>
      </c>
    </row>
    <row r="128" spans="1:61" x14ac:dyDescent="0.3">
      <c r="A128">
        <f t="shared" si="123"/>
        <v>9.0999999999999998E-2</v>
      </c>
      <c r="B128">
        <f t="shared" si="66"/>
        <v>0.28588493147667116</v>
      </c>
      <c r="C128">
        <f t="shared" si="67"/>
        <v>2.855707722113122</v>
      </c>
      <c r="D128">
        <f t="shared" si="68"/>
        <v>2.855707722113122</v>
      </c>
      <c r="E128">
        <f t="shared" si="73"/>
        <v>0.2820065759001294</v>
      </c>
      <c r="F128">
        <f t="shared" si="74"/>
        <v>0.28200657590012951</v>
      </c>
      <c r="G128">
        <f t="shared" si="69"/>
        <v>0.28588493147667116</v>
      </c>
      <c r="H128">
        <f t="shared" si="70"/>
        <v>0.2820065759001294</v>
      </c>
      <c r="I128">
        <f t="shared" si="71"/>
        <v>0.28200657590012951</v>
      </c>
      <c r="J128">
        <f t="shared" si="119"/>
        <v>2.2574642819429705E+20</v>
      </c>
      <c r="K128">
        <f t="shared" si="120"/>
        <v>2.2574642819429705E+20</v>
      </c>
      <c r="L128">
        <f t="shared" si="75"/>
        <v>1</v>
      </c>
      <c r="M128">
        <f t="shared" si="72"/>
        <v>2.8557077221131221E-20</v>
      </c>
      <c r="N128" s="9">
        <f t="shared" si="121"/>
        <v>2.8557077221131221E-20</v>
      </c>
      <c r="O128">
        <f t="shared" si="122"/>
        <v>2.8557077221131221E-20</v>
      </c>
      <c r="Q128">
        <f t="shared" si="76"/>
        <v>46.865944044112574</v>
      </c>
      <c r="R128">
        <f t="shared" si="77"/>
        <v>-710542.73576010019</v>
      </c>
      <c r="S128">
        <f t="shared" si="99"/>
        <v>-45.00238215883617</v>
      </c>
      <c r="T128" s="9" t="e">
        <f t="shared" si="78"/>
        <v>#N/A</v>
      </c>
      <c r="U128">
        <f t="shared" si="100"/>
        <v>-1.0000000000000001E+300</v>
      </c>
      <c r="V128">
        <f t="shared" si="101"/>
        <v>0</v>
      </c>
      <c r="W128">
        <f t="shared" si="102"/>
        <v>0</v>
      </c>
      <c r="X128">
        <f t="shared" si="79"/>
        <v>2.855707722113122</v>
      </c>
      <c r="Y128">
        <f t="shared" si="80"/>
        <v>7.8539816339744828</v>
      </c>
      <c r="Z128">
        <f t="shared" si="81"/>
        <v>-2.855707722113122</v>
      </c>
      <c r="AA128">
        <f t="shared" si="103"/>
        <v>9.7153819758284961</v>
      </c>
      <c r="AB128">
        <f t="shared" si="82"/>
        <v>17.569363609802977</v>
      </c>
      <c r="AC128">
        <f t="shared" si="104"/>
        <v>0.59773699575528716</v>
      </c>
      <c r="AD128">
        <f t="shared" si="83"/>
        <v>1.2658248895211173</v>
      </c>
      <c r="AE128" s="9">
        <f t="shared" si="105"/>
        <v>19.432925495079381</v>
      </c>
      <c r="AF128">
        <f t="shared" si="106"/>
        <v>0</v>
      </c>
      <c r="AH128">
        <f t="shared" si="84"/>
        <v>7.8539816339744828</v>
      </c>
      <c r="AI128">
        <f t="shared" si="85"/>
        <v>9.7153819758284978</v>
      </c>
      <c r="AJ128">
        <f t="shared" si="86"/>
        <v>0.59773699575529093</v>
      </c>
      <c r="AK128">
        <f t="shared" si="87"/>
        <v>1.2658248895211173</v>
      </c>
      <c r="AL128" s="9">
        <f t="shared" si="107"/>
        <v>19.432925495079388</v>
      </c>
      <c r="AM128" t="e">
        <f t="shared" si="88"/>
        <v>#N/A</v>
      </c>
      <c r="AN128" t="e">
        <f t="shared" si="108"/>
        <v>#N/A</v>
      </c>
      <c r="AO128">
        <f t="shared" si="89"/>
        <v>0</v>
      </c>
      <c r="AP128">
        <f t="shared" si="90"/>
        <v>0</v>
      </c>
      <c r="AQ128">
        <f t="shared" si="91"/>
        <v>3.7747582837255322E-15</v>
      </c>
      <c r="AR128">
        <f t="shared" si="109"/>
        <v>0</v>
      </c>
      <c r="AS128">
        <f t="shared" si="92"/>
        <v>0</v>
      </c>
      <c r="AT128">
        <f t="shared" si="110"/>
        <v>0</v>
      </c>
      <c r="AU128">
        <f t="shared" si="111"/>
        <v>0</v>
      </c>
      <c r="AV128">
        <f t="shared" si="93"/>
        <v>2.8557077221131215E-20</v>
      </c>
      <c r="AW128" t="b">
        <f t="shared" si="112"/>
        <v>1</v>
      </c>
      <c r="AX128">
        <f t="shared" si="94"/>
        <v>7.8539816339744828</v>
      </c>
      <c r="AY128">
        <f t="shared" si="95"/>
        <v>9.7153819758284907</v>
      </c>
      <c r="AZ128">
        <f t="shared" si="96"/>
        <v>0.59773699575528705</v>
      </c>
      <c r="BA128">
        <f t="shared" si="97"/>
        <v>1.2658248895211168</v>
      </c>
      <c r="BB128">
        <f t="shared" si="98"/>
        <v>-1.2337005501361696E-20</v>
      </c>
      <c r="BD128" s="15">
        <f t="shared" si="113"/>
        <v>19.432925495079377</v>
      </c>
      <c r="BE128" s="10">
        <f t="shared" si="114"/>
        <v>0</v>
      </c>
      <c r="BF128">
        <f t="shared" si="115"/>
        <v>0</v>
      </c>
      <c r="BG128">
        <f t="shared" si="116"/>
        <v>0</v>
      </c>
      <c r="BH128">
        <f t="shared" si="117"/>
        <v>0</v>
      </c>
      <c r="BI128">
        <f t="shared" si="118"/>
        <v>0</v>
      </c>
    </row>
    <row r="129" spans="1:61" x14ac:dyDescent="0.3">
      <c r="A129">
        <f t="shared" si="123"/>
        <v>9.1999999999999998E-2</v>
      </c>
      <c r="B129">
        <f t="shared" si="66"/>
        <v>0.28902652413026098</v>
      </c>
      <c r="C129">
        <f t="shared" si="67"/>
        <v>2.8525661294595324</v>
      </c>
      <c r="D129">
        <f t="shared" si="68"/>
        <v>2.8525661294595324</v>
      </c>
      <c r="E129">
        <f t="shared" si="73"/>
        <v>0.28501926246997611</v>
      </c>
      <c r="F129">
        <f t="shared" si="74"/>
        <v>0.28501926246997605</v>
      </c>
      <c r="G129">
        <f t="shared" si="69"/>
        <v>0.28902652413026098</v>
      </c>
      <c r="H129">
        <f t="shared" si="70"/>
        <v>0.28501926246997611</v>
      </c>
      <c r="I129">
        <f t="shared" si="71"/>
        <v>0.28501926246997605</v>
      </c>
      <c r="J129">
        <f t="shared" si="119"/>
        <v>2.2336026233828419E+20</v>
      </c>
      <c r="K129">
        <f t="shared" si="120"/>
        <v>2.2336026233828419E+20</v>
      </c>
      <c r="L129">
        <f t="shared" si="75"/>
        <v>1</v>
      </c>
      <c r="M129">
        <f t="shared" si="72"/>
        <v>2.8525661294595322E-20</v>
      </c>
      <c r="N129" s="9">
        <f t="shared" si="121"/>
        <v>2.8525661294595322E-20</v>
      </c>
      <c r="O129">
        <f t="shared" si="122"/>
        <v>2.8525661294595322E-20</v>
      </c>
      <c r="Q129">
        <f t="shared" si="76"/>
        <v>46.855317667974937</v>
      </c>
      <c r="R129">
        <f t="shared" si="77"/>
        <v>0</v>
      </c>
      <c r="S129">
        <f t="shared" si="99"/>
        <v>-45.003482874412356</v>
      </c>
      <c r="T129" s="9" t="e">
        <f t="shared" si="78"/>
        <v>#N/A</v>
      </c>
      <c r="U129">
        <f t="shared" si="100"/>
        <v>-1.0000000000000001E+300</v>
      </c>
      <c r="V129">
        <f t="shared" si="101"/>
        <v>0</v>
      </c>
      <c r="W129">
        <f t="shared" si="102"/>
        <v>0</v>
      </c>
      <c r="X129">
        <f t="shared" si="79"/>
        <v>2.8525661294595324</v>
      </c>
      <c r="Y129">
        <f t="shared" si="80"/>
        <v>7.8539816339744828</v>
      </c>
      <c r="Z129">
        <f t="shared" si="81"/>
        <v>-2.8525661294595324</v>
      </c>
      <c r="AA129">
        <f t="shared" si="103"/>
        <v>9.5932000034136262</v>
      </c>
      <c r="AB129">
        <f t="shared" si="82"/>
        <v>17.447181637388109</v>
      </c>
      <c r="AC129">
        <f t="shared" si="104"/>
        <v>0.59663628017910153</v>
      </c>
      <c r="AD129">
        <f t="shared" si="83"/>
        <v>1.2551985133834751</v>
      </c>
      <c r="AE129" s="9">
        <f t="shared" si="105"/>
        <v>19.299016430950687</v>
      </c>
      <c r="AF129">
        <f t="shared" si="106"/>
        <v>0</v>
      </c>
      <c r="AH129">
        <f t="shared" si="84"/>
        <v>7.8539816339744828</v>
      </c>
      <c r="AI129">
        <f t="shared" si="85"/>
        <v>9.5932000034136209</v>
      </c>
      <c r="AJ129">
        <f t="shared" si="86"/>
        <v>0.59663628017910497</v>
      </c>
      <c r="AK129">
        <f t="shared" si="87"/>
        <v>1.2551985133834751</v>
      </c>
      <c r="AL129" s="9">
        <f t="shared" si="107"/>
        <v>19.299016430950687</v>
      </c>
      <c r="AM129" t="e">
        <f t="shared" si="88"/>
        <v>#N/A</v>
      </c>
      <c r="AN129" t="e">
        <f t="shared" si="108"/>
        <v>#N/A</v>
      </c>
      <c r="AO129">
        <f t="shared" si="89"/>
        <v>0</v>
      </c>
      <c r="AP129">
        <f t="shared" si="90"/>
        <v>0</v>
      </c>
      <c r="AQ129">
        <f t="shared" si="91"/>
        <v>3.4416913763379853E-15</v>
      </c>
      <c r="AR129">
        <f t="shared" si="109"/>
        <v>0</v>
      </c>
      <c r="AS129">
        <f t="shared" si="92"/>
        <v>0</v>
      </c>
      <c r="AT129">
        <f t="shared" si="110"/>
        <v>0</v>
      </c>
      <c r="AU129">
        <f t="shared" si="111"/>
        <v>0</v>
      </c>
      <c r="AV129">
        <f t="shared" si="93"/>
        <v>2.8525661294595322E-20</v>
      </c>
      <c r="AW129" t="b">
        <f t="shared" si="112"/>
        <v>1</v>
      </c>
      <c r="AX129">
        <f t="shared" si="94"/>
        <v>7.8539816339744828</v>
      </c>
      <c r="AY129">
        <f t="shared" si="95"/>
        <v>9.5932000034136244</v>
      </c>
      <c r="AZ129">
        <f t="shared" si="96"/>
        <v>0.59663628017910175</v>
      </c>
      <c r="BA129">
        <f t="shared" si="97"/>
        <v>1.2551985133834753</v>
      </c>
      <c r="BB129">
        <f t="shared" si="98"/>
        <v>-1.2337005501361696E-20</v>
      </c>
      <c r="BD129" s="15">
        <f t="shared" si="113"/>
        <v>19.299016430950683</v>
      </c>
      <c r="BE129" s="10">
        <f t="shared" si="114"/>
        <v>0</v>
      </c>
      <c r="BF129">
        <f t="shared" si="115"/>
        <v>0</v>
      </c>
      <c r="BG129">
        <f t="shared" si="116"/>
        <v>0</v>
      </c>
      <c r="BH129">
        <f t="shared" si="117"/>
        <v>0</v>
      </c>
      <c r="BI129">
        <f t="shared" si="118"/>
        <v>0</v>
      </c>
    </row>
    <row r="130" spans="1:61" x14ac:dyDescent="0.3">
      <c r="A130">
        <f t="shared" si="123"/>
        <v>9.2999999999999999E-2</v>
      </c>
      <c r="B130">
        <f t="shared" si="66"/>
        <v>0.29216811678385074</v>
      </c>
      <c r="C130">
        <f t="shared" si="67"/>
        <v>2.8494245368059423</v>
      </c>
      <c r="D130">
        <f t="shared" si="68"/>
        <v>2.8494245368059423</v>
      </c>
      <c r="E130">
        <f t="shared" si="73"/>
        <v>0.28802913601476915</v>
      </c>
      <c r="F130">
        <f t="shared" si="74"/>
        <v>0.28802913601476932</v>
      </c>
      <c r="G130">
        <f t="shared" si="69"/>
        <v>0.29216811678385074</v>
      </c>
      <c r="H130">
        <f t="shared" si="70"/>
        <v>0.28802913601476915</v>
      </c>
      <c r="I130">
        <f t="shared" si="71"/>
        <v>0.28802913601476932</v>
      </c>
      <c r="J130">
        <f t="shared" si="119"/>
        <v>2.2102617157971745E+20</v>
      </c>
      <c r="K130">
        <f t="shared" si="120"/>
        <v>2.2102617157971745E+20</v>
      </c>
      <c r="L130">
        <f t="shared" si="75"/>
        <v>1</v>
      </c>
      <c r="M130">
        <f t="shared" si="72"/>
        <v>2.8494245368059422E-20</v>
      </c>
      <c r="N130" s="9">
        <f t="shared" si="121"/>
        <v>2.8494245368059422E-20</v>
      </c>
      <c r="O130">
        <f t="shared" si="122"/>
        <v>2.8494245368059422E-20</v>
      </c>
      <c r="Q130">
        <f t="shared" si="76"/>
        <v>46.844812791836709</v>
      </c>
      <c r="R130">
        <f t="shared" si="77"/>
        <v>0</v>
      </c>
      <c r="S130">
        <f t="shared" si="99"/>
        <v>-45.004584802898513</v>
      </c>
      <c r="T130" s="9" t="e">
        <f t="shared" si="78"/>
        <v>#N/A</v>
      </c>
      <c r="U130">
        <f t="shared" si="100"/>
        <v>-1.0000000000000001E+300</v>
      </c>
      <c r="V130">
        <f t="shared" si="101"/>
        <v>0</v>
      </c>
      <c r="W130">
        <f t="shared" si="102"/>
        <v>0</v>
      </c>
      <c r="X130">
        <f t="shared" si="79"/>
        <v>2.8494245368059423</v>
      </c>
      <c r="Y130">
        <f t="shared" si="80"/>
        <v>7.8539816339744828</v>
      </c>
      <c r="Z130">
        <f t="shared" si="81"/>
        <v>-2.8494245368059423</v>
      </c>
      <c r="AA130">
        <f t="shared" si="103"/>
        <v>9.4735923341735262</v>
      </c>
      <c r="AB130">
        <f t="shared" si="82"/>
        <v>17.327573968148009</v>
      </c>
      <c r="AC130">
        <f t="shared" si="104"/>
        <v>0.59553435169294489</v>
      </c>
      <c r="AD130">
        <f t="shared" si="83"/>
        <v>1.24469363724525</v>
      </c>
      <c r="AE130" s="9">
        <f t="shared" si="105"/>
        <v>19.167801957086201</v>
      </c>
      <c r="AF130">
        <f t="shared" si="106"/>
        <v>0</v>
      </c>
      <c r="AH130">
        <f t="shared" si="84"/>
        <v>7.8539816339744828</v>
      </c>
      <c r="AI130">
        <f t="shared" si="85"/>
        <v>9.473592334173528</v>
      </c>
      <c r="AJ130">
        <f t="shared" si="86"/>
        <v>0.59553435169294744</v>
      </c>
      <c r="AK130">
        <f t="shared" si="87"/>
        <v>1.24469363724525</v>
      </c>
      <c r="AL130" s="9">
        <f t="shared" si="107"/>
        <v>19.167801957086205</v>
      </c>
      <c r="AM130" t="e">
        <f t="shared" si="88"/>
        <v>#N/A</v>
      </c>
      <c r="AN130" t="e">
        <f t="shared" si="108"/>
        <v>#N/A</v>
      </c>
      <c r="AO130">
        <f t="shared" si="89"/>
        <v>0</v>
      </c>
      <c r="AP130">
        <f t="shared" si="90"/>
        <v>0</v>
      </c>
      <c r="AQ130">
        <f t="shared" si="91"/>
        <v>2.55351295663786E-15</v>
      </c>
      <c r="AR130">
        <f t="shared" si="109"/>
        <v>0</v>
      </c>
      <c r="AS130">
        <f t="shared" si="92"/>
        <v>0</v>
      </c>
      <c r="AT130">
        <f t="shared" si="110"/>
        <v>0</v>
      </c>
      <c r="AU130">
        <f t="shared" si="111"/>
        <v>0</v>
      </c>
      <c r="AV130">
        <f t="shared" si="93"/>
        <v>2.8494245368059422E-20</v>
      </c>
      <c r="AW130" t="b">
        <f t="shared" si="112"/>
        <v>1</v>
      </c>
      <c r="AX130">
        <f t="shared" si="94"/>
        <v>7.8539816339744828</v>
      </c>
      <c r="AY130">
        <f t="shared" si="95"/>
        <v>9.4735923341735226</v>
      </c>
      <c r="AZ130">
        <f t="shared" si="96"/>
        <v>0.59553435169294489</v>
      </c>
      <c r="BA130">
        <f t="shared" si="97"/>
        <v>1.2446936372452495</v>
      </c>
      <c r="BB130">
        <f t="shared" si="98"/>
        <v>-1.2337005501361696E-20</v>
      </c>
      <c r="BD130" s="15">
        <f t="shared" si="113"/>
        <v>19.167801957086198</v>
      </c>
      <c r="BE130" s="10">
        <f t="shared" si="114"/>
        <v>0</v>
      </c>
      <c r="BF130">
        <f t="shared" si="115"/>
        <v>0</v>
      </c>
      <c r="BG130">
        <f t="shared" si="116"/>
        <v>0</v>
      </c>
      <c r="BH130">
        <f t="shared" si="117"/>
        <v>0</v>
      </c>
      <c r="BI130">
        <f t="shared" si="118"/>
        <v>0</v>
      </c>
    </row>
    <row r="131" spans="1:61" x14ac:dyDescent="0.3">
      <c r="A131">
        <f t="shared" si="123"/>
        <v>9.4E-2</v>
      </c>
      <c r="B131">
        <f t="shared" si="66"/>
        <v>0.29530970943744056</v>
      </c>
      <c r="C131">
        <f t="shared" si="67"/>
        <v>2.8462829441523527</v>
      </c>
      <c r="D131">
        <f t="shared" si="68"/>
        <v>2.8462829441523527</v>
      </c>
      <c r="E131">
        <f t="shared" si="73"/>
        <v>0.29103616682827183</v>
      </c>
      <c r="F131">
        <f t="shared" si="74"/>
        <v>0.29103616682827177</v>
      </c>
      <c r="G131">
        <f t="shared" si="69"/>
        <v>0.29530970943744056</v>
      </c>
      <c r="H131">
        <f t="shared" si="70"/>
        <v>0.29103616682827183</v>
      </c>
      <c r="I131">
        <f t="shared" si="71"/>
        <v>0.29103616682827177</v>
      </c>
      <c r="J131">
        <f t="shared" si="119"/>
        <v>2.187424948952217E+20</v>
      </c>
      <c r="K131">
        <f t="shared" si="120"/>
        <v>2.187424948952217E+20</v>
      </c>
      <c r="L131">
        <f t="shared" si="75"/>
        <v>1</v>
      </c>
      <c r="M131">
        <f t="shared" si="72"/>
        <v>2.8462829441523522E-20</v>
      </c>
      <c r="N131" s="9">
        <f t="shared" si="121"/>
        <v>2.8462829441523522E-20</v>
      </c>
      <c r="O131">
        <f t="shared" si="122"/>
        <v>2.8462829441523522E-20</v>
      </c>
      <c r="Q131">
        <f t="shared" si="76"/>
        <v>46.83442688949156</v>
      </c>
      <c r="R131">
        <f t="shared" si="77"/>
        <v>-710542.73576010019</v>
      </c>
      <c r="S131">
        <f t="shared" si="99"/>
        <v>-45.005687946970674</v>
      </c>
      <c r="T131" s="9" t="e">
        <f t="shared" si="78"/>
        <v>#N/A</v>
      </c>
      <c r="U131">
        <f t="shared" si="100"/>
        <v>-1.0000000000000001E+300</v>
      </c>
      <c r="V131">
        <f t="shared" si="101"/>
        <v>0</v>
      </c>
      <c r="W131">
        <f t="shared" si="102"/>
        <v>0</v>
      </c>
      <c r="X131">
        <f t="shared" si="79"/>
        <v>2.8462829441523527</v>
      </c>
      <c r="Y131">
        <f t="shared" si="80"/>
        <v>7.8539816339744828</v>
      </c>
      <c r="Z131">
        <f t="shared" si="81"/>
        <v>-2.8462829441523527</v>
      </c>
      <c r="AA131">
        <f t="shared" si="103"/>
        <v>9.3564769784219877</v>
      </c>
      <c r="AB131">
        <f t="shared" si="82"/>
        <v>17.210458612396472</v>
      </c>
      <c r="AC131">
        <f t="shared" si="104"/>
        <v>0.5944312076207876</v>
      </c>
      <c r="AD131">
        <f t="shared" si="83"/>
        <v>1.2343077349001033</v>
      </c>
      <c r="AE131" s="9">
        <f t="shared" si="105"/>
        <v>19.039197554917362</v>
      </c>
      <c r="AF131">
        <f t="shared" si="106"/>
        <v>0</v>
      </c>
      <c r="AH131">
        <f t="shared" si="84"/>
        <v>7.8539816339744828</v>
      </c>
      <c r="AI131">
        <f t="shared" si="85"/>
        <v>9.3564769784219841</v>
      </c>
      <c r="AJ131">
        <f t="shared" si="86"/>
        <v>0.59443120762078649</v>
      </c>
      <c r="AK131">
        <f t="shared" si="87"/>
        <v>1.2343077349001033</v>
      </c>
      <c r="AL131" s="9">
        <f t="shared" si="107"/>
        <v>19.039197554917354</v>
      </c>
      <c r="AM131" t="e">
        <f t="shared" si="88"/>
        <v>#N/A</v>
      </c>
      <c r="AN131" t="e">
        <f t="shared" si="108"/>
        <v>#N/A</v>
      </c>
      <c r="AO131">
        <f t="shared" si="89"/>
        <v>0</v>
      </c>
      <c r="AP131">
        <f t="shared" si="90"/>
        <v>0</v>
      </c>
      <c r="AQ131">
        <f t="shared" si="91"/>
        <v>-1.1102230246251565E-15</v>
      </c>
      <c r="AR131">
        <f t="shared" si="109"/>
        <v>0</v>
      </c>
      <c r="AS131">
        <f t="shared" si="92"/>
        <v>0</v>
      </c>
      <c r="AT131">
        <f t="shared" si="110"/>
        <v>0</v>
      </c>
      <c r="AU131">
        <f t="shared" si="111"/>
        <v>0</v>
      </c>
      <c r="AV131">
        <f t="shared" si="93"/>
        <v>2.8462829441523528E-20</v>
      </c>
      <c r="AW131" t="b">
        <f t="shared" si="112"/>
        <v>1</v>
      </c>
      <c r="AX131">
        <f t="shared" si="94"/>
        <v>7.8539816339744828</v>
      </c>
      <c r="AY131">
        <f t="shared" si="95"/>
        <v>9.3564769784219859</v>
      </c>
      <c r="AZ131">
        <f t="shared" si="96"/>
        <v>0.59443120762078772</v>
      </c>
      <c r="BA131">
        <f t="shared" si="97"/>
        <v>1.2343077349001035</v>
      </c>
      <c r="BB131">
        <f t="shared" si="98"/>
        <v>-1.2337005501361696E-20</v>
      </c>
      <c r="BD131" s="15">
        <f t="shared" si="113"/>
        <v>19.039197554917358</v>
      </c>
      <c r="BE131" s="10">
        <f t="shared" si="114"/>
        <v>0</v>
      </c>
      <c r="BF131">
        <f t="shared" si="115"/>
        <v>0</v>
      </c>
      <c r="BG131">
        <f t="shared" si="116"/>
        <v>0</v>
      </c>
      <c r="BH131">
        <f t="shared" si="117"/>
        <v>0</v>
      </c>
      <c r="BI131">
        <f t="shared" si="118"/>
        <v>0</v>
      </c>
    </row>
    <row r="132" spans="1:61" x14ac:dyDescent="0.3">
      <c r="A132">
        <f t="shared" si="123"/>
        <v>9.5000000000000001E-2</v>
      </c>
      <c r="B132">
        <f t="shared" si="66"/>
        <v>0.29845130209103032</v>
      </c>
      <c r="C132">
        <f t="shared" si="67"/>
        <v>2.8431413514987627</v>
      </c>
      <c r="D132">
        <f t="shared" si="68"/>
        <v>2.8431413514987627</v>
      </c>
      <c r="E132">
        <f t="shared" si="73"/>
        <v>0.29404032523230395</v>
      </c>
      <c r="F132">
        <f t="shared" si="74"/>
        <v>0.29404032523230417</v>
      </c>
      <c r="G132">
        <f t="shared" si="69"/>
        <v>0.29845130209103032</v>
      </c>
      <c r="H132">
        <f t="shared" si="70"/>
        <v>0.29404032523230395</v>
      </c>
      <c r="I132">
        <f t="shared" si="71"/>
        <v>0.29404032523230417</v>
      </c>
      <c r="J132">
        <f t="shared" si="119"/>
        <v>2.1650764121030869E+20</v>
      </c>
      <c r="K132">
        <f t="shared" si="120"/>
        <v>2.1650764121030869E+20</v>
      </c>
      <c r="L132">
        <f t="shared" si="75"/>
        <v>1</v>
      </c>
      <c r="M132">
        <f t="shared" si="72"/>
        <v>2.8431413514987629E-20</v>
      </c>
      <c r="N132" s="9">
        <f t="shared" si="121"/>
        <v>2.8431413514987629E-20</v>
      </c>
      <c r="O132">
        <f t="shared" si="122"/>
        <v>2.8431413514987629E-20</v>
      </c>
      <c r="Q132">
        <f t="shared" si="76"/>
        <v>46.824157514986481</v>
      </c>
      <c r="R132">
        <f t="shared" si="77"/>
        <v>0</v>
      </c>
      <c r="S132">
        <f t="shared" si="99"/>
        <v>-45.006792309313724</v>
      </c>
      <c r="T132" s="9" t="e">
        <f t="shared" si="78"/>
        <v>#N/A</v>
      </c>
      <c r="U132">
        <f t="shared" si="100"/>
        <v>-1.0000000000000001E+300</v>
      </c>
      <c r="V132">
        <f t="shared" si="101"/>
        <v>0</v>
      </c>
      <c r="W132">
        <f t="shared" si="102"/>
        <v>0</v>
      </c>
      <c r="X132">
        <f t="shared" si="79"/>
        <v>2.8431413514987627</v>
      </c>
      <c r="Y132">
        <f t="shared" si="80"/>
        <v>7.8539816339744828</v>
      </c>
      <c r="Z132">
        <f t="shared" si="81"/>
        <v>-2.8431413514987627</v>
      </c>
      <c r="AA132">
        <f t="shared" si="103"/>
        <v>9.2417753983229982</v>
      </c>
      <c r="AB132">
        <f t="shared" si="82"/>
        <v>17.095757032297481</v>
      </c>
      <c r="AC132">
        <f t="shared" si="104"/>
        <v>0.59332684527773438</v>
      </c>
      <c r="AD132">
        <f t="shared" si="83"/>
        <v>1.2240383603950229</v>
      </c>
      <c r="AE132" s="9">
        <f t="shared" si="105"/>
        <v>18.913122237970239</v>
      </c>
      <c r="AF132">
        <f t="shared" si="106"/>
        <v>0</v>
      </c>
      <c r="AH132">
        <f t="shared" si="84"/>
        <v>7.8539816339744828</v>
      </c>
      <c r="AI132">
        <f t="shared" si="85"/>
        <v>9.2417753983230035</v>
      </c>
      <c r="AJ132">
        <f t="shared" si="86"/>
        <v>0.59332684527773694</v>
      </c>
      <c r="AK132">
        <f t="shared" si="87"/>
        <v>1.2240383603950229</v>
      </c>
      <c r="AL132" s="9">
        <f t="shared" si="107"/>
        <v>18.913122237970246</v>
      </c>
      <c r="AM132" t="e">
        <f t="shared" si="88"/>
        <v>#N/A</v>
      </c>
      <c r="AN132" t="e">
        <f t="shared" si="108"/>
        <v>#N/A</v>
      </c>
      <c r="AO132">
        <f t="shared" si="89"/>
        <v>0</v>
      </c>
      <c r="AP132">
        <f t="shared" si="90"/>
        <v>0</v>
      </c>
      <c r="AQ132">
        <f t="shared" si="91"/>
        <v>2.55351295663786E-15</v>
      </c>
      <c r="AR132">
        <f t="shared" si="109"/>
        <v>0</v>
      </c>
      <c r="AS132">
        <f t="shared" si="92"/>
        <v>0</v>
      </c>
      <c r="AT132">
        <f t="shared" si="110"/>
        <v>0</v>
      </c>
      <c r="AU132">
        <f t="shared" si="111"/>
        <v>0</v>
      </c>
      <c r="AV132">
        <f t="shared" si="93"/>
        <v>2.8431413514987623E-20</v>
      </c>
      <c r="AW132" t="b">
        <f t="shared" si="112"/>
        <v>1</v>
      </c>
      <c r="AX132">
        <f t="shared" si="94"/>
        <v>7.8539816339744828</v>
      </c>
      <c r="AY132">
        <f t="shared" si="95"/>
        <v>9.2417753983229947</v>
      </c>
      <c r="AZ132">
        <f t="shared" si="96"/>
        <v>0.59332684527773427</v>
      </c>
      <c r="BA132">
        <f t="shared" si="97"/>
        <v>1.224038360395022</v>
      </c>
      <c r="BB132">
        <f t="shared" si="98"/>
        <v>-1.2337005501361696E-20</v>
      </c>
      <c r="BD132" s="15">
        <f t="shared" si="113"/>
        <v>18.913122237970232</v>
      </c>
      <c r="BE132" s="10">
        <f t="shared" si="114"/>
        <v>0</v>
      </c>
      <c r="BF132">
        <f t="shared" si="115"/>
        <v>0</v>
      </c>
      <c r="BG132">
        <f t="shared" si="116"/>
        <v>0</v>
      </c>
      <c r="BH132">
        <f t="shared" si="117"/>
        <v>0</v>
      </c>
      <c r="BI132">
        <f t="shared" si="118"/>
        <v>0</v>
      </c>
    </row>
    <row r="133" spans="1:61" x14ac:dyDescent="0.3">
      <c r="A133">
        <f t="shared" si="123"/>
        <v>9.6000000000000002E-2</v>
      </c>
      <c r="B133">
        <f t="shared" si="66"/>
        <v>0.30159289474462014</v>
      </c>
      <c r="C133">
        <f t="shared" si="67"/>
        <v>2.8399997588451731</v>
      </c>
      <c r="D133">
        <f t="shared" si="68"/>
        <v>2.8399997588451731</v>
      </c>
      <c r="E133">
        <f t="shared" si="73"/>
        <v>0.29704158157703492</v>
      </c>
      <c r="F133">
        <f t="shared" si="74"/>
        <v>0.29704158157703492</v>
      </c>
      <c r="G133">
        <f t="shared" si="69"/>
        <v>0.30159289474462014</v>
      </c>
      <c r="H133">
        <f t="shared" si="70"/>
        <v>0.29704158157703492</v>
      </c>
      <c r="I133">
        <f t="shared" si="71"/>
        <v>0.29704158157703492</v>
      </c>
      <c r="J133">
        <f t="shared" si="119"/>
        <v>2.1432008575623617E+20</v>
      </c>
      <c r="K133">
        <f t="shared" si="120"/>
        <v>2.1432008575623617E+20</v>
      </c>
      <c r="L133">
        <f t="shared" si="75"/>
        <v>1</v>
      </c>
      <c r="M133">
        <f t="shared" si="72"/>
        <v>2.8399997588451729E-20</v>
      </c>
      <c r="N133" s="9">
        <f t="shared" si="121"/>
        <v>2.8399997588451729E-20</v>
      </c>
      <c r="O133">
        <f t="shared" si="122"/>
        <v>2.8399997588451729E-20</v>
      </c>
      <c r="Q133">
        <f t="shared" si="76"/>
        <v>46.814002299260842</v>
      </c>
      <c r="R133">
        <f t="shared" si="77"/>
        <v>0</v>
      </c>
      <c r="S133">
        <f t="shared" si="99"/>
        <v>-45.007897892621472</v>
      </c>
      <c r="T133" s="9" t="e">
        <f t="shared" si="78"/>
        <v>#N/A</v>
      </c>
      <c r="U133">
        <f t="shared" si="100"/>
        <v>-1.0000000000000001E+300</v>
      </c>
      <c r="V133">
        <f t="shared" si="101"/>
        <v>0</v>
      </c>
      <c r="W133">
        <f t="shared" si="102"/>
        <v>0</v>
      </c>
      <c r="X133">
        <f t="shared" si="79"/>
        <v>2.8399997588451731</v>
      </c>
      <c r="Y133">
        <f t="shared" si="80"/>
        <v>7.8539816339744828</v>
      </c>
      <c r="Z133">
        <f t="shared" si="81"/>
        <v>-2.8399997588451731</v>
      </c>
      <c r="AA133">
        <f t="shared" si="103"/>
        <v>9.1294123281086446</v>
      </c>
      <c r="AB133">
        <f t="shared" si="82"/>
        <v>16.983393962083127</v>
      </c>
      <c r="AC133">
        <f t="shared" si="104"/>
        <v>0.59222126196998481</v>
      </c>
      <c r="AD133">
        <f t="shared" si="83"/>
        <v>1.2138831446693843</v>
      </c>
      <c r="AE133" s="9">
        <f t="shared" si="105"/>
        <v>18.789498368722498</v>
      </c>
      <c r="AF133">
        <f t="shared" si="106"/>
        <v>0</v>
      </c>
      <c r="AH133">
        <f t="shared" si="84"/>
        <v>7.8539816339744828</v>
      </c>
      <c r="AI133">
        <f t="shared" si="85"/>
        <v>9.1294123281086428</v>
      </c>
      <c r="AJ133">
        <f t="shared" si="86"/>
        <v>0.59222126196998914</v>
      </c>
      <c r="AK133">
        <f t="shared" si="87"/>
        <v>1.2138831446693843</v>
      </c>
      <c r="AL133" s="9">
        <f t="shared" si="107"/>
        <v>18.789498368722501</v>
      </c>
      <c r="AM133" t="e">
        <f t="shared" si="88"/>
        <v>#N/A</v>
      </c>
      <c r="AN133" t="e">
        <f t="shared" si="108"/>
        <v>#N/A</v>
      </c>
      <c r="AO133">
        <f t="shared" si="89"/>
        <v>0</v>
      </c>
      <c r="AP133">
        <f t="shared" si="90"/>
        <v>0</v>
      </c>
      <c r="AQ133">
        <f t="shared" si="91"/>
        <v>4.3298697960381105E-15</v>
      </c>
      <c r="AR133">
        <f t="shared" si="109"/>
        <v>0</v>
      </c>
      <c r="AS133">
        <f t="shared" si="92"/>
        <v>0</v>
      </c>
      <c r="AT133">
        <f t="shared" si="110"/>
        <v>0</v>
      </c>
      <c r="AU133">
        <f t="shared" si="111"/>
        <v>0</v>
      </c>
      <c r="AV133">
        <f t="shared" si="93"/>
        <v>2.8399997588451729E-20</v>
      </c>
      <c r="AW133" t="b">
        <f t="shared" si="112"/>
        <v>1</v>
      </c>
      <c r="AX133">
        <f t="shared" si="94"/>
        <v>7.8539816339744828</v>
      </c>
      <c r="AY133">
        <f t="shared" si="95"/>
        <v>9.1294123281086428</v>
      </c>
      <c r="AZ133">
        <f t="shared" si="96"/>
        <v>0.59222126196998481</v>
      </c>
      <c r="BA133">
        <f t="shared" si="97"/>
        <v>1.2138831446693843</v>
      </c>
      <c r="BB133">
        <f t="shared" si="98"/>
        <v>-1.2337005501361696E-20</v>
      </c>
      <c r="BD133" s="15">
        <f t="shared" si="113"/>
        <v>18.789498368722498</v>
      </c>
      <c r="BE133" s="10">
        <f t="shared" si="114"/>
        <v>0</v>
      </c>
      <c r="BF133">
        <f t="shared" si="115"/>
        <v>0</v>
      </c>
      <c r="BG133">
        <f t="shared" si="116"/>
        <v>0</v>
      </c>
      <c r="BH133">
        <f t="shared" si="117"/>
        <v>0</v>
      </c>
      <c r="BI133">
        <f t="shared" si="118"/>
        <v>0</v>
      </c>
    </row>
    <row r="134" spans="1:61" x14ac:dyDescent="0.3">
      <c r="A134">
        <f t="shared" si="123"/>
        <v>9.7000000000000003E-2</v>
      </c>
      <c r="B134">
        <f t="shared" si="66"/>
        <v>0.30473448739820996</v>
      </c>
      <c r="C134">
        <f t="shared" si="67"/>
        <v>2.836858166191583</v>
      </c>
      <c r="D134">
        <f t="shared" si="68"/>
        <v>2.836858166191583</v>
      </c>
      <c r="E134">
        <f t="shared" si="73"/>
        <v>0.30003990624127624</v>
      </c>
      <c r="F134">
        <f t="shared" si="74"/>
        <v>0.30003990624127647</v>
      </c>
      <c r="G134">
        <f t="shared" si="69"/>
        <v>0.30473448739820996</v>
      </c>
      <c r="H134">
        <f t="shared" si="70"/>
        <v>0.30003990624127624</v>
      </c>
      <c r="I134">
        <f t="shared" si="71"/>
        <v>0.30003990624127647</v>
      </c>
      <c r="J134">
        <f t="shared" si="119"/>
        <v>2.1217836665221641E+20</v>
      </c>
      <c r="K134">
        <f t="shared" si="120"/>
        <v>2.1217836665221641E+20</v>
      </c>
      <c r="L134">
        <f t="shared" si="75"/>
        <v>1</v>
      </c>
      <c r="M134">
        <f t="shared" si="72"/>
        <v>2.836858166191583E-20</v>
      </c>
      <c r="N134" s="9">
        <f t="shared" si="121"/>
        <v>2.836858166191583E-20</v>
      </c>
      <c r="O134">
        <f t="shared" si="122"/>
        <v>2.836858166191583E-20</v>
      </c>
      <c r="Q134">
        <f t="shared" si="76"/>
        <v>46.803958946959625</v>
      </c>
      <c r="R134">
        <f t="shared" si="77"/>
        <v>0</v>
      </c>
      <c r="S134">
        <f t="shared" si="99"/>
        <v>-45.009004699596666</v>
      </c>
      <c r="T134" s="9" t="e">
        <f t="shared" si="78"/>
        <v>#N/A</v>
      </c>
      <c r="U134">
        <f t="shared" si="100"/>
        <v>-1.0000000000000001E+300</v>
      </c>
      <c r="V134">
        <f t="shared" si="101"/>
        <v>0</v>
      </c>
      <c r="W134">
        <f t="shared" si="102"/>
        <v>0</v>
      </c>
      <c r="X134">
        <f t="shared" si="79"/>
        <v>2.836858166191583</v>
      </c>
      <c r="Y134">
        <f t="shared" si="80"/>
        <v>7.8539816339744828</v>
      </c>
      <c r="Z134">
        <f t="shared" si="81"/>
        <v>-2.836858166191583</v>
      </c>
      <c r="AA134">
        <f t="shared" si="103"/>
        <v>9.0193156054173222</v>
      </c>
      <c r="AB134">
        <f t="shared" si="82"/>
        <v>16.873297239391803</v>
      </c>
      <c r="AC134">
        <f t="shared" si="104"/>
        <v>0.59111445499479354</v>
      </c>
      <c r="AD134">
        <f t="shared" si="83"/>
        <v>1.2038397923681645</v>
      </c>
      <c r="AE134" s="9">
        <f t="shared" si="105"/>
        <v>18.668251486754762</v>
      </c>
      <c r="AF134">
        <f t="shared" si="106"/>
        <v>0</v>
      </c>
      <c r="AH134">
        <f t="shared" si="84"/>
        <v>7.8539816339744828</v>
      </c>
      <c r="AI134">
        <f t="shared" si="85"/>
        <v>9.0193156054173294</v>
      </c>
      <c r="AJ134">
        <f t="shared" si="86"/>
        <v>0.59111445499479487</v>
      </c>
      <c r="AK134">
        <f t="shared" si="87"/>
        <v>1.2038397923681645</v>
      </c>
      <c r="AL134" s="9">
        <f t="shared" si="107"/>
        <v>18.66825148675477</v>
      </c>
      <c r="AM134" t="e">
        <f t="shared" si="88"/>
        <v>#N/A</v>
      </c>
      <c r="AN134" t="e">
        <f t="shared" si="108"/>
        <v>#N/A</v>
      </c>
      <c r="AO134">
        <f t="shared" si="89"/>
        <v>0</v>
      </c>
      <c r="AP134">
        <f t="shared" si="90"/>
        <v>0</v>
      </c>
      <c r="AQ134">
        <f t="shared" si="91"/>
        <v>1.3322676295501878E-15</v>
      </c>
      <c r="AR134">
        <f t="shared" si="109"/>
        <v>0</v>
      </c>
      <c r="AS134">
        <f t="shared" si="92"/>
        <v>0</v>
      </c>
      <c r="AT134">
        <f t="shared" si="110"/>
        <v>0</v>
      </c>
      <c r="AU134">
        <f t="shared" si="111"/>
        <v>0</v>
      </c>
      <c r="AV134">
        <f t="shared" si="93"/>
        <v>2.836858166191583E-20</v>
      </c>
      <c r="AW134" t="b">
        <f t="shared" si="112"/>
        <v>1</v>
      </c>
      <c r="AX134">
        <f t="shared" si="94"/>
        <v>7.8539816339744828</v>
      </c>
      <c r="AY134">
        <f t="shared" si="95"/>
        <v>9.0193156054173205</v>
      </c>
      <c r="AZ134">
        <f t="shared" si="96"/>
        <v>0.59111445499479376</v>
      </c>
      <c r="BA134">
        <f t="shared" si="97"/>
        <v>1.2038397923681639</v>
      </c>
      <c r="BB134">
        <f t="shared" si="98"/>
        <v>-1.2337005501361696E-20</v>
      </c>
      <c r="BD134" s="15">
        <f t="shared" si="113"/>
        <v>18.668251486754762</v>
      </c>
      <c r="BE134" s="10">
        <f t="shared" si="114"/>
        <v>0</v>
      </c>
      <c r="BF134">
        <f t="shared" si="115"/>
        <v>0</v>
      </c>
      <c r="BG134">
        <f t="shared" si="116"/>
        <v>0</v>
      </c>
      <c r="BH134">
        <f t="shared" si="117"/>
        <v>0</v>
      </c>
      <c r="BI134">
        <f t="shared" si="118"/>
        <v>0</v>
      </c>
    </row>
    <row r="135" spans="1:61" x14ac:dyDescent="0.3">
      <c r="A135">
        <f t="shared" si="123"/>
        <v>9.8000000000000004E-2</v>
      </c>
      <c r="B135">
        <f t="shared" si="66"/>
        <v>0.30787608005179973</v>
      </c>
      <c r="C135">
        <f t="shared" si="67"/>
        <v>2.8337165735379934</v>
      </c>
      <c r="D135">
        <f t="shared" si="68"/>
        <v>2.8337165735379934</v>
      </c>
      <c r="E135">
        <f t="shared" si="73"/>
        <v>0.30303526963277394</v>
      </c>
      <c r="F135">
        <f t="shared" si="74"/>
        <v>0.30303526963277405</v>
      </c>
      <c r="G135">
        <f t="shared" si="69"/>
        <v>0.30787608005179973</v>
      </c>
      <c r="H135">
        <f t="shared" si="70"/>
        <v>0.30303526963277394</v>
      </c>
      <c r="I135">
        <f t="shared" si="71"/>
        <v>0.30303526963277405</v>
      </c>
      <c r="J135">
        <f t="shared" si="119"/>
        <v>2.1008108169687771E+20</v>
      </c>
      <c r="K135">
        <f t="shared" si="120"/>
        <v>2.1008108169687771E+20</v>
      </c>
      <c r="L135">
        <f t="shared" si="75"/>
        <v>1</v>
      </c>
      <c r="M135">
        <f t="shared" si="72"/>
        <v>2.833716573537993E-20</v>
      </c>
      <c r="N135" s="9">
        <f t="shared" si="121"/>
        <v>2.833716573537993E-20</v>
      </c>
      <c r="O135">
        <f t="shared" si="122"/>
        <v>2.833716573537993E-20</v>
      </c>
      <c r="Q135">
        <f t="shared" si="76"/>
        <v>46.794025233410053</v>
      </c>
      <c r="R135">
        <f t="shared" si="77"/>
        <v>0</v>
      </c>
      <c r="S135">
        <f t="shared" si="99"/>
        <v>-45.010112732951029</v>
      </c>
      <c r="T135" s="9" t="e">
        <f t="shared" si="78"/>
        <v>#N/A</v>
      </c>
      <c r="U135">
        <f t="shared" si="100"/>
        <v>-1.0000000000000001E+300</v>
      </c>
      <c r="V135">
        <f t="shared" si="101"/>
        <v>0</v>
      </c>
      <c r="W135">
        <f t="shared" si="102"/>
        <v>0</v>
      </c>
      <c r="X135">
        <f t="shared" si="79"/>
        <v>2.8337165735379934</v>
      </c>
      <c r="Y135">
        <f t="shared" si="80"/>
        <v>7.8539816339744828</v>
      </c>
      <c r="Z135">
        <f t="shared" si="81"/>
        <v>-2.8337165735379934</v>
      </c>
      <c r="AA135">
        <f t="shared" si="103"/>
        <v>8.9114160129583944</v>
      </c>
      <c r="AB135">
        <f t="shared" si="82"/>
        <v>16.765397646932875</v>
      </c>
      <c r="AC135">
        <f t="shared" si="104"/>
        <v>0.59000642164043193</v>
      </c>
      <c r="AD135">
        <f t="shared" si="83"/>
        <v>1.1939060788185916</v>
      </c>
      <c r="AE135" s="9">
        <f t="shared" si="105"/>
        <v>18.5493101473919</v>
      </c>
      <c r="AF135">
        <f t="shared" si="106"/>
        <v>0</v>
      </c>
      <c r="AH135">
        <f t="shared" si="84"/>
        <v>7.8539816339744828</v>
      </c>
      <c r="AI135">
        <f t="shared" si="85"/>
        <v>8.9114160129583926</v>
      </c>
      <c r="AJ135">
        <f t="shared" si="86"/>
        <v>0.59000642164043171</v>
      </c>
      <c r="AK135">
        <f t="shared" si="87"/>
        <v>1.1939060788185916</v>
      </c>
      <c r="AL135" s="9">
        <f t="shared" si="107"/>
        <v>18.5493101473919</v>
      </c>
      <c r="AM135" t="e">
        <f t="shared" si="88"/>
        <v>#N/A</v>
      </c>
      <c r="AN135" t="e">
        <f t="shared" si="108"/>
        <v>#N/A</v>
      </c>
      <c r="AO135">
        <f t="shared" si="89"/>
        <v>0</v>
      </c>
      <c r="AP135">
        <f t="shared" si="90"/>
        <v>0</v>
      </c>
      <c r="AQ135">
        <f t="shared" si="91"/>
        <v>0</v>
      </c>
      <c r="AR135">
        <f t="shared" si="109"/>
        <v>0</v>
      </c>
      <c r="AS135">
        <f t="shared" si="92"/>
        <v>0</v>
      </c>
      <c r="AT135">
        <f t="shared" si="110"/>
        <v>0</v>
      </c>
      <c r="AU135">
        <f t="shared" si="111"/>
        <v>0</v>
      </c>
      <c r="AV135">
        <f t="shared" si="93"/>
        <v>2.833716573537993E-20</v>
      </c>
      <c r="AW135" t="b">
        <f t="shared" si="112"/>
        <v>1</v>
      </c>
      <c r="AX135">
        <f t="shared" si="94"/>
        <v>7.8539816339744828</v>
      </c>
      <c r="AY135">
        <f t="shared" si="95"/>
        <v>8.9114160129583908</v>
      </c>
      <c r="AZ135">
        <f t="shared" si="96"/>
        <v>0.59000642164043182</v>
      </c>
      <c r="BA135">
        <f t="shared" si="97"/>
        <v>1.1939060788185913</v>
      </c>
      <c r="BB135">
        <f t="shared" si="98"/>
        <v>-1.2337005501361696E-20</v>
      </c>
      <c r="BD135" s="15">
        <f t="shared" si="113"/>
        <v>18.5493101473919</v>
      </c>
      <c r="BE135" s="10">
        <f t="shared" si="114"/>
        <v>0</v>
      </c>
      <c r="BF135">
        <f t="shared" si="115"/>
        <v>0</v>
      </c>
      <c r="BG135">
        <f t="shared" si="116"/>
        <v>0</v>
      </c>
      <c r="BH135">
        <f t="shared" si="117"/>
        <v>0</v>
      </c>
      <c r="BI135">
        <f t="shared" si="118"/>
        <v>0</v>
      </c>
    </row>
    <row r="136" spans="1:61" x14ac:dyDescent="0.3">
      <c r="A136">
        <f t="shared" si="123"/>
        <v>9.9000000000000005E-2</v>
      </c>
      <c r="B136">
        <f t="shared" si="66"/>
        <v>0.31101767270538955</v>
      </c>
      <c r="C136">
        <f t="shared" si="67"/>
        <v>2.8305749808844034</v>
      </c>
      <c r="D136">
        <f t="shared" si="68"/>
        <v>2.8305749808844034</v>
      </c>
      <c r="E136">
        <f t="shared" si="73"/>
        <v>0.30602764218850076</v>
      </c>
      <c r="F136">
        <f t="shared" si="74"/>
        <v>0.30602764218850104</v>
      </c>
      <c r="G136">
        <f t="shared" si="69"/>
        <v>0.31101767270538955</v>
      </c>
      <c r="H136">
        <f t="shared" si="70"/>
        <v>0.30602764218850076</v>
      </c>
      <c r="I136">
        <f t="shared" si="71"/>
        <v>0.30602764218850104</v>
      </c>
      <c r="J136">
        <f t="shared" si="119"/>
        <v>2.0802688535418287E+20</v>
      </c>
      <c r="K136">
        <f t="shared" si="120"/>
        <v>2.0802688535418287E+20</v>
      </c>
      <c r="L136">
        <f t="shared" si="75"/>
        <v>1</v>
      </c>
      <c r="M136">
        <f t="shared" si="72"/>
        <v>2.8305749808844036E-20</v>
      </c>
      <c r="N136" s="9">
        <f t="shared" si="121"/>
        <v>2.8305749808844036E-20</v>
      </c>
      <c r="O136">
        <f t="shared" si="122"/>
        <v>2.8305749808844036E-20</v>
      </c>
      <c r="Q136">
        <f t="shared" si="76"/>
        <v>46.78419900175173</v>
      </c>
      <c r="R136">
        <f t="shared" si="77"/>
        <v>0</v>
      </c>
      <c r="S136">
        <f t="shared" si="99"/>
        <v>-45.011221995405315</v>
      </c>
      <c r="T136" s="9" t="e">
        <f t="shared" si="78"/>
        <v>#N/A</v>
      </c>
      <c r="U136">
        <f t="shared" si="100"/>
        <v>-1.0000000000000001E+300</v>
      </c>
      <c r="V136">
        <f t="shared" si="101"/>
        <v>0</v>
      </c>
      <c r="W136">
        <f t="shared" si="102"/>
        <v>0</v>
      </c>
      <c r="X136">
        <f t="shared" si="79"/>
        <v>2.8305749808844034</v>
      </c>
      <c r="Y136">
        <f t="shared" si="80"/>
        <v>7.8539816339744828</v>
      </c>
      <c r="Z136">
        <f t="shared" si="81"/>
        <v>-2.8305749808844034</v>
      </c>
      <c r="AA136">
        <f t="shared" si="103"/>
        <v>8.8056471297726926</v>
      </c>
      <c r="AB136">
        <f t="shared" si="82"/>
        <v>16.659628763747175</v>
      </c>
      <c r="AC136">
        <f t="shared" si="104"/>
        <v>0.58889715918614605</v>
      </c>
      <c r="AD136">
        <f t="shared" si="83"/>
        <v>1.1840798471602729</v>
      </c>
      <c r="AE136" s="9">
        <f t="shared" si="105"/>
        <v>18.432605770093595</v>
      </c>
      <c r="AF136">
        <f t="shared" si="106"/>
        <v>0</v>
      </c>
      <c r="AH136">
        <f t="shared" si="84"/>
        <v>7.8539816339744828</v>
      </c>
      <c r="AI136">
        <f t="shared" si="85"/>
        <v>8.8056471297726997</v>
      </c>
      <c r="AJ136">
        <f t="shared" si="86"/>
        <v>0.58889715918614627</v>
      </c>
      <c r="AK136">
        <f t="shared" si="87"/>
        <v>1.1840798471602729</v>
      </c>
      <c r="AL136" s="9">
        <f t="shared" si="107"/>
        <v>18.432605770093602</v>
      </c>
      <c r="AM136" t="e">
        <f t="shared" si="88"/>
        <v>#N/A</v>
      </c>
      <c r="AN136" t="e">
        <f t="shared" si="108"/>
        <v>#N/A</v>
      </c>
      <c r="AO136">
        <f t="shared" si="89"/>
        <v>0</v>
      </c>
      <c r="AP136">
        <f t="shared" si="90"/>
        <v>0</v>
      </c>
      <c r="AQ136">
        <f t="shared" si="91"/>
        <v>0</v>
      </c>
      <c r="AR136">
        <f t="shared" si="109"/>
        <v>0</v>
      </c>
      <c r="AS136">
        <f t="shared" si="92"/>
        <v>0</v>
      </c>
      <c r="AT136">
        <f t="shared" si="110"/>
        <v>0</v>
      </c>
      <c r="AU136">
        <f t="shared" si="111"/>
        <v>0</v>
      </c>
      <c r="AV136">
        <f t="shared" si="93"/>
        <v>2.830574980884403E-20</v>
      </c>
      <c r="AW136" t="b">
        <f t="shared" si="112"/>
        <v>1</v>
      </c>
      <c r="AX136">
        <f t="shared" si="94"/>
        <v>7.8539816339744828</v>
      </c>
      <c r="AY136">
        <f t="shared" si="95"/>
        <v>8.805647129772689</v>
      </c>
      <c r="AZ136">
        <f t="shared" si="96"/>
        <v>0.58889715918614605</v>
      </c>
      <c r="BA136">
        <f t="shared" si="97"/>
        <v>1.184079847160272</v>
      </c>
      <c r="BB136">
        <f t="shared" si="98"/>
        <v>-1.2337005501361696E-20</v>
      </c>
      <c r="BD136" s="15">
        <f t="shared" si="113"/>
        <v>18.432605770093591</v>
      </c>
      <c r="BE136" s="10">
        <f t="shared" si="114"/>
        <v>0</v>
      </c>
      <c r="BF136">
        <f t="shared" si="115"/>
        <v>0</v>
      </c>
      <c r="BG136">
        <f t="shared" si="116"/>
        <v>0</v>
      </c>
      <c r="BH136">
        <f t="shared" si="117"/>
        <v>0</v>
      </c>
      <c r="BI136">
        <f t="shared" si="118"/>
        <v>0</v>
      </c>
    </row>
    <row r="137" spans="1:61" x14ac:dyDescent="0.3">
      <c r="A137">
        <f t="shared" si="123"/>
        <v>0.1</v>
      </c>
      <c r="B137">
        <f t="shared" si="66"/>
        <v>0.31415926535897931</v>
      </c>
      <c r="C137">
        <f t="shared" si="67"/>
        <v>2.8274333882308138</v>
      </c>
      <c r="D137">
        <f t="shared" si="68"/>
        <v>2.8274333882308138</v>
      </c>
      <c r="E137">
        <f t="shared" si="73"/>
        <v>0.3090169943749474</v>
      </c>
      <c r="F137">
        <f t="shared" si="74"/>
        <v>0.30901699437494751</v>
      </c>
      <c r="G137">
        <f t="shared" si="69"/>
        <v>0.31415926535897931</v>
      </c>
      <c r="H137">
        <f t="shared" si="70"/>
        <v>0.3090169943749474</v>
      </c>
      <c r="I137">
        <f t="shared" si="71"/>
        <v>0.30901699437494751</v>
      </c>
      <c r="J137">
        <f t="shared" si="119"/>
        <v>2.0601448592019358E+20</v>
      </c>
      <c r="K137">
        <f t="shared" si="120"/>
        <v>2.0601448592019358E+20</v>
      </c>
      <c r="L137">
        <f t="shared" si="75"/>
        <v>0</v>
      </c>
      <c r="M137">
        <f t="shared" si="72"/>
        <v>2.8274333882308137E-20</v>
      </c>
      <c r="N137" s="9">
        <f t="shared" si="121"/>
        <v>0</v>
      </c>
      <c r="O137">
        <f t="shared" si="122"/>
        <v>0</v>
      </c>
      <c r="Q137">
        <f t="shared" si="76"/>
        <v>46.774478160211011</v>
      </c>
      <c r="R137">
        <f t="shared" si="77"/>
        <v>0</v>
      </c>
      <c r="S137">
        <f t="shared" si="99"/>
        <v>-45.012332489689342</v>
      </c>
      <c r="T137" s="9" t="e">
        <f t="shared" si="78"/>
        <v>#N/A</v>
      </c>
      <c r="U137">
        <f t="shared" si="100"/>
        <v>-1.0000000000000001E+300</v>
      </c>
      <c r="V137">
        <f t="shared" si="101"/>
        <v>0</v>
      </c>
      <c r="W137">
        <f t="shared" si="102"/>
        <v>0</v>
      </c>
      <c r="X137">
        <f t="shared" si="79"/>
        <v>2.8274333882308138</v>
      </c>
      <c r="Y137">
        <f t="shared" si="80"/>
        <v>7.8539816339744828</v>
      </c>
      <c r="Z137">
        <f t="shared" si="81"/>
        <v>-2.8274333882308138</v>
      </c>
      <c r="AA137">
        <f t="shared" si="103"/>
        <v>8.7019451914176198</v>
      </c>
      <c r="AB137">
        <f t="shared" si="82"/>
        <v>16.555926825392103</v>
      </c>
      <c r="AC137">
        <f t="shared" si="104"/>
        <v>0.58778666490211906</v>
      </c>
      <c r="AD137">
        <f t="shared" si="83"/>
        <v>1.1743590056195488</v>
      </c>
      <c r="AE137" s="9">
        <f t="shared" si="105"/>
        <v>18.318072495913771</v>
      </c>
      <c r="AF137">
        <f t="shared" si="106"/>
        <v>0</v>
      </c>
      <c r="AH137">
        <f t="shared" si="84"/>
        <v>7.8539816339744828</v>
      </c>
      <c r="AI137">
        <f t="shared" si="85"/>
        <v>8.7019451914176233</v>
      </c>
      <c r="AJ137">
        <f t="shared" si="86"/>
        <v>0.58778666490211862</v>
      </c>
      <c r="AK137">
        <f t="shared" si="87"/>
        <v>1.1743590056195488</v>
      </c>
      <c r="AL137" s="9">
        <f t="shared" si="107"/>
        <v>18.318072495913775</v>
      </c>
      <c r="AM137" t="e">
        <f t="shared" si="88"/>
        <v>#N/A</v>
      </c>
      <c r="AN137" t="e">
        <f t="shared" si="108"/>
        <v>#N/A</v>
      </c>
      <c r="AO137">
        <f t="shared" si="89"/>
        <v>0</v>
      </c>
      <c r="AP137">
        <f t="shared" si="90"/>
        <v>0</v>
      </c>
      <c r="AQ137">
        <f t="shared" si="91"/>
        <v>0</v>
      </c>
      <c r="AR137">
        <f t="shared" si="109"/>
        <v>0</v>
      </c>
      <c r="AS137">
        <f t="shared" si="92"/>
        <v>0</v>
      </c>
      <c r="AT137">
        <f t="shared" si="110"/>
        <v>0</v>
      </c>
      <c r="AU137">
        <f t="shared" si="111"/>
        <v>0</v>
      </c>
      <c r="AV137">
        <f t="shared" si="93"/>
        <v>2.8274333882308137E-20</v>
      </c>
      <c r="AW137" t="b">
        <f t="shared" si="112"/>
        <v>1</v>
      </c>
      <c r="AX137">
        <f t="shared" si="94"/>
        <v>7.8539816339744828</v>
      </c>
      <c r="AY137">
        <f t="shared" si="95"/>
        <v>8.701945191417618</v>
      </c>
      <c r="AZ137">
        <f t="shared" si="96"/>
        <v>0.58778666490211906</v>
      </c>
      <c r="BA137">
        <f t="shared" si="97"/>
        <v>1.1743590056195485</v>
      </c>
      <c r="BB137">
        <f t="shared" si="98"/>
        <v>-1.2337005501361696E-20</v>
      </c>
      <c r="BD137" s="15">
        <f t="shared" si="113"/>
        <v>18.318072495913768</v>
      </c>
      <c r="BE137" s="10">
        <f t="shared" si="114"/>
        <v>0</v>
      </c>
      <c r="BF137">
        <f t="shared" si="115"/>
        <v>0</v>
      </c>
      <c r="BG137">
        <f t="shared" si="116"/>
        <v>0</v>
      </c>
      <c r="BH137">
        <f t="shared" si="117"/>
        <v>0</v>
      </c>
      <c r="BI137">
        <f t="shared" si="118"/>
        <v>0</v>
      </c>
    </row>
    <row r="138" spans="1:61" x14ac:dyDescent="0.3">
      <c r="A138">
        <f t="shared" si="123"/>
        <v>0.10100000000000001</v>
      </c>
      <c r="B138">
        <f t="shared" si="66"/>
        <v>0.31730085801256913</v>
      </c>
      <c r="C138">
        <f t="shared" si="67"/>
        <v>2.8242917955772242</v>
      </c>
      <c r="D138">
        <f t="shared" si="68"/>
        <v>2.8242917955772242</v>
      </c>
      <c r="E138">
        <f t="shared" si="73"/>
        <v>0.31200329668841487</v>
      </c>
      <c r="F138">
        <f t="shared" si="74"/>
        <v>0.31200329668841476</v>
      </c>
      <c r="G138">
        <f t="shared" si="69"/>
        <v>0.31730085801256913</v>
      </c>
      <c r="H138">
        <f t="shared" si="70"/>
        <v>0.31200329668841487</v>
      </c>
      <c r="I138">
        <f t="shared" si="71"/>
        <v>0.31200329668841476</v>
      </c>
      <c r="J138">
        <f t="shared" si="119"/>
        <v>2.0404264285814519E+20</v>
      </c>
      <c r="K138">
        <f t="shared" si="120"/>
        <v>2.0404264285814519E+20</v>
      </c>
      <c r="L138" t="e">
        <f t="shared" si="75"/>
        <v>#NUM!</v>
      </c>
      <c r="M138">
        <f t="shared" si="72"/>
        <v>2.8242917955772237E-20</v>
      </c>
      <c r="N138" s="9" t="e">
        <f t="shared" si="121"/>
        <v>#NUM!</v>
      </c>
      <c r="O138" t="e">
        <f t="shared" si="122"/>
        <v>#NUM!</v>
      </c>
      <c r="Q138">
        <f t="shared" si="76"/>
        <v>46.764860679510917</v>
      </c>
      <c r="R138">
        <f t="shared" si="77"/>
        <v>0</v>
      </c>
      <c r="S138">
        <f t="shared" si="99"/>
        <v>-45.013444218542027</v>
      </c>
      <c r="T138" s="9" t="e">
        <f t="shared" si="78"/>
        <v>#N/A</v>
      </c>
      <c r="U138">
        <f t="shared" si="100"/>
        <v>-1.0000000000000001E+300</v>
      </c>
      <c r="V138">
        <f t="shared" si="101"/>
        <v>0</v>
      </c>
      <c r="W138">
        <f t="shared" si="102"/>
        <v>0</v>
      </c>
      <c r="X138">
        <f t="shared" si="79"/>
        <v>2.8242917955772242</v>
      </c>
      <c r="Y138">
        <f t="shared" si="80"/>
        <v>7.8539816339744828</v>
      </c>
      <c r="Z138">
        <f t="shared" si="81"/>
        <v>-2.8242917955772242</v>
      </c>
      <c r="AA138">
        <f t="shared" si="103"/>
        <v>8.6002489584578612</v>
      </c>
      <c r="AB138">
        <f t="shared" si="82"/>
        <v>16.454230592432346</v>
      </c>
      <c r="AC138">
        <f t="shared" si="104"/>
        <v>0.58667493604942855</v>
      </c>
      <c r="AD138">
        <f t="shared" si="83"/>
        <v>1.1647415249194557</v>
      </c>
      <c r="AE138" s="9">
        <f t="shared" si="105"/>
        <v>18.205647053401229</v>
      </c>
      <c r="AF138">
        <f t="shared" si="106"/>
        <v>0</v>
      </c>
      <c r="AH138">
        <f t="shared" si="84"/>
        <v>7.8539816339744828</v>
      </c>
      <c r="AI138">
        <f t="shared" si="85"/>
        <v>8.6002489584578559</v>
      </c>
      <c r="AJ138">
        <f t="shared" si="86"/>
        <v>0.58667493604943388</v>
      </c>
      <c r="AK138">
        <f t="shared" si="87"/>
        <v>1.1647415249194557</v>
      </c>
      <c r="AL138" s="9">
        <f t="shared" si="107"/>
        <v>18.205647053401229</v>
      </c>
      <c r="AM138" t="e">
        <f t="shared" si="88"/>
        <v>#N/A</v>
      </c>
      <c r="AN138" t="e">
        <f t="shared" si="108"/>
        <v>#N/A</v>
      </c>
      <c r="AO138">
        <f t="shared" si="89"/>
        <v>0</v>
      </c>
      <c r="AP138">
        <f t="shared" si="90"/>
        <v>0</v>
      </c>
      <c r="AQ138">
        <f t="shared" si="91"/>
        <v>5.3290705182007514E-15</v>
      </c>
      <c r="AR138">
        <f t="shared" si="109"/>
        <v>0</v>
      </c>
      <c r="AS138">
        <f t="shared" si="92"/>
        <v>0</v>
      </c>
      <c r="AT138">
        <f t="shared" si="110"/>
        <v>0</v>
      </c>
      <c r="AU138">
        <f t="shared" si="111"/>
        <v>0</v>
      </c>
      <c r="AV138">
        <f t="shared" si="93"/>
        <v>2.8242917955772243E-20</v>
      </c>
      <c r="AW138" t="b">
        <f t="shared" si="112"/>
        <v>1</v>
      </c>
      <c r="AX138">
        <f t="shared" si="94"/>
        <v>7.8539816339744828</v>
      </c>
      <c r="AY138">
        <f t="shared" si="95"/>
        <v>8.6002489584578612</v>
      </c>
      <c r="AZ138">
        <f t="shared" si="96"/>
        <v>0.58667493604942866</v>
      </c>
      <c r="BA138">
        <f t="shared" si="97"/>
        <v>1.1647415249194562</v>
      </c>
      <c r="BB138">
        <f t="shared" si="98"/>
        <v>-1.2337005501361696E-20</v>
      </c>
      <c r="BD138" s="15">
        <f t="shared" si="113"/>
        <v>18.205647053401233</v>
      </c>
      <c r="BE138" s="10">
        <f t="shared" si="114"/>
        <v>0</v>
      </c>
      <c r="BF138">
        <f t="shared" si="115"/>
        <v>0</v>
      </c>
      <c r="BG138">
        <f t="shared" si="116"/>
        <v>0</v>
      </c>
      <c r="BH138">
        <f t="shared" si="117"/>
        <v>0</v>
      </c>
      <c r="BI138">
        <f t="shared" si="118"/>
        <v>0</v>
      </c>
    </row>
    <row r="139" spans="1:61" x14ac:dyDescent="0.3">
      <c r="A139">
        <f t="shared" si="123"/>
        <v>0.10199999999999999</v>
      </c>
      <c r="B139">
        <f t="shared" si="66"/>
        <v>0.3204424506661589</v>
      </c>
      <c r="C139">
        <f t="shared" si="67"/>
        <v>2.8211502029236342</v>
      </c>
      <c r="D139">
        <f t="shared" si="68"/>
        <v>2.8211502029236342</v>
      </c>
      <c r="E139">
        <f t="shared" si="73"/>
        <v>0.31498651965530478</v>
      </c>
      <c r="F139">
        <f t="shared" si="74"/>
        <v>0.31498651965530494</v>
      </c>
      <c r="G139">
        <f t="shared" si="69"/>
        <v>0.3204424506661589</v>
      </c>
      <c r="H139">
        <f t="shared" si="70"/>
        <v>0.31498651965530478</v>
      </c>
      <c r="I139">
        <f t="shared" si="71"/>
        <v>0.31498651965530494</v>
      </c>
      <c r="J139">
        <f t="shared" si="119"/>
        <v>2.0211016429028311E+20</v>
      </c>
      <c r="K139">
        <f t="shared" si="120"/>
        <v>2.0211016429028311E+20</v>
      </c>
      <c r="L139">
        <f t="shared" si="75"/>
        <v>1</v>
      </c>
      <c r="M139">
        <f t="shared" si="72"/>
        <v>2.8211502029236344E-20</v>
      </c>
      <c r="N139" s="9">
        <f t="shared" si="121"/>
        <v>2.8211502029236344E-20</v>
      </c>
      <c r="O139">
        <f t="shared" si="122"/>
        <v>2.8211502029236344E-20</v>
      </c>
      <c r="Q139">
        <f t="shared" si="76"/>
        <v>46.755344590408747</v>
      </c>
      <c r="R139">
        <f t="shared" si="77"/>
        <v>0</v>
      </c>
      <c r="S139">
        <f t="shared" si="99"/>
        <v>-45.01455718471145</v>
      </c>
      <c r="T139" s="9" t="e">
        <f t="shared" si="78"/>
        <v>#N/A</v>
      </c>
      <c r="U139">
        <f t="shared" si="100"/>
        <v>-1.0000000000000001E+300</v>
      </c>
      <c r="V139">
        <f t="shared" si="101"/>
        <v>0</v>
      </c>
      <c r="W139">
        <f t="shared" si="102"/>
        <v>0</v>
      </c>
      <c r="X139">
        <f t="shared" si="79"/>
        <v>2.8211502029236342</v>
      </c>
      <c r="Y139">
        <f t="shared" si="80"/>
        <v>7.8539816339744828</v>
      </c>
      <c r="Z139">
        <f t="shared" si="81"/>
        <v>-2.8211502029236342</v>
      </c>
      <c r="AA139">
        <f t="shared" si="103"/>
        <v>8.5004995926920586</v>
      </c>
      <c r="AB139">
        <f t="shared" si="82"/>
        <v>16.354481226666543</v>
      </c>
      <c r="AC139">
        <f t="shared" si="104"/>
        <v>0.58556196988000786</v>
      </c>
      <c r="AD139">
        <f t="shared" si="83"/>
        <v>1.1552254358172893</v>
      </c>
      <c r="AE139" s="9">
        <f t="shared" si="105"/>
        <v>18.09526863236384</v>
      </c>
      <c r="AF139">
        <f t="shared" si="106"/>
        <v>0</v>
      </c>
      <c r="AH139">
        <f t="shared" si="84"/>
        <v>7.8539816339744828</v>
      </c>
      <c r="AI139">
        <f t="shared" si="85"/>
        <v>8.5004995926920621</v>
      </c>
      <c r="AJ139">
        <f t="shared" si="86"/>
        <v>0.58556196988001119</v>
      </c>
      <c r="AK139">
        <f t="shared" si="87"/>
        <v>1.1552254358172893</v>
      </c>
      <c r="AL139" s="9">
        <f t="shared" si="107"/>
        <v>18.095268632363844</v>
      </c>
      <c r="AM139" t="e">
        <f t="shared" si="88"/>
        <v>#N/A</v>
      </c>
      <c r="AN139" t="e">
        <f t="shared" si="108"/>
        <v>#N/A</v>
      </c>
      <c r="AO139">
        <f t="shared" si="89"/>
        <v>0</v>
      </c>
      <c r="AP139">
        <f t="shared" si="90"/>
        <v>0</v>
      </c>
      <c r="AQ139">
        <f t="shared" si="91"/>
        <v>3.3306690738754696E-15</v>
      </c>
      <c r="AR139">
        <f t="shared" si="109"/>
        <v>0</v>
      </c>
      <c r="AS139">
        <f t="shared" si="92"/>
        <v>0</v>
      </c>
      <c r="AT139">
        <f t="shared" si="110"/>
        <v>0</v>
      </c>
      <c r="AU139">
        <f t="shared" si="111"/>
        <v>0</v>
      </c>
      <c r="AV139">
        <f t="shared" si="93"/>
        <v>2.8211502029236337E-20</v>
      </c>
      <c r="AW139" t="b">
        <f t="shared" si="112"/>
        <v>1</v>
      </c>
      <c r="AX139">
        <f t="shared" si="94"/>
        <v>7.8539816339744828</v>
      </c>
      <c r="AY139">
        <f t="shared" si="95"/>
        <v>8.5004995926920568</v>
      </c>
      <c r="AZ139">
        <f t="shared" si="96"/>
        <v>0.58556196988000775</v>
      </c>
      <c r="BA139">
        <f t="shared" si="97"/>
        <v>1.1552254358172889</v>
      </c>
      <c r="BB139">
        <f t="shared" si="98"/>
        <v>-1.2337005501361696E-20</v>
      </c>
      <c r="BD139" s="15">
        <f t="shared" si="113"/>
        <v>18.095268632363837</v>
      </c>
      <c r="BE139" s="10">
        <f t="shared" si="114"/>
        <v>0</v>
      </c>
      <c r="BF139">
        <f t="shared" si="115"/>
        <v>0</v>
      </c>
      <c r="BG139">
        <f t="shared" si="116"/>
        <v>0</v>
      </c>
      <c r="BH139">
        <f t="shared" si="117"/>
        <v>0</v>
      </c>
      <c r="BI139">
        <f t="shared" si="118"/>
        <v>0</v>
      </c>
    </row>
    <row r="140" spans="1:61" x14ac:dyDescent="0.3">
      <c r="A140">
        <f t="shared" si="123"/>
        <v>0.10299999999999999</v>
      </c>
      <c r="B140">
        <f t="shared" si="66"/>
        <v>0.32358404331974866</v>
      </c>
      <c r="C140">
        <f t="shared" si="67"/>
        <v>2.8180086102700446</v>
      </c>
      <c r="D140">
        <f t="shared" si="68"/>
        <v>2.8180086102700446</v>
      </c>
      <c r="E140">
        <f t="shared" si="73"/>
        <v>0.31796663383241092</v>
      </c>
      <c r="F140">
        <f t="shared" si="74"/>
        <v>0.31796663383241092</v>
      </c>
      <c r="G140">
        <f t="shared" si="69"/>
        <v>0.32358404331974866</v>
      </c>
      <c r="H140">
        <f t="shared" si="70"/>
        <v>0.31796663383241092</v>
      </c>
      <c r="I140">
        <f t="shared" si="71"/>
        <v>0.31796663383241092</v>
      </c>
      <c r="J140">
        <f t="shared" si="119"/>
        <v>2.0021590463580573E+20</v>
      </c>
      <c r="K140">
        <f t="shared" si="120"/>
        <v>2.0021590463580573E+20</v>
      </c>
      <c r="L140">
        <f t="shared" si="75"/>
        <v>1</v>
      </c>
      <c r="M140">
        <f t="shared" si="72"/>
        <v>2.8180086102700444E-20</v>
      </c>
      <c r="N140" s="9">
        <f t="shared" si="121"/>
        <v>2.8180086102700444E-20</v>
      </c>
      <c r="O140">
        <f t="shared" si="122"/>
        <v>2.8180086102700444E-20</v>
      </c>
      <c r="Q140">
        <f t="shared" si="76"/>
        <v>46.745927981353752</v>
      </c>
      <c r="R140">
        <f t="shared" si="77"/>
        <v>0</v>
      </c>
      <c r="S140">
        <f t="shared" si="99"/>
        <v>-45.015671390954857</v>
      </c>
      <c r="T140" s="9" t="e">
        <f t="shared" si="78"/>
        <v>#N/A</v>
      </c>
      <c r="U140">
        <f t="shared" si="100"/>
        <v>-1.0000000000000001E+300</v>
      </c>
      <c r="V140">
        <f t="shared" si="101"/>
        <v>0</v>
      </c>
      <c r="W140">
        <f t="shared" si="102"/>
        <v>0</v>
      </c>
      <c r="X140">
        <f t="shared" si="79"/>
        <v>2.8180086102700446</v>
      </c>
      <c r="Y140">
        <f t="shared" si="80"/>
        <v>7.8539816339744828</v>
      </c>
      <c r="Z140">
        <f t="shared" si="81"/>
        <v>-2.8180086102700446</v>
      </c>
      <c r="AA140">
        <f t="shared" si="103"/>
        <v>8.4026405405895961</v>
      </c>
      <c r="AB140">
        <f t="shared" si="82"/>
        <v>16.256622174564079</v>
      </c>
      <c r="AC140">
        <f t="shared" si="104"/>
        <v>0.58444776363660444</v>
      </c>
      <c r="AD140">
        <f t="shared" si="83"/>
        <v>1.1458088267622906</v>
      </c>
      <c r="AE140" s="9">
        <f t="shared" si="105"/>
        <v>17.986878764962974</v>
      </c>
      <c r="AF140">
        <f t="shared" si="106"/>
        <v>0</v>
      </c>
      <c r="AH140">
        <f t="shared" si="84"/>
        <v>7.8539816339744828</v>
      </c>
      <c r="AI140">
        <f t="shared" si="85"/>
        <v>8.4026405405895943</v>
      </c>
      <c r="AJ140">
        <f t="shared" si="86"/>
        <v>0.58444776363660367</v>
      </c>
      <c r="AK140">
        <f t="shared" si="87"/>
        <v>1.1458088267622906</v>
      </c>
      <c r="AL140" s="9">
        <f t="shared" si="107"/>
        <v>17.986878764962974</v>
      </c>
      <c r="AM140" t="e">
        <f t="shared" si="88"/>
        <v>#N/A</v>
      </c>
      <c r="AN140" t="e">
        <f t="shared" si="108"/>
        <v>#N/A</v>
      </c>
      <c r="AO140">
        <f t="shared" si="89"/>
        <v>0</v>
      </c>
      <c r="AP140">
        <f t="shared" si="90"/>
        <v>0</v>
      </c>
      <c r="AQ140">
        <f t="shared" si="91"/>
        <v>0</v>
      </c>
      <c r="AR140">
        <f t="shared" si="109"/>
        <v>0</v>
      </c>
      <c r="AS140">
        <f t="shared" si="92"/>
        <v>0</v>
      </c>
      <c r="AT140">
        <f t="shared" si="110"/>
        <v>0</v>
      </c>
      <c r="AU140">
        <f t="shared" si="111"/>
        <v>0</v>
      </c>
      <c r="AV140">
        <f t="shared" si="93"/>
        <v>2.8180086102700444E-20</v>
      </c>
      <c r="AW140" t="b">
        <f t="shared" si="112"/>
        <v>1</v>
      </c>
      <c r="AX140">
        <f t="shared" si="94"/>
        <v>7.8539816339744828</v>
      </c>
      <c r="AY140">
        <f t="shared" si="95"/>
        <v>8.4026405405895943</v>
      </c>
      <c r="AZ140">
        <f t="shared" si="96"/>
        <v>0.58444776363660456</v>
      </c>
      <c r="BA140">
        <f t="shared" si="97"/>
        <v>1.1458088267622906</v>
      </c>
      <c r="BB140">
        <f t="shared" si="98"/>
        <v>-1.2337005501361696E-20</v>
      </c>
      <c r="BD140" s="15">
        <f t="shared" si="113"/>
        <v>17.986878764962974</v>
      </c>
      <c r="BE140" s="10">
        <f t="shared" si="114"/>
        <v>0</v>
      </c>
      <c r="BF140">
        <f t="shared" si="115"/>
        <v>0</v>
      </c>
      <c r="BG140">
        <f t="shared" si="116"/>
        <v>0</v>
      </c>
      <c r="BH140">
        <f t="shared" si="117"/>
        <v>0</v>
      </c>
      <c r="BI140">
        <f t="shared" si="118"/>
        <v>0</v>
      </c>
    </row>
    <row r="141" spans="1:61" x14ac:dyDescent="0.3">
      <c r="A141">
        <f t="shared" si="123"/>
        <v>0.104</v>
      </c>
      <c r="B141">
        <f t="shared" si="66"/>
        <v>0.32672563597333848</v>
      </c>
      <c r="C141">
        <f t="shared" si="67"/>
        <v>2.8148670176164545</v>
      </c>
      <c r="D141">
        <f t="shared" si="68"/>
        <v>2.8148670176164545</v>
      </c>
      <c r="E141">
        <f t="shared" si="73"/>
        <v>0.32094360980720948</v>
      </c>
      <c r="F141">
        <f t="shared" si="74"/>
        <v>0.32094360980720971</v>
      </c>
      <c r="G141">
        <f t="shared" si="69"/>
        <v>0.32672563597333848</v>
      </c>
      <c r="H141">
        <f t="shared" si="70"/>
        <v>0.32094360980720948</v>
      </c>
      <c r="I141">
        <f t="shared" si="71"/>
        <v>0.32094360980720971</v>
      </c>
      <c r="J141">
        <f t="shared" si="119"/>
        <v>1.9835876238508016E+20</v>
      </c>
      <c r="K141">
        <f t="shared" si="120"/>
        <v>1.9835876238508016E+20</v>
      </c>
      <c r="L141" t="e">
        <f t="shared" si="75"/>
        <v>#NUM!</v>
      </c>
      <c r="M141">
        <f t="shared" si="72"/>
        <v>2.8148670176164544E-20</v>
      </c>
      <c r="N141" s="9" t="e">
        <f t="shared" si="121"/>
        <v>#NUM!</v>
      </c>
      <c r="O141" t="e">
        <f t="shared" si="122"/>
        <v>#NUM!</v>
      </c>
      <c r="Q141">
        <f t="shared" si="76"/>
        <v>46.736608996257957</v>
      </c>
      <c r="R141">
        <f t="shared" si="77"/>
        <v>0</v>
      </c>
      <c r="S141">
        <f t="shared" si="99"/>
        <v>-45.016786840038719</v>
      </c>
      <c r="T141" s="9" t="e">
        <f t="shared" si="78"/>
        <v>#N/A</v>
      </c>
      <c r="U141">
        <f t="shared" si="100"/>
        <v>-1.0000000000000001E+300</v>
      </c>
      <c r="V141">
        <f t="shared" si="101"/>
        <v>0</v>
      </c>
      <c r="W141">
        <f t="shared" si="102"/>
        <v>0</v>
      </c>
      <c r="X141">
        <f t="shared" si="79"/>
        <v>2.8148670176164545</v>
      </c>
      <c r="Y141">
        <f t="shared" si="80"/>
        <v>7.8539816339744828</v>
      </c>
      <c r="Z141">
        <f t="shared" si="81"/>
        <v>-2.8148670176164545</v>
      </c>
      <c r="AA141">
        <f t="shared" si="103"/>
        <v>8.3066174234520229</v>
      </c>
      <c r="AB141">
        <f t="shared" si="82"/>
        <v>16.160599057426506</v>
      </c>
      <c r="AC141">
        <f t="shared" si="104"/>
        <v>0.58333231455273871</v>
      </c>
      <c r="AD141">
        <f t="shared" si="83"/>
        <v>1.136489841666495</v>
      </c>
      <c r="AE141" s="9">
        <f t="shared" si="105"/>
        <v>17.880421213645739</v>
      </c>
      <c r="AF141">
        <f t="shared" si="106"/>
        <v>0</v>
      </c>
      <c r="AH141">
        <f t="shared" si="84"/>
        <v>7.8539816339744828</v>
      </c>
      <c r="AI141">
        <f t="shared" si="85"/>
        <v>8.3066174234520265</v>
      </c>
      <c r="AJ141">
        <f t="shared" si="86"/>
        <v>0.58333231455274159</v>
      </c>
      <c r="AK141">
        <f t="shared" si="87"/>
        <v>1.136489841666495</v>
      </c>
      <c r="AL141" s="9">
        <f t="shared" si="107"/>
        <v>17.880421213645747</v>
      </c>
      <c r="AM141" t="e">
        <f t="shared" si="88"/>
        <v>#N/A</v>
      </c>
      <c r="AN141" t="e">
        <f t="shared" si="108"/>
        <v>#N/A</v>
      </c>
      <c r="AO141">
        <f t="shared" si="89"/>
        <v>0</v>
      </c>
      <c r="AP141">
        <f t="shared" si="90"/>
        <v>0</v>
      </c>
      <c r="AQ141">
        <f t="shared" si="91"/>
        <v>2.886579864025407E-15</v>
      </c>
      <c r="AR141">
        <f t="shared" si="109"/>
        <v>0</v>
      </c>
      <c r="AS141">
        <f t="shared" si="92"/>
        <v>0</v>
      </c>
      <c r="AT141">
        <f t="shared" si="110"/>
        <v>0</v>
      </c>
      <c r="AU141">
        <f t="shared" si="111"/>
        <v>0</v>
      </c>
      <c r="AV141">
        <f t="shared" si="93"/>
        <v>2.8148670176164544E-20</v>
      </c>
      <c r="AW141" t="b">
        <f t="shared" si="112"/>
        <v>1</v>
      </c>
      <c r="AX141">
        <f t="shared" si="94"/>
        <v>7.8539816339744828</v>
      </c>
      <c r="AY141">
        <f t="shared" si="95"/>
        <v>8.3066174234520194</v>
      </c>
      <c r="AZ141">
        <f t="shared" si="96"/>
        <v>0.58333231455273871</v>
      </c>
      <c r="BA141">
        <f t="shared" si="97"/>
        <v>1.1364898416664944</v>
      </c>
      <c r="BB141">
        <f t="shared" si="98"/>
        <v>-1.2337005501361696E-20</v>
      </c>
      <c r="BD141" s="15">
        <f t="shared" si="113"/>
        <v>17.880421213645736</v>
      </c>
      <c r="BE141" s="10">
        <f t="shared" si="114"/>
        <v>0</v>
      </c>
      <c r="BF141">
        <f t="shared" si="115"/>
        <v>0</v>
      </c>
      <c r="BG141">
        <f t="shared" si="116"/>
        <v>0</v>
      </c>
      <c r="BH141">
        <f t="shared" si="117"/>
        <v>0</v>
      </c>
      <c r="BI141">
        <f t="shared" si="118"/>
        <v>0</v>
      </c>
    </row>
    <row r="142" spans="1:61" x14ac:dyDescent="0.3">
      <c r="A142">
        <f t="shared" si="123"/>
        <v>0.105</v>
      </c>
      <c r="B142">
        <f t="shared" si="66"/>
        <v>0.32986722862692824</v>
      </c>
      <c r="C142">
        <f t="shared" si="67"/>
        <v>2.8117254249628649</v>
      </c>
      <c r="D142">
        <f t="shared" si="68"/>
        <v>2.8117254249628649</v>
      </c>
      <c r="E142">
        <f t="shared" si="73"/>
        <v>0.3239174181981494</v>
      </c>
      <c r="F142">
        <f t="shared" si="74"/>
        <v>0.32391741819814945</v>
      </c>
      <c r="G142">
        <f t="shared" si="69"/>
        <v>0.32986722862692824</v>
      </c>
      <c r="H142">
        <f t="shared" si="70"/>
        <v>0.3239174181981494</v>
      </c>
      <c r="I142">
        <f t="shared" si="71"/>
        <v>0.32391741819814945</v>
      </c>
      <c r="J142">
        <f t="shared" si="119"/>
        <v>1.9653767800104629E+20</v>
      </c>
      <c r="K142">
        <f t="shared" si="120"/>
        <v>1.9653767800104629E+20</v>
      </c>
      <c r="L142">
        <f t="shared" si="75"/>
        <v>1</v>
      </c>
      <c r="M142">
        <f t="shared" si="72"/>
        <v>2.8117254249628645E-20</v>
      </c>
      <c r="N142" s="9">
        <f t="shared" si="121"/>
        <v>2.8117254249628645E-20</v>
      </c>
      <c r="O142">
        <f t="shared" si="122"/>
        <v>2.8117254249628645E-20</v>
      </c>
      <c r="Q142">
        <f t="shared" si="76"/>
        <v>46.727385832373706</v>
      </c>
      <c r="R142">
        <f t="shared" si="77"/>
        <v>-710542.73576010019</v>
      </c>
      <c r="S142">
        <f t="shared" si="99"/>
        <v>-45.017903534738792</v>
      </c>
      <c r="T142" s="9" t="e">
        <f t="shared" si="78"/>
        <v>#N/A</v>
      </c>
      <c r="U142">
        <f t="shared" si="100"/>
        <v>-1.0000000000000001E+300</v>
      </c>
      <c r="V142">
        <f t="shared" si="101"/>
        <v>0</v>
      </c>
      <c r="W142">
        <f t="shared" si="102"/>
        <v>0</v>
      </c>
      <c r="X142">
        <f t="shared" si="79"/>
        <v>2.8117254249628649</v>
      </c>
      <c r="Y142">
        <f t="shared" si="80"/>
        <v>7.8539816339744828</v>
      </c>
      <c r="Z142">
        <f t="shared" si="81"/>
        <v>-2.8117254249628649</v>
      </c>
      <c r="AA142">
        <f t="shared" si="103"/>
        <v>8.2123779338511724</v>
      </c>
      <c r="AB142">
        <f t="shared" si="82"/>
        <v>16.066359567825657</v>
      </c>
      <c r="AC142">
        <f t="shared" si="104"/>
        <v>0.58221561985266368</v>
      </c>
      <c r="AD142">
        <f t="shared" si="83"/>
        <v>1.1272666777822489</v>
      </c>
      <c r="AE142" s="9">
        <f t="shared" si="105"/>
        <v>17.775841865460571</v>
      </c>
      <c r="AF142">
        <f t="shared" si="106"/>
        <v>0</v>
      </c>
      <c r="AH142">
        <f t="shared" si="84"/>
        <v>7.8539816339744828</v>
      </c>
      <c r="AI142">
        <f t="shared" si="85"/>
        <v>8.2123779338511742</v>
      </c>
      <c r="AJ142">
        <f t="shared" si="86"/>
        <v>0.58221561985266845</v>
      </c>
      <c r="AK142">
        <f t="shared" si="87"/>
        <v>1.1272666777822489</v>
      </c>
      <c r="AL142" s="9">
        <f t="shared" si="107"/>
        <v>17.775841865460574</v>
      </c>
      <c r="AM142" t="e">
        <f t="shared" si="88"/>
        <v>#N/A</v>
      </c>
      <c r="AN142" t="e">
        <f t="shared" si="108"/>
        <v>#N/A</v>
      </c>
      <c r="AO142">
        <f t="shared" si="89"/>
        <v>0</v>
      </c>
      <c r="AP142">
        <f t="shared" si="90"/>
        <v>0</v>
      </c>
      <c r="AQ142">
        <f t="shared" si="91"/>
        <v>4.7739590058881731E-15</v>
      </c>
      <c r="AR142">
        <f t="shared" si="109"/>
        <v>0</v>
      </c>
      <c r="AS142">
        <f t="shared" si="92"/>
        <v>0</v>
      </c>
      <c r="AT142">
        <f t="shared" si="110"/>
        <v>0</v>
      </c>
      <c r="AU142">
        <f t="shared" si="111"/>
        <v>0</v>
      </c>
      <c r="AV142">
        <f t="shared" si="93"/>
        <v>2.8117254249628651E-20</v>
      </c>
      <c r="AW142" t="b">
        <f t="shared" si="112"/>
        <v>1</v>
      </c>
      <c r="AX142">
        <f t="shared" si="94"/>
        <v>7.8539816339744828</v>
      </c>
      <c r="AY142">
        <f t="shared" si="95"/>
        <v>8.2123779338511724</v>
      </c>
      <c r="AZ142">
        <f t="shared" si="96"/>
        <v>0.58221561985266379</v>
      </c>
      <c r="BA142">
        <f t="shared" si="97"/>
        <v>1.1272666777822489</v>
      </c>
      <c r="BB142">
        <f t="shared" si="98"/>
        <v>-1.2337005501361696E-20</v>
      </c>
      <c r="BD142" s="15">
        <f t="shared" si="113"/>
        <v>17.775841865460571</v>
      </c>
      <c r="BE142" s="10">
        <f t="shared" si="114"/>
        <v>0</v>
      </c>
      <c r="BF142">
        <f t="shared" si="115"/>
        <v>0</v>
      </c>
      <c r="BG142">
        <f t="shared" si="116"/>
        <v>0</v>
      </c>
      <c r="BH142">
        <f t="shared" si="117"/>
        <v>0</v>
      </c>
      <c r="BI142">
        <f t="shared" si="118"/>
        <v>0</v>
      </c>
    </row>
    <row r="143" spans="1:61" x14ac:dyDescent="0.3">
      <c r="A143">
        <f t="shared" si="123"/>
        <v>0.106</v>
      </c>
      <c r="B143">
        <f t="shared" si="66"/>
        <v>0.33300882128051806</v>
      </c>
      <c r="C143">
        <f t="shared" si="67"/>
        <v>2.8085838323092749</v>
      </c>
      <c r="D143">
        <f t="shared" si="68"/>
        <v>2.8085838323092749</v>
      </c>
      <c r="E143">
        <f t="shared" si="73"/>
        <v>0.32688802965494246</v>
      </c>
      <c r="F143">
        <f t="shared" si="74"/>
        <v>0.32688802965494274</v>
      </c>
      <c r="G143">
        <f t="shared" si="69"/>
        <v>0.33300882128051806</v>
      </c>
      <c r="H143">
        <f t="shared" si="70"/>
        <v>0.32688802965494246</v>
      </c>
      <c r="I143">
        <f t="shared" si="71"/>
        <v>0.32688802965494274</v>
      </c>
      <c r="J143">
        <f t="shared" si="119"/>
        <v>1.9475163193940954E+20</v>
      </c>
      <c r="K143">
        <f t="shared" si="120"/>
        <v>1.9475163193940954E+20</v>
      </c>
      <c r="L143">
        <f t="shared" si="75"/>
        <v>1</v>
      </c>
      <c r="M143">
        <f t="shared" si="72"/>
        <v>2.8085838323092751E-20</v>
      </c>
      <c r="N143" s="9">
        <f t="shared" si="121"/>
        <v>2.8085838323092751E-20</v>
      </c>
      <c r="O143">
        <f t="shared" si="122"/>
        <v>2.8085838323092751E-20</v>
      </c>
      <c r="Q143">
        <f t="shared" si="76"/>
        <v>46.718256738271776</v>
      </c>
      <c r="R143">
        <f t="shared" si="77"/>
        <v>0</v>
      </c>
      <c r="S143">
        <f t="shared" si="99"/>
        <v>-45.019021477840134</v>
      </c>
      <c r="T143" s="9" t="e">
        <f t="shared" si="78"/>
        <v>#N/A</v>
      </c>
      <c r="U143">
        <f t="shared" si="100"/>
        <v>-1.0000000000000001E+300</v>
      </c>
      <c r="V143">
        <f t="shared" si="101"/>
        <v>0</v>
      </c>
      <c r="W143">
        <f t="shared" si="102"/>
        <v>0</v>
      </c>
      <c r="X143">
        <f t="shared" si="79"/>
        <v>2.8085838323092749</v>
      </c>
      <c r="Y143">
        <f t="shared" si="80"/>
        <v>7.8539816339744828</v>
      </c>
      <c r="Z143">
        <f t="shared" si="81"/>
        <v>-2.8085838323092749</v>
      </c>
      <c r="AA143">
        <f t="shared" si="103"/>
        <v>8.1198717379290564</v>
      </c>
      <c r="AB143">
        <f t="shared" si="82"/>
        <v>15.973853371903539</v>
      </c>
      <c r="AC143">
        <f t="shared" si="104"/>
        <v>0.58109767675132229</v>
      </c>
      <c r="AD143">
        <f t="shared" si="83"/>
        <v>1.1181375836803187</v>
      </c>
      <c r="AE143" s="9">
        <f t="shared" si="105"/>
        <v>17.67308863233518</v>
      </c>
      <c r="AF143">
        <f t="shared" si="106"/>
        <v>0</v>
      </c>
      <c r="AH143">
        <f t="shared" si="84"/>
        <v>7.8539816339744828</v>
      </c>
      <c r="AI143">
        <f t="shared" si="85"/>
        <v>8.1198717379290617</v>
      </c>
      <c r="AJ143">
        <f t="shared" si="86"/>
        <v>0.58109767675132673</v>
      </c>
      <c r="AK143">
        <f t="shared" si="87"/>
        <v>1.1181375836803187</v>
      </c>
      <c r="AL143" s="9">
        <f t="shared" si="107"/>
        <v>17.67308863233519</v>
      </c>
      <c r="AM143" t="e">
        <f t="shared" si="88"/>
        <v>#N/A</v>
      </c>
      <c r="AN143" t="e">
        <f t="shared" si="108"/>
        <v>#N/A</v>
      </c>
      <c r="AO143">
        <f t="shared" si="89"/>
        <v>0</v>
      </c>
      <c r="AP143">
        <f t="shared" si="90"/>
        <v>0</v>
      </c>
      <c r="AQ143">
        <f t="shared" si="91"/>
        <v>4.4408920985006262E-15</v>
      </c>
      <c r="AR143">
        <f t="shared" si="109"/>
        <v>0</v>
      </c>
      <c r="AS143">
        <f t="shared" si="92"/>
        <v>0</v>
      </c>
      <c r="AT143">
        <f t="shared" si="110"/>
        <v>0</v>
      </c>
      <c r="AU143">
        <f t="shared" si="111"/>
        <v>0</v>
      </c>
      <c r="AV143">
        <f t="shared" si="93"/>
        <v>2.8085838323092745E-20</v>
      </c>
      <c r="AW143" t="b">
        <f t="shared" si="112"/>
        <v>1</v>
      </c>
      <c r="AX143">
        <f t="shared" si="94"/>
        <v>7.8539816339744828</v>
      </c>
      <c r="AY143">
        <f t="shared" si="95"/>
        <v>8.1198717379290546</v>
      </c>
      <c r="AZ143">
        <f t="shared" si="96"/>
        <v>0.58109767675132229</v>
      </c>
      <c r="BA143">
        <f t="shared" si="97"/>
        <v>1.1181375836803178</v>
      </c>
      <c r="BB143">
        <f t="shared" si="98"/>
        <v>-1.2337005501361696E-20</v>
      </c>
      <c r="BD143" s="15">
        <f t="shared" si="113"/>
        <v>17.67308863233518</v>
      </c>
      <c r="BE143" s="10">
        <f t="shared" si="114"/>
        <v>0</v>
      </c>
      <c r="BF143">
        <f t="shared" si="115"/>
        <v>0</v>
      </c>
      <c r="BG143">
        <f t="shared" si="116"/>
        <v>0</v>
      </c>
      <c r="BH143">
        <f t="shared" si="117"/>
        <v>0</v>
      </c>
      <c r="BI143">
        <f t="shared" si="118"/>
        <v>0</v>
      </c>
    </row>
    <row r="144" spans="1:61" x14ac:dyDescent="0.3">
      <c r="A144">
        <f t="shared" si="123"/>
        <v>0.107</v>
      </c>
      <c r="B144">
        <f t="shared" si="66"/>
        <v>0.33615041393410788</v>
      </c>
      <c r="C144">
        <f t="shared" si="67"/>
        <v>2.8054422396556853</v>
      </c>
      <c r="D144">
        <f t="shared" si="68"/>
        <v>2.8054422396556853</v>
      </c>
      <c r="E144">
        <f t="shared" si="73"/>
        <v>0.32985541485885289</v>
      </c>
      <c r="F144">
        <f t="shared" si="74"/>
        <v>0.32985541485885295</v>
      </c>
      <c r="G144">
        <f t="shared" si="69"/>
        <v>0.33615041393410788</v>
      </c>
      <c r="H144">
        <f t="shared" si="70"/>
        <v>0.32985541485885289</v>
      </c>
      <c r="I144">
        <f t="shared" si="71"/>
        <v>0.32985541485885295</v>
      </c>
      <c r="J144">
        <f t="shared" si="119"/>
        <v>1.9299964277985093E+20</v>
      </c>
      <c r="K144">
        <f t="shared" si="120"/>
        <v>1.9299964277985093E+20</v>
      </c>
      <c r="L144">
        <f t="shared" si="75"/>
        <v>1</v>
      </c>
      <c r="M144">
        <f t="shared" si="72"/>
        <v>2.8054422396556851E-20</v>
      </c>
      <c r="N144" s="9">
        <f t="shared" si="121"/>
        <v>2.8054422396556851E-20</v>
      </c>
      <c r="O144">
        <f t="shared" si="122"/>
        <v>2.8054422396556851E-20</v>
      </c>
      <c r="Q144">
        <f t="shared" si="76"/>
        <v>46.709220011914397</v>
      </c>
      <c r="R144">
        <f t="shared" si="77"/>
        <v>0</v>
      </c>
      <c r="S144">
        <f t="shared" si="99"/>
        <v>-45.020140672137153</v>
      </c>
      <c r="T144" s="9" t="e">
        <f t="shared" si="78"/>
        <v>#N/A</v>
      </c>
      <c r="U144">
        <f t="shared" si="100"/>
        <v>-1.0000000000000001E+300</v>
      </c>
      <c r="V144">
        <f t="shared" si="101"/>
        <v>0</v>
      </c>
      <c r="W144">
        <f t="shared" si="102"/>
        <v>0</v>
      </c>
      <c r="X144">
        <f t="shared" si="79"/>
        <v>2.8054422396556853</v>
      </c>
      <c r="Y144">
        <f t="shared" si="80"/>
        <v>7.8539816339744828</v>
      </c>
      <c r="Z144">
        <f t="shared" si="81"/>
        <v>-2.8054422396556853</v>
      </c>
      <c r="AA144">
        <f t="shared" si="103"/>
        <v>8.0290503831764575</v>
      </c>
      <c r="AB144">
        <f t="shared" si="82"/>
        <v>15.88303201715094</v>
      </c>
      <c r="AC144">
        <f t="shared" si="104"/>
        <v>0.57997848245430728</v>
      </c>
      <c r="AD144">
        <f t="shared" si="83"/>
        <v>1.1091008573229346</v>
      </c>
      <c r="AE144" s="9">
        <f t="shared" si="105"/>
        <v>17.572111356928183</v>
      </c>
      <c r="AF144">
        <f t="shared" si="106"/>
        <v>0</v>
      </c>
      <c r="AH144">
        <f t="shared" si="84"/>
        <v>7.8539816339744828</v>
      </c>
      <c r="AI144">
        <f t="shared" si="85"/>
        <v>8.0290503831764592</v>
      </c>
      <c r="AJ144">
        <f t="shared" si="86"/>
        <v>0.57997848245430816</v>
      </c>
      <c r="AK144">
        <f t="shared" si="87"/>
        <v>1.1091008573229346</v>
      </c>
      <c r="AL144" s="9">
        <f t="shared" si="107"/>
        <v>17.572111356928186</v>
      </c>
      <c r="AM144" t="e">
        <f t="shared" si="88"/>
        <v>#N/A</v>
      </c>
      <c r="AN144" t="e">
        <f t="shared" si="108"/>
        <v>#N/A</v>
      </c>
      <c r="AO144">
        <f t="shared" si="89"/>
        <v>0</v>
      </c>
      <c r="AP144">
        <f t="shared" si="90"/>
        <v>0</v>
      </c>
      <c r="AQ144">
        <f t="shared" si="91"/>
        <v>8.8817841970012523E-16</v>
      </c>
      <c r="AR144">
        <f t="shared" si="109"/>
        <v>0</v>
      </c>
      <c r="AS144">
        <f t="shared" si="92"/>
        <v>0</v>
      </c>
      <c r="AT144">
        <f t="shared" si="110"/>
        <v>0</v>
      </c>
      <c r="AU144">
        <f t="shared" si="111"/>
        <v>0</v>
      </c>
      <c r="AV144">
        <f t="shared" si="93"/>
        <v>2.8054422396556851E-20</v>
      </c>
      <c r="AW144" t="b">
        <f t="shared" si="112"/>
        <v>1</v>
      </c>
      <c r="AX144">
        <f t="shared" si="94"/>
        <v>7.8539816339744828</v>
      </c>
      <c r="AY144">
        <f t="shared" si="95"/>
        <v>8.0290503831764557</v>
      </c>
      <c r="AZ144">
        <f t="shared" si="96"/>
        <v>0.57997848245430728</v>
      </c>
      <c r="BA144">
        <f t="shared" si="97"/>
        <v>1.1091008573229344</v>
      </c>
      <c r="BB144">
        <f t="shared" si="98"/>
        <v>-1.2337005501361696E-20</v>
      </c>
      <c r="BD144" s="15">
        <f t="shared" si="113"/>
        <v>17.572111356928183</v>
      </c>
      <c r="BE144" s="10">
        <f t="shared" si="114"/>
        <v>0</v>
      </c>
      <c r="BF144">
        <f t="shared" si="115"/>
        <v>0</v>
      </c>
      <c r="BG144">
        <f t="shared" si="116"/>
        <v>0</v>
      </c>
      <c r="BH144">
        <f t="shared" si="117"/>
        <v>0</v>
      </c>
      <c r="BI144">
        <f t="shared" si="118"/>
        <v>0</v>
      </c>
    </row>
    <row r="145" spans="1:61" x14ac:dyDescent="0.3">
      <c r="A145">
        <f t="shared" si="123"/>
        <v>0.108</v>
      </c>
      <c r="B145">
        <f t="shared" si="66"/>
        <v>0.33929200658769765</v>
      </c>
      <c r="C145">
        <f t="shared" si="67"/>
        <v>2.8023006470020952</v>
      </c>
      <c r="D145">
        <f t="shared" si="68"/>
        <v>2.8023006470020952</v>
      </c>
      <c r="E145">
        <f t="shared" si="73"/>
        <v>0.33281954452298662</v>
      </c>
      <c r="F145">
        <f t="shared" si="74"/>
        <v>0.33281954452298695</v>
      </c>
      <c r="G145">
        <f t="shared" si="69"/>
        <v>0.33929200658769765</v>
      </c>
      <c r="H145">
        <f t="shared" si="70"/>
        <v>0.33281954452298662</v>
      </c>
      <c r="I145">
        <f t="shared" si="71"/>
        <v>0.33281954452298695</v>
      </c>
      <c r="J145">
        <f t="shared" si="119"/>
        <v>1.9128076546105976E+20</v>
      </c>
      <c r="K145">
        <f t="shared" si="120"/>
        <v>1.9128076546105976E+20</v>
      </c>
      <c r="L145">
        <f t="shared" si="75"/>
        <v>1</v>
      </c>
      <c r="M145">
        <f t="shared" si="72"/>
        <v>2.8023006470020952E-20</v>
      </c>
      <c r="N145" s="9">
        <f t="shared" si="121"/>
        <v>2.8023006470020952E-20</v>
      </c>
      <c r="O145">
        <f t="shared" si="122"/>
        <v>2.8023006470020952E-20</v>
      </c>
      <c r="Q145">
        <f t="shared" si="76"/>
        <v>46.700273998817927</v>
      </c>
      <c r="R145">
        <f t="shared" si="77"/>
        <v>0</v>
      </c>
      <c r="S145">
        <f t="shared" si="99"/>
        <v>-45.021261120433643</v>
      </c>
      <c r="T145" s="9" t="e">
        <f t="shared" si="78"/>
        <v>#N/A</v>
      </c>
      <c r="U145">
        <f t="shared" si="100"/>
        <v>-1.0000000000000001E+300</v>
      </c>
      <c r="V145">
        <f t="shared" si="101"/>
        <v>0</v>
      </c>
      <c r="W145">
        <f t="shared" si="102"/>
        <v>0</v>
      </c>
      <c r="X145">
        <f t="shared" si="79"/>
        <v>2.8023006470020952</v>
      </c>
      <c r="Y145">
        <f t="shared" si="80"/>
        <v>7.8539816339744828</v>
      </c>
      <c r="Z145">
        <f t="shared" si="81"/>
        <v>-2.8023006470020952</v>
      </c>
      <c r="AA145">
        <f t="shared" si="103"/>
        <v>7.9398672113347404</v>
      </c>
      <c r="AB145">
        <f t="shared" si="82"/>
        <v>15.793848845309224</v>
      </c>
      <c r="AC145">
        <f t="shared" si="104"/>
        <v>0.57885803415781756</v>
      </c>
      <c r="AD145">
        <f t="shared" si="83"/>
        <v>1.1001548442264648</v>
      </c>
      <c r="AE145" s="9">
        <f t="shared" si="105"/>
        <v>17.472861723693509</v>
      </c>
      <c r="AF145">
        <f t="shared" si="106"/>
        <v>0</v>
      </c>
      <c r="AH145">
        <f t="shared" si="84"/>
        <v>7.8539816339744828</v>
      </c>
      <c r="AI145">
        <f t="shared" si="85"/>
        <v>7.9398672113347475</v>
      </c>
      <c r="AJ145">
        <f t="shared" si="86"/>
        <v>0.57885803415781822</v>
      </c>
      <c r="AK145">
        <f t="shared" si="87"/>
        <v>1.1001548442264648</v>
      </c>
      <c r="AL145" s="9">
        <f t="shared" si="107"/>
        <v>17.472861723693516</v>
      </c>
      <c r="AM145" t="e">
        <f t="shared" si="88"/>
        <v>#N/A</v>
      </c>
      <c r="AN145" t="e">
        <f t="shared" si="108"/>
        <v>#N/A</v>
      </c>
      <c r="AO145">
        <f t="shared" si="89"/>
        <v>0</v>
      </c>
      <c r="AP145">
        <f t="shared" si="90"/>
        <v>7.1054273576010019E-15</v>
      </c>
      <c r="AQ145">
        <f t="shared" si="91"/>
        <v>0</v>
      </c>
      <c r="AR145">
        <f t="shared" si="109"/>
        <v>8.9490506181985999E-16</v>
      </c>
      <c r="AS145">
        <f t="shared" si="92"/>
        <v>0</v>
      </c>
      <c r="AT145">
        <f t="shared" si="110"/>
        <v>0</v>
      </c>
      <c r="AU145">
        <f t="shared" si="111"/>
        <v>0</v>
      </c>
      <c r="AV145">
        <f t="shared" si="93"/>
        <v>2.8023006470020952E-20</v>
      </c>
      <c r="AW145" t="b">
        <f t="shared" si="112"/>
        <v>1</v>
      </c>
      <c r="AX145">
        <f t="shared" si="94"/>
        <v>7.8539816339744828</v>
      </c>
      <c r="AY145">
        <f t="shared" si="95"/>
        <v>7.9398672113347386</v>
      </c>
      <c r="AZ145">
        <f t="shared" si="96"/>
        <v>0.57885803415781767</v>
      </c>
      <c r="BA145">
        <f t="shared" si="97"/>
        <v>1.1001548442264639</v>
      </c>
      <c r="BB145">
        <f t="shared" si="98"/>
        <v>-1.2337005501361696E-20</v>
      </c>
      <c r="BD145" s="15">
        <f t="shared" si="113"/>
        <v>17.472861723693502</v>
      </c>
      <c r="BE145" s="10">
        <f t="shared" si="114"/>
        <v>0</v>
      </c>
      <c r="BF145">
        <f t="shared" si="115"/>
        <v>0</v>
      </c>
      <c r="BG145">
        <f t="shared" si="116"/>
        <v>0</v>
      </c>
      <c r="BH145">
        <f t="shared" si="117"/>
        <v>0</v>
      </c>
      <c r="BI145">
        <f t="shared" si="118"/>
        <v>0</v>
      </c>
    </row>
    <row r="146" spans="1:61" x14ac:dyDescent="0.3">
      <c r="A146">
        <f t="shared" si="123"/>
        <v>0.109</v>
      </c>
      <c r="B146">
        <f t="shared" si="66"/>
        <v>0.34243359924128747</v>
      </c>
      <c r="C146">
        <f t="shared" si="67"/>
        <v>2.7991590543485056</v>
      </c>
      <c r="D146">
        <f t="shared" si="68"/>
        <v>2.7991590543485056</v>
      </c>
      <c r="E146">
        <f t="shared" si="73"/>
        <v>0.33578038939258065</v>
      </c>
      <c r="F146">
        <f t="shared" si="74"/>
        <v>0.33578038939258076</v>
      </c>
      <c r="G146">
        <f t="shared" si="69"/>
        <v>0.34243359924128747</v>
      </c>
      <c r="H146">
        <f t="shared" si="70"/>
        <v>0.33578038939258065</v>
      </c>
      <c r="I146">
        <f t="shared" si="71"/>
        <v>0.33578038939258076</v>
      </c>
      <c r="J146">
        <f t="shared" si="119"/>
        <v>1.8959408961292009E+20</v>
      </c>
      <c r="K146">
        <f t="shared" si="120"/>
        <v>1.8959408961292009E+20</v>
      </c>
      <c r="L146">
        <f t="shared" si="75"/>
        <v>0</v>
      </c>
      <c r="M146">
        <f t="shared" si="72"/>
        <v>2.7991590543485052E-20</v>
      </c>
      <c r="N146" s="9">
        <f t="shared" si="121"/>
        <v>0</v>
      </c>
      <c r="O146">
        <f t="shared" si="122"/>
        <v>0</v>
      </c>
      <c r="Q146">
        <f t="shared" si="76"/>
        <v>46.69141709030022</v>
      </c>
      <c r="R146">
        <f t="shared" si="77"/>
        <v>0</v>
      </c>
      <c r="S146">
        <f t="shared" si="99"/>
        <v>-45.022382825542842</v>
      </c>
      <c r="T146" s="9" t="e">
        <f t="shared" si="78"/>
        <v>#N/A</v>
      </c>
      <c r="U146">
        <f t="shared" si="100"/>
        <v>-1.0000000000000001E+300</v>
      </c>
      <c r="V146">
        <f t="shared" si="101"/>
        <v>0</v>
      </c>
      <c r="W146">
        <f t="shared" si="102"/>
        <v>0</v>
      </c>
      <c r="X146">
        <f t="shared" si="79"/>
        <v>2.7991590543485056</v>
      </c>
      <c r="Y146">
        <f t="shared" si="80"/>
        <v>7.8539816339744828</v>
      </c>
      <c r="Z146">
        <f t="shared" si="81"/>
        <v>-2.7991590543485056</v>
      </c>
      <c r="AA146">
        <f t="shared" si="103"/>
        <v>7.8522772760922397</v>
      </c>
      <c r="AB146">
        <f t="shared" si="82"/>
        <v>15.706258910066722</v>
      </c>
      <c r="AC146">
        <f t="shared" si="104"/>
        <v>0.5777363290486176</v>
      </c>
      <c r="AD146">
        <f t="shared" si="83"/>
        <v>1.0912979357087624</v>
      </c>
      <c r="AE146" s="9">
        <f t="shared" si="105"/>
        <v>17.375293174824105</v>
      </c>
      <c r="AF146">
        <f t="shared" si="106"/>
        <v>0</v>
      </c>
      <c r="AH146">
        <f t="shared" si="84"/>
        <v>7.8539816339744828</v>
      </c>
      <c r="AI146">
        <f t="shared" si="85"/>
        <v>7.8522772760922397</v>
      </c>
      <c r="AJ146">
        <f t="shared" si="86"/>
        <v>0.57773632904861927</v>
      </c>
      <c r="AK146">
        <f t="shared" si="87"/>
        <v>1.0912979357087624</v>
      </c>
      <c r="AL146" s="9">
        <f t="shared" si="107"/>
        <v>17.375293174824105</v>
      </c>
      <c r="AM146" t="e">
        <f t="shared" si="88"/>
        <v>#N/A</v>
      </c>
      <c r="AN146" t="e">
        <f t="shared" si="108"/>
        <v>#N/A</v>
      </c>
      <c r="AO146">
        <f t="shared" si="89"/>
        <v>0</v>
      </c>
      <c r="AP146">
        <f t="shared" si="90"/>
        <v>0</v>
      </c>
      <c r="AQ146">
        <f t="shared" si="91"/>
        <v>1.6653345369377348E-15</v>
      </c>
      <c r="AR146">
        <f t="shared" si="109"/>
        <v>0</v>
      </c>
      <c r="AS146">
        <f t="shared" si="92"/>
        <v>0</v>
      </c>
      <c r="AT146">
        <f t="shared" si="110"/>
        <v>0</v>
      </c>
      <c r="AU146">
        <f t="shared" si="111"/>
        <v>0</v>
      </c>
      <c r="AV146">
        <f t="shared" si="93"/>
        <v>2.7991590543485052E-20</v>
      </c>
      <c r="AW146" t="b">
        <f t="shared" si="112"/>
        <v>1</v>
      </c>
      <c r="AX146">
        <f t="shared" si="94"/>
        <v>7.8539816339744828</v>
      </c>
      <c r="AY146">
        <f t="shared" si="95"/>
        <v>7.852277276092237</v>
      </c>
      <c r="AZ146">
        <f t="shared" si="96"/>
        <v>0.57773632904861749</v>
      </c>
      <c r="BA146">
        <f t="shared" si="97"/>
        <v>1.091297935708762</v>
      </c>
      <c r="BB146">
        <f t="shared" si="98"/>
        <v>-1.2337005501361696E-20</v>
      </c>
      <c r="BD146" s="15">
        <f t="shared" si="113"/>
        <v>17.375293174824098</v>
      </c>
      <c r="BE146" s="10">
        <f t="shared" si="114"/>
        <v>0</v>
      </c>
      <c r="BF146">
        <f t="shared" si="115"/>
        <v>0</v>
      </c>
      <c r="BG146">
        <f t="shared" si="116"/>
        <v>0</v>
      </c>
      <c r="BH146">
        <f t="shared" si="117"/>
        <v>0</v>
      </c>
      <c r="BI146">
        <f t="shared" si="118"/>
        <v>0</v>
      </c>
    </row>
    <row r="147" spans="1:61" x14ac:dyDescent="0.3">
      <c r="A147">
        <f t="shared" si="123"/>
        <v>0.11</v>
      </c>
      <c r="B147">
        <f t="shared" si="66"/>
        <v>0.34557519189487723</v>
      </c>
      <c r="C147">
        <f t="shared" si="67"/>
        <v>2.7960174616949161</v>
      </c>
      <c r="D147">
        <f t="shared" si="68"/>
        <v>2.7960174616949161</v>
      </c>
      <c r="E147">
        <f t="shared" si="73"/>
        <v>0.33873792024529137</v>
      </c>
      <c r="F147">
        <f t="shared" si="74"/>
        <v>0.33873792024529131</v>
      </c>
      <c r="G147">
        <f t="shared" si="69"/>
        <v>0.34557519189487723</v>
      </c>
      <c r="H147">
        <f t="shared" si="70"/>
        <v>0.33873792024529137</v>
      </c>
      <c r="I147">
        <f t="shared" si="71"/>
        <v>0.33873792024529131</v>
      </c>
      <c r="J147">
        <f t="shared" si="119"/>
        <v>1.8793873797966994E+20</v>
      </c>
      <c r="K147">
        <f t="shared" si="120"/>
        <v>1.8793873797966994E+20</v>
      </c>
      <c r="L147">
        <f t="shared" si="75"/>
        <v>1</v>
      </c>
      <c r="M147">
        <f t="shared" si="72"/>
        <v>2.7960174616949159E-20</v>
      </c>
      <c r="N147" s="9">
        <f t="shared" si="121"/>
        <v>2.7960174616949159E-20</v>
      </c>
      <c r="O147">
        <f t="shared" si="122"/>
        <v>2.7960174616949159E-20</v>
      </c>
      <c r="Q147">
        <f t="shared" si="76"/>
        <v>46.68264772180801</v>
      </c>
      <c r="R147">
        <f t="shared" si="77"/>
        <v>0</v>
      </c>
      <c r="S147">
        <f t="shared" si="99"/>
        <v>-45.023505790287466</v>
      </c>
      <c r="T147" s="9" t="e">
        <f t="shared" si="78"/>
        <v>#N/A</v>
      </c>
      <c r="U147">
        <f t="shared" si="100"/>
        <v>-1.0000000000000001E+300</v>
      </c>
      <c r="V147">
        <f t="shared" si="101"/>
        <v>0</v>
      </c>
      <c r="W147">
        <f t="shared" si="102"/>
        <v>0</v>
      </c>
      <c r="X147">
        <f t="shared" si="79"/>
        <v>2.7960174616949161</v>
      </c>
      <c r="Y147">
        <f t="shared" si="80"/>
        <v>7.8539816339744828</v>
      </c>
      <c r="Z147">
        <f t="shared" si="81"/>
        <v>-2.7960174616949161</v>
      </c>
      <c r="AA147">
        <f t="shared" si="103"/>
        <v>7.7662372652697531</v>
      </c>
      <c r="AB147">
        <f t="shared" si="82"/>
        <v>15.620218899244236</v>
      </c>
      <c r="AC147">
        <f t="shared" si="104"/>
        <v>0.57661336430399379</v>
      </c>
      <c r="AD147">
        <f t="shared" si="83"/>
        <v>1.0825285672165497</v>
      </c>
      <c r="AE147" s="9">
        <f t="shared" si="105"/>
        <v>17.27936083076478</v>
      </c>
      <c r="AF147">
        <f t="shared" si="106"/>
        <v>0</v>
      </c>
      <c r="AH147">
        <f t="shared" si="84"/>
        <v>7.8539816339744828</v>
      </c>
      <c r="AI147">
        <f t="shared" si="85"/>
        <v>7.7662372652697496</v>
      </c>
      <c r="AJ147">
        <f t="shared" si="86"/>
        <v>0.57661336430399501</v>
      </c>
      <c r="AK147">
        <f t="shared" si="87"/>
        <v>1.0825285672165497</v>
      </c>
      <c r="AL147" s="9">
        <f t="shared" si="107"/>
        <v>17.279360830764777</v>
      </c>
      <c r="AM147" t="e">
        <f t="shared" si="88"/>
        <v>#N/A</v>
      </c>
      <c r="AN147" t="e">
        <f t="shared" si="108"/>
        <v>#N/A</v>
      </c>
      <c r="AO147">
        <f t="shared" si="89"/>
        <v>0</v>
      </c>
      <c r="AP147">
        <f t="shared" si="90"/>
        <v>0</v>
      </c>
      <c r="AQ147">
        <f t="shared" si="91"/>
        <v>1.2212453270876722E-15</v>
      </c>
      <c r="AR147">
        <f t="shared" si="109"/>
        <v>0</v>
      </c>
      <c r="AS147">
        <f t="shared" si="92"/>
        <v>0</v>
      </c>
      <c r="AT147">
        <f t="shared" si="110"/>
        <v>0</v>
      </c>
      <c r="AU147">
        <f t="shared" si="111"/>
        <v>0</v>
      </c>
      <c r="AV147">
        <f t="shared" si="93"/>
        <v>2.7960174616949159E-20</v>
      </c>
      <c r="AW147" t="b">
        <f t="shared" si="112"/>
        <v>1</v>
      </c>
      <c r="AX147">
        <f t="shared" si="94"/>
        <v>7.8539816339744828</v>
      </c>
      <c r="AY147">
        <f t="shared" si="95"/>
        <v>7.7662372652697504</v>
      </c>
      <c r="AZ147">
        <f t="shared" si="96"/>
        <v>0.5766133643039939</v>
      </c>
      <c r="BA147">
        <f t="shared" si="97"/>
        <v>1.0825285672165499</v>
      </c>
      <c r="BB147">
        <f t="shared" si="98"/>
        <v>-1.2337005501361696E-20</v>
      </c>
      <c r="BD147" s="15">
        <f t="shared" si="113"/>
        <v>17.279360830764777</v>
      </c>
      <c r="BE147" s="10">
        <f t="shared" si="114"/>
        <v>0</v>
      </c>
      <c r="BF147">
        <f t="shared" si="115"/>
        <v>0</v>
      </c>
      <c r="BG147">
        <f t="shared" si="116"/>
        <v>0</v>
      </c>
      <c r="BH147">
        <f t="shared" si="117"/>
        <v>0</v>
      </c>
      <c r="BI147">
        <f t="shared" si="118"/>
        <v>0</v>
      </c>
    </row>
    <row r="148" spans="1:61" x14ac:dyDescent="0.3">
      <c r="A148">
        <f t="shared" si="123"/>
        <v>0.111</v>
      </c>
      <c r="B148">
        <f t="shared" si="66"/>
        <v>0.34871678454846705</v>
      </c>
      <c r="C148">
        <f t="shared" si="67"/>
        <v>2.792875869041326</v>
      </c>
      <c r="D148">
        <f t="shared" si="68"/>
        <v>2.792875869041326</v>
      </c>
      <c r="E148">
        <f t="shared" si="73"/>
        <v>0.3416921078914833</v>
      </c>
      <c r="F148">
        <f t="shared" si="74"/>
        <v>0.34169210789148347</v>
      </c>
      <c r="G148">
        <f t="shared" si="69"/>
        <v>0.34871678454846705</v>
      </c>
      <c r="H148">
        <f t="shared" si="70"/>
        <v>0.3416921078914833</v>
      </c>
      <c r="I148">
        <f t="shared" si="71"/>
        <v>0.34169210789148347</v>
      </c>
      <c r="J148">
        <f t="shared" si="119"/>
        <v>1.8631386492829476E+20</v>
      </c>
      <c r="K148">
        <f t="shared" si="120"/>
        <v>1.8631386492829476E+20</v>
      </c>
      <c r="L148">
        <f t="shared" si="75"/>
        <v>1</v>
      </c>
      <c r="M148">
        <f t="shared" si="72"/>
        <v>2.7928758690413259E-20</v>
      </c>
      <c r="N148" s="9">
        <f t="shared" si="121"/>
        <v>2.7928758690413259E-20</v>
      </c>
      <c r="O148">
        <f t="shared" si="122"/>
        <v>2.7928758690413259E-20</v>
      </c>
      <c r="Q148">
        <f t="shared" si="76"/>
        <v>46.673964371319947</v>
      </c>
      <c r="R148">
        <f t="shared" si="77"/>
        <v>-710542.73576010019</v>
      </c>
      <c r="S148">
        <f t="shared" si="99"/>
        <v>-45.024630017499746</v>
      </c>
      <c r="T148" s="9" t="e">
        <f t="shared" si="78"/>
        <v>#N/A</v>
      </c>
      <c r="U148">
        <f t="shared" si="100"/>
        <v>-1.0000000000000001E+300</v>
      </c>
      <c r="V148">
        <f t="shared" si="101"/>
        <v>0</v>
      </c>
      <c r="W148">
        <f t="shared" si="102"/>
        <v>0</v>
      </c>
      <c r="X148">
        <f t="shared" si="79"/>
        <v>2.792875869041326</v>
      </c>
      <c r="Y148">
        <f t="shared" si="80"/>
        <v>7.8539816339744828</v>
      </c>
      <c r="Z148">
        <f t="shared" si="81"/>
        <v>-2.792875869041326</v>
      </c>
      <c r="AA148">
        <f t="shared" si="103"/>
        <v>7.6817054272123295</v>
      </c>
      <c r="AB148">
        <f t="shared" si="82"/>
        <v>15.535687061186813</v>
      </c>
      <c r="AC148">
        <f t="shared" si="104"/>
        <v>0.5754891370917129</v>
      </c>
      <c r="AD148">
        <f t="shared" si="83"/>
        <v>1.0738452167284898</v>
      </c>
      <c r="AE148" s="9">
        <f t="shared" si="105"/>
        <v>17.185021415007014</v>
      </c>
      <c r="AF148">
        <f t="shared" si="106"/>
        <v>0</v>
      </c>
      <c r="AH148">
        <f t="shared" si="84"/>
        <v>7.8539816339744828</v>
      </c>
      <c r="AI148">
        <f t="shared" si="85"/>
        <v>7.6817054272123331</v>
      </c>
      <c r="AJ148">
        <f t="shared" si="86"/>
        <v>0.57548913709171501</v>
      </c>
      <c r="AK148">
        <f t="shared" si="87"/>
        <v>1.0738452167284898</v>
      </c>
      <c r="AL148" s="9">
        <f t="shared" si="107"/>
        <v>17.185021415007022</v>
      </c>
      <c r="AM148" t="e">
        <f t="shared" si="88"/>
        <v>#N/A</v>
      </c>
      <c r="AN148" t="e">
        <f t="shared" si="108"/>
        <v>#N/A</v>
      </c>
      <c r="AO148">
        <f t="shared" si="89"/>
        <v>0</v>
      </c>
      <c r="AP148">
        <f t="shared" si="90"/>
        <v>0</v>
      </c>
      <c r="AQ148">
        <f t="shared" si="91"/>
        <v>2.1094237467877974E-15</v>
      </c>
      <c r="AR148">
        <f t="shared" si="109"/>
        <v>0</v>
      </c>
      <c r="AS148">
        <f t="shared" si="92"/>
        <v>0</v>
      </c>
      <c r="AT148">
        <f t="shared" si="110"/>
        <v>0</v>
      </c>
      <c r="AU148">
        <f t="shared" si="111"/>
        <v>0</v>
      </c>
      <c r="AV148">
        <f t="shared" si="93"/>
        <v>2.7928758690413259E-20</v>
      </c>
      <c r="AW148" t="b">
        <f t="shared" si="112"/>
        <v>1</v>
      </c>
      <c r="AX148">
        <f t="shared" si="94"/>
        <v>7.8539816339744828</v>
      </c>
      <c r="AY148">
        <f t="shared" si="95"/>
        <v>7.6817054272123277</v>
      </c>
      <c r="AZ148">
        <f t="shared" si="96"/>
        <v>0.5754891370917129</v>
      </c>
      <c r="BA148">
        <f t="shared" si="97"/>
        <v>1.0738452167284893</v>
      </c>
      <c r="BB148">
        <f t="shared" si="98"/>
        <v>-1.2337005501361696E-20</v>
      </c>
      <c r="BD148" s="15">
        <f t="shared" si="113"/>
        <v>17.185021415007011</v>
      </c>
      <c r="BE148" s="10">
        <f t="shared" si="114"/>
        <v>0</v>
      </c>
      <c r="BF148">
        <f t="shared" si="115"/>
        <v>0</v>
      </c>
      <c r="BG148">
        <f t="shared" si="116"/>
        <v>0</v>
      </c>
      <c r="BH148">
        <f t="shared" si="117"/>
        <v>0</v>
      </c>
      <c r="BI148">
        <f t="shared" si="118"/>
        <v>0</v>
      </c>
    </row>
    <row r="149" spans="1:61" x14ac:dyDescent="0.3">
      <c r="A149">
        <f t="shared" si="123"/>
        <v>0.112</v>
      </c>
      <c r="B149">
        <f t="shared" si="66"/>
        <v>0.35185837720205682</v>
      </c>
      <c r="C149">
        <f t="shared" si="67"/>
        <v>2.7897342763877364</v>
      </c>
      <c r="D149">
        <f t="shared" si="68"/>
        <v>2.7897342763877364</v>
      </c>
      <c r="E149">
        <f t="shared" si="73"/>
        <v>0.34464292317451706</v>
      </c>
      <c r="F149">
        <f t="shared" si="74"/>
        <v>0.34464292317451706</v>
      </c>
      <c r="G149">
        <f t="shared" si="69"/>
        <v>0.35185837720205682</v>
      </c>
      <c r="H149">
        <f t="shared" si="70"/>
        <v>0.34464292317451706</v>
      </c>
      <c r="I149">
        <f t="shared" si="71"/>
        <v>0.34464292317451706</v>
      </c>
      <c r="J149">
        <f t="shared" si="119"/>
        <v>1.847186550368295E+20</v>
      </c>
      <c r="K149">
        <f t="shared" si="120"/>
        <v>1.847186550368295E+20</v>
      </c>
      <c r="L149" t="e">
        <f t="shared" si="75"/>
        <v>#NUM!</v>
      </c>
      <c r="M149">
        <f t="shared" si="72"/>
        <v>2.7897342763877359E-20</v>
      </c>
      <c r="N149" s="9" t="e">
        <f t="shared" si="121"/>
        <v>#NUM!</v>
      </c>
      <c r="O149" t="e">
        <f t="shared" si="122"/>
        <v>#NUM!</v>
      </c>
      <c r="Q149">
        <f t="shared" si="76"/>
        <v>46.665365557821332</v>
      </c>
      <c r="R149">
        <f t="shared" si="77"/>
        <v>0</v>
      </c>
      <c r="S149">
        <f t="shared" si="99"/>
        <v>-45.025755510021483</v>
      </c>
      <c r="T149" s="9" t="e">
        <f t="shared" si="78"/>
        <v>#N/A</v>
      </c>
      <c r="U149">
        <f t="shared" si="100"/>
        <v>-1.0000000000000001E+300</v>
      </c>
      <c r="V149">
        <f t="shared" si="101"/>
        <v>0</v>
      </c>
      <c r="W149">
        <f t="shared" si="102"/>
        <v>0</v>
      </c>
      <c r="X149">
        <f t="shared" si="79"/>
        <v>2.7897342763877364</v>
      </c>
      <c r="Y149">
        <f t="shared" si="80"/>
        <v>7.8539816339744828</v>
      </c>
      <c r="Z149">
        <f t="shared" si="81"/>
        <v>-2.7897342763877364</v>
      </c>
      <c r="AA149">
        <f t="shared" si="103"/>
        <v>7.5986415011243595</v>
      </c>
      <c r="AB149">
        <f t="shared" si="82"/>
        <v>15.452623135098843</v>
      </c>
      <c r="AC149">
        <f t="shared" si="104"/>
        <v>0.57436364456997835</v>
      </c>
      <c r="AD149">
        <f t="shared" si="83"/>
        <v>1.0652464032298741</v>
      </c>
      <c r="AE149" s="9">
        <f t="shared" si="105"/>
        <v>17.092233182898696</v>
      </c>
      <c r="AF149">
        <f t="shared" si="106"/>
        <v>0</v>
      </c>
      <c r="AH149">
        <f t="shared" si="84"/>
        <v>7.8539816339744828</v>
      </c>
      <c r="AI149">
        <f t="shared" si="85"/>
        <v>7.598641501124356</v>
      </c>
      <c r="AJ149">
        <f t="shared" si="86"/>
        <v>0.57436364456997779</v>
      </c>
      <c r="AK149">
        <f t="shared" si="87"/>
        <v>1.0652464032298741</v>
      </c>
      <c r="AL149" s="9">
        <f t="shared" si="107"/>
        <v>17.092233182898692</v>
      </c>
      <c r="AM149" t="e">
        <f t="shared" si="88"/>
        <v>#N/A</v>
      </c>
      <c r="AN149" t="e">
        <f t="shared" si="108"/>
        <v>#N/A</v>
      </c>
      <c r="AO149">
        <f t="shared" si="89"/>
        <v>0</v>
      </c>
      <c r="AP149">
        <f t="shared" si="90"/>
        <v>0</v>
      </c>
      <c r="AQ149">
        <f t="shared" si="91"/>
        <v>0</v>
      </c>
      <c r="AR149">
        <f t="shared" si="109"/>
        <v>0</v>
      </c>
      <c r="AS149">
        <f t="shared" si="92"/>
        <v>0</v>
      </c>
      <c r="AT149">
        <f t="shared" si="110"/>
        <v>0</v>
      </c>
      <c r="AU149">
        <f t="shared" si="111"/>
        <v>0</v>
      </c>
      <c r="AV149">
        <f t="shared" si="93"/>
        <v>2.7897342763877365E-20</v>
      </c>
      <c r="AW149" t="b">
        <f t="shared" si="112"/>
        <v>1</v>
      </c>
      <c r="AX149">
        <f t="shared" si="94"/>
        <v>7.8539816339744828</v>
      </c>
      <c r="AY149">
        <f t="shared" si="95"/>
        <v>7.5986415011243578</v>
      </c>
      <c r="AZ149">
        <f t="shared" si="96"/>
        <v>0.57436364456997846</v>
      </c>
      <c r="BA149">
        <f t="shared" si="97"/>
        <v>1.0652464032298741</v>
      </c>
      <c r="BB149">
        <f t="shared" si="98"/>
        <v>-1.2337005501361696E-20</v>
      </c>
      <c r="BD149" s="15">
        <f t="shared" si="113"/>
        <v>17.092233182898692</v>
      </c>
      <c r="BE149" s="10">
        <f t="shared" si="114"/>
        <v>0</v>
      </c>
      <c r="BF149">
        <f t="shared" si="115"/>
        <v>0</v>
      </c>
      <c r="BG149">
        <f t="shared" si="116"/>
        <v>0</v>
      </c>
      <c r="BH149">
        <f t="shared" si="117"/>
        <v>0</v>
      </c>
      <c r="BI149">
        <f t="shared" si="118"/>
        <v>0</v>
      </c>
    </row>
    <row r="150" spans="1:61" x14ac:dyDescent="0.3">
      <c r="A150">
        <f t="shared" si="123"/>
        <v>0.113</v>
      </c>
      <c r="B150">
        <f t="shared" si="66"/>
        <v>0.35499996985564664</v>
      </c>
      <c r="C150">
        <f t="shared" si="67"/>
        <v>2.7865926837341464</v>
      </c>
      <c r="D150">
        <f t="shared" si="68"/>
        <v>2.7865926837341464</v>
      </c>
      <c r="E150">
        <f t="shared" si="73"/>
        <v>0.34759033697103703</v>
      </c>
      <c r="F150">
        <f t="shared" si="74"/>
        <v>0.34759033697103725</v>
      </c>
      <c r="G150">
        <f t="shared" si="69"/>
        <v>0.35499996985564664</v>
      </c>
      <c r="H150">
        <f t="shared" si="70"/>
        <v>0.34759033697103703</v>
      </c>
      <c r="I150">
        <f t="shared" si="71"/>
        <v>0.34759033697103725</v>
      </c>
      <c r="J150">
        <f t="shared" si="119"/>
        <v>1.8315232175761772E+20</v>
      </c>
      <c r="K150">
        <f t="shared" si="120"/>
        <v>1.8315232175761772E+20</v>
      </c>
      <c r="L150">
        <f t="shared" si="75"/>
        <v>1</v>
      </c>
      <c r="M150">
        <f t="shared" si="72"/>
        <v>2.7865926837341466E-20</v>
      </c>
      <c r="N150" s="9">
        <f t="shared" si="121"/>
        <v>2.7865926837341466E-20</v>
      </c>
      <c r="O150">
        <f t="shared" si="122"/>
        <v>2.7865926837341466E-20</v>
      </c>
      <c r="Q150">
        <f t="shared" si="76"/>
        <v>46.656849839846565</v>
      </c>
      <c r="R150">
        <f t="shared" si="77"/>
        <v>0</v>
      </c>
      <c r="S150">
        <f t="shared" si="99"/>
        <v>-45.026882270704071</v>
      </c>
      <c r="T150" s="9" t="e">
        <f t="shared" si="78"/>
        <v>#N/A</v>
      </c>
      <c r="U150">
        <f t="shared" si="100"/>
        <v>-1.0000000000000001E+300</v>
      </c>
      <c r="V150">
        <f t="shared" si="101"/>
        <v>0</v>
      </c>
      <c r="W150">
        <f t="shared" si="102"/>
        <v>0</v>
      </c>
      <c r="X150">
        <f t="shared" si="79"/>
        <v>2.7865926837341464</v>
      </c>
      <c r="Y150">
        <f t="shared" si="80"/>
        <v>7.8539816339744828</v>
      </c>
      <c r="Z150">
        <f t="shared" si="81"/>
        <v>-2.7865926837341464</v>
      </c>
      <c r="AA150">
        <f t="shared" si="103"/>
        <v>7.5170066511035509</v>
      </c>
      <c r="AB150">
        <f t="shared" si="82"/>
        <v>15.370988285078035</v>
      </c>
      <c r="AC150">
        <f t="shared" si="104"/>
        <v>0.5732368838873878</v>
      </c>
      <c r="AD150">
        <f t="shared" si="83"/>
        <v>1.0567306852551064</v>
      </c>
      <c r="AE150" s="9">
        <f t="shared" si="105"/>
        <v>17.000955854220528</v>
      </c>
      <c r="AF150">
        <f t="shared" si="106"/>
        <v>0</v>
      </c>
      <c r="AH150">
        <f t="shared" si="84"/>
        <v>7.8539816339744828</v>
      </c>
      <c r="AI150">
        <f t="shared" si="85"/>
        <v>7.5170066511035554</v>
      </c>
      <c r="AJ150">
        <f t="shared" si="86"/>
        <v>0.57323688388738958</v>
      </c>
      <c r="AK150">
        <f t="shared" si="87"/>
        <v>1.0567306852551064</v>
      </c>
      <c r="AL150" s="9">
        <f t="shared" si="107"/>
        <v>17.000955854220535</v>
      </c>
      <c r="AM150" t="e">
        <f t="shared" si="88"/>
        <v>#N/A</v>
      </c>
      <c r="AN150" t="e">
        <f t="shared" si="108"/>
        <v>#N/A</v>
      </c>
      <c r="AO150">
        <f t="shared" si="89"/>
        <v>0</v>
      </c>
      <c r="AP150">
        <f t="shared" si="90"/>
        <v>0</v>
      </c>
      <c r="AQ150">
        <f t="shared" si="91"/>
        <v>1.7763568394002505E-15</v>
      </c>
      <c r="AR150">
        <f t="shared" si="109"/>
        <v>0</v>
      </c>
      <c r="AS150">
        <f t="shared" si="92"/>
        <v>0</v>
      </c>
      <c r="AT150">
        <f t="shared" si="110"/>
        <v>0</v>
      </c>
      <c r="AU150">
        <f t="shared" si="111"/>
        <v>0</v>
      </c>
      <c r="AV150">
        <f t="shared" si="93"/>
        <v>2.786592683734146E-20</v>
      </c>
      <c r="AW150" t="b">
        <f t="shared" si="112"/>
        <v>1</v>
      </c>
      <c r="AX150">
        <f t="shared" si="94"/>
        <v>7.8539816339744828</v>
      </c>
      <c r="AY150">
        <f t="shared" si="95"/>
        <v>7.5170066511035492</v>
      </c>
      <c r="AZ150">
        <f t="shared" si="96"/>
        <v>0.57323688388738758</v>
      </c>
      <c r="BA150">
        <f t="shared" si="97"/>
        <v>1.0567306852551057</v>
      </c>
      <c r="BB150">
        <f t="shared" si="98"/>
        <v>-1.2337005501361696E-20</v>
      </c>
      <c r="BD150" s="15">
        <f t="shared" si="113"/>
        <v>17.000955854220525</v>
      </c>
      <c r="BE150" s="10">
        <f t="shared" si="114"/>
        <v>0</v>
      </c>
      <c r="BF150">
        <f t="shared" si="115"/>
        <v>0</v>
      </c>
      <c r="BG150">
        <f t="shared" si="116"/>
        <v>0</v>
      </c>
      <c r="BH150">
        <f t="shared" si="117"/>
        <v>0</v>
      </c>
      <c r="BI150">
        <f t="shared" si="118"/>
        <v>0</v>
      </c>
    </row>
    <row r="151" spans="1:61" x14ac:dyDescent="0.3">
      <c r="A151">
        <f t="shared" si="123"/>
        <v>0.114</v>
      </c>
      <c r="B151">
        <f t="shared" si="66"/>
        <v>0.35814156250923646</v>
      </c>
      <c r="C151">
        <f t="shared" si="67"/>
        <v>2.7834510910805568</v>
      </c>
      <c r="D151">
        <f t="shared" si="68"/>
        <v>2.7834510910805568</v>
      </c>
      <c r="E151">
        <f t="shared" si="73"/>
        <v>0.35053432019125902</v>
      </c>
      <c r="F151">
        <f t="shared" si="74"/>
        <v>0.35053432019125902</v>
      </c>
      <c r="G151">
        <f t="shared" si="69"/>
        <v>0.35814156250923646</v>
      </c>
      <c r="H151">
        <f t="shared" si="70"/>
        <v>0.35053432019125902</v>
      </c>
      <c r="I151">
        <f t="shared" si="71"/>
        <v>0.35053432019125902</v>
      </c>
      <c r="J151">
        <f t="shared" si="119"/>
        <v>1.8161410615092642E+20</v>
      </c>
      <c r="K151">
        <f t="shared" si="120"/>
        <v>1.8161410615092642E+20</v>
      </c>
      <c r="L151">
        <f t="shared" si="75"/>
        <v>1</v>
      </c>
      <c r="M151">
        <f t="shared" si="72"/>
        <v>2.7834510910805566E-20</v>
      </c>
      <c r="N151" s="9">
        <f t="shared" si="121"/>
        <v>2.7834510910805566E-20</v>
      </c>
      <c r="O151">
        <f t="shared" si="122"/>
        <v>2.7834510910805566E-20</v>
      </c>
      <c r="Q151">
        <f t="shared" si="76"/>
        <v>46.648415814085858</v>
      </c>
      <c r="R151">
        <f t="shared" si="77"/>
        <v>0</v>
      </c>
      <c r="S151">
        <f t="shared" si="99"/>
        <v>-45.028010302408568</v>
      </c>
      <c r="T151" s="9" t="e">
        <f t="shared" si="78"/>
        <v>#N/A</v>
      </c>
      <c r="U151">
        <f t="shared" si="100"/>
        <v>-1.0000000000000001E+300</v>
      </c>
      <c r="V151">
        <f t="shared" si="101"/>
        <v>0</v>
      </c>
      <c r="W151">
        <f t="shared" si="102"/>
        <v>0</v>
      </c>
      <c r="X151">
        <f t="shared" si="79"/>
        <v>2.7834510910805568</v>
      </c>
      <c r="Y151">
        <f t="shared" si="80"/>
        <v>7.8539816339744828</v>
      </c>
      <c r="Z151">
        <f t="shared" si="81"/>
        <v>-2.7834510910805568</v>
      </c>
      <c r="AA151">
        <f t="shared" si="103"/>
        <v>7.4367634036469807</v>
      </c>
      <c r="AB151">
        <f t="shared" si="82"/>
        <v>15.290745037621463</v>
      </c>
      <c r="AC151">
        <f t="shared" si="104"/>
        <v>0.5721088521828892</v>
      </c>
      <c r="AD151">
        <f t="shared" si="83"/>
        <v>1.0482966594943974</v>
      </c>
      <c r="AE151" s="9">
        <f t="shared" si="105"/>
        <v>16.91115054929875</v>
      </c>
      <c r="AF151">
        <f t="shared" si="106"/>
        <v>0</v>
      </c>
      <c r="AH151">
        <f t="shared" si="84"/>
        <v>7.8539816339744828</v>
      </c>
      <c r="AI151">
        <f t="shared" si="85"/>
        <v>7.436763403646979</v>
      </c>
      <c r="AJ151">
        <f t="shared" si="86"/>
        <v>0.5721088521828932</v>
      </c>
      <c r="AK151">
        <f t="shared" si="87"/>
        <v>1.0482966594943974</v>
      </c>
      <c r="AL151" s="9">
        <f t="shared" si="107"/>
        <v>16.911150549298753</v>
      </c>
      <c r="AM151" t="e">
        <f t="shared" si="88"/>
        <v>#N/A</v>
      </c>
      <c r="AN151" t="e">
        <f t="shared" si="108"/>
        <v>#N/A</v>
      </c>
      <c r="AO151">
        <f t="shared" si="89"/>
        <v>0</v>
      </c>
      <c r="AP151">
        <f t="shared" si="90"/>
        <v>0</v>
      </c>
      <c r="AQ151">
        <f t="shared" si="91"/>
        <v>3.9968028886505635E-15</v>
      </c>
      <c r="AR151">
        <f t="shared" si="109"/>
        <v>0</v>
      </c>
      <c r="AS151">
        <f t="shared" si="92"/>
        <v>0</v>
      </c>
      <c r="AT151">
        <f t="shared" si="110"/>
        <v>0</v>
      </c>
      <c r="AU151">
        <f t="shared" si="111"/>
        <v>0</v>
      </c>
      <c r="AV151">
        <f t="shared" si="93"/>
        <v>2.7834510910805566E-20</v>
      </c>
      <c r="AW151" t="b">
        <f t="shared" si="112"/>
        <v>1</v>
      </c>
      <c r="AX151">
        <f t="shared" si="94"/>
        <v>7.8539816339744828</v>
      </c>
      <c r="AY151">
        <f t="shared" si="95"/>
        <v>7.436763403646979</v>
      </c>
      <c r="AZ151">
        <f t="shared" si="96"/>
        <v>0.5721088521828892</v>
      </c>
      <c r="BA151">
        <f t="shared" si="97"/>
        <v>1.0482966594943974</v>
      </c>
      <c r="BB151">
        <f t="shared" si="98"/>
        <v>-1.2337005501361696E-20</v>
      </c>
      <c r="BD151" s="15">
        <f t="shared" si="113"/>
        <v>16.91115054929875</v>
      </c>
      <c r="BE151" s="10">
        <f t="shared" si="114"/>
        <v>0</v>
      </c>
      <c r="BF151">
        <f t="shared" si="115"/>
        <v>0</v>
      </c>
      <c r="BG151">
        <f t="shared" si="116"/>
        <v>0</v>
      </c>
      <c r="BH151">
        <f t="shared" si="117"/>
        <v>0</v>
      </c>
      <c r="BI151">
        <f t="shared" si="118"/>
        <v>0</v>
      </c>
    </row>
    <row r="152" spans="1:61" x14ac:dyDescent="0.3">
      <c r="A152">
        <f t="shared" si="123"/>
        <v>0.115</v>
      </c>
      <c r="B152">
        <f t="shared" ref="B152:B215" si="124">th_max*A152</f>
        <v>0.36128315516282622</v>
      </c>
      <c r="C152">
        <f t="shared" ref="C152:C215" si="125">th_max-B152</f>
        <v>2.7803094984269667</v>
      </c>
      <c r="D152">
        <f t="shared" ref="D152:D215" si="126">IF(use_th_l,B152,C152)</f>
        <v>2.7803094984269667</v>
      </c>
      <c r="E152">
        <f t="shared" si="73"/>
        <v>0.35347484377925714</v>
      </c>
      <c r="F152">
        <f t="shared" si="74"/>
        <v>0.35347484377925742</v>
      </c>
      <c r="G152">
        <f t="shared" ref="G152:G215" si="127">alpha*B152</f>
        <v>0.36128315516282622</v>
      </c>
      <c r="H152">
        <f t="shared" ref="H152:H215" si="128">SIN(G152)</f>
        <v>0.35347484377925714</v>
      </c>
      <c r="I152">
        <f t="shared" ref="I152:I215" si="129">SIN(alpha*C152+add_r)</f>
        <v>0.35347484377925742</v>
      </c>
      <c r="J152">
        <f t="shared" si="119"/>
        <v>1.8010327568463302E+20</v>
      </c>
      <c r="K152">
        <f t="shared" si="120"/>
        <v>1.8010327568463302E+20</v>
      </c>
      <c r="L152">
        <f t="shared" si="75"/>
        <v>0</v>
      </c>
      <c r="M152">
        <f t="shared" ref="M152:M215" si="130">-SIN((alpha_m_1)*B152+add_l)</f>
        <v>2.7803094984269667E-20</v>
      </c>
      <c r="N152" s="9">
        <f t="shared" si="121"/>
        <v>0</v>
      </c>
      <c r="O152">
        <f t="shared" si="122"/>
        <v>0</v>
      </c>
      <c r="Q152">
        <f t="shared" si="76"/>
        <v>46.640062114052768</v>
      </c>
      <c r="R152">
        <f t="shared" si="77"/>
        <v>0</v>
      </c>
      <c r="S152">
        <f t="shared" si="99"/>
        <v>-45.029139608005721</v>
      </c>
      <c r="T152" s="9" t="e">
        <f t="shared" si="78"/>
        <v>#N/A</v>
      </c>
      <c r="U152">
        <f t="shared" si="100"/>
        <v>-1.0000000000000001E+300</v>
      </c>
      <c r="V152">
        <f t="shared" si="101"/>
        <v>0</v>
      </c>
      <c r="W152">
        <f t="shared" si="102"/>
        <v>0</v>
      </c>
      <c r="X152">
        <f t="shared" si="79"/>
        <v>2.7803094984269667</v>
      </c>
      <c r="Y152">
        <f t="shared" si="80"/>
        <v>7.8539816339744828</v>
      </c>
      <c r="Z152">
        <f t="shared" si="81"/>
        <v>-2.7803094984269667</v>
      </c>
      <c r="AA152">
        <f t="shared" si="103"/>
        <v>7.3578755884175031</v>
      </c>
      <c r="AB152">
        <f t="shared" si="82"/>
        <v>15.211857222391986</v>
      </c>
      <c r="AC152">
        <f t="shared" si="104"/>
        <v>0.57097954658573769</v>
      </c>
      <c r="AD152">
        <f t="shared" si="83"/>
        <v>1.0399429594613085</v>
      </c>
      <c r="AE152" s="9">
        <f t="shared" si="105"/>
        <v>16.822779728439031</v>
      </c>
      <c r="AF152">
        <f t="shared" si="106"/>
        <v>0</v>
      </c>
      <c r="AH152">
        <f t="shared" si="84"/>
        <v>7.8539816339744828</v>
      </c>
      <c r="AI152">
        <f t="shared" si="85"/>
        <v>7.3578755884175093</v>
      </c>
      <c r="AJ152">
        <f t="shared" si="86"/>
        <v>0.57097954658573968</v>
      </c>
      <c r="AK152">
        <f t="shared" si="87"/>
        <v>1.0399429594613085</v>
      </c>
      <c r="AL152" s="9">
        <f t="shared" si="107"/>
        <v>16.822779728439038</v>
      </c>
      <c r="AM152" t="e">
        <f t="shared" si="88"/>
        <v>#N/A</v>
      </c>
      <c r="AN152" t="e">
        <f t="shared" si="108"/>
        <v>#N/A</v>
      </c>
      <c r="AO152">
        <f t="shared" si="89"/>
        <v>0</v>
      </c>
      <c r="AP152">
        <f t="shared" si="90"/>
        <v>0</v>
      </c>
      <c r="AQ152">
        <f t="shared" si="91"/>
        <v>1.9984014443252818E-15</v>
      </c>
      <c r="AR152">
        <f t="shared" si="109"/>
        <v>0</v>
      </c>
      <c r="AS152">
        <f t="shared" si="92"/>
        <v>0</v>
      </c>
      <c r="AT152">
        <f t="shared" si="110"/>
        <v>0</v>
      </c>
      <c r="AU152">
        <f t="shared" si="111"/>
        <v>0</v>
      </c>
      <c r="AV152">
        <f t="shared" si="93"/>
        <v>2.7803094984269667E-20</v>
      </c>
      <c r="AW152" t="b">
        <f t="shared" si="112"/>
        <v>1</v>
      </c>
      <c r="AX152">
        <f t="shared" si="94"/>
        <v>7.8539816339744828</v>
      </c>
      <c r="AY152">
        <f t="shared" si="95"/>
        <v>7.3578755884175013</v>
      </c>
      <c r="AZ152">
        <f t="shared" si="96"/>
        <v>0.5709795465857378</v>
      </c>
      <c r="BA152">
        <f t="shared" si="97"/>
        <v>1.0399429594613079</v>
      </c>
      <c r="BB152">
        <f t="shared" si="98"/>
        <v>-1.2337005501361696E-20</v>
      </c>
      <c r="BD152" s="15">
        <f t="shared" si="113"/>
        <v>16.822779728439031</v>
      </c>
      <c r="BE152" s="10">
        <f t="shared" si="114"/>
        <v>0</v>
      </c>
      <c r="BF152">
        <f t="shared" si="115"/>
        <v>0</v>
      </c>
      <c r="BG152">
        <f t="shared" si="116"/>
        <v>0</v>
      </c>
      <c r="BH152">
        <f t="shared" si="117"/>
        <v>0</v>
      </c>
      <c r="BI152">
        <f t="shared" si="118"/>
        <v>0</v>
      </c>
    </row>
    <row r="153" spans="1:61" x14ac:dyDescent="0.3">
      <c r="A153">
        <f t="shared" si="123"/>
        <v>0.11600000000000001</v>
      </c>
      <c r="B153">
        <f t="shared" si="124"/>
        <v>0.36442474781641604</v>
      </c>
      <c r="C153">
        <f t="shared" si="125"/>
        <v>2.7771679057733771</v>
      </c>
      <c r="D153">
        <f t="shared" si="126"/>
        <v>2.7771679057733771</v>
      </c>
      <c r="E153">
        <f t="shared" ref="E153:E216" si="131">SIN(B153-add_l)</f>
        <v>0.35641187871325075</v>
      </c>
      <c r="F153">
        <f t="shared" ref="F153:F216" si="132">SIN(C153)</f>
        <v>0.35641187871325081</v>
      </c>
      <c r="G153">
        <f t="shared" si="127"/>
        <v>0.36442474781641604</v>
      </c>
      <c r="H153">
        <f t="shared" si="128"/>
        <v>0.35641187871325075</v>
      </c>
      <c r="I153">
        <f t="shared" si="129"/>
        <v>0.35641187871325081</v>
      </c>
      <c r="J153">
        <f t="shared" si="119"/>
        <v>1.7861912309599827E+20</v>
      </c>
      <c r="K153">
        <f t="shared" si="120"/>
        <v>1.7861912309599827E+20</v>
      </c>
      <c r="L153">
        <f t="shared" ref="L153:L216" si="133">(cat0*E153*K153)^(1/(alpha_m_1))</f>
        <v>1</v>
      </c>
      <c r="M153">
        <f t="shared" si="130"/>
        <v>2.7771679057733767E-20</v>
      </c>
      <c r="N153" s="9">
        <f t="shared" si="121"/>
        <v>2.7771679057733767E-20</v>
      </c>
      <c r="O153">
        <f t="shared" si="122"/>
        <v>2.7771679057733767E-20</v>
      </c>
      <c r="Q153">
        <f t="shared" ref="Q153:Q216" si="134">alpha*LN(J153)</f>
        <v>46.631787408809437</v>
      </c>
      <c r="R153">
        <f t="shared" ref="R153:R216" si="135">(LN(cat0)+LN(E153)+Q153)/(alpha_m_1)</f>
        <v>-710542.73576010019</v>
      </c>
      <c r="S153">
        <f t="shared" si="99"/>
        <v>-45.030270190376008</v>
      </c>
      <c r="T153" s="9" t="e">
        <f t="shared" ref="T153:T216" si="136">IF(ABS(alpha_m_1)&gt;0.00000000000001,R153+S153,NA())</f>
        <v>#N/A</v>
      </c>
      <c r="U153">
        <f t="shared" si="100"/>
        <v>-1.0000000000000001E+300</v>
      </c>
      <c r="V153">
        <f t="shared" si="101"/>
        <v>0</v>
      </c>
      <c r="W153">
        <f t="shared" si="102"/>
        <v>0</v>
      </c>
      <c r="X153">
        <f t="shared" ref="X153:X216" si="137">C153</f>
        <v>2.7771679057733771</v>
      </c>
      <c r="Y153">
        <f t="shared" ref="Y153:Y216" si="138">ea</f>
        <v>7.8539816339744828</v>
      </c>
      <c r="Z153">
        <f t="shared" ref="Z153:Z216" si="139">p2b+PI()/2-X153</f>
        <v>-2.7771679057733771</v>
      </c>
      <c r="AA153">
        <f t="shared" si="103"/>
        <v>7.2803082820741407</v>
      </c>
      <c r="AB153">
        <f t="shared" ref="AB153:AB216" si="140">$AA$7+AA153</f>
        <v>15.134289916048623</v>
      </c>
      <c r="AC153">
        <f t="shared" si="104"/>
        <v>0.56984896421545173</v>
      </c>
      <c r="AD153">
        <f t="shared" ref="AD153:AD216" si="141">-LN(SIN(A153*PI()))</f>
        <v>1.0316682542179798</v>
      </c>
      <c r="AE153" s="9">
        <f t="shared" si="105"/>
        <v>16.735807134482052</v>
      </c>
      <c r="AF153">
        <f t="shared" si="106"/>
        <v>0</v>
      </c>
      <c r="AH153">
        <f t="shared" ref="AH153:AH216" si="142">IF(use_alpha_near_1,$D$18,NA())</f>
        <v>7.8539816339744828</v>
      </c>
      <c r="AI153">
        <f t="shared" ref="AI153:AI216" si="143">IF(use_alpha_near_1,alpha/(alpha_m_1)*(log1p(-SIN(add_l)*_xlfn.COT(B153)-2*SIN(add_l/2)^2)-log1p(SIN(alpha_m_1*B153)*_xlfn.COT(B153)-2*SIN(alpha_m_1*B153/2)^2)),NA())</f>
        <v>7.2803082820741398</v>
      </c>
      <c r="AJ153">
        <f t="shared" ref="AJ153:AJ216" si="144">IF(use_alpha_near_1,$D$21+LN(M153),NA())</f>
        <v>0.56984896421545272</v>
      </c>
      <c r="AK153">
        <f t="shared" ref="AK153:AK216" si="145">IF(use_alpha_near_1,-LN(E153),NA())</f>
        <v>1.0316682542179798</v>
      </c>
      <c r="AL153" s="9">
        <f t="shared" si="107"/>
        <v>16.735807134482055</v>
      </c>
      <c r="AM153" t="e">
        <f t="shared" ref="AM153:AM216" si="146">AL153-T153</f>
        <v>#N/A</v>
      </c>
      <c r="AN153" t="e">
        <f t="shared" si="108"/>
        <v>#N/A</v>
      </c>
      <c r="AO153">
        <f t="shared" ref="AO153:AO216" si="147">AH153-Y153</f>
        <v>0</v>
      </c>
      <c r="AP153">
        <f t="shared" ref="AP153:AP216" si="148">AI153-AA153</f>
        <v>0</v>
      </c>
      <c r="AQ153">
        <f t="shared" ref="AQ153:AQ216" si="149">AJ153-AC153</f>
        <v>9.9920072216264089E-16</v>
      </c>
      <c r="AR153">
        <f t="shared" si="109"/>
        <v>0</v>
      </c>
      <c r="AS153">
        <f t="shared" ref="AS153:AS216" si="150">AL153-AE153</f>
        <v>0</v>
      </c>
      <c r="AT153">
        <f t="shared" si="110"/>
        <v>0</v>
      </c>
      <c r="AU153">
        <f t="shared" si="111"/>
        <v>0</v>
      </c>
      <c r="AV153">
        <f t="shared" ref="AV153:AV216" si="151">alpha_m_1*C153+add_r</f>
        <v>2.7771679057733767E-20</v>
      </c>
      <c r="AW153" t="b">
        <f t="shared" si="112"/>
        <v>1</v>
      </c>
      <c r="AX153">
        <f t="shared" ref="AX153:AX216" si="152">IF(use_alpha_near_1,$D$18,NA())</f>
        <v>7.8539816339744828</v>
      </c>
      <c r="AY153">
        <f t="shared" ref="AY153:AY216" si="153">-alpha/alpha_m_1*log1p(_xlfn.COT(C153)*SIN(AV153)-2*SIN(AV153/2)^2)</f>
        <v>7.2803082820741389</v>
      </c>
      <c r="AZ153">
        <f t="shared" ref="AZ153:AZ216" si="154">LN(ABS(zeta)*SIN(AV153))</f>
        <v>0.56984896421545161</v>
      </c>
      <c r="BA153">
        <f t="shared" ref="BA153:BA216" si="155">-LN(SIN(C153))</f>
        <v>1.0316682542179798</v>
      </c>
      <c r="BB153">
        <f t="shared" ref="BB153:BB216" si="156">-log1p(zeta^-2)/(2*alpha_m_1)</f>
        <v>-1.2337005501361696E-20</v>
      </c>
      <c r="BD153" s="15">
        <f t="shared" si="113"/>
        <v>16.735807134482052</v>
      </c>
      <c r="BE153" s="10">
        <f t="shared" si="114"/>
        <v>0</v>
      </c>
      <c r="BF153">
        <f t="shared" si="115"/>
        <v>0</v>
      </c>
      <c r="BG153">
        <f t="shared" si="116"/>
        <v>0</v>
      </c>
      <c r="BH153">
        <f t="shared" si="117"/>
        <v>0</v>
      </c>
      <c r="BI153">
        <f t="shared" si="118"/>
        <v>0</v>
      </c>
    </row>
    <row r="154" spans="1:61" x14ac:dyDescent="0.3">
      <c r="A154">
        <f t="shared" si="123"/>
        <v>0.11700000000000001</v>
      </c>
      <c r="B154">
        <f t="shared" si="124"/>
        <v>0.3675663404700058</v>
      </c>
      <c r="C154">
        <f t="shared" si="125"/>
        <v>2.7740263131197871</v>
      </c>
      <c r="D154">
        <f t="shared" si="126"/>
        <v>2.7740263131197871</v>
      </c>
      <c r="E154">
        <f t="shared" si="131"/>
        <v>0.35934539600589066</v>
      </c>
      <c r="F154">
        <f t="shared" si="132"/>
        <v>0.35934539600589099</v>
      </c>
      <c r="G154">
        <f t="shared" si="127"/>
        <v>0.3675663404700058</v>
      </c>
      <c r="H154">
        <f t="shared" si="128"/>
        <v>0.35934539600589066</v>
      </c>
      <c r="I154">
        <f t="shared" si="129"/>
        <v>0.35934539600589099</v>
      </c>
      <c r="J154">
        <f t="shared" si="119"/>
        <v>1.7716096531180978E+20</v>
      </c>
      <c r="K154">
        <f t="shared" si="120"/>
        <v>1.7716096531180978E+20</v>
      </c>
      <c r="L154" t="e">
        <f t="shared" si="133"/>
        <v>#NUM!</v>
      </c>
      <c r="M154">
        <f t="shared" si="130"/>
        <v>2.7740263131197873E-20</v>
      </c>
      <c r="N154" s="9" t="e">
        <f t="shared" si="121"/>
        <v>#NUM!</v>
      </c>
      <c r="O154" t="e">
        <f t="shared" si="122"/>
        <v>#NUM!</v>
      </c>
      <c r="Q154">
        <f t="shared" si="134"/>
        <v>46.623590401746533</v>
      </c>
      <c r="R154">
        <f t="shared" si="135"/>
        <v>0</v>
      </c>
      <c r="S154">
        <f t="shared" ref="S154:S217" si="157">LN(M154)</f>
        <v>-45.031402052409689</v>
      </c>
      <c r="T154" s="9" t="e">
        <f t="shared" si="136"/>
        <v>#N/A</v>
      </c>
      <c r="U154">
        <f t="shared" ref="U154:U217" si="158">IFERROR(T154-EXP(T154),-1E+300)</f>
        <v>-1.0000000000000001E+300</v>
      </c>
      <c r="V154">
        <f t="shared" ref="V154:V217" si="159">EXP(U154)</f>
        <v>0</v>
      </c>
      <c r="W154">
        <f t="shared" ref="W154:W217" si="160">IFERROR(T154-LN(N154),0)</f>
        <v>0</v>
      </c>
      <c r="X154">
        <f t="shared" si="137"/>
        <v>2.7740263131197871</v>
      </c>
      <c r="Y154">
        <f t="shared" si="138"/>
        <v>7.8539816339744828</v>
      </c>
      <c r="Z154">
        <f t="shared" si="139"/>
        <v>-2.7740263131197871</v>
      </c>
      <c r="AA154">
        <f t="shared" ref="AA154:AA217" si="161">Z154*TAN(PI()/2-X154)</f>
        <v>7.2040277549827856</v>
      </c>
      <c r="AB154">
        <f t="shared" si="140"/>
        <v>15.058009388957268</v>
      </c>
      <c r="AC154">
        <f t="shared" ref="AC154:AC217" si="162">LN(Z154/$AA$6)</f>
        <v>0.56871710218176819</v>
      </c>
      <c r="AD154">
        <f t="shared" si="141"/>
        <v>1.0234712471550731</v>
      </c>
      <c r="AE154" s="9">
        <f t="shared" ref="AE154:AE217" si="163">AB154+AC154+AD154</f>
        <v>16.650197738294111</v>
      </c>
      <c r="AF154">
        <f t="shared" ref="AF154:AF217" si="164">IFERROR(EXP(AE154)*EXP(-EXP(AE154)),0)</f>
        <v>0</v>
      </c>
      <c r="AH154">
        <f t="shared" si="142"/>
        <v>7.8539816339744828</v>
      </c>
      <c r="AI154">
        <f t="shared" si="143"/>
        <v>7.2040277549827918</v>
      </c>
      <c r="AJ154">
        <f t="shared" si="144"/>
        <v>0.56871710218177185</v>
      </c>
      <c r="AK154">
        <f t="shared" si="145"/>
        <v>1.0234712471550731</v>
      </c>
      <c r="AL154" s="9">
        <f t="shared" ref="AL154:AL217" si="165">SUM(AH154:AK154)</f>
        <v>16.650197738294118</v>
      </c>
      <c r="AM154" t="e">
        <f t="shared" si="146"/>
        <v>#N/A</v>
      </c>
      <c r="AN154" t="e">
        <f t="shared" ref="AN154:AN217" si="166">AM154/AL154</f>
        <v>#N/A</v>
      </c>
      <c r="AO154">
        <f t="shared" si="147"/>
        <v>0</v>
      </c>
      <c r="AP154">
        <f t="shared" si="148"/>
        <v>0</v>
      </c>
      <c r="AQ154">
        <f t="shared" si="149"/>
        <v>3.6637359812630166E-15</v>
      </c>
      <c r="AR154">
        <f t="shared" ref="AR154:AR217" si="167">AP154/AI154</f>
        <v>0</v>
      </c>
      <c r="AS154">
        <f t="shared" si="150"/>
        <v>0</v>
      </c>
      <c r="AT154">
        <f t="shared" ref="AT154:AT217" si="168">AS154/AL154</f>
        <v>0</v>
      </c>
      <c r="AU154">
        <f t="shared" ref="AU154:AU217" si="169">IFERROR(EXP(AL154)*EXP(-EXP(AL154)),0)</f>
        <v>0</v>
      </c>
      <c r="AV154">
        <f t="shared" si="151"/>
        <v>2.7740263131197867E-20</v>
      </c>
      <c r="AW154" t="b">
        <f t="shared" ref="AW154:AW217" si="170">(ABS(_xlfn.COT(C154)*SIN(AV154))&lt;0.00000001)</f>
        <v>1</v>
      </c>
      <c r="AX154">
        <f t="shared" si="152"/>
        <v>7.8539816339744828</v>
      </c>
      <c r="AY154">
        <f t="shared" si="153"/>
        <v>7.2040277549827829</v>
      </c>
      <c r="AZ154">
        <f t="shared" si="154"/>
        <v>0.56871710218176819</v>
      </c>
      <c r="BA154">
        <f t="shared" si="155"/>
        <v>1.0234712471550722</v>
      </c>
      <c r="BB154">
        <f t="shared" si="156"/>
        <v>-1.2337005501361696E-20</v>
      </c>
      <c r="BD154" s="15">
        <f t="shared" ref="BD154:BD217" si="171">SUM(AX154:BB154)</f>
        <v>16.650197738294107</v>
      </c>
      <c r="BE154" s="10">
        <f t="shared" ref="BE154:BE217" si="172">BD154-AL154</f>
        <v>0</v>
      </c>
      <c r="BF154">
        <f t="shared" ref="BF154:BF217" si="173">BD154-AE154</f>
        <v>0</v>
      </c>
      <c r="BG154">
        <f t="shared" ref="BG154:BG217" si="174">AX154-Y154</f>
        <v>0</v>
      </c>
      <c r="BH154">
        <f t="shared" ref="BH154:BH217" si="175">AY154-AA154</f>
        <v>0</v>
      </c>
      <c r="BI154">
        <f t="shared" ref="BI154:BI217" si="176">AZ154-AC154</f>
        <v>0</v>
      </c>
    </row>
    <row r="155" spans="1:61" x14ac:dyDescent="0.3">
      <c r="A155">
        <f t="shared" si="123"/>
        <v>0.11799999999999999</v>
      </c>
      <c r="B155">
        <f t="shared" si="124"/>
        <v>0.37070793312359557</v>
      </c>
      <c r="C155">
        <f t="shared" si="125"/>
        <v>2.7708847204661975</v>
      </c>
      <c r="D155">
        <f t="shared" si="126"/>
        <v>2.7708847204661975</v>
      </c>
      <c r="E155">
        <f t="shared" si="131"/>
        <v>0.36227536670454563</v>
      </c>
      <c r="F155">
        <f t="shared" si="132"/>
        <v>0.3622753667045458</v>
      </c>
      <c r="G155">
        <f t="shared" si="127"/>
        <v>0.37070793312359557</v>
      </c>
      <c r="H155">
        <f t="shared" si="128"/>
        <v>0.36227536670454563</v>
      </c>
      <c r="I155">
        <f t="shared" si="129"/>
        <v>0.3622753667045458</v>
      </c>
      <c r="J155">
        <f t="shared" si="119"/>
        <v>1.757281424234339E+20</v>
      </c>
      <c r="K155">
        <f t="shared" si="120"/>
        <v>1.757281424234339E+20</v>
      </c>
      <c r="L155">
        <f t="shared" si="133"/>
        <v>1</v>
      </c>
      <c r="M155">
        <f t="shared" si="130"/>
        <v>2.7708847204661974E-20</v>
      </c>
      <c r="N155" s="9">
        <f t="shared" si="121"/>
        <v>2.7708847204661974E-20</v>
      </c>
      <c r="O155">
        <f t="shared" si="122"/>
        <v>2.7708847204661974E-20</v>
      </c>
      <c r="Q155">
        <f t="shared" si="134"/>
        <v>46.615469829415098</v>
      </c>
      <c r="R155">
        <f t="shared" si="135"/>
        <v>0</v>
      </c>
      <c r="S155">
        <f t="shared" si="157"/>
        <v>-45.032535197006858</v>
      </c>
      <c r="T155" s="9" t="e">
        <f t="shared" si="136"/>
        <v>#N/A</v>
      </c>
      <c r="U155">
        <f t="shared" si="158"/>
        <v>-1.0000000000000001E+300</v>
      </c>
      <c r="V155">
        <f t="shared" si="159"/>
        <v>0</v>
      </c>
      <c r="W155">
        <f t="shared" si="160"/>
        <v>0</v>
      </c>
      <c r="X155">
        <f t="shared" si="137"/>
        <v>2.7708847204661975</v>
      </c>
      <c r="Y155">
        <f t="shared" si="138"/>
        <v>7.8539816339744828</v>
      </c>
      <c r="Z155">
        <f t="shared" si="139"/>
        <v>-2.7708847204661975</v>
      </c>
      <c r="AA155">
        <f t="shared" si="161"/>
        <v>7.1290014206366976</v>
      </c>
      <c r="AB155">
        <f t="shared" si="140"/>
        <v>14.98298305461118</v>
      </c>
      <c r="AC155">
        <f t="shared" si="162"/>
        <v>0.56758395758459956</v>
      </c>
      <c r="AD155">
        <f t="shared" si="141"/>
        <v>1.0153506748236361</v>
      </c>
      <c r="AE155" s="9">
        <f t="shared" si="163"/>
        <v>16.565917687019414</v>
      </c>
      <c r="AF155">
        <f t="shared" si="164"/>
        <v>0</v>
      </c>
      <c r="AH155">
        <f t="shared" si="142"/>
        <v>7.8539816339744828</v>
      </c>
      <c r="AI155">
        <f t="shared" si="143"/>
        <v>7.1290014206367003</v>
      </c>
      <c r="AJ155">
        <f t="shared" si="144"/>
        <v>0.56758395758460267</v>
      </c>
      <c r="AK155">
        <f t="shared" si="145"/>
        <v>1.0153506748236361</v>
      </c>
      <c r="AL155" s="9">
        <f t="shared" si="165"/>
        <v>16.565917687019422</v>
      </c>
      <c r="AM155" t="e">
        <f t="shared" si="146"/>
        <v>#N/A</v>
      </c>
      <c r="AN155" t="e">
        <f t="shared" si="166"/>
        <v>#N/A</v>
      </c>
      <c r="AO155">
        <f t="shared" si="147"/>
        <v>0</v>
      </c>
      <c r="AP155">
        <f t="shared" si="148"/>
        <v>0</v>
      </c>
      <c r="AQ155">
        <f t="shared" si="149"/>
        <v>3.1086244689504383E-15</v>
      </c>
      <c r="AR155">
        <f t="shared" si="167"/>
        <v>0</v>
      </c>
      <c r="AS155">
        <f t="shared" si="150"/>
        <v>0</v>
      </c>
      <c r="AT155">
        <f t="shared" si="168"/>
        <v>0</v>
      </c>
      <c r="AU155">
        <f t="shared" si="169"/>
        <v>0</v>
      </c>
      <c r="AV155">
        <f t="shared" si="151"/>
        <v>2.7708847204661974E-20</v>
      </c>
      <c r="AW155" t="b">
        <f t="shared" si="170"/>
        <v>1</v>
      </c>
      <c r="AX155">
        <f t="shared" si="152"/>
        <v>7.8539816339744828</v>
      </c>
      <c r="AY155">
        <f t="shared" si="153"/>
        <v>7.1290014206366967</v>
      </c>
      <c r="AZ155">
        <f t="shared" si="154"/>
        <v>0.56758395758459956</v>
      </c>
      <c r="BA155">
        <f t="shared" si="155"/>
        <v>1.0153506748236356</v>
      </c>
      <c r="BB155">
        <f t="shared" si="156"/>
        <v>-1.2337005501361696E-20</v>
      </c>
      <c r="BD155" s="15">
        <f t="shared" si="171"/>
        <v>16.565917687019414</v>
      </c>
      <c r="BE155" s="10">
        <f t="shared" si="172"/>
        <v>0</v>
      </c>
      <c r="BF155">
        <f t="shared" si="173"/>
        <v>0</v>
      </c>
      <c r="BG155">
        <f t="shared" si="174"/>
        <v>0</v>
      </c>
      <c r="BH155">
        <f t="shared" si="175"/>
        <v>0</v>
      </c>
      <c r="BI155">
        <f t="shared" si="176"/>
        <v>0</v>
      </c>
    </row>
    <row r="156" spans="1:61" x14ac:dyDescent="0.3">
      <c r="A156">
        <f t="shared" si="123"/>
        <v>0.11899999999999999</v>
      </c>
      <c r="B156">
        <f t="shared" si="124"/>
        <v>0.37384952577718539</v>
      </c>
      <c r="C156">
        <f t="shared" si="125"/>
        <v>2.7677431278126079</v>
      </c>
      <c r="D156">
        <f t="shared" si="126"/>
        <v>2.7677431278126079</v>
      </c>
      <c r="E156">
        <f t="shared" si="131"/>
        <v>0.36520176189158782</v>
      </c>
      <c r="F156">
        <f t="shared" si="132"/>
        <v>0.36520176189158776</v>
      </c>
      <c r="G156">
        <f t="shared" si="127"/>
        <v>0.37384952577718539</v>
      </c>
      <c r="H156">
        <f t="shared" si="128"/>
        <v>0.36520176189158782</v>
      </c>
      <c r="I156">
        <f t="shared" si="129"/>
        <v>0.36520176189158776</v>
      </c>
      <c r="J156">
        <f t="shared" si="119"/>
        <v>1.743200167135463E+20</v>
      </c>
      <c r="K156">
        <f t="shared" si="120"/>
        <v>1.743200167135463E+20</v>
      </c>
      <c r="L156">
        <f t="shared" si="133"/>
        <v>1</v>
      </c>
      <c r="M156">
        <f t="shared" si="130"/>
        <v>2.7677431278126074E-20</v>
      </c>
      <c r="N156" s="9">
        <f t="shared" si="121"/>
        <v>2.7677431278126074E-20</v>
      </c>
      <c r="O156">
        <f t="shared" si="122"/>
        <v>2.7677431278126074E-20</v>
      </c>
      <c r="Q156">
        <f t="shared" si="134"/>
        <v>46.607424460407721</v>
      </c>
      <c r="R156">
        <f t="shared" si="135"/>
        <v>0</v>
      </c>
      <c r="S156">
        <f t="shared" si="157"/>
        <v>-45.033669627077472</v>
      </c>
      <c r="T156" s="9" t="e">
        <f t="shared" si="136"/>
        <v>#N/A</v>
      </c>
      <c r="U156">
        <f t="shared" si="158"/>
        <v>-1.0000000000000001E+300</v>
      </c>
      <c r="V156">
        <f t="shared" si="159"/>
        <v>0</v>
      </c>
      <c r="W156">
        <f t="shared" si="160"/>
        <v>0</v>
      </c>
      <c r="X156">
        <f t="shared" si="137"/>
        <v>2.7677431278126079</v>
      </c>
      <c r="Y156">
        <f t="shared" si="138"/>
        <v>7.8539816339744828</v>
      </c>
      <c r="Z156">
        <f t="shared" si="139"/>
        <v>-2.7677431278126079</v>
      </c>
      <c r="AA156">
        <f t="shared" si="161"/>
        <v>7.0551977876270566</v>
      </c>
      <c r="AB156">
        <f t="shared" si="140"/>
        <v>14.909179421601539</v>
      </c>
      <c r="AC156">
        <f t="shared" si="162"/>
        <v>0.5664495275139878</v>
      </c>
      <c r="AD156">
        <f t="shared" si="141"/>
        <v>1.0073053058162587</v>
      </c>
      <c r="AE156" s="9">
        <f t="shared" si="163"/>
        <v>16.482934254931788</v>
      </c>
      <c r="AF156">
        <f t="shared" si="164"/>
        <v>0</v>
      </c>
      <c r="AH156">
        <f t="shared" si="142"/>
        <v>7.8539816339744828</v>
      </c>
      <c r="AI156">
        <f t="shared" si="143"/>
        <v>7.0551977876270549</v>
      </c>
      <c r="AJ156">
        <f t="shared" si="144"/>
        <v>0.56644952751398847</v>
      </c>
      <c r="AK156">
        <f t="shared" si="145"/>
        <v>1.0073053058162587</v>
      </c>
      <c r="AL156" s="9">
        <f t="shared" si="165"/>
        <v>16.482934254931784</v>
      </c>
      <c r="AM156" t="e">
        <f t="shared" si="146"/>
        <v>#N/A</v>
      </c>
      <c r="AN156" t="e">
        <f t="shared" si="166"/>
        <v>#N/A</v>
      </c>
      <c r="AO156">
        <f t="shared" si="147"/>
        <v>0</v>
      </c>
      <c r="AP156">
        <f t="shared" si="148"/>
        <v>0</v>
      </c>
      <c r="AQ156">
        <f t="shared" si="149"/>
        <v>0</v>
      </c>
      <c r="AR156">
        <f t="shared" si="167"/>
        <v>0</v>
      </c>
      <c r="AS156">
        <f t="shared" si="150"/>
        <v>0</v>
      </c>
      <c r="AT156">
        <f t="shared" si="168"/>
        <v>0</v>
      </c>
      <c r="AU156">
        <f t="shared" si="169"/>
        <v>0</v>
      </c>
      <c r="AV156">
        <f t="shared" si="151"/>
        <v>2.767743127812608E-20</v>
      </c>
      <c r="AW156" t="b">
        <f t="shared" si="170"/>
        <v>1</v>
      </c>
      <c r="AX156">
        <f t="shared" si="152"/>
        <v>7.8539816339744828</v>
      </c>
      <c r="AY156">
        <f t="shared" si="153"/>
        <v>7.0551977876270566</v>
      </c>
      <c r="AZ156">
        <f t="shared" si="154"/>
        <v>0.56644952751398803</v>
      </c>
      <c r="BA156">
        <f t="shared" si="155"/>
        <v>1.0073053058162589</v>
      </c>
      <c r="BB156">
        <f t="shared" si="156"/>
        <v>-1.2337005501361696E-20</v>
      </c>
      <c r="BD156" s="15">
        <f t="shared" si="171"/>
        <v>16.482934254931788</v>
      </c>
      <c r="BE156" s="10">
        <f t="shared" si="172"/>
        <v>0</v>
      </c>
      <c r="BF156">
        <f t="shared" si="173"/>
        <v>0</v>
      </c>
      <c r="BG156">
        <f t="shared" si="174"/>
        <v>0</v>
      </c>
      <c r="BH156">
        <f t="shared" si="175"/>
        <v>0</v>
      </c>
      <c r="BI156">
        <f t="shared" si="176"/>
        <v>0</v>
      </c>
    </row>
    <row r="157" spans="1:61" x14ac:dyDescent="0.3">
      <c r="A157">
        <f t="shared" si="123"/>
        <v>0.12</v>
      </c>
      <c r="B157">
        <f t="shared" si="124"/>
        <v>0.37699111843077515</v>
      </c>
      <c r="C157">
        <f t="shared" si="125"/>
        <v>2.7646015351590179</v>
      </c>
      <c r="D157">
        <f t="shared" si="126"/>
        <v>2.7646015351590179</v>
      </c>
      <c r="E157">
        <f t="shared" si="131"/>
        <v>0.36812455268467792</v>
      </c>
      <c r="F157">
        <f t="shared" si="132"/>
        <v>0.36812455268467814</v>
      </c>
      <c r="G157">
        <f t="shared" si="127"/>
        <v>0.37699111843077515</v>
      </c>
      <c r="H157">
        <f t="shared" si="128"/>
        <v>0.36812455268467792</v>
      </c>
      <c r="I157">
        <f t="shared" si="129"/>
        <v>0.36812455268467814</v>
      </c>
      <c r="J157">
        <f t="shared" si="119"/>
        <v>1.7293597173152609E+20</v>
      </c>
      <c r="K157">
        <f t="shared" si="120"/>
        <v>1.7293597173152609E+20</v>
      </c>
      <c r="L157">
        <f t="shared" si="133"/>
        <v>1</v>
      </c>
      <c r="M157">
        <f t="shared" si="130"/>
        <v>2.7646015351590181E-20</v>
      </c>
      <c r="N157" s="9">
        <f t="shared" si="121"/>
        <v>2.7646015351590181E-20</v>
      </c>
      <c r="O157">
        <f t="shared" si="122"/>
        <v>2.7646015351590181E-20</v>
      </c>
      <c r="Q157">
        <f t="shared" si="134"/>
        <v>46.599453094286503</v>
      </c>
      <c r="R157">
        <f t="shared" si="135"/>
        <v>-710542.73576010019</v>
      </c>
      <c r="S157">
        <f t="shared" si="157"/>
        <v>-45.0348053455414</v>
      </c>
      <c r="T157" s="9" t="e">
        <f t="shared" si="136"/>
        <v>#N/A</v>
      </c>
      <c r="U157">
        <f t="shared" si="158"/>
        <v>-1.0000000000000001E+300</v>
      </c>
      <c r="V157">
        <f t="shared" si="159"/>
        <v>0</v>
      </c>
      <c r="W157">
        <f t="shared" si="160"/>
        <v>0</v>
      </c>
      <c r="X157">
        <f t="shared" si="137"/>
        <v>2.7646015351590179</v>
      </c>
      <c r="Y157">
        <f t="shared" si="138"/>
        <v>7.8539816339744828</v>
      </c>
      <c r="Z157">
        <f t="shared" si="139"/>
        <v>-2.7646015351590179</v>
      </c>
      <c r="AA157">
        <f t="shared" si="161"/>
        <v>6.9825864140150928</v>
      </c>
      <c r="AB157">
        <f t="shared" si="140"/>
        <v>14.836568047989577</v>
      </c>
      <c r="AC157">
        <f t="shared" si="162"/>
        <v>0.56531380905006046</v>
      </c>
      <c r="AD157">
        <f t="shared" si="141"/>
        <v>0.9993339396950468</v>
      </c>
      <c r="AE157" s="9">
        <f t="shared" si="163"/>
        <v>16.401215796734682</v>
      </c>
      <c r="AF157">
        <f t="shared" si="164"/>
        <v>0</v>
      </c>
      <c r="AH157">
        <f t="shared" si="142"/>
        <v>7.8539816339744828</v>
      </c>
      <c r="AI157">
        <f t="shared" si="143"/>
        <v>6.9825864140150973</v>
      </c>
      <c r="AJ157">
        <f t="shared" si="144"/>
        <v>0.56531380905006046</v>
      </c>
      <c r="AK157">
        <f t="shared" si="145"/>
        <v>0.9993339396950468</v>
      </c>
      <c r="AL157" s="9">
        <f t="shared" si="165"/>
        <v>16.401215796734686</v>
      </c>
      <c r="AM157" t="e">
        <f t="shared" si="146"/>
        <v>#N/A</v>
      </c>
      <c r="AN157" t="e">
        <f t="shared" si="166"/>
        <v>#N/A</v>
      </c>
      <c r="AO157">
        <f t="shared" si="147"/>
        <v>0</v>
      </c>
      <c r="AP157">
        <f t="shared" si="148"/>
        <v>0</v>
      </c>
      <c r="AQ157">
        <f t="shared" si="149"/>
        <v>0</v>
      </c>
      <c r="AR157">
        <f t="shared" si="167"/>
        <v>0</v>
      </c>
      <c r="AS157">
        <f t="shared" si="150"/>
        <v>0</v>
      </c>
      <c r="AT157">
        <f t="shared" si="168"/>
        <v>0</v>
      </c>
      <c r="AU157">
        <f t="shared" si="169"/>
        <v>0</v>
      </c>
      <c r="AV157">
        <f t="shared" si="151"/>
        <v>2.7646015351590175E-20</v>
      </c>
      <c r="AW157" t="b">
        <f t="shared" si="170"/>
        <v>1</v>
      </c>
      <c r="AX157">
        <f t="shared" si="152"/>
        <v>7.8539816339744828</v>
      </c>
      <c r="AY157">
        <f t="shared" si="153"/>
        <v>6.9825864140150911</v>
      </c>
      <c r="AZ157">
        <f t="shared" si="154"/>
        <v>0.56531380905006035</v>
      </c>
      <c r="BA157">
        <f t="shared" si="155"/>
        <v>0.99933393969504614</v>
      </c>
      <c r="BB157">
        <f t="shared" si="156"/>
        <v>-1.2337005501361696E-20</v>
      </c>
      <c r="BD157" s="15">
        <f t="shared" si="171"/>
        <v>16.401215796734679</v>
      </c>
      <c r="BE157" s="10">
        <f t="shared" si="172"/>
        <v>0</v>
      </c>
      <c r="BF157">
        <f t="shared" si="173"/>
        <v>0</v>
      </c>
      <c r="BG157">
        <f t="shared" si="174"/>
        <v>0</v>
      </c>
      <c r="BH157">
        <f t="shared" si="175"/>
        <v>0</v>
      </c>
      <c r="BI157">
        <f t="shared" si="176"/>
        <v>0</v>
      </c>
    </row>
    <row r="158" spans="1:61" x14ac:dyDescent="0.3">
      <c r="A158">
        <f t="shared" si="123"/>
        <v>0.121</v>
      </c>
      <c r="B158">
        <f t="shared" si="124"/>
        <v>0.38013271108436497</v>
      </c>
      <c r="C158">
        <f t="shared" si="125"/>
        <v>2.7614599425054283</v>
      </c>
      <c r="D158">
        <f t="shared" si="126"/>
        <v>2.7614599425054283</v>
      </c>
      <c r="E158">
        <f t="shared" si="131"/>
        <v>0.37104371023705102</v>
      </c>
      <c r="F158">
        <f t="shared" si="132"/>
        <v>0.37104371023705102</v>
      </c>
      <c r="G158">
        <f t="shared" si="127"/>
        <v>0.38013271108436497</v>
      </c>
      <c r="H158">
        <f t="shared" si="128"/>
        <v>0.37104371023705102</v>
      </c>
      <c r="I158">
        <f t="shared" si="129"/>
        <v>0.37104371023705102</v>
      </c>
      <c r="J158">
        <f t="shared" si="119"/>
        <v>1.7157541141469833E+20</v>
      </c>
      <c r="K158">
        <f t="shared" si="120"/>
        <v>1.7157541141469833E+20</v>
      </c>
      <c r="L158">
        <f t="shared" si="133"/>
        <v>1</v>
      </c>
      <c r="M158">
        <f t="shared" si="130"/>
        <v>2.7614599425054281E-20</v>
      </c>
      <c r="N158" s="9">
        <f t="shared" si="121"/>
        <v>2.7614599425054281E-20</v>
      </c>
      <c r="O158">
        <f t="shared" si="122"/>
        <v>2.7614599425054281E-20</v>
      </c>
      <c r="Q158">
        <f t="shared" si="134"/>
        <v>46.591554560555537</v>
      </c>
      <c r="R158">
        <f t="shared" si="135"/>
        <v>0</v>
      </c>
      <c r="S158">
        <f t="shared" si="157"/>
        <v>-45.035942355328473</v>
      </c>
      <c r="T158" s="9" t="e">
        <f t="shared" si="136"/>
        <v>#N/A</v>
      </c>
      <c r="U158">
        <f t="shared" si="158"/>
        <v>-1.0000000000000001E+300</v>
      </c>
      <c r="V158">
        <f t="shared" si="159"/>
        <v>0</v>
      </c>
      <c r="W158">
        <f t="shared" si="160"/>
        <v>0</v>
      </c>
      <c r="X158">
        <f t="shared" si="137"/>
        <v>2.7614599425054283</v>
      </c>
      <c r="Y158">
        <f t="shared" si="138"/>
        <v>7.8539816339744828</v>
      </c>
      <c r="Z158">
        <f t="shared" si="139"/>
        <v>-2.7614599425054283</v>
      </c>
      <c r="AA158">
        <f t="shared" si="161"/>
        <v>6.9111378639667462</v>
      </c>
      <c r="AB158">
        <f t="shared" si="140"/>
        <v>14.765119497941228</v>
      </c>
      <c r="AC158">
        <f t="shared" si="162"/>
        <v>0.56417679926298525</v>
      </c>
      <c r="AD158">
        <f t="shared" si="141"/>
        <v>0.99143540596407909</v>
      </c>
      <c r="AE158" s="9">
        <f t="shared" si="163"/>
        <v>16.320731703168292</v>
      </c>
      <c r="AF158">
        <f t="shared" si="164"/>
        <v>0</v>
      </c>
      <c r="AH158">
        <f t="shared" si="142"/>
        <v>7.8539816339744828</v>
      </c>
      <c r="AI158">
        <f t="shared" si="143"/>
        <v>6.9111378639667445</v>
      </c>
      <c r="AJ158">
        <f t="shared" si="144"/>
        <v>0.56417679926298803</v>
      </c>
      <c r="AK158">
        <f t="shared" si="145"/>
        <v>0.99143540596407909</v>
      </c>
      <c r="AL158" s="9">
        <f t="shared" si="165"/>
        <v>16.320731703168295</v>
      </c>
      <c r="AM158" t="e">
        <f t="shared" si="146"/>
        <v>#N/A</v>
      </c>
      <c r="AN158" t="e">
        <f t="shared" si="166"/>
        <v>#N/A</v>
      </c>
      <c r="AO158">
        <f t="shared" si="147"/>
        <v>0</v>
      </c>
      <c r="AP158">
        <f t="shared" si="148"/>
        <v>0</v>
      </c>
      <c r="AQ158">
        <f t="shared" si="149"/>
        <v>2.7755575615628914E-15</v>
      </c>
      <c r="AR158">
        <f t="shared" si="167"/>
        <v>0</v>
      </c>
      <c r="AS158">
        <f t="shared" si="150"/>
        <v>0</v>
      </c>
      <c r="AT158">
        <f t="shared" si="168"/>
        <v>0</v>
      </c>
      <c r="AU158">
        <f t="shared" si="169"/>
        <v>0</v>
      </c>
      <c r="AV158">
        <f t="shared" si="151"/>
        <v>2.7614599425054281E-20</v>
      </c>
      <c r="AW158" t="b">
        <f t="shared" si="170"/>
        <v>1</v>
      </c>
      <c r="AX158">
        <f t="shared" si="152"/>
        <v>7.8539816339744828</v>
      </c>
      <c r="AY158">
        <f t="shared" si="153"/>
        <v>6.9111378639667445</v>
      </c>
      <c r="AZ158">
        <f t="shared" si="154"/>
        <v>0.56417679926298536</v>
      </c>
      <c r="BA158">
        <f t="shared" si="155"/>
        <v>0.99143540596407909</v>
      </c>
      <c r="BB158">
        <f t="shared" si="156"/>
        <v>-1.2337005501361696E-20</v>
      </c>
      <c r="BD158" s="15">
        <f t="shared" si="171"/>
        <v>16.320731703168292</v>
      </c>
      <c r="BE158" s="10">
        <f t="shared" si="172"/>
        <v>0</v>
      </c>
      <c r="BF158">
        <f t="shared" si="173"/>
        <v>0</v>
      </c>
      <c r="BG158">
        <f t="shared" si="174"/>
        <v>0</v>
      </c>
      <c r="BH158">
        <f t="shared" si="175"/>
        <v>0</v>
      </c>
      <c r="BI158">
        <f t="shared" si="176"/>
        <v>0</v>
      </c>
    </row>
    <row r="159" spans="1:61" x14ac:dyDescent="0.3">
      <c r="A159">
        <f t="shared" si="123"/>
        <v>0.122</v>
      </c>
      <c r="B159">
        <f t="shared" si="124"/>
        <v>0.38327430373795474</v>
      </c>
      <c r="C159">
        <f t="shared" si="125"/>
        <v>2.7583183498518382</v>
      </c>
      <c r="D159">
        <f t="shared" si="126"/>
        <v>2.7583183498518382</v>
      </c>
      <c r="E159">
        <f t="shared" si="131"/>
        <v>0.37395920573780039</v>
      </c>
      <c r="F159">
        <f t="shared" si="132"/>
        <v>0.37395920573780067</v>
      </c>
      <c r="G159">
        <f t="shared" si="127"/>
        <v>0.38327430373795474</v>
      </c>
      <c r="H159">
        <f t="shared" si="128"/>
        <v>0.37395920573780039</v>
      </c>
      <c r="I159">
        <f t="shared" si="129"/>
        <v>0.37395920573780067</v>
      </c>
      <c r="J159">
        <f t="shared" si="119"/>
        <v>1.7023775925279513E+20</v>
      </c>
      <c r="K159">
        <f t="shared" si="120"/>
        <v>1.7023775925279513E+20</v>
      </c>
      <c r="L159">
        <f t="shared" si="133"/>
        <v>1</v>
      </c>
      <c r="M159">
        <f t="shared" si="130"/>
        <v>2.7583183498518381E-20</v>
      </c>
      <c r="N159" s="9">
        <f t="shared" si="121"/>
        <v>2.7583183498518381E-20</v>
      </c>
      <c r="O159">
        <f t="shared" si="122"/>
        <v>2.7583183498518381E-20</v>
      </c>
      <c r="Q159">
        <f t="shared" si="134"/>
        <v>46.583727717675615</v>
      </c>
      <c r="R159">
        <f t="shared" si="135"/>
        <v>0</v>
      </c>
      <c r="S159">
        <f t="shared" si="157"/>
        <v>-45.037080659378532</v>
      </c>
      <c r="T159" s="9" t="e">
        <f t="shared" si="136"/>
        <v>#N/A</v>
      </c>
      <c r="U159">
        <f t="shared" si="158"/>
        <v>-1.0000000000000001E+300</v>
      </c>
      <c r="V159">
        <f t="shared" si="159"/>
        <v>0</v>
      </c>
      <c r="W159">
        <f t="shared" si="160"/>
        <v>0</v>
      </c>
      <c r="X159">
        <f t="shared" si="137"/>
        <v>2.7583183498518382</v>
      </c>
      <c r="Y159">
        <f t="shared" si="138"/>
        <v>7.8539816339744828</v>
      </c>
      <c r="Z159">
        <f t="shared" si="139"/>
        <v>-2.7583183498518382</v>
      </c>
      <c r="AA159">
        <f t="shared" si="161"/>
        <v>6.8408236665199453</v>
      </c>
      <c r="AB159">
        <f t="shared" si="140"/>
        <v>14.694805300494428</v>
      </c>
      <c r="AC159">
        <f t="shared" si="162"/>
        <v>0.56303849521292493</v>
      </c>
      <c r="AD159">
        <f t="shared" si="141"/>
        <v>0.98360856308415601</v>
      </c>
      <c r="AE159" s="9">
        <f t="shared" si="163"/>
        <v>16.241452358791509</v>
      </c>
      <c r="AF159">
        <f t="shared" si="164"/>
        <v>0</v>
      </c>
      <c r="AH159">
        <f t="shared" si="142"/>
        <v>7.8539816339744828</v>
      </c>
      <c r="AI159">
        <f t="shared" si="143"/>
        <v>6.8408236665199498</v>
      </c>
      <c r="AJ159">
        <f t="shared" si="144"/>
        <v>0.56303849521292904</v>
      </c>
      <c r="AK159">
        <f t="shared" si="145"/>
        <v>0.98360856308415601</v>
      </c>
      <c r="AL159" s="9">
        <f t="shared" si="165"/>
        <v>16.24145235879152</v>
      </c>
      <c r="AM159" t="e">
        <f t="shared" si="146"/>
        <v>#N/A</v>
      </c>
      <c r="AN159" t="e">
        <f t="shared" si="166"/>
        <v>#N/A</v>
      </c>
      <c r="AO159">
        <f t="shared" si="147"/>
        <v>0</v>
      </c>
      <c r="AP159">
        <f t="shared" si="148"/>
        <v>0</v>
      </c>
      <c r="AQ159">
        <f t="shared" si="149"/>
        <v>4.1078251911130792E-15</v>
      </c>
      <c r="AR159">
        <f t="shared" si="167"/>
        <v>0</v>
      </c>
      <c r="AS159">
        <f t="shared" si="150"/>
        <v>0</v>
      </c>
      <c r="AT159">
        <f t="shared" si="168"/>
        <v>0</v>
      </c>
      <c r="AU159">
        <f t="shared" si="169"/>
        <v>0</v>
      </c>
      <c r="AV159">
        <f t="shared" si="151"/>
        <v>2.7583183498518381E-20</v>
      </c>
      <c r="AW159" t="b">
        <f t="shared" si="170"/>
        <v>1</v>
      </c>
      <c r="AX159">
        <f t="shared" si="152"/>
        <v>7.8539816339744828</v>
      </c>
      <c r="AY159">
        <f t="shared" si="153"/>
        <v>6.8408236665199436</v>
      </c>
      <c r="AZ159">
        <f t="shared" si="154"/>
        <v>0.56303849521292493</v>
      </c>
      <c r="BA159">
        <f t="shared" si="155"/>
        <v>0.98360856308415534</v>
      </c>
      <c r="BB159">
        <f t="shared" si="156"/>
        <v>-1.2337005501361696E-20</v>
      </c>
      <c r="BD159" s="15">
        <f t="shared" si="171"/>
        <v>16.241452358791506</v>
      </c>
      <c r="BE159" s="10">
        <f t="shared" si="172"/>
        <v>0</v>
      </c>
      <c r="BF159">
        <f t="shared" si="173"/>
        <v>0</v>
      </c>
      <c r="BG159">
        <f t="shared" si="174"/>
        <v>0</v>
      </c>
      <c r="BH159">
        <f t="shared" si="175"/>
        <v>0</v>
      </c>
      <c r="BI159">
        <f t="shared" si="176"/>
        <v>0</v>
      </c>
    </row>
    <row r="160" spans="1:61" x14ac:dyDescent="0.3">
      <c r="A160">
        <f t="shared" si="123"/>
        <v>0.123</v>
      </c>
      <c r="B160">
        <f t="shared" si="124"/>
        <v>0.38641589639154456</v>
      </c>
      <c r="C160">
        <f t="shared" si="125"/>
        <v>2.7551767571982486</v>
      </c>
      <c r="D160">
        <f t="shared" si="126"/>
        <v>2.7551767571982486</v>
      </c>
      <c r="E160">
        <f t="shared" si="131"/>
        <v>0.37687101041216264</v>
      </c>
      <c r="F160">
        <f t="shared" si="132"/>
        <v>0.3768710104121627</v>
      </c>
      <c r="G160">
        <f t="shared" si="127"/>
        <v>0.38641589639154456</v>
      </c>
      <c r="H160">
        <f t="shared" si="128"/>
        <v>0.37687101041216264</v>
      </c>
      <c r="I160">
        <f t="shared" si="129"/>
        <v>0.3768710104121627</v>
      </c>
      <c r="J160">
        <f t="shared" si="119"/>
        <v>1.6892245749317416E+20</v>
      </c>
      <c r="K160">
        <f t="shared" si="120"/>
        <v>1.6892245749317416E+20</v>
      </c>
      <c r="L160">
        <f t="shared" si="133"/>
        <v>0</v>
      </c>
      <c r="M160">
        <f t="shared" si="130"/>
        <v>2.7551767571982482E-20</v>
      </c>
      <c r="N160" s="9">
        <f t="shared" si="121"/>
        <v>0</v>
      </c>
      <c r="O160">
        <f t="shared" si="122"/>
        <v>0</v>
      </c>
      <c r="Q160">
        <f t="shared" si="134"/>
        <v>46.575971452119219</v>
      </c>
      <c r="R160">
        <f t="shared" si="135"/>
        <v>-710542.73576010019</v>
      </c>
      <c r="S160">
        <f t="shared" si="157"/>
        <v>-45.038220260641467</v>
      </c>
      <c r="T160" s="9" t="e">
        <f t="shared" si="136"/>
        <v>#N/A</v>
      </c>
      <c r="U160">
        <f t="shared" si="158"/>
        <v>-1.0000000000000001E+300</v>
      </c>
      <c r="V160">
        <f t="shared" si="159"/>
        <v>0</v>
      </c>
      <c r="W160">
        <f t="shared" si="160"/>
        <v>0</v>
      </c>
      <c r="X160">
        <f t="shared" si="137"/>
        <v>2.7551767571982486</v>
      </c>
      <c r="Y160">
        <f t="shared" si="138"/>
        <v>7.8539816339744828</v>
      </c>
      <c r="Z160">
        <f t="shared" si="139"/>
        <v>-2.7551767571982486</v>
      </c>
      <c r="AA160">
        <f t="shared" si="161"/>
        <v>6.7716162763633765</v>
      </c>
      <c r="AB160">
        <f t="shared" si="140"/>
        <v>14.625597910337859</v>
      </c>
      <c r="AC160">
        <f t="shared" si="162"/>
        <v>0.56189889394999126</v>
      </c>
      <c r="AD160">
        <f t="shared" si="141"/>
        <v>0.97585229752776337</v>
      </c>
      <c r="AE160" s="9">
        <f t="shared" si="163"/>
        <v>16.163349101815612</v>
      </c>
      <c r="AF160">
        <f t="shared" si="164"/>
        <v>0</v>
      </c>
      <c r="AH160">
        <f t="shared" si="142"/>
        <v>7.8539816339744828</v>
      </c>
      <c r="AI160">
        <f t="shared" si="143"/>
        <v>6.7716162763633765</v>
      </c>
      <c r="AJ160">
        <f t="shared" si="144"/>
        <v>0.56189889394999426</v>
      </c>
      <c r="AK160">
        <f t="shared" si="145"/>
        <v>0.97585229752776337</v>
      </c>
      <c r="AL160" s="9">
        <f t="shared" si="165"/>
        <v>16.163349101815616</v>
      </c>
      <c r="AM160" t="e">
        <f t="shared" si="146"/>
        <v>#N/A</v>
      </c>
      <c r="AN160" t="e">
        <f t="shared" si="166"/>
        <v>#N/A</v>
      </c>
      <c r="AO160">
        <f t="shared" si="147"/>
        <v>0</v>
      </c>
      <c r="AP160">
        <f t="shared" si="148"/>
        <v>0</v>
      </c>
      <c r="AQ160">
        <f t="shared" si="149"/>
        <v>2.9976021664879227E-15</v>
      </c>
      <c r="AR160">
        <f t="shared" si="167"/>
        <v>0</v>
      </c>
      <c r="AS160">
        <f t="shared" si="150"/>
        <v>0</v>
      </c>
      <c r="AT160">
        <f t="shared" si="168"/>
        <v>0</v>
      </c>
      <c r="AU160">
        <f t="shared" si="169"/>
        <v>0</v>
      </c>
      <c r="AV160">
        <f t="shared" si="151"/>
        <v>2.7551767571982482E-20</v>
      </c>
      <c r="AW160" t="b">
        <f t="shared" si="170"/>
        <v>1</v>
      </c>
      <c r="AX160">
        <f t="shared" si="152"/>
        <v>7.8539816339744828</v>
      </c>
      <c r="AY160">
        <f t="shared" si="153"/>
        <v>6.7716162763633747</v>
      </c>
      <c r="AZ160">
        <f t="shared" si="154"/>
        <v>0.56189889394999126</v>
      </c>
      <c r="BA160">
        <f t="shared" si="155"/>
        <v>0.97585229752776315</v>
      </c>
      <c r="BB160">
        <f t="shared" si="156"/>
        <v>-1.2337005501361696E-20</v>
      </c>
      <c r="BD160" s="15">
        <f t="shared" si="171"/>
        <v>16.163349101815612</v>
      </c>
      <c r="BE160" s="10">
        <f t="shared" si="172"/>
        <v>0</v>
      </c>
      <c r="BF160">
        <f t="shared" si="173"/>
        <v>0</v>
      </c>
      <c r="BG160">
        <f t="shared" si="174"/>
        <v>0</v>
      </c>
      <c r="BH160">
        <f t="shared" si="175"/>
        <v>0</v>
      </c>
      <c r="BI160">
        <f t="shared" si="176"/>
        <v>0</v>
      </c>
    </row>
    <row r="161" spans="1:61" x14ac:dyDescent="0.3">
      <c r="A161">
        <f t="shared" si="123"/>
        <v>0.124</v>
      </c>
      <c r="B161">
        <f t="shared" si="124"/>
        <v>0.38955748904513432</v>
      </c>
      <c r="C161">
        <f t="shared" si="125"/>
        <v>2.752035164544659</v>
      </c>
      <c r="D161">
        <f t="shared" si="126"/>
        <v>2.752035164544659</v>
      </c>
      <c r="E161">
        <f t="shared" si="131"/>
        <v>0.37977909552180106</v>
      </c>
      <c r="F161">
        <f t="shared" si="132"/>
        <v>0.379779095521801</v>
      </c>
      <c r="G161">
        <f t="shared" si="127"/>
        <v>0.38955748904513432</v>
      </c>
      <c r="H161">
        <f t="shared" si="128"/>
        <v>0.37977909552180106</v>
      </c>
      <c r="I161">
        <f t="shared" si="129"/>
        <v>0.379779095521801</v>
      </c>
      <c r="J161">
        <f t="shared" si="119"/>
        <v>1.6762896638449562E+20</v>
      </c>
      <c r="K161">
        <f t="shared" si="120"/>
        <v>1.6762896638449562E+20</v>
      </c>
      <c r="L161">
        <f t="shared" si="133"/>
        <v>1</v>
      </c>
      <c r="M161">
        <f t="shared" si="130"/>
        <v>2.7520351645446588E-20</v>
      </c>
      <c r="N161" s="9">
        <f t="shared" si="121"/>
        <v>2.7520351645446588E-20</v>
      </c>
      <c r="O161">
        <f t="shared" si="122"/>
        <v>2.7520351645446588E-20</v>
      </c>
      <c r="Q161">
        <f t="shared" si="134"/>
        <v>46.568284677463758</v>
      </c>
      <c r="R161">
        <f t="shared" si="135"/>
        <v>-710542.73576010019</v>
      </c>
      <c r="S161">
        <f t="shared" si="157"/>
        <v>-45.039361162077256</v>
      </c>
      <c r="T161" s="9" t="e">
        <f t="shared" si="136"/>
        <v>#N/A</v>
      </c>
      <c r="U161">
        <f t="shared" si="158"/>
        <v>-1.0000000000000001E+300</v>
      </c>
      <c r="V161">
        <f t="shared" si="159"/>
        <v>0</v>
      </c>
      <c r="W161">
        <f t="shared" si="160"/>
        <v>0</v>
      </c>
      <c r="X161">
        <f t="shared" si="137"/>
        <v>2.752035164544659</v>
      </c>
      <c r="Y161">
        <f t="shared" si="138"/>
        <v>7.8539816339744828</v>
      </c>
      <c r="Z161">
        <f t="shared" si="139"/>
        <v>-2.752035164544659</v>
      </c>
      <c r="AA161">
        <f t="shared" si="161"/>
        <v>6.7034890365129094</v>
      </c>
      <c r="AB161">
        <f t="shared" si="140"/>
        <v>14.557470670487392</v>
      </c>
      <c r="AC161">
        <f t="shared" si="162"/>
        <v>0.56075799251419978</v>
      </c>
      <c r="AD161">
        <f t="shared" si="141"/>
        <v>0.96816552287230118</v>
      </c>
      <c r="AE161" s="9">
        <f t="shared" si="163"/>
        <v>16.086394185873893</v>
      </c>
      <c r="AF161">
        <f t="shared" si="164"/>
        <v>0</v>
      </c>
      <c r="AH161">
        <f t="shared" si="142"/>
        <v>7.8539816339744828</v>
      </c>
      <c r="AI161">
        <f t="shared" si="143"/>
        <v>6.7034890365129058</v>
      </c>
      <c r="AJ161">
        <f t="shared" si="144"/>
        <v>0.56075799251420477</v>
      </c>
      <c r="AK161">
        <f t="shared" si="145"/>
        <v>0.96816552287230118</v>
      </c>
      <c r="AL161" s="9">
        <f t="shared" si="165"/>
        <v>16.086394185873896</v>
      </c>
      <c r="AM161" t="e">
        <f t="shared" si="146"/>
        <v>#N/A</v>
      </c>
      <c r="AN161" t="e">
        <f t="shared" si="166"/>
        <v>#N/A</v>
      </c>
      <c r="AO161">
        <f t="shared" si="147"/>
        <v>0</v>
      </c>
      <c r="AP161">
        <f t="shared" si="148"/>
        <v>0</v>
      </c>
      <c r="AQ161">
        <f t="shared" si="149"/>
        <v>4.9960036108132044E-15</v>
      </c>
      <c r="AR161">
        <f t="shared" si="167"/>
        <v>0</v>
      </c>
      <c r="AS161">
        <f t="shared" si="150"/>
        <v>0</v>
      </c>
      <c r="AT161">
        <f t="shared" si="168"/>
        <v>0</v>
      </c>
      <c r="AU161">
        <f t="shared" si="169"/>
        <v>0</v>
      </c>
      <c r="AV161">
        <f t="shared" si="151"/>
        <v>2.7520351645446588E-20</v>
      </c>
      <c r="AW161" t="b">
        <f t="shared" si="170"/>
        <v>1</v>
      </c>
      <c r="AX161">
        <f t="shared" si="152"/>
        <v>7.8539816339744828</v>
      </c>
      <c r="AY161">
        <f t="shared" si="153"/>
        <v>6.7034890365129085</v>
      </c>
      <c r="AZ161">
        <f t="shared" si="154"/>
        <v>0.56075799251419978</v>
      </c>
      <c r="BA161">
        <f t="shared" si="155"/>
        <v>0.96816552287230129</v>
      </c>
      <c r="BB161">
        <f t="shared" si="156"/>
        <v>-1.2337005501361696E-20</v>
      </c>
      <c r="BD161" s="15">
        <f t="shared" si="171"/>
        <v>16.086394185873893</v>
      </c>
      <c r="BE161" s="10">
        <f t="shared" si="172"/>
        <v>0</v>
      </c>
      <c r="BF161">
        <f t="shared" si="173"/>
        <v>0</v>
      </c>
      <c r="BG161">
        <f t="shared" si="174"/>
        <v>0</v>
      </c>
      <c r="BH161">
        <f t="shared" si="175"/>
        <v>0</v>
      </c>
      <c r="BI161">
        <f t="shared" si="176"/>
        <v>0</v>
      </c>
    </row>
    <row r="162" spans="1:61" x14ac:dyDescent="0.3">
      <c r="A162">
        <f t="shared" si="123"/>
        <v>0.125</v>
      </c>
      <c r="B162">
        <f t="shared" si="124"/>
        <v>0.39269908169872414</v>
      </c>
      <c r="C162">
        <f t="shared" si="125"/>
        <v>2.748893571891069</v>
      </c>
      <c r="D162">
        <f t="shared" si="126"/>
        <v>2.748893571891069</v>
      </c>
      <c r="E162">
        <f t="shared" si="131"/>
        <v>0.38268343236508978</v>
      </c>
      <c r="F162">
        <f t="shared" si="132"/>
        <v>0.38268343236508989</v>
      </c>
      <c r="G162">
        <f t="shared" si="127"/>
        <v>0.39269908169872414</v>
      </c>
      <c r="H162">
        <f t="shared" si="128"/>
        <v>0.38268343236508978</v>
      </c>
      <c r="I162">
        <f t="shared" si="129"/>
        <v>0.38268343236508989</v>
      </c>
      <c r="J162">
        <f t="shared" si="119"/>
        <v>1.6635676345670222E+20</v>
      </c>
      <c r="K162">
        <f t="shared" si="120"/>
        <v>1.6635676345670222E+20</v>
      </c>
      <c r="L162">
        <f t="shared" si="133"/>
        <v>1</v>
      </c>
      <c r="M162">
        <f t="shared" si="130"/>
        <v>2.7488935718910688E-20</v>
      </c>
      <c r="N162" s="9">
        <f t="shared" si="121"/>
        <v>2.7488935718910688E-20</v>
      </c>
      <c r="O162">
        <f t="shared" si="122"/>
        <v>2.7488935718910688E-20</v>
      </c>
      <c r="Q162">
        <f t="shared" si="134"/>
        <v>46.560666333521191</v>
      </c>
      <c r="R162">
        <f t="shared" si="135"/>
        <v>0</v>
      </c>
      <c r="S162">
        <f t="shared" si="157"/>
        <v>-45.040503366656033</v>
      </c>
      <c r="T162" s="9" t="e">
        <f t="shared" si="136"/>
        <v>#N/A</v>
      </c>
      <c r="U162">
        <f t="shared" si="158"/>
        <v>-1.0000000000000001E+300</v>
      </c>
      <c r="V162">
        <f t="shared" si="159"/>
        <v>0</v>
      </c>
      <c r="W162">
        <f t="shared" si="160"/>
        <v>0</v>
      </c>
      <c r="X162">
        <f t="shared" si="137"/>
        <v>2.748893571891069</v>
      </c>
      <c r="Y162">
        <f t="shared" si="138"/>
        <v>7.8539816339744828</v>
      </c>
      <c r="Z162">
        <f t="shared" si="139"/>
        <v>-2.748893571891069</v>
      </c>
      <c r="AA162">
        <f t="shared" si="161"/>
        <v>6.6364161427796393</v>
      </c>
      <c r="AB162">
        <f t="shared" si="140"/>
        <v>14.490397776754122</v>
      </c>
      <c r="AC162">
        <f t="shared" si="162"/>
        <v>0.55961578793542266</v>
      </c>
      <c r="AD162">
        <f t="shared" si="141"/>
        <v>0.96054717892973052</v>
      </c>
      <c r="AE162" s="9">
        <f t="shared" si="163"/>
        <v>16.010560743619276</v>
      </c>
      <c r="AF162">
        <f t="shared" si="164"/>
        <v>0</v>
      </c>
      <c r="AH162">
        <f t="shared" si="142"/>
        <v>7.8539816339744828</v>
      </c>
      <c r="AI162">
        <f t="shared" si="143"/>
        <v>6.6364161427796393</v>
      </c>
      <c r="AJ162">
        <f t="shared" si="144"/>
        <v>0.55961578793542799</v>
      </c>
      <c r="AK162">
        <f t="shared" si="145"/>
        <v>0.96054717892973052</v>
      </c>
      <c r="AL162" s="9">
        <f t="shared" si="165"/>
        <v>16.01056074361928</v>
      </c>
      <c r="AM162" t="e">
        <f t="shared" si="146"/>
        <v>#N/A</v>
      </c>
      <c r="AN162" t="e">
        <f t="shared" si="166"/>
        <v>#N/A</v>
      </c>
      <c r="AO162">
        <f t="shared" si="147"/>
        <v>0</v>
      </c>
      <c r="AP162">
        <f t="shared" si="148"/>
        <v>0</v>
      </c>
      <c r="AQ162">
        <f t="shared" si="149"/>
        <v>5.3290705182007514E-15</v>
      </c>
      <c r="AR162">
        <f t="shared" si="167"/>
        <v>0</v>
      </c>
      <c r="AS162">
        <f t="shared" si="150"/>
        <v>0</v>
      </c>
      <c r="AT162">
        <f t="shared" si="168"/>
        <v>0</v>
      </c>
      <c r="AU162">
        <f t="shared" si="169"/>
        <v>0</v>
      </c>
      <c r="AV162">
        <f t="shared" si="151"/>
        <v>2.7488935718910688E-20</v>
      </c>
      <c r="AW162" t="b">
        <f t="shared" si="170"/>
        <v>1</v>
      </c>
      <c r="AX162">
        <f t="shared" si="152"/>
        <v>7.8539816339744828</v>
      </c>
      <c r="AY162">
        <f t="shared" si="153"/>
        <v>6.6364161427796367</v>
      </c>
      <c r="AZ162">
        <f t="shared" si="154"/>
        <v>0.55961578793542266</v>
      </c>
      <c r="BA162">
        <f t="shared" si="155"/>
        <v>0.96054717892973018</v>
      </c>
      <c r="BB162">
        <f t="shared" si="156"/>
        <v>-1.2337005501361696E-20</v>
      </c>
      <c r="BD162" s="15">
        <f t="shared" si="171"/>
        <v>16.010560743619273</v>
      </c>
      <c r="BE162" s="10">
        <f t="shared" si="172"/>
        <v>0</v>
      </c>
      <c r="BF162">
        <f t="shared" si="173"/>
        <v>0</v>
      </c>
      <c r="BG162">
        <f t="shared" si="174"/>
        <v>0</v>
      </c>
      <c r="BH162">
        <f t="shared" si="175"/>
        <v>0</v>
      </c>
      <c r="BI162">
        <f t="shared" si="176"/>
        <v>0</v>
      </c>
    </row>
    <row r="163" spans="1:61" x14ac:dyDescent="0.3">
      <c r="A163">
        <f t="shared" si="123"/>
        <v>0.126</v>
      </c>
      <c r="B163">
        <f t="shared" si="124"/>
        <v>0.39584067435231396</v>
      </c>
      <c r="C163">
        <f t="shared" si="125"/>
        <v>2.7457519792374789</v>
      </c>
      <c r="D163">
        <f t="shared" si="126"/>
        <v>2.7457519792374789</v>
      </c>
      <c r="E163">
        <f t="shared" si="131"/>
        <v>0.38558399227739654</v>
      </c>
      <c r="F163">
        <f t="shared" si="132"/>
        <v>0.38558399227739687</v>
      </c>
      <c r="G163">
        <f t="shared" si="127"/>
        <v>0.39584067435231396</v>
      </c>
      <c r="H163">
        <f t="shared" si="128"/>
        <v>0.38558399227739654</v>
      </c>
      <c r="I163">
        <f t="shared" si="129"/>
        <v>0.38558399227739687</v>
      </c>
      <c r="J163">
        <f t="shared" si="119"/>
        <v>1.6510534283528684E+20</v>
      </c>
      <c r="K163">
        <f t="shared" si="120"/>
        <v>1.6510534283528684E+20</v>
      </c>
      <c r="L163" t="e">
        <f t="shared" si="133"/>
        <v>#NUM!</v>
      </c>
      <c r="M163">
        <f t="shared" si="130"/>
        <v>2.7457519792374789E-20</v>
      </c>
      <c r="N163" s="9" t="e">
        <f t="shared" si="121"/>
        <v>#NUM!</v>
      </c>
      <c r="O163" t="e">
        <f t="shared" si="122"/>
        <v>#NUM!</v>
      </c>
      <c r="Q163">
        <f t="shared" si="134"/>
        <v>46.553115385502359</v>
      </c>
      <c r="R163">
        <f t="shared" si="135"/>
        <v>0</v>
      </c>
      <c r="S163">
        <f t="shared" si="157"/>
        <v>-45.041646877358119</v>
      </c>
      <c r="T163" s="9" t="e">
        <f t="shared" si="136"/>
        <v>#N/A</v>
      </c>
      <c r="U163">
        <f t="shared" si="158"/>
        <v>-1.0000000000000001E+300</v>
      </c>
      <c r="V163">
        <f t="shared" si="159"/>
        <v>0</v>
      </c>
      <c r="W163">
        <f t="shared" si="160"/>
        <v>0</v>
      </c>
      <c r="X163">
        <f t="shared" si="137"/>
        <v>2.7457519792374789</v>
      </c>
      <c r="Y163">
        <f t="shared" si="138"/>
        <v>7.8539816339744828</v>
      </c>
      <c r="Z163">
        <f t="shared" si="139"/>
        <v>-2.7457519792374789</v>
      </c>
      <c r="AA163">
        <f t="shared" si="161"/>
        <v>6.5703726099299136</v>
      </c>
      <c r="AB163">
        <f t="shared" si="140"/>
        <v>14.424354243904396</v>
      </c>
      <c r="AC163">
        <f t="shared" si="162"/>
        <v>0.55847227723334358</v>
      </c>
      <c r="AD163">
        <f t="shared" si="141"/>
        <v>0.95299623091090047</v>
      </c>
      <c r="AE163" s="9">
        <f t="shared" si="163"/>
        <v>15.93582275204864</v>
      </c>
      <c r="AF163">
        <f t="shared" si="164"/>
        <v>0</v>
      </c>
      <c r="AH163">
        <f t="shared" si="142"/>
        <v>7.8539816339744828</v>
      </c>
      <c r="AI163">
        <f t="shared" si="143"/>
        <v>6.5703726099299189</v>
      </c>
      <c r="AJ163">
        <f t="shared" si="144"/>
        <v>0.55847227723334214</v>
      </c>
      <c r="AK163">
        <f t="shared" si="145"/>
        <v>0.95299623091090047</v>
      </c>
      <c r="AL163" s="9">
        <f t="shared" si="165"/>
        <v>15.935822752048644</v>
      </c>
      <c r="AM163" t="e">
        <f t="shared" si="146"/>
        <v>#N/A</v>
      </c>
      <c r="AN163" t="e">
        <f t="shared" si="166"/>
        <v>#N/A</v>
      </c>
      <c r="AO163">
        <f t="shared" si="147"/>
        <v>0</v>
      </c>
      <c r="AP163">
        <f t="shared" si="148"/>
        <v>0</v>
      </c>
      <c r="AQ163">
        <f t="shared" si="149"/>
        <v>-1.4432899320127035E-15</v>
      </c>
      <c r="AR163">
        <f t="shared" si="167"/>
        <v>0</v>
      </c>
      <c r="AS163">
        <f t="shared" si="150"/>
        <v>0</v>
      </c>
      <c r="AT163">
        <f t="shared" si="168"/>
        <v>0</v>
      </c>
      <c r="AU163">
        <f t="shared" si="169"/>
        <v>0</v>
      </c>
      <c r="AV163">
        <f t="shared" si="151"/>
        <v>2.7457519792374789E-20</v>
      </c>
      <c r="AW163" t="b">
        <f t="shared" si="170"/>
        <v>1</v>
      </c>
      <c r="AX163">
        <f t="shared" si="152"/>
        <v>7.8539816339744828</v>
      </c>
      <c r="AY163">
        <f t="shared" si="153"/>
        <v>6.5703726099299118</v>
      </c>
      <c r="AZ163">
        <f t="shared" si="154"/>
        <v>0.55847227723334369</v>
      </c>
      <c r="BA163">
        <f t="shared" si="155"/>
        <v>0.95299623091089969</v>
      </c>
      <c r="BB163">
        <f t="shared" si="156"/>
        <v>-1.2337005501361696E-20</v>
      </c>
      <c r="BD163" s="15">
        <f t="shared" si="171"/>
        <v>15.935822752048638</v>
      </c>
      <c r="BE163" s="10">
        <f t="shared" si="172"/>
        <v>0</v>
      </c>
      <c r="BF163">
        <f t="shared" si="173"/>
        <v>0</v>
      </c>
      <c r="BG163">
        <f t="shared" si="174"/>
        <v>0</v>
      </c>
      <c r="BH163">
        <f t="shared" si="175"/>
        <v>0</v>
      </c>
      <c r="BI163">
        <f t="shared" si="176"/>
        <v>0</v>
      </c>
    </row>
    <row r="164" spans="1:61" x14ac:dyDescent="0.3">
      <c r="A164">
        <f t="shared" si="123"/>
        <v>0.127</v>
      </c>
      <c r="B164">
        <f t="shared" si="124"/>
        <v>0.39898226700590372</v>
      </c>
      <c r="C164">
        <f t="shared" si="125"/>
        <v>2.7426103865838893</v>
      </c>
      <c r="D164">
        <f t="shared" si="126"/>
        <v>2.7426103865838893</v>
      </c>
      <c r="E164">
        <f t="shared" si="131"/>
        <v>0.38848074663136606</v>
      </c>
      <c r="F164">
        <f t="shared" si="132"/>
        <v>0.38848074663136622</v>
      </c>
      <c r="G164">
        <f t="shared" si="127"/>
        <v>0.39898226700590372</v>
      </c>
      <c r="H164">
        <f t="shared" si="128"/>
        <v>0.38848074663136606</v>
      </c>
      <c r="I164">
        <f t="shared" si="129"/>
        <v>0.38848074663136622</v>
      </c>
      <c r="J164">
        <f t="shared" si="119"/>
        <v>1.6387421458795676E+20</v>
      </c>
      <c r="K164">
        <f t="shared" si="120"/>
        <v>1.6387421458795676E+20</v>
      </c>
      <c r="L164">
        <f t="shared" si="133"/>
        <v>1</v>
      </c>
      <c r="M164">
        <f t="shared" si="130"/>
        <v>2.7426103865838895E-20</v>
      </c>
      <c r="N164" s="9">
        <f t="shared" si="121"/>
        <v>2.7426103865838895E-20</v>
      </c>
      <c r="O164">
        <f t="shared" si="122"/>
        <v>2.7426103865838895E-20</v>
      </c>
      <c r="Q164">
        <f t="shared" si="134"/>
        <v>46.545630823214367</v>
      </c>
      <c r="R164">
        <f t="shared" si="135"/>
        <v>0</v>
      </c>
      <c r="S164">
        <f t="shared" si="157"/>
        <v>-45.042791697174046</v>
      </c>
      <c r="T164" s="9" t="e">
        <f t="shared" si="136"/>
        <v>#N/A</v>
      </c>
      <c r="U164">
        <f t="shared" si="158"/>
        <v>-1.0000000000000001E+300</v>
      </c>
      <c r="V164">
        <f t="shared" si="159"/>
        <v>0</v>
      </c>
      <c r="W164">
        <f t="shared" si="160"/>
        <v>0</v>
      </c>
      <c r="X164">
        <f t="shared" si="137"/>
        <v>2.7426103865838893</v>
      </c>
      <c r="Y164">
        <f t="shared" si="138"/>
        <v>7.8539816339744828</v>
      </c>
      <c r="Z164">
        <f t="shared" si="139"/>
        <v>-2.7426103865838893</v>
      </c>
      <c r="AA164">
        <f t="shared" si="161"/>
        <v>6.5053342394440596</v>
      </c>
      <c r="AB164">
        <f t="shared" si="140"/>
        <v>14.359315873418542</v>
      </c>
      <c r="AC164">
        <f t="shared" si="162"/>
        <v>0.55732745741741041</v>
      </c>
      <c r="AD164">
        <f t="shared" si="141"/>
        <v>0.94551166862290603</v>
      </c>
      <c r="AE164" s="9">
        <f t="shared" si="163"/>
        <v>15.862154999458857</v>
      </c>
      <c r="AF164">
        <f t="shared" si="164"/>
        <v>0</v>
      </c>
      <c r="AH164">
        <f t="shared" si="142"/>
        <v>7.8539816339744828</v>
      </c>
      <c r="AI164">
        <f t="shared" si="143"/>
        <v>6.5053342394440632</v>
      </c>
      <c r="AJ164">
        <f t="shared" si="144"/>
        <v>0.55732745741741496</v>
      </c>
      <c r="AK164">
        <f t="shared" si="145"/>
        <v>0.94551166862290603</v>
      </c>
      <c r="AL164" s="9">
        <f t="shared" si="165"/>
        <v>15.862154999458866</v>
      </c>
      <c r="AM164" t="e">
        <f t="shared" si="146"/>
        <v>#N/A</v>
      </c>
      <c r="AN164" t="e">
        <f t="shared" si="166"/>
        <v>#N/A</v>
      </c>
      <c r="AO164">
        <f t="shared" si="147"/>
        <v>0</v>
      </c>
      <c r="AP164">
        <f t="shared" si="148"/>
        <v>0</v>
      </c>
      <c r="AQ164">
        <f t="shared" si="149"/>
        <v>4.5519144009631418E-15</v>
      </c>
      <c r="AR164">
        <f t="shared" si="167"/>
        <v>0</v>
      </c>
      <c r="AS164">
        <f t="shared" si="150"/>
        <v>0</v>
      </c>
      <c r="AT164">
        <f t="shared" si="168"/>
        <v>0</v>
      </c>
      <c r="AU164">
        <f t="shared" si="169"/>
        <v>0</v>
      </c>
      <c r="AV164">
        <f t="shared" si="151"/>
        <v>2.7426103865838889E-20</v>
      </c>
      <c r="AW164" t="b">
        <f t="shared" si="170"/>
        <v>1</v>
      </c>
      <c r="AX164">
        <f t="shared" si="152"/>
        <v>7.8539816339744828</v>
      </c>
      <c r="AY164">
        <f t="shared" si="153"/>
        <v>6.505334239444057</v>
      </c>
      <c r="AZ164">
        <f t="shared" si="154"/>
        <v>0.5573274574174103</v>
      </c>
      <c r="BA164">
        <f t="shared" si="155"/>
        <v>0.9455116686229057</v>
      </c>
      <c r="BB164">
        <f t="shared" si="156"/>
        <v>-1.2337005501361696E-20</v>
      </c>
      <c r="BD164" s="15">
        <f t="shared" si="171"/>
        <v>15.862154999458856</v>
      </c>
      <c r="BE164" s="10">
        <f t="shared" si="172"/>
        <v>0</v>
      </c>
      <c r="BF164">
        <f t="shared" si="173"/>
        <v>0</v>
      </c>
      <c r="BG164">
        <f t="shared" si="174"/>
        <v>0</v>
      </c>
      <c r="BH164">
        <f t="shared" si="175"/>
        <v>0</v>
      </c>
      <c r="BI164">
        <f t="shared" si="176"/>
        <v>0</v>
      </c>
    </row>
    <row r="165" spans="1:61" x14ac:dyDescent="0.3">
      <c r="A165">
        <f t="shared" si="123"/>
        <v>0.128</v>
      </c>
      <c r="B165">
        <f t="shared" si="124"/>
        <v>0.40212385965949354</v>
      </c>
      <c r="C165">
        <f t="shared" si="125"/>
        <v>2.7394687939302997</v>
      </c>
      <c r="D165">
        <f t="shared" si="126"/>
        <v>2.7394687939302997</v>
      </c>
      <c r="E165">
        <f t="shared" si="131"/>
        <v>0.39137366683720243</v>
      </c>
      <c r="F165">
        <f t="shared" si="132"/>
        <v>0.39137366683720237</v>
      </c>
      <c r="G165">
        <f t="shared" si="127"/>
        <v>0.40212385965949354</v>
      </c>
      <c r="H165">
        <f t="shared" si="128"/>
        <v>0.39137366683720243</v>
      </c>
      <c r="I165">
        <f t="shared" si="129"/>
        <v>0.39137366683720237</v>
      </c>
      <c r="J165">
        <f t="shared" ref="J165:J228" si="177">x_m_zeta/H165</f>
        <v>1.6266290410192382E+20</v>
      </c>
      <c r="K165">
        <f t="shared" ref="K165:K228" si="178">(J165)^alpha</f>
        <v>1.6266290410192382E+20</v>
      </c>
      <c r="L165">
        <f t="shared" si="133"/>
        <v>1</v>
      </c>
      <c r="M165">
        <f t="shared" si="130"/>
        <v>2.7394687939302996E-20</v>
      </c>
      <c r="N165" s="9">
        <f t="shared" si="121"/>
        <v>2.7394687939302996E-20</v>
      </c>
      <c r="O165">
        <f t="shared" si="122"/>
        <v>2.7394687939302996E-20</v>
      </c>
      <c r="Q165">
        <f t="shared" si="134"/>
        <v>46.538211660289384</v>
      </c>
      <c r="R165">
        <f t="shared" si="135"/>
        <v>0</v>
      </c>
      <c r="S165">
        <f t="shared" si="157"/>
        <v>-45.043937829104671</v>
      </c>
      <c r="T165" s="9" t="e">
        <f t="shared" si="136"/>
        <v>#N/A</v>
      </c>
      <c r="U165">
        <f t="shared" si="158"/>
        <v>-1.0000000000000001E+300</v>
      </c>
      <c r="V165">
        <f t="shared" si="159"/>
        <v>0</v>
      </c>
      <c r="W165">
        <f t="shared" si="160"/>
        <v>0</v>
      </c>
      <c r="X165">
        <f t="shared" si="137"/>
        <v>2.7394687939302997</v>
      </c>
      <c r="Y165">
        <f t="shared" si="138"/>
        <v>7.8539816339744828</v>
      </c>
      <c r="Z165">
        <f t="shared" si="139"/>
        <v>-2.7394687939302997</v>
      </c>
      <c r="AA165">
        <f t="shared" si="161"/>
        <v>6.4412775887864164</v>
      </c>
      <c r="AB165">
        <f t="shared" si="140"/>
        <v>14.295259222760899</v>
      </c>
      <c r="AC165">
        <f t="shared" si="162"/>
        <v>0.55618132548678789</v>
      </c>
      <c r="AD165">
        <f t="shared" si="141"/>
        <v>0.93809250569792613</v>
      </c>
      <c r="AE165" s="9">
        <f t="shared" si="163"/>
        <v>15.789533053945613</v>
      </c>
      <c r="AF165">
        <f t="shared" si="164"/>
        <v>0</v>
      </c>
      <c r="AH165">
        <f t="shared" si="142"/>
        <v>7.8539816339744828</v>
      </c>
      <c r="AI165">
        <f t="shared" si="143"/>
        <v>6.4412775887864129</v>
      </c>
      <c r="AJ165">
        <f t="shared" si="144"/>
        <v>0.55618132548679</v>
      </c>
      <c r="AK165">
        <f t="shared" si="145"/>
        <v>0.93809250569792613</v>
      </c>
      <c r="AL165" s="9">
        <f t="shared" si="165"/>
        <v>15.789533053945611</v>
      </c>
      <c r="AM165" t="e">
        <f t="shared" si="146"/>
        <v>#N/A</v>
      </c>
      <c r="AN165" t="e">
        <f t="shared" si="166"/>
        <v>#N/A</v>
      </c>
      <c r="AO165">
        <f t="shared" si="147"/>
        <v>0</v>
      </c>
      <c r="AP165">
        <f t="shared" si="148"/>
        <v>0</v>
      </c>
      <c r="AQ165">
        <f t="shared" si="149"/>
        <v>2.1094237467877974E-15</v>
      </c>
      <c r="AR165">
        <f t="shared" si="167"/>
        <v>0</v>
      </c>
      <c r="AS165">
        <f t="shared" si="150"/>
        <v>0</v>
      </c>
      <c r="AT165">
        <f t="shared" si="168"/>
        <v>0</v>
      </c>
      <c r="AU165">
        <f t="shared" si="169"/>
        <v>0</v>
      </c>
      <c r="AV165">
        <f t="shared" si="151"/>
        <v>2.7394687939302996E-20</v>
      </c>
      <c r="AW165" t="b">
        <f t="shared" si="170"/>
        <v>1</v>
      </c>
      <c r="AX165">
        <f t="shared" si="152"/>
        <v>7.8539816339744828</v>
      </c>
      <c r="AY165">
        <f t="shared" si="153"/>
        <v>6.4412775887864138</v>
      </c>
      <c r="AZ165">
        <f t="shared" si="154"/>
        <v>0.556181325486788</v>
      </c>
      <c r="BA165">
        <f t="shared" si="155"/>
        <v>0.93809250569792624</v>
      </c>
      <c r="BB165">
        <f t="shared" si="156"/>
        <v>-1.2337005501361696E-20</v>
      </c>
      <c r="BD165" s="15">
        <f t="shared" si="171"/>
        <v>15.789533053945611</v>
      </c>
      <c r="BE165" s="10">
        <f t="shared" si="172"/>
        <v>0</v>
      </c>
      <c r="BF165">
        <f t="shared" si="173"/>
        <v>0</v>
      </c>
      <c r="BG165">
        <f t="shared" si="174"/>
        <v>0</v>
      </c>
      <c r="BH165">
        <f t="shared" si="175"/>
        <v>0</v>
      </c>
      <c r="BI165">
        <f t="shared" si="176"/>
        <v>0</v>
      </c>
    </row>
    <row r="166" spans="1:61" x14ac:dyDescent="0.3">
      <c r="A166">
        <f t="shared" si="123"/>
        <v>0.129</v>
      </c>
      <c r="B166">
        <f t="shared" si="124"/>
        <v>0.40526545231308331</v>
      </c>
      <c r="C166">
        <f t="shared" si="125"/>
        <v>2.7363272012767097</v>
      </c>
      <c r="D166">
        <f t="shared" si="126"/>
        <v>2.7363272012767097</v>
      </c>
      <c r="E166">
        <f t="shared" si="131"/>
        <v>0.39426272434295095</v>
      </c>
      <c r="F166">
        <f t="shared" si="132"/>
        <v>0.39426272434295118</v>
      </c>
      <c r="G166">
        <f t="shared" si="127"/>
        <v>0.40526545231308331</v>
      </c>
      <c r="H166">
        <f t="shared" si="128"/>
        <v>0.39426272434295095</v>
      </c>
      <c r="I166">
        <f t="shared" si="129"/>
        <v>0.39426272434295118</v>
      </c>
      <c r="J166">
        <f t="shared" si="177"/>
        <v>1.6147095149015794E+20</v>
      </c>
      <c r="K166">
        <f t="shared" si="178"/>
        <v>1.6147095149015794E+20</v>
      </c>
      <c r="L166">
        <f t="shared" si="133"/>
        <v>1</v>
      </c>
      <c r="M166">
        <f t="shared" si="130"/>
        <v>2.7363272012767096E-20</v>
      </c>
      <c r="N166" s="9">
        <f t="shared" ref="N166:N229" si="179">L166*M166</f>
        <v>2.7363272012767096E-20</v>
      </c>
      <c r="O166">
        <f t="shared" ref="O166:O229" si="180">N166*EXP(-N166)</f>
        <v>2.7363272012767096E-20</v>
      </c>
      <c r="Q166">
        <f t="shared" si="134"/>
        <v>46.53085693344353</v>
      </c>
      <c r="R166">
        <f t="shared" si="135"/>
        <v>0</v>
      </c>
      <c r="S166">
        <f t="shared" si="157"/>
        <v>-45.045085276161146</v>
      </c>
      <c r="T166" s="9" t="e">
        <f t="shared" si="136"/>
        <v>#N/A</v>
      </c>
      <c r="U166">
        <f t="shared" si="158"/>
        <v>-1.0000000000000001E+300</v>
      </c>
      <c r="V166">
        <f t="shared" si="159"/>
        <v>0</v>
      </c>
      <c r="W166">
        <f t="shared" si="160"/>
        <v>0</v>
      </c>
      <c r="X166">
        <f t="shared" si="137"/>
        <v>2.7363272012767097</v>
      </c>
      <c r="Y166">
        <f t="shared" si="138"/>
        <v>7.8539816339744828</v>
      </c>
      <c r="Z166">
        <f t="shared" si="139"/>
        <v>-2.7363272012767097</v>
      </c>
      <c r="AA166">
        <f t="shared" si="161"/>
        <v>6.3781799421046852</v>
      </c>
      <c r="AB166">
        <f t="shared" si="140"/>
        <v>14.232161576079168</v>
      </c>
      <c r="AC166">
        <f t="shared" si="162"/>
        <v>0.55503387843031105</v>
      </c>
      <c r="AD166">
        <f t="shared" si="141"/>
        <v>0.9307377788520711</v>
      </c>
      <c r="AE166" s="9">
        <f t="shared" si="163"/>
        <v>15.717933233361551</v>
      </c>
      <c r="AF166">
        <f t="shared" si="164"/>
        <v>0</v>
      </c>
      <c r="AH166">
        <f t="shared" si="142"/>
        <v>7.8539816339744828</v>
      </c>
      <c r="AI166">
        <f t="shared" si="143"/>
        <v>6.3781799421046861</v>
      </c>
      <c r="AJ166">
        <f t="shared" si="144"/>
        <v>0.55503387843031504</v>
      </c>
      <c r="AK166">
        <f t="shared" si="145"/>
        <v>0.9307377788520711</v>
      </c>
      <c r="AL166" s="9">
        <f t="shared" si="165"/>
        <v>15.717933233361554</v>
      </c>
      <c r="AM166" t="e">
        <f t="shared" si="146"/>
        <v>#N/A</v>
      </c>
      <c r="AN166" t="e">
        <f t="shared" si="166"/>
        <v>#N/A</v>
      </c>
      <c r="AO166">
        <f t="shared" si="147"/>
        <v>0</v>
      </c>
      <c r="AP166">
        <f t="shared" si="148"/>
        <v>0</v>
      </c>
      <c r="AQ166">
        <f t="shared" si="149"/>
        <v>3.9968028886505635E-15</v>
      </c>
      <c r="AR166">
        <f t="shared" si="167"/>
        <v>0</v>
      </c>
      <c r="AS166">
        <f t="shared" si="150"/>
        <v>0</v>
      </c>
      <c r="AT166">
        <f t="shared" si="168"/>
        <v>0</v>
      </c>
      <c r="AU166">
        <f t="shared" si="169"/>
        <v>0</v>
      </c>
      <c r="AV166">
        <f t="shared" si="151"/>
        <v>2.7363272012767096E-20</v>
      </c>
      <c r="AW166" t="b">
        <f t="shared" si="170"/>
        <v>1</v>
      </c>
      <c r="AX166">
        <f t="shared" si="152"/>
        <v>7.8539816339744828</v>
      </c>
      <c r="AY166">
        <f t="shared" si="153"/>
        <v>6.3781799421046825</v>
      </c>
      <c r="AZ166">
        <f t="shared" si="154"/>
        <v>0.55503387843031105</v>
      </c>
      <c r="BA166">
        <f t="shared" si="155"/>
        <v>0.93073777885207054</v>
      </c>
      <c r="BB166">
        <f t="shared" si="156"/>
        <v>-1.2337005501361696E-20</v>
      </c>
      <c r="BD166" s="15">
        <f t="shared" si="171"/>
        <v>15.717933233361546</v>
      </c>
      <c r="BE166" s="10">
        <f t="shared" si="172"/>
        <v>0</v>
      </c>
      <c r="BF166">
        <f t="shared" si="173"/>
        <v>0</v>
      </c>
      <c r="BG166">
        <f t="shared" si="174"/>
        <v>0</v>
      </c>
      <c r="BH166">
        <f t="shared" si="175"/>
        <v>0</v>
      </c>
      <c r="BI166">
        <f t="shared" si="176"/>
        <v>0</v>
      </c>
    </row>
    <row r="167" spans="1:61" x14ac:dyDescent="0.3">
      <c r="A167">
        <f t="shared" ref="A167:A230" si="181">ROUND(A166+1/1000,3)</f>
        <v>0.13</v>
      </c>
      <c r="B167">
        <f t="shared" si="124"/>
        <v>0.40840704496667313</v>
      </c>
      <c r="C167">
        <f t="shared" si="125"/>
        <v>2.7331856086231201</v>
      </c>
      <c r="D167">
        <f t="shared" si="126"/>
        <v>2.7331856086231201</v>
      </c>
      <c r="E167">
        <f t="shared" si="131"/>
        <v>0.39714789063478062</v>
      </c>
      <c r="F167">
        <f t="shared" si="132"/>
        <v>0.39714789063478062</v>
      </c>
      <c r="G167">
        <f t="shared" si="127"/>
        <v>0.40840704496667313</v>
      </c>
      <c r="H167">
        <f t="shared" si="128"/>
        <v>0.39714789063478062</v>
      </c>
      <c r="I167">
        <f t="shared" si="129"/>
        <v>0.39714789063478062</v>
      </c>
      <c r="J167">
        <f t="shared" si="177"/>
        <v>1.6029791102504442E+20</v>
      </c>
      <c r="K167">
        <f t="shared" si="178"/>
        <v>1.6029791102504442E+20</v>
      </c>
      <c r="L167">
        <f t="shared" si="133"/>
        <v>1</v>
      </c>
      <c r="M167">
        <f t="shared" si="130"/>
        <v>2.7331856086231196E-20</v>
      </c>
      <c r="N167" s="9">
        <f t="shared" si="179"/>
        <v>2.7331856086231196E-20</v>
      </c>
      <c r="O167">
        <f t="shared" si="180"/>
        <v>2.7331856086231196E-20</v>
      </c>
      <c r="Q167">
        <f t="shared" si="134"/>
        <v>46.523565701764305</v>
      </c>
      <c r="R167">
        <f t="shared" si="135"/>
        <v>0</v>
      </c>
      <c r="S167">
        <f t="shared" si="157"/>
        <v>-45.046234041365018</v>
      </c>
      <c r="T167" s="9" t="e">
        <f t="shared" si="136"/>
        <v>#N/A</v>
      </c>
      <c r="U167">
        <f t="shared" si="158"/>
        <v>-1.0000000000000001E+300</v>
      </c>
      <c r="V167">
        <f t="shared" si="159"/>
        <v>0</v>
      </c>
      <c r="W167">
        <f t="shared" si="160"/>
        <v>0</v>
      </c>
      <c r="X167">
        <f t="shared" si="137"/>
        <v>2.7331856086231201</v>
      </c>
      <c r="Y167">
        <f t="shared" si="138"/>
        <v>7.8539816339744828</v>
      </c>
      <c r="Z167">
        <f t="shared" si="139"/>
        <v>-2.7331856086231201</v>
      </c>
      <c r="AA167">
        <f t="shared" si="161"/>
        <v>6.3160192822816441</v>
      </c>
      <c r="AB167">
        <f t="shared" si="140"/>
        <v>14.170000916256127</v>
      </c>
      <c r="AC167">
        <f t="shared" si="162"/>
        <v>0.55388511322643763</v>
      </c>
      <c r="AD167">
        <f t="shared" si="141"/>
        <v>0.92344654717284635</v>
      </c>
      <c r="AE167" s="9">
        <f t="shared" si="163"/>
        <v>15.64733257665541</v>
      </c>
      <c r="AF167">
        <f t="shared" si="164"/>
        <v>0</v>
      </c>
      <c r="AH167">
        <f t="shared" si="142"/>
        <v>7.8539816339744828</v>
      </c>
      <c r="AI167">
        <f t="shared" si="143"/>
        <v>6.3160192822816432</v>
      </c>
      <c r="AJ167">
        <f t="shared" si="144"/>
        <v>0.55388511322644263</v>
      </c>
      <c r="AK167">
        <f t="shared" si="145"/>
        <v>0.92344654717284635</v>
      </c>
      <c r="AL167" s="9">
        <f t="shared" si="165"/>
        <v>15.647332576655414</v>
      </c>
      <c r="AM167" t="e">
        <f t="shared" si="146"/>
        <v>#N/A</v>
      </c>
      <c r="AN167" t="e">
        <f t="shared" si="166"/>
        <v>#N/A</v>
      </c>
      <c r="AO167">
        <f t="shared" si="147"/>
        <v>0</v>
      </c>
      <c r="AP167">
        <f t="shared" si="148"/>
        <v>0</v>
      </c>
      <c r="AQ167">
        <f t="shared" si="149"/>
        <v>4.9960036108132044E-15</v>
      </c>
      <c r="AR167">
        <f t="shared" si="167"/>
        <v>0</v>
      </c>
      <c r="AS167">
        <f t="shared" si="150"/>
        <v>0</v>
      </c>
      <c r="AT167">
        <f t="shared" si="168"/>
        <v>0</v>
      </c>
      <c r="AU167">
        <f t="shared" si="169"/>
        <v>0</v>
      </c>
      <c r="AV167">
        <f t="shared" si="151"/>
        <v>2.7331856086231202E-20</v>
      </c>
      <c r="AW167" t="b">
        <f t="shared" si="170"/>
        <v>1</v>
      </c>
      <c r="AX167">
        <f t="shared" si="152"/>
        <v>7.8539816339744828</v>
      </c>
      <c r="AY167">
        <f t="shared" si="153"/>
        <v>6.3160192822816432</v>
      </c>
      <c r="AZ167">
        <f t="shared" si="154"/>
        <v>0.55388511322643774</v>
      </c>
      <c r="BA167">
        <f t="shared" si="155"/>
        <v>0.92344654717284635</v>
      </c>
      <c r="BB167">
        <f t="shared" si="156"/>
        <v>-1.2337005501361696E-20</v>
      </c>
      <c r="BD167" s="15">
        <f t="shared" si="171"/>
        <v>15.647332576655408</v>
      </c>
      <c r="BE167" s="10">
        <f t="shared" si="172"/>
        <v>0</v>
      </c>
      <c r="BF167">
        <f t="shared" si="173"/>
        <v>0</v>
      </c>
      <c r="BG167">
        <f t="shared" si="174"/>
        <v>0</v>
      </c>
      <c r="BH167">
        <f t="shared" si="175"/>
        <v>0</v>
      </c>
      <c r="BI167">
        <f t="shared" si="176"/>
        <v>0</v>
      </c>
    </row>
    <row r="168" spans="1:61" x14ac:dyDescent="0.3">
      <c r="A168">
        <f t="shared" si="181"/>
        <v>0.13100000000000001</v>
      </c>
      <c r="B168">
        <f t="shared" si="124"/>
        <v>0.41154863762026289</v>
      </c>
      <c r="C168">
        <f t="shared" si="125"/>
        <v>2.7300440159695301</v>
      </c>
      <c r="D168">
        <f t="shared" si="126"/>
        <v>2.7300440159695301</v>
      </c>
      <c r="E168">
        <f t="shared" si="131"/>
        <v>0.40002913723726474</v>
      </c>
      <c r="F168">
        <f t="shared" si="132"/>
        <v>0.40002913723726502</v>
      </c>
      <c r="G168">
        <f t="shared" si="127"/>
        <v>0.41154863762026289</v>
      </c>
      <c r="H168">
        <f t="shared" si="128"/>
        <v>0.40002913723726474</v>
      </c>
      <c r="I168">
        <f t="shared" si="129"/>
        <v>0.40002913723726502</v>
      </c>
      <c r="J168">
        <f t="shared" si="177"/>
        <v>1.5914335059798167E+20</v>
      </c>
      <c r="K168">
        <f t="shared" si="178"/>
        <v>1.5914335059798167E+20</v>
      </c>
      <c r="L168" t="e">
        <f t="shared" si="133"/>
        <v>#NUM!</v>
      </c>
      <c r="M168">
        <f t="shared" si="130"/>
        <v>2.7300440159695303E-20</v>
      </c>
      <c r="N168" s="9" t="e">
        <f t="shared" si="179"/>
        <v>#NUM!</v>
      </c>
      <c r="O168" t="e">
        <f t="shared" si="180"/>
        <v>#NUM!</v>
      </c>
      <c r="Q168">
        <f t="shared" si="134"/>
        <v>46.516337046025384</v>
      </c>
      <c r="R168">
        <f t="shared" si="135"/>
        <v>0</v>
      </c>
      <c r="S168">
        <f t="shared" si="157"/>
        <v>-45.047384127748259</v>
      </c>
      <c r="T168" s="9" t="e">
        <f t="shared" si="136"/>
        <v>#N/A</v>
      </c>
      <c r="U168">
        <f t="shared" si="158"/>
        <v>-1.0000000000000001E+300</v>
      </c>
      <c r="V168">
        <f t="shared" si="159"/>
        <v>0</v>
      </c>
      <c r="W168">
        <f t="shared" si="160"/>
        <v>0</v>
      </c>
      <c r="X168">
        <f t="shared" si="137"/>
        <v>2.7300440159695301</v>
      </c>
      <c r="Y168">
        <f t="shared" si="138"/>
        <v>7.8539816339744828</v>
      </c>
      <c r="Z168">
        <f t="shared" si="139"/>
        <v>-2.7300440159695301</v>
      </c>
      <c r="AA168">
        <f t="shared" si="161"/>
        <v>6.2547742642668283</v>
      </c>
      <c r="AB168">
        <f t="shared" si="140"/>
        <v>14.108755898241311</v>
      </c>
      <c r="AC168">
        <f t="shared" si="162"/>
        <v>0.55273502684320031</v>
      </c>
      <c r="AD168">
        <f t="shared" si="141"/>
        <v>0.91621789143392252</v>
      </c>
      <c r="AE168" s="9">
        <f t="shared" si="163"/>
        <v>15.577708816518433</v>
      </c>
      <c r="AF168">
        <f t="shared" si="164"/>
        <v>0</v>
      </c>
      <c r="AH168">
        <f t="shared" si="142"/>
        <v>7.8539816339744828</v>
      </c>
      <c r="AI168">
        <f t="shared" si="143"/>
        <v>6.2547742642668327</v>
      </c>
      <c r="AJ168">
        <f t="shared" si="144"/>
        <v>0.55273502684320164</v>
      </c>
      <c r="AK168">
        <f t="shared" si="145"/>
        <v>0.91621789143392252</v>
      </c>
      <c r="AL168" s="9">
        <f t="shared" si="165"/>
        <v>15.57770881651844</v>
      </c>
      <c r="AM168" t="e">
        <f t="shared" si="146"/>
        <v>#N/A</v>
      </c>
      <c r="AN168" t="e">
        <f t="shared" si="166"/>
        <v>#N/A</v>
      </c>
      <c r="AO168">
        <f t="shared" si="147"/>
        <v>0</v>
      </c>
      <c r="AP168">
        <f t="shared" si="148"/>
        <v>0</v>
      </c>
      <c r="AQ168">
        <f t="shared" si="149"/>
        <v>1.3322676295501878E-15</v>
      </c>
      <c r="AR168">
        <f t="shared" si="167"/>
        <v>0</v>
      </c>
      <c r="AS168">
        <f t="shared" si="150"/>
        <v>0</v>
      </c>
      <c r="AT168">
        <f t="shared" si="168"/>
        <v>0</v>
      </c>
      <c r="AU168">
        <f t="shared" si="169"/>
        <v>0</v>
      </c>
      <c r="AV168">
        <f t="shared" si="151"/>
        <v>2.7300440159695297E-20</v>
      </c>
      <c r="AW168" t="b">
        <f t="shared" si="170"/>
        <v>1</v>
      </c>
      <c r="AX168">
        <f t="shared" si="152"/>
        <v>7.8539816339744828</v>
      </c>
      <c r="AY168">
        <f t="shared" si="153"/>
        <v>6.2547742642668274</v>
      </c>
      <c r="AZ168">
        <f t="shared" si="154"/>
        <v>0.55273502684320019</v>
      </c>
      <c r="BA168">
        <f t="shared" si="155"/>
        <v>0.91621789143392185</v>
      </c>
      <c r="BB168">
        <f t="shared" si="156"/>
        <v>-1.2337005501361696E-20</v>
      </c>
      <c r="BD168" s="15">
        <f t="shared" si="171"/>
        <v>15.577708816518431</v>
      </c>
      <c r="BE168" s="10">
        <f t="shared" si="172"/>
        <v>0</v>
      </c>
      <c r="BF168">
        <f t="shared" si="173"/>
        <v>0</v>
      </c>
      <c r="BG168">
        <f t="shared" si="174"/>
        <v>0</v>
      </c>
      <c r="BH168">
        <f t="shared" si="175"/>
        <v>0</v>
      </c>
      <c r="BI168">
        <f t="shared" si="176"/>
        <v>0</v>
      </c>
    </row>
    <row r="169" spans="1:61" x14ac:dyDescent="0.3">
      <c r="A169">
        <f t="shared" si="181"/>
        <v>0.13200000000000001</v>
      </c>
      <c r="B169">
        <f t="shared" si="124"/>
        <v>0.41469023027385271</v>
      </c>
      <c r="C169">
        <f t="shared" si="125"/>
        <v>2.7269024233159405</v>
      </c>
      <c r="D169">
        <f t="shared" si="126"/>
        <v>2.7269024233159405</v>
      </c>
      <c r="E169">
        <f t="shared" si="131"/>
        <v>0.40290643571366264</v>
      </c>
      <c r="F169">
        <f t="shared" si="132"/>
        <v>0.40290643571366275</v>
      </c>
      <c r="G169">
        <f t="shared" si="127"/>
        <v>0.41469023027385271</v>
      </c>
      <c r="H169">
        <f t="shared" si="128"/>
        <v>0.40290643571366264</v>
      </c>
      <c r="I169">
        <f t="shared" si="129"/>
        <v>0.40290643571366275</v>
      </c>
      <c r="J169">
        <f t="shared" si="177"/>
        <v>1.5800685120354199E+20</v>
      </c>
      <c r="K169">
        <f t="shared" si="178"/>
        <v>1.5800685120354199E+20</v>
      </c>
      <c r="L169" t="e">
        <f t="shared" si="133"/>
        <v>#NUM!</v>
      </c>
      <c r="M169">
        <f t="shared" si="130"/>
        <v>2.7269024233159403E-20</v>
      </c>
      <c r="N169" s="9" t="e">
        <f t="shared" si="179"/>
        <v>#NUM!</v>
      </c>
      <c r="O169" t="e">
        <f t="shared" si="180"/>
        <v>#NUM!</v>
      </c>
      <c r="Q169">
        <f t="shared" si="134"/>
        <v>46.509170068027416</v>
      </c>
      <c r="R169">
        <f t="shared" si="135"/>
        <v>0</v>
      </c>
      <c r="S169">
        <f t="shared" si="157"/>
        <v>-45.048535538353299</v>
      </c>
      <c r="T169" s="9" t="e">
        <f t="shared" si="136"/>
        <v>#N/A</v>
      </c>
      <c r="U169">
        <f t="shared" si="158"/>
        <v>-1.0000000000000001E+300</v>
      </c>
      <c r="V169">
        <f t="shared" si="159"/>
        <v>0</v>
      </c>
      <c r="W169">
        <f t="shared" si="160"/>
        <v>0</v>
      </c>
      <c r="X169">
        <f t="shared" si="137"/>
        <v>2.7269024233159405</v>
      </c>
      <c r="Y169">
        <f t="shared" si="138"/>
        <v>7.8539816339744828</v>
      </c>
      <c r="Z169">
        <f t="shared" si="139"/>
        <v>-2.7269024233159405</v>
      </c>
      <c r="AA169">
        <f t="shared" si="161"/>
        <v>6.194424189620535</v>
      </c>
      <c r="AB169">
        <f t="shared" si="140"/>
        <v>14.048405823595019</v>
      </c>
      <c r="AC169">
        <f t="shared" si="162"/>
        <v>0.55158361623815844</v>
      </c>
      <c r="AD169">
        <f t="shared" si="141"/>
        <v>0.90905091343595779</v>
      </c>
      <c r="AE169" s="9">
        <f t="shared" si="163"/>
        <v>15.509040353269135</v>
      </c>
      <c r="AF169">
        <f t="shared" si="164"/>
        <v>0</v>
      </c>
      <c r="AH169">
        <f t="shared" si="142"/>
        <v>7.8539816339744828</v>
      </c>
      <c r="AI169">
        <f t="shared" si="143"/>
        <v>6.1944241896205341</v>
      </c>
      <c r="AJ169">
        <f t="shared" si="144"/>
        <v>0.55158361623816177</v>
      </c>
      <c r="AK169">
        <f t="shared" si="145"/>
        <v>0.90905091343595779</v>
      </c>
      <c r="AL169" s="9">
        <f t="shared" si="165"/>
        <v>15.509040353269137</v>
      </c>
      <c r="AM169" t="e">
        <f t="shared" si="146"/>
        <v>#N/A</v>
      </c>
      <c r="AN169" t="e">
        <f t="shared" si="166"/>
        <v>#N/A</v>
      </c>
      <c r="AO169">
        <f t="shared" si="147"/>
        <v>0</v>
      </c>
      <c r="AP169">
        <f t="shared" si="148"/>
        <v>0</v>
      </c>
      <c r="AQ169">
        <f t="shared" si="149"/>
        <v>3.3306690738754696E-15</v>
      </c>
      <c r="AR169">
        <f t="shared" si="167"/>
        <v>0</v>
      </c>
      <c r="AS169">
        <f t="shared" si="150"/>
        <v>0</v>
      </c>
      <c r="AT169">
        <f t="shared" si="168"/>
        <v>0</v>
      </c>
      <c r="AU169">
        <f t="shared" si="169"/>
        <v>0</v>
      </c>
      <c r="AV169">
        <f t="shared" si="151"/>
        <v>2.7269024233159403E-20</v>
      </c>
      <c r="AW169" t="b">
        <f t="shared" si="170"/>
        <v>1</v>
      </c>
      <c r="AX169">
        <f t="shared" si="152"/>
        <v>7.8539816339744828</v>
      </c>
      <c r="AY169">
        <f t="shared" si="153"/>
        <v>6.1944241896205341</v>
      </c>
      <c r="AZ169">
        <f t="shared" si="154"/>
        <v>0.55158361623815855</v>
      </c>
      <c r="BA169">
        <f t="shared" si="155"/>
        <v>0.90905091343595745</v>
      </c>
      <c r="BB169">
        <f t="shared" si="156"/>
        <v>-1.2337005501361696E-20</v>
      </c>
      <c r="BD169" s="15">
        <f t="shared" si="171"/>
        <v>15.509040353269132</v>
      </c>
      <c r="BE169" s="10">
        <f t="shared" si="172"/>
        <v>0</v>
      </c>
      <c r="BF169">
        <f t="shared" si="173"/>
        <v>0</v>
      </c>
      <c r="BG169">
        <f t="shared" si="174"/>
        <v>0</v>
      </c>
      <c r="BH169">
        <f t="shared" si="175"/>
        <v>0</v>
      </c>
      <c r="BI169">
        <f t="shared" si="176"/>
        <v>0</v>
      </c>
    </row>
    <row r="170" spans="1:61" x14ac:dyDescent="0.3">
      <c r="A170">
        <f t="shared" si="181"/>
        <v>0.13300000000000001</v>
      </c>
      <c r="B170">
        <f t="shared" si="124"/>
        <v>0.41783182292744253</v>
      </c>
      <c r="C170">
        <f t="shared" si="125"/>
        <v>2.7237608306623504</v>
      </c>
      <c r="D170">
        <f t="shared" si="126"/>
        <v>2.7237608306623504</v>
      </c>
      <c r="E170">
        <f t="shared" si="131"/>
        <v>0.4057797576662</v>
      </c>
      <c r="F170">
        <f t="shared" si="132"/>
        <v>0.40577975766620028</v>
      </c>
      <c r="G170">
        <f t="shared" si="127"/>
        <v>0.41783182292744253</v>
      </c>
      <c r="H170">
        <f t="shared" si="128"/>
        <v>0.4057797576662</v>
      </c>
      <c r="I170">
        <f t="shared" si="129"/>
        <v>0.40577975766620028</v>
      </c>
      <c r="J170">
        <f t="shared" si="177"/>
        <v>1.5688800644690454E+20</v>
      </c>
      <c r="K170">
        <f t="shared" si="178"/>
        <v>1.5688800644690454E+20</v>
      </c>
      <c r="L170" t="e">
        <f t="shared" si="133"/>
        <v>#NUM!</v>
      </c>
      <c r="M170">
        <f t="shared" si="130"/>
        <v>2.7237608306623504E-20</v>
      </c>
      <c r="N170" s="9" t="e">
        <f t="shared" si="179"/>
        <v>#NUM!</v>
      </c>
      <c r="O170" t="e">
        <f t="shared" si="180"/>
        <v>#NUM!</v>
      </c>
      <c r="Q170">
        <f t="shared" si="134"/>
        <v>46.502063889963758</v>
      </c>
      <c r="R170">
        <f t="shared" si="135"/>
        <v>-710542.73576010019</v>
      </c>
      <c r="S170">
        <f t="shared" si="157"/>
        <v>-45.049688276233105</v>
      </c>
      <c r="T170" s="9" t="e">
        <f t="shared" si="136"/>
        <v>#N/A</v>
      </c>
      <c r="U170">
        <f t="shared" si="158"/>
        <v>-1.0000000000000001E+300</v>
      </c>
      <c r="V170">
        <f t="shared" si="159"/>
        <v>0</v>
      </c>
      <c r="W170">
        <f t="shared" si="160"/>
        <v>0</v>
      </c>
      <c r="X170">
        <f t="shared" si="137"/>
        <v>2.7237608306623504</v>
      </c>
      <c r="Y170">
        <f t="shared" si="138"/>
        <v>7.8539816339744828</v>
      </c>
      <c r="Z170">
        <f t="shared" si="139"/>
        <v>-2.7237608306623504</v>
      </c>
      <c r="AA170">
        <f t="shared" si="161"/>
        <v>6.1349489822060788</v>
      </c>
      <c r="AB170">
        <f t="shared" si="140"/>
        <v>13.988930616180561</v>
      </c>
      <c r="AC170">
        <f t="shared" si="162"/>
        <v>0.55043087835834992</v>
      </c>
      <c r="AD170">
        <f t="shared" si="141"/>
        <v>0.90194473537230113</v>
      </c>
      <c r="AE170" s="9">
        <f t="shared" si="163"/>
        <v>15.441306229911213</v>
      </c>
      <c r="AF170">
        <f t="shared" si="164"/>
        <v>0</v>
      </c>
      <c r="AH170">
        <f t="shared" si="142"/>
        <v>7.8539816339744828</v>
      </c>
      <c r="AI170">
        <f t="shared" si="143"/>
        <v>6.1349489822060841</v>
      </c>
      <c r="AJ170">
        <f t="shared" si="144"/>
        <v>0.55043087835835536</v>
      </c>
      <c r="AK170">
        <f t="shared" si="145"/>
        <v>0.90194473537230113</v>
      </c>
      <c r="AL170" s="9">
        <f t="shared" si="165"/>
        <v>15.441306229911223</v>
      </c>
      <c r="AM170" t="e">
        <f t="shared" si="146"/>
        <v>#N/A</v>
      </c>
      <c r="AN170" t="e">
        <f t="shared" si="166"/>
        <v>#N/A</v>
      </c>
      <c r="AO170">
        <f t="shared" si="147"/>
        <v>0</v>
      </c>
      <c r="AP170">
        <f t="shared" si="148"/>
        <v>0</v>
      </c>
      <c r="AQ170">
        <f t="shared" si="149"/>
        <v>5.440092820663267E-15</v>
      </c>
      <c r="AR170">
        <f t="shared" si="167"/>
        <v>0</v>
      </c>
      <c r="AS170">
        <f t="shared" si="150"/>
        <v>0</v>
      </c>
      <c r="AT170">
        <f t="shared" si="168"/>
        <v>0</v>
      </c>
      <c r="AU170">
        <f t="shared" si="169"/>
        <v>0</v>
      </c>
      <c r="AV170">
        <f t="shared" si="151"/>
        <v>2.7237608306623504E-20</v>
      </c>
      <c r="AW170" t="b">
        <f t="shared" si="170"/>
        <v>1</v>
      </c>
      <c r="AX170">
        <f t="shared" si="152"/>
        <v>7.8539816339744828</v>
      </c>
      <c r="AY170">
        <f t="shared" si="153"/>
        <v>6.1349489822060788</v>
      </c>
      <c r="AZ170">
        <f t="shared" si="154"/>
        <v>0.55043087835835014</v>
      </c>
      <c r="BA170">
        <f t="shared" si="155"/>
        <v>0.90194473537230047</v>
      </c>
      <c r="BB170">
        <f t="shared" si="156"/>
        <v>-1.2337005501361696E-20</v>
      </c>
      <c r="BD170" s="15">
        <f t="shared" si="171"/>
        <v>15.441306229911211</v>
      </c>
      <c r="BE170" s="10">
        <f t="shared" si="172"/>
        <v>0</v>
      </c>
      <c r="BF170">
        <f t="shared" si="173"/>
        <v>0</v>
      </c>
      <c r="BG170">
        <f t="shared" si="174"/>
        <v>0</v>
      </c>
      <c r="BH170">
        <f t="shared" si="175"/>
        <v>0</v>
      </c>
      <c r="BI170">
        <f t="shared" si="176"/>
        <v>0</v>
      </c>
    </row>
    <row r="171" spans="1:61" x14ac:dyDescent="0.3">
      <c r="A171">
        <f t="shared" si="181"/>
        <v>0.13400000000000001</v>
      </c>
      <c r="B171">
        <f t="shared" si="124"/>
        <v>0.4209734155810323</v>
      </c>
      <c r="C171">
        <f t="shared" si="125"/>
        <v>2.7206192380087608</v>
      </c>
      <c r="D171">
        <f t="shared" si="126"/>
        <v>2.7206192380087608</v>
      </c>
      <c r="E171">
        <f t="shared" si="131"/>
        <v>0.40864907473634904</v>
      </c>
      <c r="F171">
        <f t="shared" si="132"/>
        <v>0.40864907473634915</v>
      </c>
      <c r="G171">
        <f t="shared" si="127"/>
        <v>0.4209734155810323</v>
      </c>
      <c r="H171">
        <f t="shared" si="128"/>
        <v>0.40864907473634904</v>
      </c>
      <c r="I171">
        <f t="shared" si="129"/>
        <v>0.40864907473634915</v>
      </c>
      <c r="J171">
        <f t="shared" si="177"/>
        <v>1.5578642207334344E+20</v>
      </c>
      <c r="K171">
        <f t="shared" si="178"/>
        <v>1.5578642207334344E+20</v>
      </c>
      <c r="L171">
        <f t="shared" si="133"/>
        <v>1</v>
      </c>
      <c r="M171">
        <f t="shared" si="130"/>
        <v>2.720619238008761E-20</v>
      </c>
      <c r="N171" s="9">
        <f t="shared" si="179"/>
        <v>2.720619238008761E-20</v>
      </c>
      <c r="O171">
        <f t="shared" si="180"/>
        <v>2.720619238008761E-20</v>
      </c>
      <c r="Q171">
        <f t="shared" si="134"/>
        <v>46.49501765380991</v>
      </c>
      <c r="R171">
        <f t="shared" si="135"/>
        <v>-710542.73576010019</v>
      </c>
      <c r="S171">
        <f t="shared" si="157"/>
        <v>-45.050842344451212</v>
      </c>
      <c r="T171" s="9" t="e">
        <f t="shared" si="136"/>
        <v>#N/A</v>
      </c>
      <c r="U171">
        <f t="shared" si="158"/>
        <v>-1.0000000000000001E+300</v>
      </c>
      <c r="V171">
        <f t="shared" si="159"/>
        <v>0</v>
      </c>
      <c r="W171">
        <f t="shared" si="160"/>
        <v>0</v>
      </c>
      <c r="X171">
        <f t="shared" si="137"/>
        <v>2.7206192380087608</v>
      </c>
      <c r="Y171">
        <f t="shared" si="138"/>
        <v>7.8539816339744828</v>
      </c>
      <c r="Z171">
        <f t="shared" si="139"/>
        <v>-2.7206192380087608</v>
      </c>
      <c r="AA171">
        <f t="shared" si="161"/>
        <v>6.0763291649705895</v>
      </c>
      <c r="AB171">
        <f t="shared" si="140"/>
        <v>13.930310798945072</v>
      </c>
      <c r="AC171">
        <f t="shared" si="162"/>
        <v>0.54927681014024343</v>
      </c>
      <c r="AD171">
        <f t="shared" si="141"/>
        <v>0.89489849921845288</v>
      </c>
      <c r="AE171" s="9">
        <f t="shared" si="163"/>
        <v>15.374486108303769</v>
      </c>
      <c r="AF171">
        <f t="shared" si="164"/>
        <v>0</v>
      </c>
      <c r="AH171">
        <f t="shared" si="142"/>
        <v>7.8539816339744828</v>
      </c>
      <c r="AI171">
        <f t="shared" si="143"/>
        <v>6.0763291649705904</v>
      </c>
      <c r="AJ171">
        <f t="shared" si="144"/>
        <v>0.54927681014024898</v>
      </c>
      <c r="AK171">
        <f t="shared" si="145"/>
        <v>0.89489849921845288</v>
      </c>
      <c r="AL171" s="9">
        <f t="shared" si="165"/>
        <v>15.374486108303774</v>
      </c>
      <c r="AM171" t="e">
        <f t="shared" si="146"/>
        <v>#N/A</v>
      </c>
      <c r="AN171" t="e">
        <f t="shared" si="166"/>
        <v>#N/A</v>
      </c>
      <c r="AO171">
        <f t="shared" si="147"/>
        <v>0</v>
      </c>
      <c r="AP171">
        <f t="shared" si="148"/>
        <v>0</v>
      </c>
      <c r="AQ171">
        <f t="shared" si="149"/>
        <v>5.5511151231257827E-15</v>
      </c>
      <c r="AR171">
        <f t="shared" si="167"/>
        <v>0</v>
      </c>
      <c r="AS171">
        <f t="shared" si="150"/>
        <v>0</v>
      </c>
      <c r="AT171">
        <f t="shared" si="168"/>
        <v>0</v>
      </c>
      <c r="AU171">
        <f t="shared" si="169"/>
        <v>0</v>
      </c>
      <c r="AV171">
        <f t="shared" si="151"/>
        <v>2.7206192380087604E-20</v>
      </c>
      <c r="AW171" t="b">
        <f t="shared" si="170"/>
        <v>1</v>
      </c>
      <c r="AX171">
        <f t="shared" si="152"/>
        <v>7.8539816339744828</v>
      </c>
      <c r="AY171">
        <f t="shared" si="153"/>
        <v>6.0763291649705868</v>
      </c>
      <c r="AZ171">
        <f t="shared" si="154"/>
        <v>0.54927681014024343</v>
      </c>
      <c r="BA171">
        <f t="shared" si="155"/>
        <v>0.89489849921845266</v>
      </c>
      <c r="BB171">
        <f t="shared" si="156"/>
        <v>-1.2337005501361696E-20</v>
      </c>
      <c r="BD171" s="15">
        <f t="shared" si="171"/>
        <v>15.374486108303765</v>
      </c>
      <c r="BE171" s="10">
        <f t="shared" si="172"/>
        <v>0</v>
      </c>
      <c r="BF171">
        <f t="shared" si="173"/>
        <v>0</v>
      </c>
      <c r="BG171">
        <f t="shared" si="174"/>
        <v>0</v>
      </c>
      <c r="BH171">
        <f t="shared" si="175"/>
        <v>0</v>
      </c>
      <c r="BI171">
        <f t="shared" si="176"/>
        <v>0</v>
      </c>
    </row>
    <row r="172" spans="1:61" x14ac:dyDescent="0.3">
      <c r="A172">
        <f t="shared" si="181"/>
        <v>0.13500000000000001</v>
      </c>
      <c r="B172">
        <f t="shared" si="124"/>
        <v>0.42411500823462212</v>
      </c>
      <c r="C172">
        <f t="shared" si="125"/>
        <v>2.7174776453551708</v>
      </c>
      <c r="D172">
        <f t="shared" si="126"/>
        <v>2.7174776453551708</v>
      </c>
      <c r="E172">
        <f t="shared" si="131"/>
        <v>0.41151435860510882</v>
      </c>
      <c r="F172">
        <f t="shared" si="132"/>
        <v>0.4115143586051091</v>
      </c>
      <c r="G172">
        <f t="shared" si="127"/>
        <v>0.42411500823462212</v>
      </c>
      <c r="H172">
        <f t="shared" si="128"/>
        <v>0.41151435860510882</v>
      </c>
      <c r="I172">
        <f t="shared" si="129"/>
        <v>0.4115143586051091</v>
      </c>
      <c r="J172">
        <f t="shared" si="177"/>
        <v>1.5470171551862784E+20</v>
      </c>
      <c r="K172">
        <f t="shared" si="178"/>
        <v>1.5470171551862784E+20</v>
      </c>
      <c r="L172">
        <f t="shared" si="133"/>
        <v>1</v>
      </c>
      <c r="M172">
        <f t="shared" si="130"/>
        <v>2.717477645355171E-20</v>
      </c>
      <c r="N172" s="9">
        <f t="shared" si="179"/>
        <v>2.717477645355171E-20</v>
      </c>
      <c r="O172">
        <f t="shared" si="180"/>
        <v>2.717477645355171E-20</v>
      </c>
      <c r="Q172">
        <f t="shared" si="134"/>
        <v>46.488030520735684</v>
      </c>
      <c r="R172">
        <f t="shared" si="135"/>
        <v>0</v>
      </c>
      <c r="S172">
        <f t="shared" si="157"/>
        <v>-45.051997746081774</v>
      </c>
      <c r="T172" s="9" t="e">
        <f t="shared" si="136"/>
        <v>#N/A</v>
      </c>
      <c r="U172">
        <f t="shared" si="158"/>
        <v>-1.0000000000000001E+300</v>
      </c>
      <c r="V172">
        <f t="shared" si="159"/>
        <v>0</v>
      </c>
      <c r="W172">
        <f t="shared" si="160"/>
        <v>0</v>
      </c>
      <c r="X172">
        <f t="shared" si="137"/>
        <v>2.7174776453551708</v>
      </c>
      <c r="Y172">
        <f t="shared" si="138"/>
        <v>7.8539816339744828</v>
      </c>
      <c r="Z172">
        <f t="shared" si="139"/>
        <v>-2.7174776453551708</v>
      </c>
      <c r="AA172">
        <f t="shared" si="161"/>
        <v>6.018545837757622</v>
      </c>
      <c r="AB172">
        <f t="shared" si="140"/>
        <v>13.872527471732106</v>
      </c>
      <c r="AC172">
        <f t="shared" si="162"/>
        <v>0.54812140850968749</v>
      </c>
      <c r="AD172">
        <f t="shared" si="141"/>
        <v>0.88791136614422306</v>
      </c>
      <c r="AE172" s="9">
        <f t="shared" si="163"/>
        <v>15.308560246386016</v>
      </c>
      <c r="AF172">
        <f t="shared" si="164"/>
        <v>0</v>
      </c>
      <c r="AH172">
        <f t="shared" si="142"/>
        <v>7.8539816339744828</v>
      </c>
      <c r="AI172">
        <f t="shared" si="143"/>
        <v>6.0185458377576282</v>
      </c>
      <c r="AJ172">
        <f t="shared" si="144"/>
        <v>0.5481214085096866</v>
      </c>
      <c r="AK172">
        <f t="shared" si="145"/>
        <v>0.88791136614422306</v>
      </c>
      <c r="AL172" s="9">
        <f t="shared" si="165"/>
        <v>15.308560246386021</v>
      </c>
      <c r="AM172" t="e">
        <f t="shared" si="146"/>
        <v>#N/A</v>
      </c>
      <c r="AN172" t="e">
        <f t="shared" si="166"/>
        <v>#N/A</v>
      </c>
      <c r="AO172">
        <f t="shared" si="147"/>
        <v>0</v>
      </c>
      <c r="AP172">
        <f t="shared" si="148"/>
        <v>0</v>
      </c>
      <c r="AQ172">
        <f t="shared" si="149"/>
        <v>-8.8817841970012523E-16</v>
      </c>
      <c r="AR172">
        <f t="shared" si="167"/>
        <v>0</v>
      </c>
      <c r="AS172">
        <f t="shared" si="150"/>
        <v>0</v>
      </c>
      <c r="AT172">
        <f t="shared" si="168"/>
        <v>0</v>
      </c>
      <c r="AU172">
        <f t="shared" si="169"/>
        <v>0</v>
      </c>
      <c r="AV172">
        <f t="shared" si="151"/>
        <v>2.7174776453551704E-20</v>
      </c>
      <c r="AW172" t="b">
        <f t="shared" si="170"/>
        <v>1</v>
      </c>
      <c r="AX172">
        <f t="shared" si="152"/>
        <v>7.8539816339744828</v>
      </c>
      <c r="AY172">
        <f t="shared" si="153"/>
        <v>6.0185458377576211</v>
      </c>
      <c r="AZ172">
        <f t="shared" si="154"/>
        <v>0.54812140850968749</v>
      </c>
      <c r="BA172">
        <f t="shared" si="155"/>
        <v>0.88791136614422239</v>
      </c>
      <c r="BB172">
        <f t="shared" si="156"/>
        <v>-1.2337005501361696E-20</v>
      </c>
      <c r="BD172" s="15">
        <f t="shared" si="171"/>
        <v>15.308560246386016</v>
      </c>
      <c r="BE172" s="10">
        <f t="shared" si="172"/>
        <v>0</v>
      </c>
      <c r="BF172">
        <f t="shared" si="173"/>
        <v>0</v>
      </c>
      <c r="BG172">
        <f t="shared" si="174"/>
        <v>0</v>
      </c>
      <c r="BH172">
        <f t="shared" si="175"/>
        <v>0</v>
      </c>
      <c r="BI172">
        <f t="shared" si="176"/>
        <v>0</v>
      </c>
    </row>
    <row r="173" spans="1:61" x14ac:dyDescent="0.3">
      <c r="A173">
        <f t="shared" si="181"/>
        <v>0.13600000000000001</v>
      </c>
      <c r="B173">
        <f t="shared" si="124"/>
        <v>0.42725660088821188</v>
      </c>
      <c r="C173">
        <f t="shared" si="125"/>
        <v>2.7143360527015812</v>
      </c>
      <c r="D173">
        <f t="shared" si="126"/>
        <v>2.7143360527015812</v>
      </c>
      <c r="E173">
        <f t="shared" si="131"/>
        <v>0.41437558099328414</v>
      </c>
      <c r="F173">
        <f t="shared" si="132"/>
        <v>0.41437558099328431</v>
      </c>
      <c r="G173">
        <f t="shared" si="127"/>
        <v>0.42725660088821188</v>
      </c>
      <c r="H173">
        <f t="shared" si="128"/>
        <v>0.41437558099328414</v>
      </c>
      <c r="I173">
        <f t="shared" si="129"/>
        <v>0.41437558099328431</v>
      </c>
      <c r="J173">
        <f t="shared" si="177"/>
        <v>1.5363351547925774E+20</v>
      </c>
      <c r="K173">
        <f t="shared" si="178"/>
        <v>1.5363351547925774E+20</v>
      </c>
      <c r="L173">
        <f t="shared" si="133"/>
        <v>1</v>
      </c>
      <c r="M173">
        <f t="shared" si="130"/>
        <v>2.7143360527015811E-20</v>
      </c>
      <c r="N173" s="9">
        <f t="shared" si="179"/>
        <v>2.7143360527015811E-20</v>
      </c>
      <c r="O173">
        <f t="shared" si="180"/>
        <v>2.7143360527015811E-20</v>
      </c>
      <c r="Q173">
        <f t="shared" si="134"/>
        <v>46.481101670539047</v>
      </c>
      <c r="R173">
        <f t="shared" si="135"/>
        <v>0</v>
      </c>
      <c r="S173">
        <f t="shared" si="157"/>
        <v>-45.053154484209593</v>
      </c>
      <c r="T173" s="9" t="e">
        <f t="shared" si="136"/>
        <v>#N/A</v>
      </c>
      <c r="U173">
        <f t="shared" si="158"/>
        <v>-1.0000000000000001E+300</v>
      </c>
      <c r="V173">
        <f t="shared" si="159"/>
        <v>0</v>
      </c>
      <c r="W173">
        <f t="shared" si="160"/>
        <v>0</v>
      </c>
      <c r="X173">
        <f t="shared" si="137"/>
        <v>2.7143360527015812</v>
      </c>
      <c r="Y173">
        <f t="shared" si="138"/>
        <v>7.8539816339744828</v>
      </c>
      <c r="Z173">
        <f t="shared" si="139"/>
        <v>-2.7143360527015812</v>
      </c>
      <c r="AA173">
        <f t="shared" si="161"/>
        <v>5.9615806560987687</v>
      </c>
      <c r="AB173">
        <f t="shared" si="140"/>
        <v>13.815562290073252</v>
      </c>
      <c r="AC173">
        <f t="shared" si="162"/>
        <v>0.54696467038186392</v>
      </c>
      <c r="AD173">
        <f t="shared" si="141"/>
        <v>0.88098251594758636</v>
      </c>
      <c r="AE173" s="9">
        <f t="shared" si="163"/>
        <v>15.243509476402703</v>
      </c>
      <c r="AF173">
        <f t="shared" si="164"/>
        <v>0</v>
      </c>
      <c r="AH173">
        <f t="shared" si="142"/>
        <v>7.8539816339744828</v>
      </c>
      <c r="AI173">
        <f t="shared" si="143"/>
        <v>5.9615806560987705</v>
      </c>
      <c r="AJ173">
        <f t="shared" si="144"/>
        <v>0.54696467038186825</v>
      </c>
      <c r="AK173">
        <f t="shared" si="145"/>
        <v>0.88098251594758636</v>
      </c>
      <c r="AL173" s="9">
        <f t="shared" si="165"/>
        <v>15.243509476402707</v>
      </c>
      <c r="AM173" t="e">
        <f t="shared" si="146"/>
        <v>#N/A</v>
      </c>
      <c r="AN173" t="e">
        <f t="shared" si="166"/>
        <v>#N/A</v>
      </c>
      <c r="AO173">
        <f t="shared" si="147"/>
        <v>0</v>
      </c>
      <c r="AP173">
        <f t="shared" si="148"/>
        <v>0</v>
      </c>
      <c r="AQ173">
        <f t="shared" si="149"/>
        <v>4.3298697960381105E-15</v>
      </c>
      <c r="AR173">
        <f t="shared" si="167"/>
        <v>0</v>
      </c>
      <c r="AS173">
        <f t="shared" si="150"/>
        <v>0</v>
      </c>
      <c r="AT173">
        <f t="shared" si="168"/>
        <v>0</v>
      </c>
      <c r="AU173">
        <f t="shared" si="169"/>
        <v>0</v>
      </c>
      <c r="AV173">
        <f t="shared" si="151"/>
        <v>2.7143360527015811E-20</v>
      </c>
      <c r="AW173" t="b">
        <f t="shared" si="170"/>
        <v>1</v>
      </c>
      <c r="AX173">
        <f t="shared" si="152"/>
        <v>7.8539816339744828</v>
      </c>
      <c r="AY173">
        <f t="shared" si="153"/>
        <v>5.961580656098767</v>
      </c>
      <c r="AZ173">
        <f t="shared" si="154"/>
        <v>0.54696467038186392</v>
      </c>
      <c r="BA173">
        <f t="shared" si="155"/>
        <v>0.88098251594758592</v>
      </c>
      <c r="BB173">
        <f t="shared" si="156"/>
        <v>-1.2337005501361696E-20</v>
      </c>
      <c r="BD173" s="15">
        <f t="shared" si="171"/>
        <v>15.2435094764027</v>
      </c>
      <c r="BE173" s="10">
        <f t="shared" si="172"/>
        <v>0</v>
      </c>
      <c r="BF173">
        <f t="shared" si="173"/>
        <v>0</v>
      </c>
      <c r="BG173">
        <f t="shared" si="174"/>
        <v>0</v>
      </c>
      <c r="BH173">
        <f t="shared" si="175"/>
        <v>0</v>
      </c>
      <c r="BI173">
        <f t="shared" si="176"/>
        <v>0</v>
      </c>
    </row>
    <row r="174" spans="1:61" x14ac:dyDescent="0.3">
      <c r="A174">
        <f t="shared" si="181"/>
        <v>0.13700000000000001</v>
      </c>
      <c r="B174">
        <f t="shared" si="124"/>
        <v>0.4303981935418017</v>
      </c>
      <c r="C174">
        <f t="shared" si="125"/>
        <v>2.7111944600479916</v>
      </c>
      <c r="D174">
        <f t="shared" si="126"/>
        <v>2.7111944600479916</v>
      </c>
      <c r="E174">
        <f t="shared" si="131"/>
        <v>0.41723271366176529</v>
      </c>
      <c r="F174">
        <f t="shared" si="132"/>
        <v>0.41723271366176529</v>
      </c>
      <c r="G174">
        <f t="shared" si="127"/>
        <v>0.4303981935418017</v>
      </c>
      <c r="H174">
        <f t="shared" si="128"/>
        <v>0.41723271366176529</v>
      </c>
      <c r="I174">
        <f t="shared" si="129"/>
        <v>0.41723271366176529</v>
      </c>
      <c r="J174">
        <f t="shared" si="177"/>
        <v>1.5258146150152189E+20</v>
      </c>
      <c r="K174">
        <f t="shared" si="178"/>
        <v>1.5258146150152189E+20</v>
      </c>
      <c r="L174">
        <f t="shared" si="133"/>
        <v>1</v>
      </c>
      <c r="M174">
        <f t="shared" si="130"/>
        <v>2.7111944600479911E-20</v>
      </c>
      <c r="N174" s="9">
        <f t="shared" si="179"/>
        <v>2.7111944600479911E-20</v>
      </c>
      <c r="O174">
        <f t="shared" si="180"/>
        <v>2.7111944600479911E-20</v>
      </c>
      <c r="Q174">
        <f t="shared" si="134"/>
        <v>46.474230301100732</v>
      </c>
      <c r="R174">
        <f t="shared" si="135"/>
        <v>0</v>
      </c>
      <c r="S174">
        <f t="shared" si="157"/>
        <v>-45.054312561930224</v>
      </c>
      <c r="T174" s="9" t="e">
        <f t="shared" si="136"/>
        <v>#N/A</v>
      </c>
      <c r="U174">
        <f t="shared" si="158"/>
        <v>-1.0000000000000001E+300</v>
      </c>
      <c r="V174">
        <f t="shared" si="159"/>
        <v>0</v>
      </c>
      <c r="W174">
        <f t="shared" si="160"/>
        <v>0</v>
      </c>
      <c r="X174">
        <f t="shared" si="137"/>
        <v>2.7111944600479916</v>
      </c>
      <c r="Y174">
        <f t="shared" si="138"/>
        <v>7.8539816339744828</v>
      </c>
      <c r="Z174">
        <f t="shared" si="139"/>
        <v>-2.7111944600479916</v>
      </c>
      <c r="AA174">
        <f t="shared" si="161"/>
        <v>5.9054158109339614</v>
      </c>
      <c r="AB174">
        <f t="shared" si="140"/>
        <v>13.759397444908444</v>
      </c>
      <c r="AC174">
        <f t="shared" si="162"/>
        <v>0.54580659266123621</v>
      </c>
      <c r="AD174">
        <f t="shared" si="141"/>
        <v>0.87411114650927413</v>
      </c>
      <c r="AE174" s="9">
        <f t="shared" si="163"/>
        <v>15.179315184078956</v>
      </c>
      <c r="AF174">
        <f t="shared" si="164"/>
        <v>0</v>
      </c>
      <c r="AH174">
        <f t="shared" si="142"/>
        <v>7.8539816339744828</v>
      </c>
      <c r="AI174">
        <f t="shared" si="143"/>
        <v>5.9054158109339605</v>
      </c>
      <c r="AJ174">
        <f t="shared" si="144"/>
        <v>0.54580659266123632</v>
      </c>
      <c r="AK174">
        <f t="shared" si="145"/>
        <v>0.87411114650927413</v>
      </c>
      <c r="AL174" s="9">
        <f t="shared" si="165"/>
        <v>15.179315184078956</v>
      </c>
      <c r="AM174" t="e">
        <f t="shared" si="146"/>
        <v>#N/A</v>
      </c>
      <c r="AN174" t="e">
        <f t="shared" si="166"/>
        <v>#N/A</v>
      </c>
      <c r="AO174">
        <f t="shared" si="147"/>
        <v>0</v>
      </c>
      <c r="AP174">
        <f t="shared" si="148"/>
        <v>0</v>
      </c>
      <c r="AQ174">
        <f t="shared" si="149"/>
        <v>0</v>
      </c>
      <c r="AR174">
        <f t="shared" si="167"/>
        <v>0</v>
      </c>
      <c r="AS174">
        <f t="shared" si="150"/>
        <v>0</v>
      </c>
      <c r="AT174">
        <f t="shared" si="168"/>
        <v>0</v>
      </c>
      <c r="AU174">
        <f t="shared" si="169"/>
        <v>0</v>
      </c>
      <c r="AV174">
        <f t="shared" si="151"/>
        <v>2.7111944600479917E-20</v>
      </c>
      <c r="AW174" t="b">
        <f t="shared" si="170"/>
        <v>1</v>
      </c>
      <c r="AX174">
        <f t="shared" si="152"/>
        <v>7.8539816339744828</v>
      </c>
      <c r="AY174">
        <f t="shared" si="153"/>
        <v>5.9054158109339605</v>
      </c>
      <c r="AZ174">
        <f t="shared" si="154"/>
        <v>0.54580659266123643</v>
      </c>
      <c r="BA174">
        <f t="shared" si="155"/>
        <v>0.87411114650927413</v>
      </c>
      <c r="BB174">
        <f t="shared" si="156"/>
        <v>-1.2337005501361696E-20</v>
      </c>
      <c r="BD174" s="15">
        <f t="shared" si="171"/>
        <v>15.179315184078956</v>
      </c>
      <c r="BE174" s="10">
        <f t="shared" si="172"/>
        <v>0</v>
      </c>
      <c r="BF174">
        <f t="shared" si="173"/>
        <v>0</v>
      </c>
      <c r="BG174">
        <f t="shared" si="174"/>
        <v>0</v>
      </c>
      <c r="BH174">
        <f t="shared" si="175"/>
        <v>0</v>
      </c>
      <c r="BI174">
        <f t="shared" si="176"/>
        <v>0</v>
      </c>
    </row>
    <row r="175" spans="1:61" x14ac:dyDescent="0.3">
      <c r="A175">
        <f t="shared" si="181"/>
        <v>0.13800000000000001</v>
      </c>
      <c r="B175">
        <f t="shared" si="124"/>
        <v>0.43353978619539146</v>
      </c>
      <c r="C175">
        <f t="shared" si="125"/>
        <v>2.7080528673944015</v>
      </c>
      <c r="D175">
        <f t="shared" si="126"/>
        <v>2.7080528673944015</v>
      </c>
      <c r="E175">
        <f t="shared" si="131"/>
        <v>0.42008572841180625</v>
      </c>
      <c r="F175">
        <f t="shared" si="132"/>
        <v>0.42008572841180647</v>
      </c>
      <c r="G175">
        <f t="shared" si="127"/>
        <v>0.43353978619539146</v>
      </c>
      <c r="H175">
        <f t="shared" si="128"/>
        <v>0.42008572841180625</v>
      </c>
      <c r="I175">
        <f t="shared" si="129"/>
        <v>0.42008572841180647</v>
      </c>
      <c r="J175">
        <f t="shared" si="177"/>
        <v>1.5154520358842299E+20</v>
      </c>
      <c r="K175">
        <f t="shared" si="178"/>
        <v>1.5154520358842299E+20</v>
      </c>
      <c r="L175">
        <f t="shared" si="133"/>
        <v>1</v>
      </c>
      <c r="M175">
        <f t="shared" si="130"/>
        <v>2.7080528673944015E-20</v>
      </c>
      <c r="N175" s="9">
        <f t="shared" si="179"/>
        <v>2.7080528673944015E-20</v>
      </c>
      <c r="O175">
        <f t="shared" si="180"/>
        <v>2.7080528673944015E-20</v>
      </c>
      <c r="Q175">
        <f t="shared" si="134"/>
        <v>46.467415627858664</v>
      </c>
      <c r="R175">
        <f t="shared" si="135"/>
        <v>0</v>
      </c>
      <c r="S175">
        <f t="shared" si="157"/>
        <v>-45.055471982349957</v>
      </c>
      <c r="T175" s="9" t="e">
        <f t="shared" si="136"/>
        <v>#N/A</v>
      </c>
      <c r="U175">
        <f t="shared" si="158"/>
        <v>-1.0000000000000001E+300</v>
      </c>
      <c r="V175">
        <f t="shared" si="159"/>
        <v>0</v>
      </c>
      <c r="W175">
        <f t="shared" si="160"/>
        <v>0</v>
      </c>
      <c r="X175">
        <f t="shared" si="137"/>
        <v>2.7080528673944015</v>
      </c>
      <c r="Y175">
        <f t="shared" si="138"/>
        <v>7.8539816339744828</v>
      </c>
      <c r="Z175">
        <f t="shared" si="139"/>
        <v>-2.7080528673944015</v>
      </c>
      <c r="AA175">
        <f t="shared" si="161"/>
        <v>5.8500340092135872</v>
      </c>
      <c r="AB175">
        <f t="shared" si="140"/>
        <v>13.70401564318807</v>
      </c>
      <c r="AC175">
        <f t="shared" si="162"/>
        <v>0.54464717224150139</v>
      </c>
      <c r="AD175">
        <f t="shared" si="141"/>
        <v>0.86729647326720438</v>
      </c>
      <c r="AE175" s="9">
        <f t="shared" si="163"/>
        <v>15.115959288696777</v>
      </c>
      <c r="AF175">
        <f t="shared" si="164"/>
        <v>0</v>
      </c>
      <c r="AH175">
        <f t="shared" si="142"/>
        <v>7.8539816339744828</v>
      </c>
      <c r="AI175">
        <f t="shared" si="143"/>
        <v>5.8500340092135898</v>
      </c>
      <c r="AJ175">
        <f t="shared" si="144"/>
        <v>0.54464717224150405</v>
      </c>
      <c r="AK175">
        <f t="shared" si="145"/>
        <v>0.86729647326720438</v>
      </c>
      <c r="AL175" s="9">
        <f t="shared" si="165"/>
        <v>15.11595928869678</v>
      </c>
      <c r="AM175" t="e">
        <f t="shared" si="146"/>
        <v>#N/A</v>
      </c>
      <c r="AN175" t="e">
        <f t="shared" si="166"/>
        <v>#N/A</v>
      </c>
      <c r="AO175">
        <f t="shared" si="147"/>
        <v>0</v>
      </c>
      <c r="AP175">
        <f t="shared" si="148"/>
        <v>0</v>
      </c>
      <c r="AQ175">
        <f t="shared" si="149"/>
        <v>2.6645352591003757E-15</v>
      </c>
      <c r="AR175">
        <f t="shared" si="167"/>
        <v>0</v>
      </c>
      <c r="AS175">
        <f t="shared" si="150"/>
        <v>0</v>
      </c>
      <c r="AT175">
        <f t="shared" si="168"/>
        <v>0</v>
      </c>
      <c r="AU175">
        <f t="shared" si="169"/>
        <v>0</v>
      </c>
      <c r="AV175">
        <f t="shared" si="151"/>
        <v>2.7080528673944015E-20</v>
      </c>
      <c r="AW175" t="b">
        <f t="shared" si="170"/>
        <v>1</v>
      </c>
      <c r="AX175">
        <f t="shared" si="152"/>
        <v>7.8539816339744828</v>
      </c>
      <c r="AY175">
        <f t="shared" si="153"/>
        <v>5.8500340092135863</v>
      </c>
      <c r="AZ175">
        <f t="shared" si="154"/>
        <v>0.54464717224150139</v>
      </c>
      <c r="BA175">
        <f t="shared" si="155"/>
        <v>0.86729647326720383</v>
      </c>
      <c r="BB175">
        <f t="shared" si="156"/>
        <v>-1.2337005501361696E-20</v>
      </c>
      <c r="BD175" s="15">
        <f t="shared" si="171"/>
        <v>15.115959288696773</v>
      </c>
      <c r="BE175" s="10">
        <f t="shared" si="172"/>
        <v>0</v>
      </c>
      <c r="BF175">
        <f t="shared" si="173"/>
        <v>0</v>
      </c>
      <c r="BG175">
        <f t="shared" si="174"/>
        <v>0</v>
      </c>
      <c r="BH175">
        <f t="shared" si="175"/>
        <v>0</v>
      </c>
      <c r="BI175">
        <f t="shared" si="176"/>
        <v>0</v>
      </c>
    </row>
    <row r="176" spans="1:61" x14ac:dyDescent="0.3">
      <c r="A176">
        <f t="shared" si="181"/>
        <v>0.13900000000000001</v>
      </c>
      <c r="B176">
        <f t="shared" si="124"/>
        <v>0.43668137884898128</v>
      </c>
      <c r="C176">
        <f t="shared" si="125"/>
        <v>2.7049112747408119</v>
      </c>
      <c r="D176">
        <f t="shared" si="126"/>
        <v>2.7049112747408119</v>
      </c>
      <c r="E176">
        <f t="shared" si="131"/>
        <v>0.42293459708530329</v>
      </c>
      <c r="F176">
        <f t="shared" si="132"/>
        <v>0.42293459708530329</v>
      </c>
      <c r="G176">
        <f t="shared" si="127"/>
        <v>0.43668137884898128</v>
      </c>
      <c r="H176">
        <f t="shared" si="128"/>
        <v>0.42293459708530329</v>
      </c>
      <c r="I176">
        <f t="shared" si="129"/>
        <v>0.42293459708530329</v>
      </c>
      <c r="J176">
        <f t="shared" si="177"/>
        <v>1.5052440182357066E+20</v>
      </c>
      <c r="K176">
        <f t="shared" si="178"/>
        <v>1.5052440182357066E+20</v>
      </c>
      <c r="L176" t="e">
        <f t="shared" si="133"/>
        <v>#NUM!</v>
      </c>
      <c r="M176">
        <f t="shared" si="130"/>
        <v>2.7049112747408118E-20</v>
      </c>
      <c r="N176" s="9" t="e">
        <f t="shared" si="179"/>
        <v>#NUM!</v>
      </c>
      <c r="O176" t="e">
        <f t="shared" si="180"/>
        <v>#NUM!</v>
      </c>
      <c r="Q176">
        <f t="shared" si="134"/>
        <v>46.460656883301347</v>
      </c>
      <c r="R176">
        <f t="shared" si="135"/>
        <v>0</v>
      </c>
      <c r="S176">
        <f t="shared" si="157"/>
        <v>-45.056632748585919</v>
      </c>
      <c r="T176" s="9" t="e">
        <f t="shared" si="136"/>
        <v>#N/A</v>
      </c>
      <c r="U176">
        <f t="shared" si="158"/>
        <v>-1.0000000000000001E+300</v>
      </c>
      <c r="V176">
        <f t="shared" si="159"/>
        <v>0</v>
      </c>
      <c r="W176">
        <f t="shared" si="160"/>
        <v>0</v>
      </c>
      <c r="X176">
        <f t="shared" si="137"/>
        <v>2.7049112747408119</v>
      </c>
      <c r="Y176">
        <f t="shared" si="138"/>
        <v>7.8539816339744828</v>
      </c>
      <c r="Z176">
        <f t="shared" si="139"/>
        <v>-2.7049112747408119</v>
      </c>
      <c r="AA176">
        <f t="shared" si="161"/>
        <v>5.7954184553379138</v>
      </c>
      <c r="AB176">
        <f t="shared" si="140"/>
        <v>13.649400089312397</v>
      </c>
      <c r="AC176">
        <f t="shared" si="162"/>
        <v>0.54348640600553899</v>
      </c>
      <c r="AD176">
        <f t="shared" si="141"/>
        <v>0.86053772870988576</v>
      </c>
      <c r="AE176" s="9">
        <f t="shared" si="163"/>
        <v>15.053424224027822</v>
      </c>
      <c r="AF176">
        <f t="shared" si="164"/>
        <v>0</v>
      </c>
      <c r="AH176">
        <f t="shared" si="142"/>
        <v>7.8539816339744828</v>
      </c>
      <c r="AI176">
        <f t="shared" si="143"/>
        <v>5.7954184553379129</v>
      </c>
      <c r="AJ176">
        <f t="shared" si="144"/>
        <v>0.54348640600554177</v>
      </c>
      <c r="AK176">
        <f t="shared" si="145"/>
        <v>0.86053772870988576</v>
      </c>
      <c r="AL176" s="9">
        <f t="shared" si="165"/>
        <v>15.053424224027824</v>
      </c>
      <c r="AM176" t="e">
        <f t="shared" si="146"/>
        <v>#N/A</v>
      </c>
      <c r="AN176" t="e">
        <f t="shared" si="166"/>
        <v>#N/A</v>
      </c>
      <c r="AO176">
        <f t="shared" si="147"/>
        <v>0</v>
      </c>
      <c r="AP176">
        <f t="shared" si="148"/>
        <v>0</v>
      </c>
      <c r="AQ176">
        <f t="shared" si="149"/>
        <v>2.7755575615628914E-15</v>
      </c>
      <c r="AR176">
        <f t="shared" si="167"/>
        <v>0</v>
      </c>
      <c r="AS176">
        <f t="shared" si="150"/>
        <v>0</v>
      </c>
      <c r="AT176">
        <f t="shared" si="168"/>
        <v>0</v>
      </c>
      <c r="AU176">
        <f t="shared" si="169"/>
        <v>0</v>
      </c>
      <c r="AV176">
        <f t="shared" si="151"/>
        <v>2.7049112747408118E-20</v>
      </c>
      <c r="AW176" t="b">
        <f t="shared" si="170"/>
        <v>1</v>
      </c>
      <c r="AX176">
        <f t="shared" si="152"/>
        <v>7.8539816339744828</v>
      </c>
      <c r="AY176">
        <f t="shared" si="153"/>
        <v>5.7954184553379138</v>
      </c>
      <c r="AZ176">
        <f t="shared" si="154"/>
        <v>0.54348640600553921</v>
      </c>
      <c r="BA176">
        <f t="shared" si="155"/>
        <v>0.86053772870988576</v>
      </c>
      <c r="BB176">
        <f t="shared" si="156"/>
        <v>-1.2337005501361696E-20</v>
      </c>
      <c r="BD176" s="15">
        <f t="shared" si="171"/>
        <v>15.053424224027824</v>
      </c>
      <c r="BE176" s="10">
        <f t="shared" si="172"/>
        <v>0</v>
      </c>
      <c r="BF176">
        <f t="shared" si="173"/>
        <v>0</v>
      </c>
      <c r="BG176">
        <f t="shared" si="174"/>
        <v>0</v>
      </c>
      <c r="BH176">
        <f t="shared" si="175"/>
        <v>0</v>
      </c>
      <c r="BI176">
        <f t="shared" si="176"/>
        <v>0</v>
      </c>
    </row>
    <row r="177" spans="1:61" x14ac:dyDescent="0.3">
      <c r="A177">
        <f t="shared" si="181"/>
        <v>0.14000000000000001</v>
      </c>
      <c r="B177">
        <f t="shared" si="124"/>
        <v>0.4398229715025711</v>
      </c>
      <c r="C177">
        <f t="shared" si="125"/>
        <v>2.7017696820872219</v>
      </c>
      <c r="D177">
        <f t="shared" si="126"/>
        <v>2.7017696820872219</v>
      </c>
      <c r="E177">
        <f t="shared" si="131"/>
        <v>0.42577929156507272</v>
      </c>
      <c r="F177">
        <f t="shared" si="132"/>
        <v>0.42577929156507288</v>
      </c>
      <c r="G177">
        <f t="shared" si="127"/>
        <v>0.4398229715025711</v>
      </c>
      <c r="H177">
        <f t="shared" si="128"/>
        <v>0.42577929156507272</v>
      </c>
      <c r="I177">
        <f t="shared" si="129"/>
        <v>0.42577929156507288</v>
      </c>
      <c r="J177">
        <f t="shared" si="177"/>
        <v>1.4951872601119343E+20</v>
      </c>
      <c r="K177">
        <f t="shared" si="178"/>
        <v>1.4951872601119343E+20</v>
      </c>
      <c r="L177" t="e">
        <f t="shared" si="133"/>
        <v>#NUM!</v>
      </c>
      <c r="M177">
        <f t="shared" si="130"/>
        <v>2.7017696820872218E-20</v>
      </c>
      <c r="N177" s="9" t="e">
        <f t="shared" si="179"/>
        <v>#NUM!</v>
      </c>
      <c r="O177" t="e">
        <f t="shared" si="180"/>
        <v>#NUM!</v>
      </c>
      <c r="Q177">
        <f t="shared" si="134"/>
        <v>46.453953316479442</v>
      </c>
      <c r="R177">
        <f t="shared" si="135"/>
        <v>0</v>
      </c>
      <c r="S177">
        <f t="shared" si="157"/>
        <v>-45.057794863766098</v>
      </c>
      <c r="T177" s="9" t="e">
        <f t="shared" si="136"/>
        <v>#N/A</v>
      </c>
      <c r="U177">
        <f t="shared" si="158"/>
        <v>-1.0000000000000001E+300</v>
      </c>
      <c r="V177">
        <f t="shared" si="159"/>
        <v>0</v>
      </c>
      <c r="W177">
        <f t="shared" si="160"/>
        <v>0</v>
      </c>
      <c r="X177">
        <f t="shared" si="137"/>
        <v>2.7017696820872219</v>
      </c>
      <c r="Y177">
        <f t="shared" si="138"/>
        <v>7.8539816339744828</v>
      </c>
      <c r="Z177">
        <f t="shared" si="139"/>
        <v>-2.7017696820872219</v>
      </c>
      <c r="AA177">
        <f t="shared" si="161"/>
        <v>5.7415528333918893</v>
      </c>
      <c r="AB177">
        <f t="shared" si="140"/>
        <v>13.595534467366372</v>
      </c>
      <c r="AC177">
        <f t="shared" si="162"/>
        <v>0.54232429082536171</v>
      </c>
      <c r="AD177">
        <f t="shared" si="141"/>
        <v>0.85383416188798222</v>
      </c>
      <c r="AE177" s="9">
        <f t="shared" si="163"/>
        <v>14.991692920079716</v>
      </c>
      <c r="AF177">
        <f t="shared" si="164"/>
        <v>0</v>
      </c>
      <c r="AH177">
        <f t="shared" si="142"/>
        <v>7.8539816339744828</v>
      </c>
      <c r="AI177">
        <f t="shared" si="143"/>
        <v>5.7415528333918928</v>
      </c>
      <c r="AJ177">
        <f t="shared" si="144"/>
        <v>0.54232429082536271</v>
      </c>
      <c r="AK177">
        <f t="shared" si="145"/>
        <v>0.85383416188798222</v>
      </c>
      <c r="AL177" s="9">
        <f t="shared" si="165"/>
        <v>14.991692920079721</v>
      </c>
      <c r="AM177" t="e">
        <f t="shared" si="146"/>
        <v>#N/A</v>
      </c>
      <c r="AN177" t="e">
        <f t="shared" si="166"/>
        <v>#N/A</v>
      </c>
      <c r="AO177">
        <f t="shared" si="147"/>
        <v>0</v>
      </c>
      <c r="AP177">
        <f t="shared" si="148"/>
        <v>0</v>
      </c>
      <c r="AQ177">
        <f t="shared" si="149"/>
        <v>9.9920072216264089E-16</v>
      </c>
      <c r="AR177">
        <f t="shared" si="167"/>
        <v>0</v>
      </c>
      <c r="AS177">
        <f t="shared" si="150"/>
        <v>0</v>
      </c>
      <c r="AT177">
        <f t="shared" si="168"/>
        <v>0</v>
      </c>
      <c r="AU177">
        <f t="shared" si="169"/>
        <v>0</v>
      </c>
      <c r="AV177">
        <f t="shared" si="151"/>
        <v>2.7017696820872218E-20</v>
      </c>
      <c r="AW177" t="b">
        <f t="shared" si="170"/>
        <v>1</v>
      </c>
      <c r="AX177">
        <f t="shared" si="152"/>
        <v>7.8539816339744828</v>
      </c>
      <c r="AY177">
        <f t="shared" si="153"/>
        <v>5.7415528333918875</v>
      </c>
      <c r="AZ177">
        <f t="shared" si="154"/>
        <v>0.54232429082536171</v>
      </c>
      <c r="BA177">
        <f t="shared" si="155"/>
        <v>0.85383416188798189</v>
      </c>
      <c r="BB177">
        <f t="shared" si="156"/>
        <v>-1.2337005501361696E-20</v>
      </c>
      <c r="BD177" s="15">
        <f t="shared" si="171"/>
        <v>14.991692920079712</v>
      </c>
      <c r="BE177" s="10">
        <f t="shared" si="172"/>
        <v>0</v>
      </c>
      <c r="BF177">
        <f t="shared" si="173"/>
        <v>0</v>
      </c>
      <c r="BG177">
        <f t="shared" si="174"/>
        <v>0</v>
      </c>
      <c r="BH177">
        <f t="shared" si="175"/>
        <v>0</v>
      </c>
      <c r="BI177">
        <f t="shared" si="176"/>
        <v>0</v>
      </c>
    </row>
    <row r="178" spans="1:61" x14ac:dyDescent="0.3">
      <c r="A178">
        <f t="shared" si="181"/>
        <v>0.14099999999999999</v>
      </c>
      <c r="B178">
        <f t="shared" si="124"/>
        <v>0.44296456415616081</v>
      </c>
      <c r="C178">
        <f t="shared" si="125"/>
        <v>2.6986280894336323</v>
      </c>
      <c r="D178">
        <f t="shared" si="126"/>
        <v>2.6986280894336323</v>
      </c>
      <c r="E178">
        <f t="shared" si="131"/>
        <v>0.42861978377512833</v>
      </c>
      <c r="F178">
        <f t="shared" si="132"/>
        <v>0.42861978377512844</v>
      </c>
      <c r="G178">
        <f t="shared" si="127"/>
        <v>0.44296456415616081</v>
      </c>
      <c r="H178">
        <f t="shared" si="128"/>
        <v>0.42861978377512833</v>
      </c>
      <c r="I178">
        <f t="shared" si="129"/>
        <v>0.42861978377512844</v>
      </c>
      <c r="J178">
        <f t="shared" si="177"/>
        <v>1.4852785533146985E+20</v>
      </c>
      <c r="K178">
        <f t="shared" si="178"/>
        <v>1.4852785533146985E+20</v>
      </c>
      <c r="L178" t="e">
        <f t="shared" si="133"/>
        <v>#NUM!</v>
      </c>
      <c r="M178">
        <f t="shared" si="130"/>
        <v>2.6986280894336322E-20</v>
      </c>
      <c r="N178" s="9" t="e">
        <f t="shared" si="179"/>
        <v>#NUM!</v>
      </c>
      <c r="O178" t="e">
        <f t="shared" si="180"/>
        <v>#NUM!</v>
      </c>
      <c r="Q178">
        <f t="shared" si="134"/>
        <v>46.447304192534723</v>
      </c>
      <c r="R178">
        <f t="shared" si="135"/>
        <v>0</v>
      </c>
      <c r="S178">
        <f t="shared" si="157"/>
        <v>-45.058958331029395</v>
      </c>
      <c r="T178" s="9" t="e">
        <f t="shared" si="136"/>
        <v>#N/A</v>
      </c>
      <c r="U178">
        <f t="shared" si="158"/>
        <v>-1.0000000000000001E+300</v>
      </c>
      <c r="V178">
        <f t="shared" si="159"/>
        <v>0</v>
      </c>
      <c r="W178">
        <f t="shared" si="160"/>
        <v>0</v>
      </c>
      <c r="X178">
        <f t="shared" si="137"/>
        <v>2.6986280894336323</v>
      </c>
      <c r="Y178">
        <f t="shared" si="138"/>
        <v>7.8539816339744828</v>
      </c>
      <c r="Z178">
        <f t="shared" si="139"/>
        <v>-2.6986280894336323</v>
      </c>
      <c r="AA178">
        <f t="shared" si="161"/>
        <v>5.6884212901360121</v>
      </c>
      <c r="AB178">
        <f t="shared" si="140"/>
        <v>13.542402924110494</v>
      </c>
      <c r="AC178">
        <f t="shared" si="162"/>
        <v>0.54116082356206363</v>
      </c>
      <c r="AD178">
        <f t="shared" si="141"/>
        <v>0.84718503794326216</v>
      </c>
      <c r="AE178" s="9">
        <f t="shared" si="163"/>
        <v>14.930748785615821</v>
      </c>
      <c r="AF178">
        <f t="shared" si="164"/>
        <v>0</v>
      </c>
      <c r="AH178">
        <f t="shared" si="142"/>
        <v>7.8539816339744828</v>
      </c>
      <c r="AI178">
        <f t="shared" si="143"/>
        <v>5.6884212901360129</v>
      </c>
      <c r="AJ178">
        <f t="shared" si="144"/>
        <v>0.54116082356206618</v>
      </c>
      <c r="AK178">
        <f t="shared" si="145"/>
        <v>0.84718503794326216</v>
      </c>
      <c r="AL178" s="9">
        <f t="shared" si="165"/>
        <v>14.930748785615824</v>
      </c>
      <c r="AM178" t="e">
        <f t="shared" si="146"/>
        <v>#N/A</v>
      </c>
      <c r="AN178" t="e">
        <f t="shared" si="166"/>
        <v>#N/A</v>
      </c>
      <c r="AO178">
        <f t="shared" si="147"/>
        <v>0</v>
      </c>
      <c r="AP178">
        <f t="shared" si="148"/>
        <v>0</v>
      </c>
      <c r="AQ178">
        <f t="shared" si="149"/>
        <v>2.55351295663786E-15</v>
      </c>
      <c r="AR178">
        <f t="shared" si="167"/>
        <v>0</v>
      </c>
      <c r="AS178">
        <f t="shared" si="150"/>
        <v>0</v>
      </c>
      <c r="AT178">
        <f t="shared" si="168"/>
        <v>0</v>
      </c>
      <c r="AU178">
        <f t="shared" si="169"/>
        <v>0</v>
      </c>
      <c r="AV178">
        <f t="shared" si="151"/>
        <v>2.6986280894336322E-20</v>
      </c>
      <c r="AW178" t="b">
        <f t="shared" si="170"/>
        <v>1</v>
      </c>
      <c r="AX178">
        <f t="shared" si="152"/>
        <v>7.8539816339744828</v>
      </c>
      <c r="AY178">
        <f t="shared" si="153"/>
        <v>5.6884212901360103</v>
      </c>
      <c r="AZ178">
        <f t="shared" si="154"/>
        <v>0.54116082356206374</v>
      </c>
      <c r="BA178">
        <f t="shared" si="155"/>
        <v>0.84718503794326183</v>
      </c>
      <c r="BB178">
        <f t="shared" si="156"/>
        <v>-1.2337005501361696E-20</v>
      </c>
      <c r="BD178" s="15">
        <f t="shared" si="171"/>
        <v>14.930748785615821</v>
      </c>
      <c r="BE178" s="10">
        <f t="shared" si="172"/>
        <v>0</v>
      </c>
      <c r="BF178">
        <f t="shared" si="173"/>
        <v>0</v>
      </c>
      <c r="BG178">
        <f t="shared" si="174"/>
        <v>0</v>
      </c>
      <c r="BH178">
        <f t="shared" si="175"/>
        <v>0</v>
      </c>
      <c r="BI178">
        <f t="shared" si="176"/>
        <v>0</v>
      </c>
    </row>
    <row r="179" spans="1:61" x14ac:dyDescent="0.3">
      <c r="A179">
        <f t="shared" si="181"/>
        <v>0.14199999999999999</v>
      </c>
      <c r="B179">
        <f t="shared" si="124"/>
        <v>0.44610615680975058</v>
      </c>
      <c r="C179">
        <f t="shared" si="125"/>
        <v>2.6954864967800427</v>
      </c>
      <c r="D179">
        <f t="shared" si="126"/>
        <v>2.6954864967800427</v>
      </c>
      <c r="E179">
        <f t="shared" si="131"/>
        <v>0.43145604568095891</v>
      </c>
      <c r="F179">
        <f t="shared" si="132"/>
        <v>0.43145604568095886</v>
      </c>
      <c r="G179">
        <f t="shared" si="127"/>
        <v>0.44610615680975058</v>
      </c>
      <c r="H179">
        <f t="shared" si="128"/>
        <v>0.43145604568095891</v>
      </c>
      <c r="I179">
        <f t="shared" si="129"/>
        <v>0.43145604568095886</v>
      </c>
      <c r="J179">
        <f t="shared" si="177"/>
        <v>1.4755147801042316E+20</v>
      </c>
      <c r="K179">
        <f t="shared" si="178"/>
        <v>1.4755147801042316E+20</v>
      </c>
      <c r="L179">
        <f t="shared" si="133"/>
        <v>1</v>
      </c>
      <c r="M179">
        <f t="shared" si="130"/>
        <v>2.6954864967800425E-20</v>
      </c>
      <c r="N179" s="9">
        <f t="shared" si="179"/>
        <v>2.6954864967800425E-20</v>
      </c>
      <c r="O179">
        <f t="shared" si="180"/>
        <v>2.6954864967800425E-20</v>
      </c>
      <c r="Q179">
        <f t="shared" si="134"/>
        <v>46.440708792245651</v>
      </c>
      <c r="R179">
        <f t="shared" si="135"/>
        <v>0</v>
      </c>
      <c r="S179">
        <f t="shared" si="157"/>
        <v>-45.060123153525687</v>
      </c>
      <c r="T179" s="9" t="e">
        <f t="shared" si="136"/>
        <v>#N/A</v>
      </c>
      <c r="U179">
        <f t="shared" si="158"/>
        <v>-1.0000000000000001E+300</v>
      </c>
      <c r="V179">
        <f t="shared" si="159"/>
        <v>0</v>
      </c>
      <c r="W179">
        <f t="shared" si="160"/>
        <v>0</v>
      </c>
      <c r="X179">
        <f t="shared" si="137"/>
        <v>2.6954864967800427</v>
      </c>
      <c r="Y179">
        <f t="shared" si="138"/>
        <v>7.8539816339744828</v>
      </c>
      <c r="Z179">
        <f t="shared" si="139"/>
        <v>-2.6954864967800427</v>
      </c>
      <c r="AA179">
        <f t="shared" si="161"/>
        <v>5.636008418715786</v>
      </c>
      <c r="AB179">
        <f t="shared" si="140"/>
        <v>13.489990052690269</v>
      </c>
      <c r="AC179">
        <f t="shared" si="162"/>
        <v>0.53999600106577061</v>
      </c>
      <c r="AD179">
        <f t="shared" si="141"/>
        <v>0.84058963765419248</v>
      </c>
      <c r="AE179" s="9">
        <f t="shared" si="163"/>
        <v>14.870575691410231</v>
      </c>
      <c r="AF179">
        <f t="shared" si="164"/>
        <v>0</v>
      </c>
      <c r="AH179">
        <f t="shared" si="142"/>
        <v>7.8539816339744828</v>
      </c>
      <c r="AI179">
        <f t="shared" si="143"/>
        <v>5.6360084187157842</v>
      </c>
      <c r="AJ179">
        <f t="shared" si="144"/>
        <v>0.53999600106577361</v>
      </c>
      <c r="AK179">
        <f t="shared" si="145"/>
        <v>0.84058963765419248</v>
      </c>
      <c r="AL179" s="9">
        <f t="shared" si="165"/>
        <v>14.870575691410233</v>
      </c>
      <c r="AM179" t="e">
        <f t="shared" si="146"/>
        <v>#N/A</v>
      </c>
      <c r="AN179" t="e">
        <f t="shared" si="166"/>
        <v>#N/A</v>
      </c>
      <c r="AO179">
        <f t="shared" si="147"/>
        <v>0</v>
      </c>
      <c r="AP179">
        <f t="shared" si="148"/>
        <v>0</v>
      </c>
      <c r="AQ179">
        <f t="shared" si="149"/>
        <v>2.9976021664879227E-15</v>
      </c>
      <c r="AR179">
        <f t="shared" si="167"/>
        <v>0</v>
      </c>
      <c r="AS179">
        <f t="shared" si="150"/>
        <v>0</v>
      </c>
      <c r="AT179">
        <f t="shared" si="168"/>
        <v>0</v>
      </c>
      <c r="AU179">
        <f t="shared" si="169"/>
        <v>0</v>
      </c>
      <c r="AV179">
        <f t="shared" si="151"/>
        <v>2.6954864967800425E-20</v>
      </c>
      <c r="AW179" t="b">
        <f t="shared" si="170"/>
        <v>1</v>
      </c>
      <c r="AX179">
        <f t="shared" si="152"/>
        <v>7.8539816339744828</v>
      </c>
      <c r="AY179">
        <f t="shared" si="153"/>
        <v>5.6360084187157851</v>
      </c>
      <c r="AZ179">
        <f t="shared" si="154"/>
        <v>0.53999600106577061</v>
      </c>
      <c r="BA179">
        <f t="shared" si="155"/>
        <v>0.84058963765419259</v>
      </c>
      <c r="BB179">
        <f t="shared" si="156"/>
        <v>-1.2337005501361696E-20</v>
      </c>
      <c r="BD179" s="15">
        <f t="shared" si="171"/>
        <v>14.870575691410229</v>
      </c>
      <c r="BE179" s="10">
        <f t="shared" si="172"/>
        <v>0</v>
      </c>
      <c r="BF179">
        <f t="shared" si="173"/>
        <v>0</v>
      </c>
      <c r="BG179">
        <f t="shared" si="174"/>
        <v>0</v>
      </c>
      <c r="BH179">
        <f t="shared" si="175"/>
        <v>0</v>
      </c>
      <c r="BI179">
        <f t="shared" si="176"/>
        <v>0</v>
      </c>
    </row>
    <row r="180" spans="1:61" x14ac:dyDescent="0.3">
      <c r="A180">
        <f t="shared" si="181"/>
        <v>0.14299999999999999</v>
      </c>
      <c r="B180">
        <f t="shared" si="124"/>
        <v>0.4492477494633404</v>
      </c>
      <c r="C180">
        <f t="shared" si="125"/>
        <v>2.6923449041264527</v>
      </c>
      <c r="D180">
        <f t="shared" si="126"/>
        <v>2.6923449041264527</v>
      </c>
      <c r="E180">
        <f t="shared" si="131"/>
        <v>0.43428804928980458</v>
      </c>
      <c r="F180">
        <f t="shared" si="132"/>
        <v>0.43428804928980475</v>
      </c>
      <c r="G180">
        <f t="shared" si="127"/>
        <v>0.4492477494633404</v>
      </c>
      <c r="H180">
        <f t="shared" si="128"/>
        <v>0.43428804928980458</v>
      </c>
      <c r="I180">
        <f t="shared" si="129"/>
        <v>0.43428804928980475</v>
      </c>
      <c r="J180">
        <f t="shared" si="177"/>
        <v>1.4658929100366723E+20</v>
      </c>
      <c r="K180">
        <f t="shared" si="178"/>
        <v>1.4658929100366723E+20</v>
      </c>
      <c r="L180">
        <f t="shared" si="133"/>
        <v>1</v>
      </c>
      <c r="M180">
        <f t="shared" si="130"/>
        <v>2.6923449041264525E-20</v>
      </c>
      <c r="N180" s="9">
        <f t="shared" si="179"/>
        <v>2.6923449041264525E-20</v>
      </c>
      <c r="O180">
        <f t="shared" si="180"/>
        <v>2.6923449041264525E-20</v>
      </c>
      <c r="Q180">
        <f t="shared" si="134"/>
        <v>46.43416641158894</v>
      </c>
      <c r="R180">
        <f t="shared" si="135"/>
        <v>0</v>
      </c>
      <c r="S180">
        <f t="shared" si="157"/>
        <v>-45.061289334415868</v>
      </c>
      <c r="T180" s="9" t="e">
        <f t="shared" si="136"/>
        <v>#N/A</v>
      </c>
      <c r="U180">
        <f t="shared" si="158"/>
        <v>-1.0000000000000001E+300</v>
      </c>
      <c r="V180">
        <f t="shared" si="159"/>
        <v>0</v>
      </c>
      <c r="W180">
        <f t="shared" si="160"/>
        <v>0</v>
      </c>
      <c r="X180">
        <f t="shared" si="137"/>
        <v>2.6923449041264527</v>
      </c>
      <c r="Y180">
        <f t="shared" si="138"/>
        <v>7.8539816339744828</v>
      </c>
      <c r="Z180">
        <f t="shared" si="139"/>
        <v>-2.6923449041264527</v>
      </c>
      <c r="AA180">
        <f t="shared" si="161"/>
        <v>5.5842992430547653</v>
      </c>
      <c r="AB180">
        <f t="shared" si="140"/>
        <v>13.438280877029248</v>
      </c>
      <c r="AC180">
        <f t="shared" si="162"/>
        <v>0.538829820175588</v>
      </c>
      <c r="AD180">
        <f t="shared" si="141"/>
        <v>0.83404725699748183</v>
      </c>
      <c r="AE180" s="9">
        <f t="shared" si="163"/>
        <v>14.811157954202317</v>
      </c>
      <c r="AF180">
        <f t="shared" si="164"/>
        <v>0</v>
      </c>
      <c r="AH180">
        <f t="shared" si="142"/>
        <v>7.8539816339744828</v>
      </c>
      <c r="AI180">
        <f t="shared" si="143"/>
        <v>5.5842992430547671</v>
      </c>
      <c r="AJ180">
        <f t="shared" si="144"/>
        <v>0.538829820175593</v>
      </c>
      <c r="AK180">
        <f t="shared" si="145"/>
        <v>0.83404725699748183</v>
      </c>
      <c r="AL180" s="9">
        <f t="shared" si="165"/>
        <v>14.811157954202324</v>
      </c>
      <c r="AM180" t="e">
        <f t="shared" si="146"/>
        <v>#N/A</v>
      </c>
      <c r="AN180" t="e">
        <f t="shared" si="166"/>
        <v>#N/A</v>
      </c>
      <c r="AO180">
        <f t="shared" si="147"/>
        <v>0</v>
      </c>
      <c r="AP180">
        <f t="shared" si="148"/>
        <v>0</v>
      </c>
      <c r="AQ180">
        <f t="shared" si="149"/>
        <v>4.9960036108132044E-15</v>
      </c>
      <c r="AR180">
        <f t="shared" si="167"/>
        <v>0</v>
      </c>
      <c r="AS180">
        <f t="shared" si="150"/>
        <v>0</v>
      </c>
      <c r="AT180">
        <f t="shared" si="168"/>
        <v>0</v>
      </c>
      <c r="AU180">
        <f t="shared" si="169"/>
        <v>0</v>
      </c>
      <c r="AV180">
        <f t="shared" si="151"/>
        <v>2.6923449041264525E-20</v>
      </c>
      <c r="AW180" t="b">
        <f t="shared" si="170"/>
        <v>1</v>
      </c>
      <c r="AX180">
        <f t="shared" si="152"/>
        <v>7.8539816339744828</v>
      </c>
      <c r="AY180">
        <f t="shared" si="153"/>
        <v>5.5842992430547644</v>
      </c>
      <c r="AZ180">
        <f t="shared" si="154"/>
        <v>0.538829820175588</v>
      </c>
      <c r="BA180">
        <f t="shared" si="155"/>
        <v>0.8340472569974815</v>
      </c>
      <c r="BB180">
        <f t="shared" si="156"/>
        <v>-1.2337005501361696E-20</v>
      </c>
      <c r="BD180" s="15">
        <f t="shared" si="171"/>
        <v>14.811157954202315</v>
      </c>
      <c r="BE180" s="10">
        <f t="shared" si="172"/>
        <v>0</v>
      </c>
      <c r="BF180">
        <f t="shared" si="173"/>
        <v>0</v>
      </c>
      <c r="BG180">
        <f t="shared" si="174"/>
        <v>0</v>
      </c>
      <c r="BH180">
        <f t="shared" si="175"/>
        <v>0</v>
      </c>
      <c r="BI180">
        <f t="shared" si="176"/>
        <v>0</v>
      </c>
    </row>
    <row r="181" spans="1:61" x14ac:dyDescent="0.3">
      <c r="A181">
        <f t="shared" si="181"/>
        <v>0.14399999999999999</v>
      </c>
      <c r="B181">
        <f t="shared" si="124"/>
        <v>0.45238934211693016</v>
      </c>
      <c r="C181">
        <f t="shared" si="125"/>
        <v>2.6892033114728631</v>
      </c>
      <c r="D181">
        <f t="shared" si="126"/>
        <v>2.6892033114728631</v>
      </c>
      <c r="E181">
        <f t="shared" si="131"/>
        <v>0.43711576665093282</v>
      </c>
      <c r="F181">
        <f t="shared" si="132"/>
        <v>0.43711576665093288</v>
      </c>
      <c r="G181">
        <f t="shared" si="127"/>
        <v>0.45238934211693016</v>
      </c>
      <c r="H181">
        <f t="shared" si="128"/>
        <v>0.43711576665093282</v>
      </c>
      <c r="I181">
        <f t="shared" si="129"/>
        <v>0.43711576665093288</v>
      </c>
      <c r="J181">
        <f t="shared" si="177"/>
        <v>1.4564099969332984E+20</v>
      </c>
      <c r="K181">
        <f t="shared" si="178"/>
        <v>1.4564099969332984E+20</v>
      </c>
      <c r="L181">
        <f t="shared" si="133"/>
        <v>1</v>
      </c>
      <c r="M181">
        <f t="shared" si="130"/>
        <v>2.6892033114728629E-20</v>
      </c>
      <c r="N181" s="9">
        <f t="shared" si="179"/>
        <v>2.6892033114728629E-20</v>
      </c>
      <c r="O181">
        <f t="shared" si="180"/>
        <v>2.6892033114728629E-20</v>
      </c>
      <c r="Q181">
        <f t="shared" si="134"/>
        <v>46.427676361316358</v>
      </c>
      <c r="R181">
        <f t="shared" si="135"/>
        <v>-710542.73576010019</v>
      </c>
      <c r="S181">
        <f t="shared" si="157"/>
        <v>-45.062456876871906</v>
      </c>
      <c r="T181" s="9" t="e">
        <f t="shared" si="136"/>
        <v>#N/A</v>
      </c>
      <c r="U181">
        <f t="shared" si="158"/>
        <v>-1.0000000000000001E+300</v>
      </c>
      <c r="V181">
        <f t="shared" si="159"/>
        <v>0</v>
      </c>
      <c r="W181">
        <f t="shared" si="160"/>
        <v>0</v>
      </c>
      <c r="X181">
        <f t="shared" si="137"/>
        <v>2.6892033114728631</v>
      </c>
      <c r="Y181">
        <f t="shared" si="138"/>
        <v>7.8539816339744828</v>
      </c>
      <c r="Z181">
        <f t="shared" si="139"/>
        <v>-2.6892033114728631</v>
      </c>
      <c r="AA181">
        <f t="shared" si="161"/>
        <v>5.5332792028978783</v>
      </c>
      <c r="AB181">
        <f t="shared" si="140"/>
        <v>13.387260836872361</v>
      </c>
      <c r="AC181">
        <f t="shared" si="162"/>
        <v>0.53766227771955044</v>
      </c>
      <c r="AD181">
        <f t="shared" si="141"/>
        <v>0.82755720672490229</v>
      </c>
      <c r="AE181" s="9">
        <f t="shared" si="163"/>
        <v>14.752480321316813</v>
      </c>
      <c r="AF181">
        <f t="shared" si="164"/>
        <v>0</v>
      </c>
      <c r="AH181">
        <f t="shared" si="142"/>
        <v>7.8539816339744828</v>
      </c>
      <c r="AI181">
        <f t="shared" si="143"/>
        <v>5.5332792028978774</v>
      </c>
      <c r="AJ181">
        <f t="shared" si="144"/>
        <v>0.53766227771955499</v>
      </c>
      <c r="AK181">
        <f t="shared" si="145"/>
        <v>0.82755720672490229</v>
      </c>
      <c r="AL181" s="9">
        <f t="shared" si="165"/>
        <v>14.752480321316819</v>
      </c>
      <c r="AM181" t="e">
        <f t="shared" si="146"/>
        <v>#N/A</v>
      </c>
      <c r="AN181" t="e">
        <f t="shared" si="166"/>
        <v>#N/A</v>
      </c>
      <c r="AO181">
        <f t="shared" si="147"/>
        <v>0</v>
      </c>
      <c r="AP181">
        <f t="shared" si="148"/>
        <v>0</v>
      </c>
      <c r="AQ181">
        <f t="shared" si="149"/>
        <v>4.5519144009631418E-15</v>
      </c>
      <c r="AR181">
        <f t="shared" si="167"/>
        <v>0</v>
      </c>
      <c r="AS181">
        <f t="shared" si="150"/>
        <v>0</v>
      </c>
      <c r="AT181">
        <f t="shared" si="168"/>
        <v>0</v>
      </c>
      <c r="AU181">
        <f t="shared" si="169"/>
        <v>0</v>
      </c>
      <c r="AV181">
        <f t="shared" si="151"/>
        <v>2.6892033114728629E-20</v>
      </c>
      <c r="AW181" t="b">
        <f t="shared" si="170"/>
        <v>1</v>
      </c>
      <c r="AX181">
        <f t="shared" si="152"/>
        <v>7.8539816339744828</v>
      </c>
      <c r="AY181">
        <f t="shared" si="153"/>
        <v>5.5332792028978783</v>
      </c>
      <c r="AZ181">
        <f t="shared" si="154"/>
        <v>0.53766227771955044</v>
      </c>
      <c r="BA181">
        <f t="shared" si="155"/>
        <v>0.82755720672490207</v>
      </c>
      <c r="BB181">
        <f t="shared" si="156"/>
        <v>-1.2337005501361696E-20</v>
      </c>
      <c r="BD181" s="15">
        <f t="shared" si="171"/>
        <v>14.752480321316813</v>
      </c>
      <c r="BE181" s="10">
        <f t="shared" si="172"/>
        <v>0</v>
      </c>
      <c r="BF181">
        <f t="shared" si="173"/>
        <v>0</v>
      </c>
      <c r="BG181">
        <f t="shared" si="174"/>
        <v>0</v>
      </c>
      <c r="BH181">
        <f t="shared" si="175"/>
        <v>0</v>
      </c>
      <c r="BI181">
        <f t="shared" si="176"/>
        <v>0</v>
      </c>
    </row>
    <row r="182" spans="1:61" x14ac:dyDescent="0.3">
      <c r="A182">
        <f t="shared" si="181"/>
        <v>0.14499999999999999</v>
      </c>
      <c r="B182">
        <f t="shared" si="124"/>
        <v>0.45553093477051998</v>
      </c>
      <c r="C182">
        <f t="shared" si="125"/>
        <v>2.686061718819273</v>
      </c>
      <c r="D182">
        <f t="shared" si="126"/>
        <v>2.686061718819273</v>
      </c>
      <c r="E182">
        <f t="shared" si="131"/>
        <v>0.43993916985591508</v>
      </c>
      <c r="F182">
        <f t="shared" si="132"/>
        <v>0.4399391698559153</v>
      </c>
      <c r="G182">
        <f t="shared" si="127"/>
        <v>0.45553093477051998</v>
      </c>
      <c r="H182">
        <f t="shared" si="128"/>
        <v>0.43993916985591508</v>
      </c>
      <c r="I182">
        <f t="shared" si="129"/>
        <v>0.4399391698559153</v>
      </c>
      <c r="J182">
        <f t="shared" si="177"/>
        <v>1.4470631759751727E+20</v>
      </c>
      <c r="K182">
        <f t="shared" si="178"/>
        <v>1.4470631759751727E+20</v>
      </c>
      <c r="L182">
        <f t="shared" si="133"/>
        <v>1</v>
      </c>
      <c r="M182">
        <f t="shared" si="130"/>
        <v>2.6860617188192729E-20</v>
      </c>
      <c r="N182" s="9">
        <f t="shared" si="179"/>
        <v>2.6860617188192729E-20</v>
      </c>
      <c r="O182">
        <f t="shared" si="180"/>
        <v>2.6860617188192729E-20</v>
      </c>
      <c r="Q182">
        <f t="shared" si="134"/>
        <v>46.421237966546215</v>
      </c>
      <c r="R182">
        <f t="shared" si="135"/>
        <v>0</v>
      </c>
      <c r="S182">
        <f t="shared" si="157"/>
        <v>-45.063625784076891</v>
      </c>
      <c r="T182" s="9" t="e">
        <f t="shared" si="136"/>
        <v>#N/A</v>
      </c>
      <c r="U182">
        <f t="shared" si="158"/>
        <v>-1.0000000000000001E+300</v>
      </c>
      <c r="V182">
        <f t="shared" si="159"/>
        <v>0</v>
      </c>
      <c r="W182">
        <f t="shared" si="160"/>
        <v>0</v>
      </c>
      <c r="X182">
        <f t="shared" si="137"/>
        <v>2.686061718819273</v>
      </c>
      <c r="Y182">
        <f t="shared" si="138"/>
        <v>7.8539816339744828</v>
      </c>
      <c r="Z182">
        <f t="shared" si="139"/>
        <v>-2.686061718819273</v>
      </c>
      <c r="AA182">
        <f t="shared" si="161"/>
        <v>5.4829341394735804</v>
      </c>
      <c r="AB182">
        <f t="shared" si="140"/>
        <v>13.336915773448062</v>
      </c>
      <c r="AC182">
        <f t="shared" si="162"/>
        <v>0.53649337051456847</v>
      </c>
      <c r="AD182">
        <f t="shared" si="141"/>
        <v>0.82111881195475334</v>
      </c>
      <c r="AE182" s="9">
        <f t="shared" si="163"/>
        <v>14.694527955917383</v>
      </c>
      <c r="AF182">
        <f t="shared" si="164"/>
        <v>0</v>
      </c>
      <c r="AH182">
        <f t="shared" si="142"/>
        <v>7.8539816339744828</v>
      </c>
      <c r="AI182">
        <f t="shared" si="143"/>
        <v>5.4829341394735822</v>
      </c>
      <c r="AJ182">
        <f t="shared" si="144"/>
        <v>0.53649337051457024</v>
      </c>
      <c r="AK182">
        <f t="shared" si="145"/>
        <v>0.82111881195475334</v>
      </c>
      <c r="AL182" s="9">
        <f t="shared" si="165"/>
        <v>14.694527955917389</v>
      </c>
      <c r="AM182" t="e">
        <f t="shared" si="146"/>
        <v>#N/A</v>
      </c>
      <c r="AN182" t="e">
        <f t="shared" si="166"/>
        <v>#N/A</v>
      </c>
      <c r="AO182">
        <f t="shared" si="147"/>
        <v>0</v>
      </c>
      <c r="AP182">
        <f t="shared" si="148"/>
        <v>0</v>
      </c>
      <c r="AQ182">
        <f t="shared" si="149"/>
        <v>1.7763568394002505E-15</v>
      </c>
      <c r="AR182">
        <f t="shared" si="167"/>
        <v>0</v>
      </c>
      <c r="AS182">
        <f t="shared" si="150"/>
        <v>0</v>
      </c>
      <c r="AT182">
        <f t="shared" si="168"/>
        <v>0</v>
      </c>
      <c r="AU182">
        <f t="shared" si="169"/>
        <v>0</v>
      </c>
      <c r="AV182">
        <f t="shared" si="151"/>
        <v>2.6860617188192729E-20</v>
      </c>
      <c r="AW182" t="b">
        <f t="shared" si="170"/>
        <v>1</v>
      </c>
      <c r="AX182">
        <f t="shared" si="152"/>
        <v>7.8539816339744828</v>
      </c>
      <c r="AY182">
        <f t="shared" si="153"/>
        <v>5.4829341394735795</v>
      </c>
      <c r="AZ182">
        <f t="shared" si="154"/>
        <v>0.53649337051456847</v>
      </c>
      <c r="BA182">
        <f t="shared" si="155"/>
        <v>0.82111881195475289</v>
      </c>
      <c r="BB182">
        <f t="shared" si="156"/>
        <v>-1.2337005501361696E-20</v>
      </c>
      <c r="BD182" s="15">
        <f t="shared" si="171"/>
        <v>14.694527955917383</v>
      </c>
      <c r="BE182" s="10">
        <f t="shared" si="172"/>
        <v>0</v>
      </c>
      <c r="BF182">
        <f t="shared" si="173"/>
        <v>0</v>
      </c>
      <c r="BG182">
        <f t="shared" si="174"/>
        <v>0</v>
      </c>
      <c r="BH182">
        <f t="shared" si="175"/>
        <v>0</v>
      </c>
      <c r="BI182">
        <f t="shared" si="176"/>
        <v>0</v>
      </c>
    </row>
    <row r="183" spans="1:61" x14ac:dyDescent="0.3">
      <c r="A183">
        <f t="shared" si="181"/>
        <v>0.14599999999999999</v>
      </c>
      <c r="B183">
        <f t="shared" si="124"/>
        <v>0.45867252742410974</v>
      </c>
      <c r="C183">
        <f t="shared" si="125"/>
        <v>2.6829201261656834</v>
      </c>
      <c r="D183">
        <f t="shared" si="126"/>
        <v>2.6829201261656834</v>
      </c>
      <c r="E183">
        <f t="shared" si="131"/>
        <v>0.44275823103890144</v>
      </c>
      <c r="F183">
        <f t="shared" si="132"/>
        <v>0.44275823103890155</v>
      </c>
      <c r="G183">
        <f t="shared" si="127"/>
        <v>0.45867252742410974</v>
      </c>
      <c r="H183">
        <f t="shared" si="128"/>
        <v>0.44275823103890144</v>
      </c>
      <c r="I183">
        <f t="shared" si="129"/>
        <v>0.44275823103890155</v>
      </c>
      <c r="J183">
        <f t="shared" si="177"/>
        <v>1.4378496609171948E+20</v>
      </c>
      <c r="K183">
        <f t="shared" si="178"/>
        <v>1.4378496609171948E+20</v>
      </c>
      <c r="L183">
        <f t="shared" si="133"/>
        <v>1</v>
      </c>
      <c r="M183">
        <f t="shared" si="130"/>
        <v>2.6829201261656833E-20</v>
      </c>
      <c r="N183" s="9">
        <f t="shared" si="179"/>
        <v>2.6829201261656833E-20</v>
      </c>
      <c r="O183">
        <f t="shared" si="180"/>
        <v>2.6829201261656833E-20</v>
      </c>
      <c r="Q183">
        <f t="shared" si="134"/>
        <v>46.414850566368834</v>
      </c>
      <c r="R183">
        <f t="shared" si="135"/>
        <v>0</v>
      </c>
      <c r="S183">
        <f t="shared" si="157"/>
        <v>-45.064796059225081</v>
      </c>
      <c r="T183" s="9" t="e">
        <f t="shared" si="136"/>
        <v>#N/A</v>
      </c>
      <c r="U183">
        <f t="shared" si="158"/>
        <v>-1.0000000000000001E+300</v>
      </c>
      <c r="V183">
        <f t="shared" si="159"/>
        <v>0</v>
      </c>
      <c r="W183">
        <f t="shared" si="160"/>
        <v>0</v>
      </c>
      <c r="X183">
        <f t="shared" si="137"/>
        <v>2.6829201261656834</v>
      </c>
      <c r="Y183">
        <f t="shared" si="138"/>
        <v>7.8539816339744828</v>
      </c>
      <c r="Z183">
        <f t="shared" si="139"/>
        <v>-2.6829201261656834</v>
      </c>
      <c r="AA183">
        <f t="shared" si="161"/>
        <v>5.4332502817453276</v>
      </c>
      <c r="AB183">
        <f t="shared" si="140"/>
        <v>13.287231915719811</v>
      </c>
      <c r="AC183">
        <f t="shared" si="162"/>
        <v>0.53532309536637812</v>
      </c>
      <c r="AD183">
        <f t="shared" si="141"/>
        <v>0.81473141177737152</v>
      </c>
      <c r="AE183" s="9">
        <f t="shared" si="163"/>
        <v>14.637286422863561</v>
      </c>
      <c r="AF183">
        <f t="shared" si="164"/>
        <v>0</v>
      </c>
      <c r="AH183">
        <f t="shared" si="142"/>
        <v>7.8539816339744828</v>
      </c>
      <c r="AI183">
        <f t="shared" si="143"/>
        <v>5.4332502817453268</v>
      </c>
      <c r="AJ183">
        <f t="shared" si="144"/>
        <v>0.53532309536637968</v>
      </c>
      <c r="AK183">
        <f t="shared" si="145"/>
        <v>0.81473141177737152</v>
      </c>
      <c r="AL183" s="9">
        <f t="shared" si="165"/>
        <v>14.637286422863561</v>
      </c>
      <c r="AM183" t="e">
        <f t="shared" si="146"/>
        <v>#N/A</v>
      </c>
      <c r="AN183" t="e">
        <f t="shared" si="166"/>
        <v>#N/A</v>
      </c>
      <c r="AO183">
        <f t="shared" si="147"/>
        <v>0</v>
      </c>
      <c r="AP183">
        <f t="shared" si="148"/>
        <v>0</v>
      </c>
      <c r="AQ183">
        <f t="shared" si="149"/>
        <v>1.5543122344752192E-15</v>
      </c>
      <c r="AR183">
        <f t="shared" si="167"/>
        <v>0</v>
      </c>
      <c r="AS183">
        <f t="shared" si="150"/>
        <v>0</v>
      </c>
      <c r="AT183">
        <f t="shared" si="168"/>
        <v>0</v>
      </c>
      <c r="AU183">
        <f t="shared" si="169"/>
        <v>0</v>
      </c>
      <c r="AV183">
        <f t="shared" si="151"/>
        <v>2.6829201261656833E-20</v>
      </c>
      <c r="AW183" t="b">
        <f t="shared" si="170"/>
        <v>1</v>
      </c>
      <c r="AX183">
        <f t="shared" si="152"/>
        <v>7.8539816339744828</v>
      </c>
      <c r="AY183">
        <f t="shared" si="153"/>
        <v>5.4332502817453276</v>
      </c>
      <c r="AZ183">
        <f t="shared" si="154"/>
        <v>0.53532309536637823</v>
      </c>
      <c r="BA183">
        <f t="shared" si="155"/>
        <v>0.81473141177737129</v>
      </c>
      <c r="BB183">
        <f t="shared" si="156"/>
        <v>-1.2337005501361696E-20</v>
      </c>
      <c r="BD183" s="15">
        <f t="shared" si="171"/>
        <v>14.637286422863561</v>
      </c>
      <c r="BE183" s="10">
        <f t="shared" si="172"/>
        <v>0</v>
      </c>
      <c r="BF183">
        <f t="shared" si="173"/>
        <v>0</v>
      </c>
      <c r="BG183">
        <f t="shared" si="174"/>
        <v>0</v>
      </c>
      <c r="BH183">
        <f t="shared" si="175"/>
        <v>0</v>
      </c>
      <c r="BI183">
        <f t="shared" si="176"/>
        <v>0</v>
      </c>
    </row>
    <row r="184" spans="1:61" x14ac:dyDescent="0.3">
      <c r="A184">
        <f t="shared" si="181"/>
        <v>0.14699999999999999</v>
      </c>
      <c r="B184">
        <f t="shared" si="124"/>
        <v>0.46181412007769956</v>
      </c>
      <c r="C184">
        <f t="shared" si="125"/>
        <v>2.6797785335120934</v>
      </c>
      <c r="D184">
        <f t="shared" si="126"/>
        <v>2.6797785335120934</v>
      </c>
      <c r="E184">
        <f t="shared" si="131"/>
        <v>0.44557292237689627</v>
      </c>
      <c r="F184">
        <f t="shared" si="132"/>
        <v>0.4455729223768965</v>
      </c>
      <c r="G184">
        <f t="shared" si="127"/>
        <v>0.46181412007769956</v>
      </c>
      <c r="H184">
        <f t="shared" si="128"/>
        <v>0.44557292237689627</v>
      </c>
      <c r="I184">
        <f t="shared" si="129"/>
        <v>0.4455729223768965</v>
      </c>
      <c r="J184">
        <f t="shared" si="177"/>
        <v>1.4287667414158631E+20</v>
      </c>
      <c r="K184">
        <f t="shared" si="178"/>
        <v>1.4287667414158631E+20</v>
      </c>
      <c r="L184">
        <f t="shared" si="133"/>
        <v>1</v>
      </c>
      <c r="M184">
        <f t="shared" si="130"/>
        <v>2.6797785335120933E-20</v>
      </c>
      <c r="N184" s="9">
        <f t="shared" si="179"/>
        <v>2.6797785335120933E-20</v>
      </c>
      <c r="O184">
        <f t="shared" si="180"/>
        <v>2.6797785335120933E-20</v>
      </c>
      <c r="Q184">
        <f t="shared" si="134"/>
        <v>46.408513513465557</v>
      </c>
      <c r="R184">
        <f t="shared" si="135"/>
        <v>-710542.73576010019</v>
      </c>
      <c r="S184">
        <f t="shared" si="157"/>
        <v>-45.06596770552197</v>
      </c>
      <c r="T184" s="9" t="e">
        <f t="shared" si="136"/>
        <v>#N/A</v>
      </c>
      <c r="U184">
        <f t="shared" si="158"/>
        <v>-1.0000000000000001E+300</v>
      </c>
      <c r="V184">
        <f t="shared" si="159"/>
        <v>0</v>
      </c>
      <c r="W184">
        <f t="shared" si="160"/>
        <v>0</v>
      </c>
      <c r="X184">
        <f t="shared" si="137"/>
        <v>2.6797785335120934</v>
      </c>
      <c r="Y184">
        <f t="shared" si="138"/>
        <v>7.8539816339744828</v>
      </c>
      <c r="Z184">
        <f t="shared" si="139"/>
        <v>-2.6797785335120934</v>
      </c>
      <c r="AA184">
        <f t="shared" si="161"/>
        <v>5.3842142332241085</v>
      </c>
      <c r="AB184">
        <f t="shared" si="140"/>
        <v>13.238195867198591</v>
      </c>
      <c r="AC184">
        <f t="shared" si="162"/>
        <v>0.53415144906948731</v>
      </c>
      <c r="AD184">
        <f t="shared" si="141"/>
        <v>0.80839435887410183</v>
      </c>
      <c r="AE184" s="9">
        <f t="shared" si="163"/>
        <v>14.58074167514218</v>
      </c>
      <c r="AF184">
        <f t="shared" si="164"/>
        <v>0</v>
      </c>
      <c r="AH184">
        <f t="shared" si="142"/>
        <v>7.8539816339744828</v>
      </c>
      <c r="AI184">
        <f t="shared" si="143"/>
        <v>5.3842142332241121</v>
      </c>
      <c r="AJ184">
        <f t="shared" si="144"/>
        <v>0.53415144906949052</v>
      </c>
      <c r="AK184">
        <f t="shared" si="145"/>
        <v>0.80839435887410183</v>
      </c>
      <c r="AL184" s="9">
        <f t="shared" si="165"/>
        <v>14.580741675142187</v>
      </c>
      <c r="AM184" t="e">
        <f t="shared" si="146"/>
        <v>#N/A</v>
      </c>
      <c r="AN184" t="e">
        <f t="shared" si="166"/>
        <v>#N/A</v>
      </c>
      <c r="AO184">
        <f t="shared" si="147"/>
        <v>0</v>
      </c>
      <c r="AP184">
        <f t="shared" si="148"/>
        <v>0</v>
      </c>
      <c r="AQ184">
        <f t="shared" si="149"/>
        <v>3.219646771412954E-15</v>
      </c>
      <c r="AR184">
        <f t="shared" si="167"/>
        <v>0</v>
      </c>
      <c r="AS184">
        <f t="shared" si="150"/>
        <v>0</v>
      </c>
      <c r="AT184">
        <f t="shared" si="168"/>
        <v>0</v>
      </c>
      <c r="AU184">
        <f t="shared" si="169"/>
        <v>0</v>
      </c>
      <c r="AV184">
        <f t="shared" si="151"/>
        <v>2.6797785335120933E-20</v>
      </c>
      <c r="AW184" t="b">
        <f t="shared" si="170"/>
        <v>1</v>
      </c>
      <c r="AX184">
        <f t="shared" si="152"/>
        <v>7.8539816339744828</v>
      </c>
      <c r="AY184">
        <f t="shared" si="153"/>
        <v>5.3842142332241076</v>
      </c>
      <c r="AZ184">
        <f t="shared" si="154"/>
        <v>0.53415144906948731</v>
      </c>
      <c r="BA184">
        <f t="shared" si="155"/>
        <v>0.80839435887410138</v>
      </c>
      <c r="BB184">
        <f t="shared" si="156"/>
        <v>-1.2337005501361696E-20</v>
      </c>
      <c r="BD184" s="15">
        <f t="shared" si="171"/>
        <v>14.58074167514218</v>
      </c>
      <c r="BE184" s="10">
        <f t="shared" si="172"/>
        <v>0</v>
      </c>
      <c r="BF184">
        <f t="shared" si="173"/>
        <v>0</v>
      </c>
      <c r="BG184">
        <f t="shared" si="174"/>
        <v>0</v>
      </c>
      <c r="BH184">
        <f t="shared" si="175"/>
        <v>0</v>
      </c>
      <c r="BI184">
        <f t="shared" si="176"/>
        <v>0</v>
      </c>
    </row>
    <row r="185" spans="1:61" x14ac:dyDescent="0.3">
      <c r="A185">
        <f t="shared" si="181"/>
        <v>0.14799999999999999</v>
      </c>
      <c r="B185">
        <f t="shared" si="124"/>
        <v>0.46495571273128938</v>
      </c>
      <c r="C185">
        <f t="shared" si="125"/>
        <v>2.6766369408585038</v>
      </c>
      <c r="D185">
        <f t="shared" si="126"/>
        <v>2.6766369408585038</v>
      </c>
      <c r="E185">
        <f t="shared" si="131"/>
        <v>0.44838321609003223</v>
      </c>
      <c r="F185">
        <f t="shared" si="132"/>
        <v>0.44838321609003229</v>
      </c>
      <c r="G185">
        <f t="shared" si="127"/>
        <v>0.46495571273128938</v>
      </c>
      <c r="H185">
        <f t="shared" si="128"/>
        <v>0.44838321609003223</v>
      </c>
      <c r="I185">
        <f t="shared" si="129"/>
        <v>0.44838321609003229</v>
      </c>
      <c r="J185">
        <f t="shared" si="177"/>
        <v>1.4198117804653789E+20</v>
      </c>
      <c r="K185">
        <f t="shared" si="178"/>
        <v>1.4198117804653789E+20</v>
      </c>
      <c r="L185">
        <f t="shared" si="133"/>
        <v>0</v>
      </c>
      <c r="M185">
        <f t="shared" si="130"/>
        <v>2.6766369408585036E-20</v>
      </c>
      <c r="N185" s="9">
        <f t="shared" si="179"/>
        <v>0</v>
      </c>
      <c r="O185">
        <f t="shared" si="180"/>
        <v>0</v>
      </c>
      <c r="Q185">
        <f t="shared" si="134"/>
        <v>46.402226173740651</v>
      </c>
      <c r="R185">
        <f t="shared" si="135"/>
        <v>0</v>
      </c>
      <c r="S185">
        <f t="shared" si="157"/>
        <v>-45.067140726184334</v>
      </c>
      <c r="T185" s="9" t="e">
        <f t="shared" si="136"/>
        <v>#N/A</v>
      </c>
      <c r="U185">
        <f t="shared" si="158"/>
        <v>-1.0000000000000001E+300</v>
      </c>
      <c r="V185">
        <f t="shared" si="159"/>
        <v>0</v>
      </c>
      <c r="W185">
        <f t="shared" si="160"/>
        <v>0</v>
      </c>
      <c r="X185">
        <f t="shared" si="137"/>
        <v>2.6766369408585038</v>
      </c>
      <c r="Y185">
        <f t="shared" si="138"/>
        <v>7.8539816339744828</v>
      </c>
      <c r="Z185">
        <f t="shared" si="139"/>
        <v>-2.6766369408585038</v>
      </c>
      <c r="AA185">
        <f t="shared" si="161"/>
        <v>5.3358129593157022</v>
      </c>
      <c r="AB185">
        <f t="shared" si="140"/>
        <v>13.189794593290184</v>
      </c>
      <c r="AC185">
        <f t="shared" si="162"/>
        <v>0.53297842840712395</v>
      </c>
      <c r="AD185">
        <f t="shared" si="141"/>
        <v>0.80210701914919036</v>
      </c>
      <c r="AE185" s="9">
        <f t="shared" si="163"/>
        <v>14.524880040846497</v>
      </c>
      <c r="AF185">
        <f t="shared" si="164"/>
        <v>0</v>
      </c>
      <c r="AH185">
        <f t="shared" si="142"/>
        <v>7.8539816339744828</v>
      </c>
      <c r="AI185">
        <f t="shared" si="143"/>
        <v>5.3358129593157022</v>
      </c>
      <c r="AJ185">
        <f t="shared" si="144"/>
        <v>0.53297842840712661</v>
      </c>
      <c r="AK185">
        <f t="shared" si="145"/>
        <v>0.80210701914919036</v>
      </c>
      <c r="AL185" s="9">
        <f t="shared" si="165"/>
        <v>14.524880040846501</v>
      </c>
      <c r="AM185" t="e">
        <f t="shared" si="146"/>
        <v>#N/A</v>
      </c>
      <c r="AN185" t="e">
        <f t="shared" si="166"/>
        <v>#N/A</v>
      </c>
      <c r="AO185">
        <f t="shared" si="147"/>
        <v>0</v>
      </c>
      <c r="AP185">
        <f t="shared" si="148"/>
        <v>0</v>
      </c>
      <c r="AQ185">
        <f t="shared" si="149"/>
        <v>2.6645352591003757E-15</v>
      </c>
      <c r="AR185">
        <f t="shared" si="167"/>
        <v>0</v>
      </c>
      <c r="AS185">
        <f t="shared" si="150"/>
        <v>0</v>
      </c>
      <c r="AT185">
        <f t="shared" si="168"/>
        <v>0</v>
      </c>
      <c r="AU185">
        <f t="shared" si="169"/>
        <v>0</v>
      </c>
      <c r="AV185">
        <f t="shared" si="151"/>
        <v>2.6766369408585036E-20</v>
      </c>
      <c r="AW185" t="b">
        <f t="shared" si="170"/>
        <v>1</v>
      </c>
      <c r="AX185">
        <f t="shared" si="152"/>
        <v>7.8539816339744828</v>
      </c>
      <c r="AY185">
        <f t="shared" si="153"/>
        <v>5.3358129593157022</v>
      </c>
      <c r="AZ185">
        <f t="shared" si="154"/>
        <v>0.53297842840712406</v>
      </c>
      <c r="BA185">
        <f t="shared" si="155"/>
        <v>0.80210701914919025</v>
      </c>
      <c r="BB185">
        <f t="shared" si="156"/>
        <v>-1.2337005501361696E-20</v>
      </c>
      <c r="BD185" s="15">
        <f t="shared" si="171"/>
        <v>14.524880040846499</v>
      </c>
      <c r="BE185" s="10">
        <f t="shared" si="172"/>
        <v>0</v>
      </c>
      <c r="BF185">
        <f t="shared" si="173"/>
        <v>0</v>
      </c>
      <c r="BG185">
        <f t="shared" si="174"/>
        <v>0</v>
      </c>
      <c r="BH185">
        <f t="shared" si="175"/>
        <v>0</v>
      </c>
      <c r="BI185">
        <f t="shared" si="176"/>
        <v>0</v>
      </c>
    </row>
    <row r="186" spans="1:61" x14ac:dyDescent="0.3">
      <c r="A186">
        <f t="shared" si="181"/>
        <v>0.14899999999999999</v>
      </c>
      <c r="B186">
        <f t="shared" si="124"/>
        <v>0.46809730538487915</v>
      </c>
      <c r="C186">
        <f t="shared" si="125"/>
        <v>2.6734953482049137</v>
      </c>
      <c r="D186">
        <f t="shared" si="126"/>
        <v>2.6734953482049137</v>
      </c>
      <c r="E186">
        <f t="shared" si="131"/>
        <v>0.45118908444184502</v>
      </c>
      <c r="F186">
        <f t="shared" si="132"/>
        <v>0.4511890844418453</v>
      </c>
      <c r="G186">
        <f t="shared" si="127"/>
        <v>0.46809730538487915</v>
      </c>
      <c r="H186">
        <f t="shared" si="128"/>
        <v>0.45118908444184502</v>
      </c>
      <c r="I186">
        <f t="shared" si="129"/>
        <v>0.4511890844418453</v>
      </c>
      <c r="J186">
        <f t="shared" si="177"/>
        <v>1.4109822119369934E+20</v>
      </c>
      <c r="K186">
        <f t="shared" si="178"/>
        <v>1.4109822119369934E+20</v>
      </c>
      <c r="L186">
        <f t="shared" si="133"/>
        <v>1</v>
      </c>
      <c r="M186">
        <f t="shared" si="130"/>
        <v>2.673495348204914E-20</v>
      </c>
      <c r="N186" s="9">
        <f t="shared" si="179"/>
        <v>2.673495348204914E-20</v>
      </c>
      <c r="O186">
        <f t="shared" si="180"/>
        <v>2.673495348204914E-20</v>
      </c>
      <c r="Q186">
        <f t="shared" si="134"/>
        <v>46.395987925965528</v>
      </c>
      <c r="R186">
        <f t="shared" si="135"/>
        <v>0</v>
      </c>
      <c r="S186">
        <f t="shared" si="157"/>
        <v>-45.068315124440275</v>
      </c>
      <c r="T186" s="9" t="e">
        <f t="shared" si="136"/>
        <v>#N/A</v>
      </c>
      <c r="U186">
        <f t="shared" si="158"/>
        <v>-1.0000000000000001E+300</v>
      </c>
      <c r="V186">
        <f t="shared" si="159"/>
        <v>0</v>
      </c>
      <c r="W186">
        <f t="shared" si="160"/>
        <v>0</v>
      </c>
      <c r="X186">
        <f t="shared" si="137"/>
        <v>2.6734953482049137</v>
      </c>
      <c r="Y186">
        <f t="shared" si="138"/>
        <v>7.8539816339744828</v>
      </c>
      <c r="Z186">
        <f t="shared" si="139"/>
        <v>-2.6734953482049137</v>
      </c>
      <c r="AA186">
        <f t="shared" si="161"/>
        <v>5.2880337751773334</v>
      </c>
      <c r="AB186">
        <f t="shared" si="140"/>
        <v>13.142015409151817</v>
      </c>
      <c r="AC186">
        <f t="shared" si="162"/>
        <v>0.53180403015118238</v>
      </c>
      <c r="AD186">
        <f t="shared" si="141"/>
        <v>0.79586877137407086</v>
      </c>
      <c r="AE186" s="9">
        <f t="shared" si="163"/>
        <v>14.46968821067707</v>
      </c>
      <c r="AF186">
        <f t="shared" si="164"/>
        <v>0</v>
      </c>
      <c r="AH186">
        <f t="shared" si="142"/>
        <v>7.8539816339744828</v>
      </c>
      <c r="AI186">
        <f t="shared" si="143"/>
        <v>5.2880337751773379</v>
      </c>
      <c r="AJ186">
        <f t="shared" si="144"/>
        <v>0.53180403015118571</v>
      </c>
      <c r="AK186">
        <f t="shared" si="145"/>
        <v>0.79586877137407086</v>
      </c>
      <c r="AL186" s="9">
        <f t="shared" si="165"/>
        <v>14.469688210677077</v>
      </c>
      <c r="AM186" t="e">
        <f t="shared" si="146"/>
        <v>#N/A</v>
      </c>
      <c r="AN186" t="e">
        <f t="shared" si="166"/>
        <v>#N/A</v>
      </c>
      <c r="AO186">
        <f t="shared" si="147"/>
        <v>0</v>
      </c>
      <c r="AP186">
        <f t="shared" si="148"/>
        <v>0</v>
      </c>
      <c r="AQ186">
        <f t="shared" si="149"/>
        <v>3.3306690738754696E-15</v>
      </c>
      <c r="AR186">
        <f t="shared" si="167"/>
        <v>0</v>
      </c>
      <c r="AS186">
        <f t="shared" si="150"/>
        <v>0</v>
      </c>
      <c r="AT186">
        <f t="shared" si="168"/>
        <v>0</v>
      </c>
      <c r="AU186">
        <f t="shared" si="169"/>
        <v>0</v>
      </c>
      <c r="AV186">
        <f t="shared" si="151"/>
        <v>2.6734953482049137E-20</v>
      </c>
      <c r="AW186" t="b">
        <f t="shared" si="170"/>
        <v>1</v>
      </c>
      <c r="AX186">
        <f t="shared" si="152"/>
        <v>7.8539816339744828</v>
      </c>
      <c r="AY186">
        <f t="shared" si="153"/>
        <v>5.2880337751773325</v>
      </c>
      <c r="AZ186">
        <f t="shared" si="154"/>
        <v>0.53180403015118238</v>
      </c>
      <c r="BA186">
        <f t="shared" si="155"/>
        <v>0.79586877137407019</v>
      </c>
      <c r="BB186">
        <f t="shared" si="156"/>
        <v>-1.2337005501361696E-20</v>
      </c>
      <c r="BD186" s="15">
        <f t="shared" si="171"/>
        <v>14.469688210677068</v>
      </c>
      <c r="BE186" s="10">
        <f t="shared" si="172"/>
        <v>0</v>
      </c>
      <c r="BF186">
        <f t="shared" si="173"/>
        <v>0</v>
      </c>
      <c r="BG186">
        <f t="shared" si="174"/>
        <v>0</v>
      </c>
      <c r="BH186">
        <f t="shared" si="175"/>
        <v>0</v>
      </c>
      <c r="BI186">
        <f t="shared" si="176"/>
        <v>0</v>
      </c>
    </row>
    <row r="187" spans="1:61" x14ac:dyDescent="0.3">
      <c r="A187">
        <f t="shared" si="181"/>
        <v>0.15</v>
      </c>
      <c r="B187">
        <f t="shared" si="124"/>
        <v>0.47123889803846897</v>
      </c>
      <c r="C187">
        <f t="shared" si="125"/>
        <v>2.6703537555513241</v>
      </c>
      <c r="D187">
        <f t="shared" si="126"/>
        <v>2.6703537555513241</v>
      </c>
      <c r="E187">
        <f t="shared" si="131"/>
        <v>0.45399049973954675</v>
      </c>
      <c r="F187">
        <f t="shared" si="132"/>
        <v>0.45399049973954686</v>
      </c>
      <c r="G187">
        <f t="shared" si="127"/>
        <v>0.47123889803846897</v>
      </c>
      <c r="H187">
        <f t="shared" si="128"/>
        <v>0.45399049973954675</v>
      </c>
      <c r="I187">
        <f t="shared" si="129"/>
        <v>0.45399049973954686</v>
      </c>
      <c r="J187">
        <f t="shared" si="177"/>
        <v>1.402275538216788E+20</v>
      </c>
      <c r="K187">
        <f t="shared" si="178"/>
        <v>1.402275538216788E+20</v>
      </c>
      <c r="L187">
        <f t="shared" si="133"/>
        <v>1</v>
      </c>
      <c r="M187">
        <f t="shared" si="130"/>
        <v>2.670353755551324E-20</v>
      </c>
      <c r="N187" s="9">
        <f t="shared" si="179"/>
        <v>2.670353755551324E-20</v>
      </c>
      <c r="O187">
        <f t="shared" si="180"/>
        <v>2.670353755551324E-20</v>
      </c>
      <c r="Q187">
        <f t="shared" si="134"/>
        <v>46.38979816143501</v>
      </c>
      <c r="R187">
        <f t="shared" si="135"/>
        <v>0</v>
      </c>
      <c r="S187">
        <f t="shared" si="157"/>
        <v>-45.069490903529285</v>
      </c>
      <c r="T187" s="9" t="e">
        <f t="shared" si="136"/>
        <v>#N/A</v>
      </c>
      <c r="U187">
        <f t="shared" si="158"/>
        <v>-1.0000000000000001E+300</v>
      </c>
      <c r="V187">
        <f t="shared" si="159"/>
        <v>0</v>
      </c>
      <c r="W187">
        <f t="shared" si="160"/>
        <v>0</v>
      </c>
      <c r="X187">
        <f t="shared" si="137"/>
        <v>2.6703537555513241</v>
      </c>
      <c r="Y187">
        <f t="shared" si="138"/>
        <v>7.8539816339744828</v>
      </c>
      <c r="Z187">
        <f t="shared" si="139"/>
        <v>-2.6703537555513241</v>
      </c>
      <c r="AA187">
        <f t="shared" si="161"/>
        <v>5.2408643340601611</v>
      </c>
      <c r="AB187">
        <f t="shared" si="140"/>
        <v>13.094845968034644</v>
      </c>
      <c r="AC187">
        <f t="shared" si="162"/>
        <v>0.53062825106217038</v>
      </c>
      <c r="AD187">
        <f t="shared" si="141"/>
        <v>0.78967900684355197</v>
      </c>
      <c r="AE187" s="9">
        <f t="shared" si="163"/>
        <v>14.415153225940365</v>
      </c>
      <c r="AF187">
        <f t="shared" si="164"/>
        <v>0</v>
      </c>
      <c r="AH187">
        <f t="shared" si="142"/>
        <v>7.8539816339744828</v>
      </c>
      <c r="AI187">
        <f t="shared" si="143"/>
        <v>5.2408643340601619</v>
      </c>
      <c r="AJ187">
        <f t="shared" si="144"/>
        <v>0.53062825106217559</v>
      </c>
      <c r="AK187">
        <f t="shared" si="145"/>
        <v>0.78967900684355197</v>
      </c>
      <c r="AL187" s="9">
        <f t="shared" si="165"/>
        <v>14.415153225940372</v>
      </c>
      <c r="AM187" t="e">
        <f t="shared" si="146"/>
        <v>#N/A</v>
      </c>
      <c r="AN187" t="e">
        <f t="shared" si="166"/>
        <v>#N/A</v>
      </c>
      <c r="AO187">
        <f t="shared" si="147"/>
        <v>0</v>
      </c>
      <c r="AP187">
        <f t="shared" si="148"/>
        <v>0</v>
      </c>
      <c r="AQ187">
        <f t="shared" si="149"/>
        <v>5.2180482157382357E-15</v>
      </c>
      <c r="AR187">
        <f t="shared" si="167"/>
        <v>0</v>
      </c>
      <c r="AS187">
        <f t="shared" si="150"/>
        <v>0</v>
      </c>
      <c r="AT187">
        <f t="shared" si="168"/>
        <v>0</v>
      </c>
      <c r="AU187">
        <f t="shared" si="169"/>
        <v>0</v>
      </c>
      <c r="AV187">
        <f t="shared" si="151"/>
        <v>2.670353755551324E-20</v>
      </c>
      <c r="AW187" t="b">
        <f t="shared" si="170"/>
        <v>1</v>
      </c>
      <c r="AX187">
        <f t="shared" si="152"/>
        <v>7.8539816339744828</v>
      </c>
      <c r="AY187">
        <f t="shared" si="153"/>
        <v>5.2408643340601602</v>
      </c>
      <c r="AZ187">
        <f t="shared" si="154"/>
        <v>0.53062825106217049</v>
      </c>
      <c r="BA187">
        <f t="shared" si="155"/>
        <v>0.78967900684355175</v>
      </c>
      <c r="BB187">
        <f t="shared" si="156"/>
        <v>-1.2337005501361696E-20</v>
      </c>
      <c r="BD187" s="15">
        <f t="shared" si="171"/>
        <v>14.415153225940365</v>
      </c>
      <c r="BE187" s="10">
        <f t="shared" si="172"/>
        <v>0</v>
      </c>
      <c r="BF187">
        <f t="shared" si="173"/>
        <v>0</v>
      </c>
      <c r="BG187">
        <f t="shared" si="174"/>
        <v>0</v>
      </c>
      <c r="BH187">
        <f t="shared" si="175"/>
        <v>0</v>
      </c>
      <c r="BI187">
        <f t="shared" si="176"/>
        <v>0</v>
      </c>
    </row>
    <row r="188" spans="1:61" x14ac:dyDescent="0.3">
      <c r="A188">
        <f t="shared" si="181"/>
        <v>0.151</v>
      </c>
      <c r="B188">
        <f t="shared" si="124"/>
        <v>0.47438049069205873</v>
      </c>
      <c r="C188">
        <f t="shared" si="125"/>
        <v>2.6672121628977346</v>
      </c>
      <c r="D188">
        <f t="shared" si="126"/>
        <v>2.6672121628977346</v>
      </c>
      <c r="E188">
        <f t="shared" si="131"/>
        <v>0.45678743433429947</v>
      </c>
      <c r="F188">
        <f t="shared" si="132"/>
        <v>0.45678743433429941</v>
      </c>
      <c r="G188">
        <f t="shared" si="127"/>
        <v>0.47438049069205873</v>
      </c>
      <c r="H188">
        <f t="shared" si="128"/>
        <v>0.45678743433429947</v>
      </c>
      <c r="I188">
        <f t="shared" si="129"/>
        <v>0.45678743433429941</v>
      </c>
      <c r="J188">
        <f t="shared" si="177"/>
        <v>1.3936893279373176E+20</v>
      </c>
      <c r="K188">
        <f t="shared" si="178"/>
        <v>1.3936893279373176E+20</v>
      </c>
      <c r="L188">
        <f t="shared" si="133"/>
        <v>1</v>
      </c>
      <c r="M188">
        <f t="shared" si="130"/>
        <v>2.6672121628977344E-20</v>
      </c>
      <c r="N188" s="9">
        <f t="shared" si="179"/>
        <v>2.6672121628977344E-20</v>
      </c>
      <c r="O188">
        <f t="shared" si="180"/>
        <v>2.6672121628977344E-20</v>
      </c>
      <c r="Q188">
        <f t="shared" si="134"/>
        <v>46.383656283634885</v>
      </c>
      <c r="R188">
        <f t="shared" si="135"/>
        <v>-710542.73576010019</v>
      </c>
      <c r="S188">
        <f t="shared" si="157"/>
        <v>-45.070668066702304</v>
      </c>
      <c r="T188" s="9" t="e">
        <f t="shared" si="136"/>
        <v>#N/A</v>
      </c>
      <c r="U188">
        <f t="shared" si="158"/>
        <v>-1.0000000000000001E+300</v>
      </c>
      <c r="V188">
        <f t="shared" si="159"/>
        <v>0</v>
      </c>
      <c r="W188">
        <f t="shared" si="160"/>
        <v>0</v>
      </c>
      <c r="X188">
        <f t="shared" si="137"/>
        <v>2.6672121628977346</v>
      </c>
      <c r="Y188">
        <f t="shared" si="138"/>
        <v>7.8539816339744828</v>
      </c>
      <c r="Z188">
        <f t="shared" si="139"/>
        <v>-2.6672121628977346</v>
      </c>
      <c r="AA188">
        <f t="shared" si="161"/>
        <v>5.194292616114887</v>
      </c>
      <c r="AB188">
        <f t="shared" si="140"/>
        <v>13.048274250089371</v>
      </c>
      <c r="AC188">
        <f t="shared" si="162"/>
        <v>0.52945108788915562</v>
      </c>
      <c r="AD188">
        <f t="shared" si="141"/>
        <v>0.78353712904342776</v>
      </c>
      <c r="AE188" s="9">
        <f t="shared" si="163"/>
        <v>14.361262467021954</v>
      </c>
      <c r="AF188">
        <f t="shared" si="164"/>
        <v>0</v>
      </c>
      <c r="AH188">
        <f t="shared" si="142"/>
        <v>7.8539816339744828</v>
      </c>
      <c r="AI188">
        <f t="shared" si="143"/>
        <v>5.1942926161148844</v>
      </c>
      <c r="AJ188">
        <f t="shared" si="144"/>
        <v>0.52945108788915718</v>
      </c>
      <c r="AK188">
        <f t="shared" si="145"/>
        <v>0.78353712904342776</v>
      </c>
      <c r="AL188" s="9">
        <f t="shared" si="165"/>
        <v>14.361262467021952</v>
      </c>
      <c r="AM188" t="e">
        <f t="shared" si="146"/>
        <v>#N/A</v>
      </c>
      <c r="AN188" t="e">
        <f t="shared" si="166"/>
        <v>#N/A</v>
      </c>
      <c r="AO188">
        <f t="shared" si="147"/>
        <v>0</v>
      </c>
      <c r="AP188">
        <f t="shared" si="148"/>
        <v>0</v>
      </c>
      <c r="AQ188">
        <f t="shared" si="149"/>
        <v>1.5543122344752192E-15</v>
      </c>
      <c r="AR188">
        <f t="shared" si="167"/>
        <v>0</v>
      </c>
      <c r="AS188">
        <f t="shared" si="150"/>
        <v>0</v>
      </c>
      <c r="AT188">
        <f t="shared" si="168"/>
        <v>0</v>
      </c>
      <c r="AU188">
        <f t="shared" si="169"/>
        <v>0</v>
      </c>
      <c r="AV188">
        <f t="shared" si="151"/>
        <v>2.6672121628977344E-20</v>
      </c>
      <c r="AW188" t="b">
        <f t="shared" si="170"/>
        <v>1</v>
      </c>
      <c r="AX188">
        <f t="shared" si="152"/>
        <v>7.8539816339744828</v>
      </c>
      <c r="AY188">
        <f t="shared" si="153"/>
        <v>5.1942926161148852</v>
      </c>
      <c r="AZ188">
        <f t="shared" si="154"/>
        <v>0.52945108788915562</v>
      </c>
      <c r="BA188">
        <f t="shared" si="155"/>
        <v>0.78353712904342787</v>
      </c>
      <c r="BB188">
        <f t="shared" si="156"/>
        <v>-1.2337005501361696E-20</v>
      </c>
      <c r="BD188" s="15">
        <f t="shared" si="171"/>
        <v>14.36126246702195</v>
      </c>
      <c r="BE188" s="10">
        <f t="shared" si="172"/>
        <v>0</v>
      </c>
      <c r="BF188">
        <f t="shared" si="173"/>
        <v>0</v>
      </c>
      <c r="BG188">
        <f t="shared" si="174"/>
        <v>0</v>
      </c>
      <c r="BH188">
        <f t="shared" si="175"/>
        <v>0</v>
      </c>
      <c r="BI188">
        <f t="shared" si="176"/>
        <v>0</v>
      </c>
    </row>
    <row r="189" spans="1:61" x14ac:dyDescent="0.3">
      <c r="A189">
        <f t="shared" si="181"/>
        <v>0.152</v>
      </c>
      <c r="B189">
        <f t="shared" si="124"/>
        <v>0.47752208334564855</v>
      </c>
      <c r="C189">
        <f t="shared" si="125"/>
        <v>2.6640705702441445</v>
      </c>
      <c r="D189">
        <f t="shared" si="126"/>
        <v>2.6640705702441445</v>
      </c>
      <c r="E189">
        <f t="shared" si="131"/>
        <v>0.45957986062148781</v>
      </c>
      <c r="F189">
        <f t="shared" si="132"/>
        <v>0.45957986062148798</v>
      </c>
      <c r="G189">
        <f t="shared" si="127"/>
        <v>0.47752208334564855</v>
      </c>
      <c r="H189">
        <f t="shared" si="128"/>
        <v>0.45957986062148781</v>
      </c>
      <c r="I189">
        <f t="shared" si="129"/>
        <v>0.45957986062148798</v>
      </c>
      <c r="J189">
        <f t="shared" si="177"/>
        <v>1.3852212137988016E+20</v>
      </c>
      <c r="K189">
        <f t="shared" si="178"/>
        <v>1.3852212137988016E+20</v>
      </c>
      <c r="L189">
        <f t="shared" si="133"/>
        <v>1</v>
      </c>
      <c r="M189">
        <f t="shared" si="130"/>
        <v>2.6640705702441444E-20</v>
      </c>
      <c r="N189" s="9">
        <f t="shared" si="179"/>
        <v>2.6640705702441444E-20</v>
      </c>
      <c r="O189">
        <f t="shared" si="180"/>
        <v>2.6640705702441444E-20</v>
      </c>
      <c r="Q189">
        <f t="shared" si="134"/>
        <v>46.37756170792052</v>
      </c>
      <c r="R189">
        <f t="shared" si="135"/>
        <v>0</v>
      </c>
      <c r="S189">
        <f t="shared" si="157"/>
        <v>-45.071846617221745</v>
      </c>
      <c r="T189" s="9" t="e">
        <f t="shared" si="136"/>
        <v>#N/A</v>
      </c>
      <c r="U189">
        <f t="shared" si="158"/>
        <v>-1.0000000000000001E+300</v>
      </c>
      <c r="V189">
        <f t="shared" si="159"/>
        <v>0</v>
      </c>
      <c r="W189">
        <f t="shared" si="160"/>
        <v>0</v>
      </c>
      <c r="X189">
        <f t="shared" si="137"/>
        <v>2.6640705702441445</v>
      </c>
      <c r="Y189">
        <f t="shared" si="138"/>
        <v>7.8539816339744828</v>
      </c>
      <c r="Z189">
        <f t="shared" si="139"/>
        <v>-2.6640705702441445</v>
      </c>
      <c r="AA189">
        <f t="shared" si="161"/>
        <v>5.1483069176392942</v>
      </c>
      <c r="AB189">
        <f t="shared" si="140"/>
        <v>13.002288551613777</v>
      </c>
      <c r="AC189">
        <f t="shared" si="162"/>
        <v>0.52827253736971125</v>
      </c>
      <c r="AD189">
        <f t="shared" si="141"/>
        <v>0.77744255332906043</v>
      </c>
      <c r="AE189" s="9">
        <f t="shared" si="163"/>
        <v>14.308003642312547</v>
      </c>
      <c r="AF189">
        <f t="shared" si="164"/>
        <v>0</v>
      </c>
      <c r="AH189">
        <f t="shared" si="142"/>
        <v>7.8539816339744828</v>
      </c>
      <c r="AI189">
        <f t="shared" si="143"/>
        <v>5.1483069176392959</v>
      </c>
      <c r="AJ189">
        <f t="shared" si="144"/>
        <v>0.52827253736971613</v>
      </c>
      <c r="AK189">
        <f t="shared" si="145"/>
        <v>0.77744255332906043</v>
      </c>
      <c r="AL189" s="9">
        <f t="shared" si="165"/>
        <v>14.308003642312555</v>
      </c>
      <c r="AM189" t="e">
        <f t="shared" si="146"/>
        <v>#N/A</v>
      </c>
      <c r="AN189" t="e">
        <f t="shared" si="166"/>
        <v>#N/A</v>
      </c>
      <c r="AO189">
        <f t="shared" si="147"/>
        <v>0</v>
      </c>
      <c r="AP189">
        <f t="shared" si="148"/>
        <v>0</v>
      </c>
      <c r="AQ189">
        <f t="shared" si="149"/>
        <v>4.8849813083506888E-15</v>
      </c>
      <c r="AR189">
        <f t="shared" si="167"/>
        <v>0</v>
      </c>
      <c r="AS189">
        <f t="shared" si="150"/>
        <v>0</v>
      </c>
      <c r="AT189">
        <f t="shared" si="168"/>
        <v>0</v>
      </c>
      <c r="AU189">
        <f t="shared" si="169"/>
        <v>0</v>
      </c>
      <c r="AV189">
        <f t="shared" si="151"/>
        <v>2.6640705702441444E-20</v>
      </c>
      <c r="AW189" t="b">
        <f t="shared" si="170"/>
        <v>1</v>
      </c>
      <c r="AX189">
        <f t="shared" si="152"/>
        <v>7.8539816339744828</v>
      </c>
      <c r="AY189">
        <f t="shared" si="153"/>
        <v>5.1483069176392933</v>
      </c>
      <c r="AZ189">
        <f t="shared" si="154"/>
        <v>0.52827253736971125</v>
      </c>
      <c r="BA189">
        <f t="shared" si="155"/>
        <v>0.77744255332906009</v>
      </c>
      <c r="BB189">
        <f t="shared" si="156"/>
        <v>-1.2337005501361696E-20</v>
      </c>
      <c r="BD189" s="15">
        <f t="shared" si="171"/>
        <v>14.308003642312547</v>
      </c>
      <c r="BE189" s="10">
        <f t="shared" si="172"/>
        <v>0</v>
      </c>
      <c r="BF189">
        <f t="shared" si="173"/>
        <v>0</v>
      </c>
      <c r="BG189">
        <f t="shared" si="174"/>
        <v>0</v>
      </c>
      <c r="BH189">
        <f t="shared" si="175"/>
        <v>0</v>
      </c>
      <c r="BI189">
        <f t="shared" si="176"/>
        <v>0</v>
      </c>
    </row>
    <row r="190" spans="1:61" x14ac:dyDescent="0.3">
      <c r="A190">
        <f t="shared" si="181"/>
        <v>0.153</v>
      </c>
      <c r="B190">
        <f t="shared" si="124"/>
        <v>0.48066367599923832</v>
      </c>
      <c r="C190">
        <f t="shared" si="125"/>
        <v>2.6609289775905549</v>
      </c>
      <c r="D190">
        <f t="shared" si="126"/>
        <v>2.6609289775905549</v>
      </c>
      <c r="E190">
        <f t="shared" si="131"/>
        <v>0.46236775104099176</v>
      </c>
      <c r="F190">
        <f t="shared" si="132"/>
        <v>0.46236775104099176</v>
      </c>
      <c r="G190">
        <f t="shared" si="127"/>
        <v>0.48066367599923832</v>
      </c>
      <c r="H190">
        <f t="shared" si="128"/>
        <v>0.46236775104099176</v>
      </c>
      <c r="I190">
        <f t="shared" si="129"/>
        <v>0.46236775104099176</v>
      </c>
      <c r="J190">
        <f t="shared" si="177"/>
        <v>1.3768688904757571E+20</v>
      </c>
      <c r="K190">
        <f t="shared" si="178"/>
        <v>1.3768688904757571E+20</v>
      </c>
      <c r="L190">
        <f t="shared" si="133"/>
        <v>0</v>
      </c>
      <c r="M190">
        <f t="shared" si="130"/>
        <v>2.6609289775905547E-20</v>
      </c>
      <c r="N190" s="9">
        <f t="shared" si="179"/>
        <v>0</v>
      </c>
      <c r="O190">
        <f t="shared" si="180"/>
        <v>0</v>
      </c>
      <c r="Q190">
        <f t="shared" si="134"/>
        <v>46.371513861205962</v>
      </c>
      <c r="R190">
        <f t="shared" si="135"/>
        <v>0</v>
      </c>
      <c r="S190">
        <f t="shared" si="157"/>
        <v>-45.073026558361597</v>
      </c>
      <c r="T190" s="9" t="e">
        <f t="shared" si="136"/>
        <v>#N/A</v>
      </c>
      <c r="U190">
        <f t="shared" si="158"/>
        <v>-1.0000000000000001E+300</v>
      </c>
      <c r="V190">
        <f t="shared" si="159"/>
        <v>0</v>
      </c>
      <c r="W190">
        <f t="shared" si="160"/>
        <v>0</v>
      </c>
      <c r="X190">
        <f t="shared" si="137"/>
        <v>2.6609289775905549</v>
      </c>
      <c r="Y190">
        <f t="shared" si="138"/>
        <v>7.8539816339744828</v>
      </c>
      <c r="Z190">
        <f t="shared" si="139"/>
        <v>-2.6609289775905549</v>
      </c>
      <c r="AA190">
        <f t="shared" si="161"/>
        <v>5.1028958407474621</v>
      </c>
      <c r="AB190">
        <f t="shared" si="140"/>
        <v>12.956877474721946</v>
      </c>
      <c r="AC190">
        <f t="shared" si="162"/>
        <v>0.52709259622986271</v>
      </c>
      <c r="AD190">
        <f t="shared" si="141"/>
        <v>0.77139470661450349</v>
      </c>
      <c r="AE190" s="9">
        <f t="shared" si="163"/>
        <v>14.255364777566312</v>
      </c>
      <c r="AF190">
        <f t="shared" si="164"/>
        <v>0</v>
      </c>
      <c r="AH190">
        <f t="shared" si="142"/>
        <v>7.8539816339744828</v>
      </c>
      <c r="AI190">
        <f t="shared" si="143"/>
        <v>5.1028958407474603</v>
      </c>
      <c r="AJ190">
        <f t="shared" si="144"/>
        <v>0.52709259622986337</v>
      </c>
      <c r="AK190">
        <f t="shared" si="145"/>
        <v>0.77139470661450349</v>
      </c>
      <c r="AL190" s="9">
        <f t="shared" si="165"/>
        <v>14.255364777566308</v>
      </c>
      <c r="AM190" t="e">
        <f t="shared" si="146"/>
        <v>#N/A</v>
      </c>
      <c r="AN190" t="e">
        <f t="shared" si="166"/>
        <v>#N/A</v>
      </c>
      <c r="AO190">
        <f t="shared" si="147"/>
        <v>0</v>
      </c>
      <c r="AP190">
        <f t="shared" si="148"/>
        <v>0</v>
      </c>
      <c r="AQ190">
        <f t="shared" si="149"/>
        <v>0</v>
      </c>
      <c r="AR190">
        <f t="shared" si="167"/>
        <v>0</v>
      </c>
      <c r="AS190">
        <f t="shared" si="150"/>
        <v>0</v>
      </c>
      <c r="AT190">
        <f t="shared" si="168"/>
        <v>0</v>
      </c>
      <c r="AU190">
        <f t="shared" si="169"/>
        <v>0</v>
      </c>
      <c r="AV190">
        <f t="shared" si="151"/>
        <v>2.6609289775905547E-20</v>
      </c>
      <c r="AW190" t="b">
        <f t="shared" si="170"/>
        <v>1</v>
      </c>
      <c r="AX190">
        <f t="shared" si="152"/>
        <v>7.8539816339744828</v>
      </c>
      <c r="AY190">
        <f t="shared" si="153"/>
        <v>5.1028958407474603</v>
      </c>
      <c r="AZ190">
        <f t="shared" si="154"/>
        <v>0.52709259622986271</v>
      </c>
      <c r="BA190">
        <f t="shared" si="155"/>
        <v>0.77139470661450349</v>
      </c>
      <c r="BB190">
        <f t="shared" si="156"/>
        <v>-1.2337005501361696E-20</v>
      </c>
      <c r="BD190" s="15">
        <f t="shared" si="171"/>
        <v>14.255364777566308</v>
      </c>
      <c r="BE190" s="10">
        <f t="shared" si="172"/>
        <v>0</v>
      </c>
      <c r="BF190">
        <f t="shared" si="173"/>
        <v>0</v>
      </c>
      <c r="BG190">
        <f t="shared" si="174"/>
        <v>0</v>
      </c>
      <c r="BH190">
        <f t="shared" si="175"/>
        <v>0</v>
      </c>
      <c r="BI190">
        <f t="shared" si="176"/>
        <v>0</v>
      </c>
    </row>
    <row r="191" spans="1:61" x14ac:dyDescent="0.3">
      <c r="A191">
        <f t="shared" si="181"/>
        <v>0.154</v>
      </c>
      <c r="B191">
        <f t="shared" si="124"/>
        <v>0.48380526865282814</v>
      </c>
      <c r="C191">
        <f t="shared" si="125"/>
        <v>2.6577873849369649</v>
      </c>
      <c r="D191">
        <f t="shared" si="126"/>
        <v>2.6577873849369649</v>
      </c>
      <c r="E191">
        <f t="shared" si="131"/>
        <v>0.46515107807745831</v>
      </c>
      <c r="F191">
        <f t="shared" si="132"/>
        <v>0.46515107807745854</v>
      </c>
      <c r="G191">
        <f t="shared" si="127"/>
        <v>0.48380526865282814</v>
      </c>
      <c r="H191">
        <f t="shared" si="128"/>
        <v>0.46515107807745831</v>
      </c>
      <c r="I191">
        <f t="shared" si="129"/>
        <v>0.46515107807745854</v>
      </c>
      <c r="J191">
        <f t="shared" si="177"/>
        <v>1.3686301126051989E+20</v>
      </c>
      <c r="K191">
        <f t="shared" si="178"/>
        <v>1.3686301126051989E+20</v>
      </c>
      <c r="L191" t="e">
        <f t="shared" si="133"/>
        <v>#NUM!</v>
      </c>
      <c r="M191">
        <f t="shared" si="130"/>
        <v>2.6577873849369648E-20</v>
      </c>
      <c r="N191" s="9" t="e">
        <f t="shared" si="179"/>
        <v>#NUM!</v>
      </c>
      <c r="O191" t="e">
        <f t="shared" si="180"/>
        <v>#NUM!</v>
      </c>
      <c r="Q191">
        <f t="shared" si="134"/>
        <v>46.365512181663213</v>
      </c>
      <c r="R191">
        <f t="shared" si="135"/>
        <v>0</v>
      </c>
      <c r="S191">
        <f t="shared" si="157"/>
        <v>-45.074207893407426</v>
      </c>
      <c r="T191" s="9" t="e">
        <f t="shared" si="136"/>
        <v>#N/A</v>
      </c>
      <c r="U191">
        <f t="shared" si="158"/>
        <v>-1.0000000000000001E+300</v>
      </c>
      <c r="V191">
        <f t="shared" si="159"/>
        <v>0</v>
      </c>
      <c r="W191">
        <f t="shared" si="160"/>
        <v>0</v>
      </c>
      <c r="X191">
        <f t="shared" si="137"/>
        <v>2.6577873849369649</v>
      </c>
      <c r="Y191">
        <f t="shared" si="138"/>
        <v>7.8539816339744828</v>
      </c>
      <c r="Z191">
        <f t="shared" si="139"/>
        <v>-2.6577873849369649</v>
      </c>
      <c r="AA191">
        <f t="shared" si="161"/>
        <v>5.0580482834414013</v>
      </c>
      <c r="AB191">
        <f t="shared" si="140"/>
        <v>12.912029917415884</v>
      </c>
      <c r="AC191">
        <f t="shared" si="162"/>
        <v>0.52591126118403153</v>
      </c>
      <c r="AD191">
        <f t="shared" si="141"/>
        <v>0.76539302707175305</v>
      </c>
      <c r="AE191" s="9">
        <f t="shared" si="163"/>
        <v>14.203334205671668</v>
      </c>
      <c r="AF191">
        <f t="shared" si="164"/>
        <v>0</v>
      </c>
      <c r="AH191">
        <f t="shared" si="142"/>
        <v>7.8539816339744828</v>
      </c>
      <c r="AI191">
        <f t="shared" si="143"/>
        <v>5.0580482834414031</v>
      </c>
      <c r="AJ191">
        <f t="shared" si="144"/>
        <v>0.52591126118403508</v>
      </c>
      <c r="AK191">
        <f t="shared" si="145"/>
        <v>0.76539302707175305</v>
      </c>
      <c r="AL191" s="9">
        <f t="shared" si="165"/>
        <v>14.203334205671673</v>
      </c>
      <c r="AM191" t="e">
        <f t="shared" si="146"/>
        <v>#N/A</v>
      </c>
      <c r="AN191" t="e">
        <f t="shared" si="166"/>
        <v>#N/A</v>
      </c>
      <c r="AO191">
        <f t="shared" si="147"/>
        <v>0</v>
      </c>
      <c r="AP191">
        <f t="shared" si="148"/>
        <v>0</v>
      </c>
      <c r="AQ191">
        <f t="shared" si="149"/>
        <v>3.5527136788005009E-15</v>
      </c>
      <c r="AR191">
        <f t="shared" si="167"/>
        <v>0</v>
      </c>
      <c r="AS191">
        <f t="shared" si="150"/>
        <v>0</v>
      </c>
      <c r="AT191">
        <f t="shared" si="168"/>
        <v>0</v>
      </c>
      <c r="AU191">
        <f t="shared" si="169"/>
        <v>0</v>
      </c>
      <c r="AV191">
        <f t="shared" si="151"/>
        <v>2.6577873849369648E-20</v>
      </c>
      <c r="AW191" t="b">
        <f t="shared" si="170"/>
        <v>1</v>
      </c>
      <c r="AX191">
        <f t="shared" si="152"/>
        <v>7.8539816339744828</v>
      </c>
      <c r="AY191">
        <f t="shared" si="153"/>
        <v>5.0580482834414005</v>
      </c>
      <c r="AZ191">
        <f t="shared" si="154"/>
        <v>0.52591126118403153</v>
      </c>
      <c r="BA191">
        <f t="shared" si="155"/>
        <v>0.76539302707175261</v>
      </c>
      <c r="BB191">
        <f t="shared" si="156"/>
        <v>-1.2337005501361696E-20</v>
      </c>
      <c r="BD191" s="15">
        <f t="shared" si="171"/>
        <v>14.203334205671666</v>
      </c>
      <c r="BE191" s="10">
        <f t="shared" si="172"/>
        <v>0</v>
      </c>
      <c r="BF191">
        <f t="shared" si="173"/>
        <v>0</v>
      </c>
      <c r="BG191">
        <f t="shared" si="174"/>
        <v>0</v>
      </c>
      <c r="BH191">
        <f t="shared" si="175"/>
        <v>0</v>
      </c>
      <c r="BI191">
        <f t="shared" si="176"/>
        <v>0</v>
      </c>
    </row>
    <row r="192" spans="1:61" x14ac:dyDescent="0.3">
      <c r="A192">
        <f t="shared" si="181"/>
        <v>0.155</v>
      </c>
      <c r="B192">
        <f t="shared" si="124"/>
        <v>0.48694686130641796</v>
      </c>
      <c r="C192">
        <f t="shared" si="125"/>
        <v>2.6546457922833753</v>
      </c>
      <c r="D192">
        <f t="shared" si="126"/>
        <v>2.6546457922833753</v>
      </c>
      <c r="E192">
        <f t="shared" si="131"/>
        <v>0.4679298142605734</v>
      </c>
      <c r="F192">
        <f t="shared" si="132"/>
        <v>0.4679298142605734</v>
      </c>
      <c r="G192">
        <f t="shared" si="127"/>
        <v>0.48694686130641796</v>
      </c>
      <c r="H192">
        <f t="shared" si="128"/>
        <v>0.4679298142605734</v>
      </c>
      <c r="I192">
        <f t="shared" si="129"/>
        <v>0.4679298142605734</v>
      </c>
      <c r="J192">
        <f t="shared" si="177"/>
        <v>1.3605026928527162E+20</v>
      </c>
      <c r="K192">
        <f t="shared" si="178"/>
        <v>1.3605026928527162E+20</v>
      </c>
      <c r="L192">
        <f t="shared" si="133"/>
        <v>1</v>
      </c>
      <c r="M192">
        <f t="shared" si="130"/>
        <v>2.6546457922833751E-20</v>
      </c>
      <c r="N192" s="9">
        <f t="shared" si="179"/>
        <v>2.6546457922833751E-20</v>
      </c>
      <c r="O192">
        <f t="shared" si="180"/>
        <v>2.6546457922833751E-20</v>
      </c>
      <c r="Q192">
        <f t="shared" si="134"/>
        <v>46.359556118431193</v>
      </c>
      <c r="R192">
        <f t="shared" si="135"/>
        <v>0</v>
      </c>
      <c r="S192">
        <f t="shared" si="157"/>
        <v>-45.075390625656475</v>
      </c>
      <c r="T192" s="9" t="e">
        <f t="shared" si="136"/>
        <v>#N/A</v>
      </c>
      <c r="U192">
        <f t="shared" si="158"/>
        <v>-1.0000000000000001E+300</v>
      </c>
      <c r="V192">
        <f t="shared" si="159"/>
        <v>0</v>
      </c>
      <c r="W192">
        <f t="shared" si="160"/>
        <v>0</v>
      </c>
      <c r="X192">
        <f t="shared" si="137"/>
        <v>2.6546457922833753</v>
      </c>
      <c r="Y192">
        <f t="shared" si="138"/>
        <v>7.8539816339744828</v>
      </c>
      <c r="Z192">
        <f t="shared" si="139"/>
        <v>-2.6546457922833753</v>
      </c>
      <c r="AA192">
        <f t="shared" si="161"/>
        <v>5.0137534300671112</v>
      </c>
      <c r="AB192">
        <f t="shared" si="140"/>
        <v>12.867735064041593</v>
      </c>
      <c r="AC192">
        <f t="shared" si="162"/>
        <v>0.52472852893498212</v>
      </c>
      <c r="AD192">
        <f t="shared" si="141"/>
        <v>0.7594369638397338</v>
      </c>
      <c r="AE192" s="9">
        <f t="shared" si="163"/>
        <v>14.15190055681631</v>
      </c>
      <c r="AF192">
        <f t="shared" si="164"/>
        <v>0</v>
      </c>
      <c r="AH192">
        <f t="shared" si="142"/>
        <v>7.8539816339744828</v>
      </c>
      <c r="AI192">
        <f t="shared" si="143"/>
        <v>5.0137534300671103</v>
      </c>
      <c r="AJ192">
        <f t="shared" si="144"/>
        <v>0.52472852893498612</v>
      </c>
      <c r="AK192">
        <f t="shared" si="145"/>
        <v>0.7594369638397338</v>
      </c>
      <c r="AL192" s="9">
        <f t="shared" si="165"/>
        <v>14.151900556816313</v>
      </c>
      <c r="AM192" t="e">
        <f t="shared" si="146"/>
        <v>#N/A</v>
      </c>
      <c r="AN192" t="e">
        <f t="shared" si="166"/>
        <v>#N/A</v>
      </c>
      <c r="AO192">
        <f t="shared" si="147"/>
        <v>0</v>
      </c>
      <c r="AP192">
        <f t="shared" si="148"/>
        <v>0</v>
      </c>
      <c r="AQ192">
        <f t="shared" si="149"/>
        <v>3.9968028886505635E-15</v>
      </c>
      <c r="AR192">
        <f t="shared" si="167"/>
        <v>0</v>
      </c>
      <c r="AS192">
        <f t="shared" si="150"/>
        <v>0</v>
      </c>
      <c r="AT192">
        <f t="shared" si="168"/>
        <v>0</v>
      </c>
      <c r="AU192">
        <f t="shared" si="169"/>
        <v>0</v>
      </c>
      <c r="AV192">
        <f t="shared" si="151"/>
        <v>2.6546457922833751E-20</v>
      </c>
      <c r="AW192" t="b">
        <f t="shared" si="170"/>
        <v>1</v>
      </c>
      <c r="AX192">
        <f t="shared" si="152"/>
        <v>7.8539816339744828</v>
      </c>
      <c r="AY192">
        <f t="shared" si="153"/>
        <v>5.0137534300671103</v>
      </c>
      <c r="AZ192">
        <f t="shared" si="154"/>
        <v>0.52472852893498223</v>
      </c>
      <c r="BA192">
        <f t="shared" si="155"/>
        <v>0.7594369638397338</v>
      </c>
      <c r="BB192">
        <f t="shared" si="156"/>
        <v>-1.2337005501361696E-20</v>
      </c>
      <c r="BD192" s="15">
        <f t="shared" si="171"/>
        <v>14.15190055681631</v>
      </c>
      <c r="BE192" s="10">
        <f t="shared" si="172"/>
        <v>0</v>
      </c>
      <c r="BF192">
        <f t="shared" si="173"/>
        <v>0</v>
      </c>
      <c r="BG192">
        <f t="shared" si="174"/>
        <v>0</v>
      </c>
      <c r="BH192">
        <f t="shared" si="175"/>
        <v>0</v>
      </c>
      <c r="BI192">
        <f t="shared" si="176"/>
        <v>0</v>
      </c>
    </row>
    <row r="193" spans="1:61" x14ac:dyDescent="0.3">
      <c r="A193">
        <f t="shared" si="181"/>
        <v>0.156</v>
      </c>
      <c r="B193">
        <f t="shared" si="124"/>
        <v>0.49008845396000772</v>
      </c>
      <c r="C193">
        <f t="shared" si="125"/>
        <v>2.6515041996297852</v>
      </c>
      <c r="D193">
        <f t="shared" si="126"/>
        <v>2.6515041996297852</v>
      </c>
      <c r="E193">
        <f t="shared" si="131"/>
        <v>0.47070393216533252</v>
      </c>
      <c r="F193">
        <f t="shared" si="132"/>
        <v>0.47070393216533279</v>
      </c>
      <c r="G193">
        <f t="shared" si="127"/>
        <v>0.49008845396000772</v>
      </c>
      <c r="H193">
        <f t="shared" si="128"/>
        <v>0.47070393216533252</v>
      </c>
      <c r="I193">
        <f t="shared" si="129"/>
        <v>0.47070393216533279</v>
      </c>
      <c r="J193">
        <f t="shared" si="177"/>
        <v>1.3524845000529373E+20</v>
      </c>
      <c r="K193">
        <f t="shared" si="178"/>
        <v>1.3524845000529373E+20</v>
      </c>
      <c r="L193" t="e">
        <f t="shared" si="133"/>
        <v>#NUM!</v>
      </c>
      <c r="M193">
        <f t="shared" si="130"/>
        <v>2.6515041996297855E-20</v>
      </c>
      <c r="N193" s="9" t="e">
        <f t="shared" si="179"/>
        <v>#NUM!</v>
      </c>
      <c r="O193" t="e">
        <f t="shared" si="180"/>
        <v>#NUM!</v>
      </c>
      <c r="Q193">
        <f t="shared" si="134"/>
        <v>46.353645131334105</v>
      </c>
      <c r="R193">
        <f t="shared" si="135"/>
        <v>0</v>
      </c>
      <c r="S193">
        <f t="shared" si="157"/>
        <v>-45.076574758417692</v>
      </c>
      <c r="T193" s="9" t="e">
        <f t="shared" si="136"/>
        <v>#N/A</v>
      </c>
      <c r="U193">
        <f t="shared" si="158"/>
        <v>-1.0000000000000001E+300</v>
      </c>
      <c r="V193">
        <f t="shared" si="159"/>
        <v>0</v>
      </c>
      <c r="W193">
        <f t="shared" si="160"/>
        <v>0</v>
      </c>
      <c r="X193">
        <f t="shared" si="137"/>
        <v>2.6515041996297852</v>
      </c>
      <c r="Y193">
        <f t="shared" si="138"/>
        <v>7.8539816339744828</v>
      </c>
      <c r="Z193">
        <f t="shared" si="139"/>
        <v>-2.6515041996297852</v>
      </c>
      <c r="AA193">
        <f t="shared" si="161"/>
        <v>4.9700007421376045</v>
      </c>
      <c r="AB193">
        <f t="shared" si="140"/>
        <v>12.823982376112088</v>
      </c>
      <c r="AC193">
        <f t="shared" si="162"/>
        <v>0.52354439617376536</v>
      </c>
      <c r="AD193">
        <f t="shared" si="141"/>
        <v>0.75352597674264565</v>
      </c>
      <c r="AE193" s="9">
        <f t="shared" si="163"/>
        <v>14.101052749028499</v>
      </c>
      <c r="AF193">
        <f t="shared" si="164"/>
        <v>0</v>
      </c>
      <c r="AH193">
        <f t="shared" si="142"/>
        <v>7.8539816339744828</v>
      </c>
      <c r="AI193">
        <f t="shared" si="143"/>
        <v>4.9700007421376071</v>
      </c>
      <c r="AJ193">
        <f t="shared" si="144"/>
        <v>0.52354439617376869</v>
      </c>
      <c r="AK193">
        <f t="shared" si="145"/>
        <v>0.75352597674264565</v>
      </c>
      <c r="AL193" s="9">
        <f t="shared" si="165"/>
        <v>14.101052749028504</v>
      </c>
      <c r="AM193" t="e">
        <f t="shared" si="146"/>
        <v>#N/A</v>
      </c>
      <c r="AN193" t="e">
        <f t="shared" si="166"/>
        <v>#N/A</v>
      </c>
      <c r="AO193">
        <f t="shared" si="147"/>
        <v>0</v>
      </c>
      <c r="AP193">
        <f t="shared" si="148"/>
        <v>0</v>
      </c>
      <c r="AQ193">
        <f t="shared" si="149"/>
        <v>3.3306690738754696E-15</v>
      </c>
      <c r="AR193">
        <f t="shared" si="167"/>
        <v>0</v>
      </c>
      <c r="AS193">
        <f t="shared" si="150"/>
        <v>0</v>
      </c>
      <c r="AT193">
        <f t="shared" si="168"/>
        <v>0</v>
      </c>
      <c r="AU193">
        <f t="shared" si="169"/>
        <v>0</v>
      </c>
      <c r="AV193">
        <f t="shared" si="151"/>
        <v>2.6515041996297852E-20</v>
      </c>
      <c r="AW193" t="b">
        <f t="shared" si="170"/>
        <v>1</v>
      </c>
      <c r="AX193">
        <f t="shared" si="152"/>
        <v>7.8539816339744828</v>
      </c>
      <c r="AY193">
        <f t="shared" si="153"/>
        <v>4.9700007421376036</v>
      </c>
      <c r="AZ193">
        <f t="shared" si="154"/>
        <v>0.52354439617376536</v>
      </c>
      <c r="BA193">
        <f t="shared" si="155"/>
        <v>0.7535259767426451</v>
      </c>
      <c r="BB193">
        <f t="shared" si="156"/>
        <v>-1.2337005501361696E-20</v>
      </c>
      <c r="BD193" s="15">
        <f t="shared" si="171"/>
        <v>14.101052749028497</v>
      </c>
      <c r="BE193" s="10">
        <f t="shared" si="172"/>
        <v>0</v>
      </c>
      <c r="BF193">
        <f t="shared" si="173"/>
        <v>0</v>
      </c>
      <c r="BG193">
        <f t="shared" si="174"/>
        <v>0</v>
      </c>
      <c r="BH193">
        <f t="shared" si="175"/>
        <v>0</v>
      </c>
      <c r="BI193">
        <f t="shared" si="176"/>
        <v>0</v>
      </c>
    </row>
    <row r="194" spans="1:61" x14ac:dyDescent="0.3">
      <c r="A194">
        <f t="shared" si="181"/>
        <v>0.157</v>
      </c>
      <c r="B194">
        <f t="shared" si="124"/>
        <v>0.49323004661359754</v>
      </c>
      <c r="C194">
        <f t="shared" si="125"/>
        <v>2.6483626069761956</v>
      </c>
      <c r="D194">
        <f t="shared" si="126"/>
        <v>2.6483626069761956</v>
      </c>
      <c r="E194">
        <f t="shared" si="131"/>
        <v>0.47347340441231212</v>
      </c>
      <c r="F194">
        <f t="shared" si="132"/>
        <v>0.47347340441231223</v>
      </c>
      <c r="G194">
        <f t="shared" si="127"/>
        <v>0.49323004661359754</v>
      </c>
      <c r="H194">
        <f t="shared" si="128"/>
        <v>0.47347340441231212</v>
      </c>
      <c r="I194">
        <f t="shared" si="129"/>
        <v>0.47347340441231223</v>
      </c>
      <c r="J194">
        <f t="shared" si="177"/>
        <v>1.3445734574210582E+20</v>
      </c>
      <c r="K194">
        <f t="shared" si="178"/>
        <v>1.3445734574210582E+20</v>
      </c>
      <c r="L194" t="e">
        <f t="shared" si="133"/>
        <v>#NUM!</v>
      </c>
      <c r="M194">
        <f t="shared" si="130"/>
        <v>2.6483626069761955E-20</v>
      </c>
      <c r="N194" s="9" t="e">
        <f t="shared" si="179"/>
        <v>#NUM!</v>
      </c>
      <c r="O194" t="e">
        <f t="shared" si="180"/>
        <v>#NUM!</v>
      </c>
      <c r="Q194">
        <f t="shared" si="134"/>
        <v>46.34777869060877</v>
      </c>
      <c r="R194">
        <f t="shared" si="135"/>
        <v>0</v>
      </c>
      <c r="S194">
        <f t="shared" si="157"/>
        <v>-45.077760295011792</v>
      </c>
      <c r="T194" s="9" t="e">
        <f t="shared" si="136"/>
        <v>#N/A</v>
      </c>
      <c r="U194">
        <f t="shared" si="158"/>
        <v>-1.0000000000000001E+300</v>
      </c>
      <c r="V194">
        <f t="shared" si="159"/>
        <v>0</v>
      </c>
      <c r="W194">
        <f t="shared" si="160"/>
        <v>0</v>
      </c>
      <c r="X194">
        <f t="shared" si="137"/>
        <v>2.6483626069761956</v>
      </c>
      <c r="Y194">
        <f t="shared" si="138"/>
        <v>7.8539816339744828</v>
      </c>
      <c r="Z194">
        <f t="shared" si="139"/>
        <v>-2.6483626069761956</v>
      </c>
      <c r="AA194">
        <f t="shared" si="161"/>
        <v>4.926779949506737</v>
      </c>
      <c r="AB194">
        <f t="shared" si="140"/>
        <v>12.780761583481219</v>
      </c>
      <c r="AC194">
        <f t="shared" si="162"/>
        <v>0.52235885957966366</v>
      </c>
      <c r="AD194">
        <f t="shared" si="141"/>
        <v>0.74765953601730817</v>
      </c>
      <c r="AE194" s="9">
        <f t="shared" si="163"/>
        <v>14.05077997907819</v>
      </c>
      <c r="AF194">
        <f t="shared" si="164"/>
        <v>0</v>
      </c>
      <c r="AH194">
        <f t="shared" si="142"/>
        <v>7.8539816339744828</v>
      </c>
      <c r="AI194">
        <f t="shared" si="143"/>
        <v>4.926779949506737</v>
      </c>
      <c r="AJ194">
        <f t="shared" si="144"/>
        <v>0.52235885957966843</v>
      </c>
      <c r="AK194">
        <f t="shared" si="145"/>
        <v>0.74765953601730817</v>
      </c>
      <c r="AL194" s="9">
        <f t="shared" si="165"/>
        <v>14.050779979078195</v>
      </c>
      <c r="AM194" t="e">
        <f t="shared" si="146"/>
        <v>#N/A</v>
      </c>
      <c r="AN194" t="e">
        <f t="shared" si="166"/>
        <v>#N/A</v>
      </c>
      <c r="AO194">
        <f t="shared" si="147"/>
        <v>0</v>
      </c>
      <c r="AP194">
        <f t="shared" si="148"/>
        <v>0</v>
      </c>
      <c r="AQ194">
        <f t="shared" si="149"/>
        <v>4.7739590058881731E-15</v>
      </c>
      <c r="AR194">
        <f t="shared" si="167"/>
        <v>0</v>
      </c>
      <c r="AS194">
        <f t="shared" si="150"/>
        <v>0</v>
      </c>
      <c r="AT194">
        <f t="shared" si="168"/>
        <v>0</v>
      </c>
      <c r="AU194">
        <f t="shared" si="169"/>
        <v>0</v>
      </c>
      <c r="AV194">
        <f t="shared" si="151"/>
        <v>2.6483626069761955E-20</v>
      </c>
      <c r="AW194" t="b">
        <f t="shared" si="170"/>
        <v>1</v>
      </c>
      <c r="AX194">
        <f t="shared" si="152"/>
        <v>7.8539816339744828</v>
      </c>
      <c r="AY194">
        <f t="shared" si="153"/>
        <v>4.926779949506737</v>
      </c>
      <c r="AZ194">
        <f t="shared" si="154"/>
        <v>0.52235885957966377</v>
      </c>
      <c r="BA194">
        <f t="shared" si="155"/>
        <v>0.74765953601730795</v>
      </c>
      <c r="BB194">
        <f t="shared" si="156"/>
        <v>-1.2337005501361696E-20</v>
      </c>
      <c r="BD194" s="15">
        <f t="shared" si="171"/>
        <v>14.05077997907819</v>
      </c>
      <c r="BE194" s="10">
        <f t="shared" si="172"/>
        <v>0</v>
      </c>
      <c r="BF194">
        <f t="shared" si="173"/>
        <v>0</v>
      </c>
      <c r="BG194">
        <f t="shared" si="174"/>
        <v>0</v>
      </c>
      <c r="BH194">
        <f t="shared" si="175"/>
        <v>0</v>
      </c>
      <c r="BI194">
        <f t="shared" si="176"/>
        <v>0</v>
      </c>
    </row>
    <row r="195" spans="1:61" x14ac:dyDescent="0.3">
      <c r="A195">
        <f t="shared" si="181"/>
        <v>0.158</v>
      </c>
      <c r="B195">
        <f t="shared" si="124"/>
        <v>0.4963716392671873</v>
      </c>
      <c r="C195">
        <f t="shared" si="125"/>
        <v>2.6452210143226056</v>
      </c>
      <c r="D195">
        <f t="shared" si="126"/>
        <v>2.6452210143226056</v>
      </c>
      <c r="E195">
        <f t="shared" si="131"/>
        <v>0.47623820366793906</v>
      </c>
      <c r="F195">
        <f t="shared" si="132"/>
        <v>0.4762382036679394</v>
      </c>
      <c r="G195">
        <f t="shared" si="127"/>
        <v>0.4963716392671873</v>
      </c>
      <c r="H195">
        <f t="shared" si="128"/>
        <v>0.47623820366793906</v>
      </c>
      <c r="I195">
        <f t="shared" si="129"/>
        <v>0.4762382036679394</v>
      </c>
      <c r="J195">
        <f t="shared" si="177"/>
        <v>1.3367675408322968E+20</v>
      </c>
      <c r="K195">
        <f t="shared" si="178"/>
        <v>1.3367675408322968E+20</v>
      </c>
      <c r="L195">
        <f t="shared" si="133"/>
        <v>1</v>
      </c>
      <c r="M195">
        <f t="shared" si="130"/>
        <v>2.6452210143226055E-20</v>
      </c>
      <c r="N195" s="9">
        <f t="shared" si="179"/>
        <v>2.6452210143226055E-20</v>
      </c>
      <c r="O195">
        <f t="shared" si="180"/>
        <v>2.6452210143226055E-20</v>
      </c>
      <c r="Q195">
        <f t="shared" si="134"/>
        <v>46.341956276640623</v>
      </c>
      <c r="R195">
        <f t="shared" si="135"/>
        <v>-710542.73576010019</v>
      </c>
      <c r="S195">
        <f t="shared" si="157"/>
        <v>-45.078947238771327</v>
      </c>
      <c r="T195" s="9" t="e">
        <f t="shared" si="136"/>
        <v>#N/A</v>
      </c>
      <c r="U195">
        <f t="shared" si="158"/>
        <v>-1.0000000000000001E+300</v>
      </c>
      <c r="V195">
        <f t="shared" si="159"/>
        <v>0</v>
      </c>
      <c r="W195">
        <f t="shared" si="160"/>
        <v>0</v>
      </c>
      <c r="X195">
        <f t="shared" si="137"/>
        <v>2.6452210143226056</v>
      </c>
      <c r="Y195">
        <f t="shared" si="138"/>
        <v>7.8539816339744828</v>
      </c>
      <c r="Z195">
        <f t="shared" si="139"/>
        <v>-2.6452210143226056</v>
      </c>
      <c r="AA195">
        <f t="shared" si="161"/>
        <v>4.8840810418781206</v>
      </c>
      <c r="AB195">
        <f t="shared" si="140"/>
        <v>12.738062675852603</v>
      </c>
      <c r="AC195">
        <f t="shared" si="162"/>
        <v>0.521171915820135</v>
      </c>
      <c r="AD195">
        <f t="shared" si="141"/>
        <v>0.74183712204916585</v>
      </c>
      <c r="AE195" s="9">
        <f t="shared" si="163"/>
        <v>14.001071713721904</v>
      </c>
      <c r="AF195">
        <f t="shared" si="164"/>
        <v>0</v>
      </c>
      <c r="AH195">
        <f t="shared" si="142"/>
        <v>7.8539816339744828</v>
      </c>
      <c r="AI195">
        <f t="shared" si="143"/>
        <v>4.8840810418781242</v>
      </c>
      <c r="AJ195">
        <f t="shared" si="144"/>
        <v>0.52117191582013334</v>
      </c>
      <c r="AK195">
        <f t="shared" si="145"/>
        <v>0.74183712204916585</v>
      </c>
      <c r="AL195" s="9">
        <f t="shared" si="165"/>
        <v>14.001071713721906</v>
      </c>
      <c r="AM195" t="e">
        <f t="shared" si="146"/>
        <v>#N/A</v>
      </c>
      <c r="AN195" t="e">
        <f t="shared" si="166"/>
        <v>#N/A</v>
      </c>
      <c r="AO195">
        <f t="shared" si="147"/>
        <v>0</v>
      </c>
      <c r="AP195">
        <f t="shared" si="148"/>
        <v>0</v>
      </c>
      <c r="AQ195">
        <f t="shared" si="149"/>
        <v>-1.6653345369377348E-15</v>
      </c>
      <c r="AR195">
        <f t="shared" si="167"/>
        <v>0</v>
      </c>
      <c r="AS195">
        <f t="shared" si="150"/>
        <v>0</v>
      </c>
      <c r="AT195">
        <f t="shared" si="168"/>
        <v>0</v>
      </c>
      <c r="AU195">
        <f t="shared" si="169"/>
        <v>0</v>
      </c>
      <c r="AV195">
        <f t="shared" si="151"/>
        <v>2.6452210143226055E-20</v>
      </c>
      <c r="AW195" t="b">
        <f t="shared" si="170"/>
        <v>1</v>
      </c>
      <c r="AX195">
        <f t="shared" si="152"/>
        <v>7.8539816339744828</v>
      </c>
      <c r="AY195">
        <f t="shared" si="153"/>
        <v>4.8840810418781206</v>
      </c>
      <c r="AZ195">
        <f t="shared" si="154"/>
        <v>0.521171915820135</v>
      </c>
      <c r="BA195">
        <f t="shared" si="155"/>
        <v>0.74183712204916519</v>
      </c>
      <c r="BB195">
        <f t="shared" si="156"/>
        <v>-1.2337005501361696E-20</v>
      </c>
      <c r="BD195" s="15">
        <f t="shared" si="171"/>
        <v>14.001071713721904</v>
      </c>
      <c r="BE195" s="10">
        <f t="shared" si="172"/>
        <v>0</v>
      </c>
      <c r="BF195">
        <f t="shared" si="173"/>
        <v>0</v>
      </c>
      <c r="BG195">
        <f t="shared" si="174"/>
        <v>0</v>
      </c>
      <c r="BH195">
        <f t="shared" si="175"/>
        <v>0</v>
      </c>
      <c r="BI195">
        <f t="shared" si="176"/>
        <v>0</v>
      </c>
    </row>
    <row r="196" spans="1:61" x14ac:dyDescent="0.3">
      <c r="A196">
        <f t="shared" si="181"/>
        <v>0.159</v>
      </c>
      <c r="B196">
        <f t="shared" si="124"/>
        <v>0.49951323192077712</v>
      </c>
      <c r="C196">
        <f t="shared" si="125"/>
        <v>2.642079421669016</v>
      </c>
      <c r="D196">
        <f t="shared" si="126"/>
        <v>2.642079421669016</v>
      </c>
      <c r="E196">
        <f t="shared" si="131"/>
        <v>0.47899830264476101</v>
      </c>
      <c r="F196">
        <f t="shared" si="132"/>
        <v>0.47899830264476112</v>
      </c>
      <c r="G196">
        <f t="shared" si="127"/>
        <v>0.49951323192077712</v>
      </c>
      <c r="H196">
        <f t="shared" si="128"/>
        <v>0.47899830264476101</v>
      </c>
      <c r="I196">
        <f t="shared" si="129"/>
        <v>0.47899830264476112</v>
      </c>
      <c r="J196">
        <f t="shared" si="177"/>
        <v>1.3290647771662713E+20</v>
      </c>
      <c r="K196">
        <f t="shared" si="178"/>
        <v>1.3290647771662713E+20</v>
      </c>
      <c r="L196">
        <f t="shared" si="133"/>
        <v>1</v>
      </c>
      <c r="M196">
        <f t="shared" si="130"/>
        <v>2.6420794216690159E-20</v>
      </c>
      <c r="N196" s="9">
        <f t="shared" si="179"/>
        <v>2.6420794216690159E-20</v>
      </c>
      <c r="O196">
        <f t="shared" si="180"/>
        <v>2.6420794216690159E-20</v>
      </c>
      <c r="Q196">
        <f t="shared" si="134"/>
        <v>46.336177379708083</v>
      </c>
      <c r="R196">
        <f t="shared" si="135"/>
        <v>0</v>
      </c>
      <c r="S196">
        <f t="shared" si="157"/>
        <v>-45.080135593040701</v>
      </c>
      <c r="T196" s="9" t="e">
        <f t="shared" si="136"/>
        <v>#N/A</v>
      </c>
      <c r="U196">
        <f t="shared" si="158"/>
        <v>-1.0000000000000001E+300</v>
      </c>
      <c r="V196">
        <f t="shared" si="159"/>
        <v>0</v>
      </c>
      <c r="W196">
        <f t="shared" si="160"/>
        <v>0</v>
      </c>
      <c r="X196">
        <f t="shared" si="137"/>
        <v>2.642079421669016</v>
      </c>
      <c r="Y196">
        <f t="shared" si="138"/>
        <v>7.8539816339744828</v>
      </c>
      <c r="Z196">
        <f t="shared" si="139"/>
        <v>-2.642079421669016</v>
      </c>
      <c r="AA196">
        <f t="shared" si="161"/>
        <v>4.8418942606345281</v>
      </c>
      <c r="AB196">
        <f t="shared" si="140"/>
        <v>12.69587589460901</v>
      </c>
      <c r="AC196">
        <f t="shared" si="162"/>
        <v>0.51998356155075631</v>
      </c>
      <c r="AD196">
        <f t="shared" si="141"/>
        <v>0.73605822511662122</v>
      </c>
      <c r="AE196" s="9">
        <f t="shared" si="163"/>
        <v>13.951917681276388</v>
      </c>
      <c r="AF196">
        <f t="shared" si="164"/>
        <v>0</v>
      </c>
      <c r="AH196">
        <f t="shared" si="142"/>
        <v>7.8539816339744828</v>
      </c>
      <c r="AI196">
        <f t="shared" si="143"/>
        <v>4.841894260634529</v>
      </c>
      <c r="AJ196">
        <f t="shared" si="144"/>
        <v>0.51998356155075953</v>
      </c>
      <c r="AK196">
        <f t="shared" si="145"/>
        <v>0.73605822511662122</v>
      </c>
      <c r="AL196" s="9">
        <f t="shared" si="165"/>
        <v>13.951917681276392</v>
      </c>
      <c r="AM196" t="e">
        <f t="shared" si="146"/>
        <v>#N/A</v>
      </c>
      <c r="AN196" t="e">
        <f t="shared" si="166"/>
        <v>#N/A</v>
      </c>
      <c r="AO196">
        <f t="shared" si="147"/>
        <v>0</v>
      </c>
      <c r="AP196">
        <f t="shared" si="148"/>
        <v>0</v>
      </c>
      <c r="AQ196">
        <f t="shared" si="149"/>
        <v>3.219646771412954E-15</v>
      </c>
      <c r="AR196">
        <f t="shared" si="167"/>
        <v>0</v>
      </c>
      <c r="AS196">
        <f t="shared" si="150"/>
        <v>0</v>
      </c>
      <c r="AT196">
        <f t="shared" si="168"/>
        <v>0</v>
      </c>
      <c r="AU196">
        <f t="shared" si="169"/>
        <v>0</v>
      </c>
      <c r="AV196">
        <f t="shared" si="151"/>
        <v>2.6420794216690159E-20</v>
      </c>
      <c r="AW196" t="b">
        <f t="shared" si="170"/>
        <v>1</v>
      </c>
      <c r="AX196">
        <f t="shared" si="152"/>
        <v>7.8539816339744828</v>
      </c>
      <c r="AY196">
        <f t="shared" si="153"/>
        <v>4.8418942606345272</v>
      </c>
      <c r="AZ196">
        <f t="shared" si="154"/>
        <v>0.51998356155075642</v>
      </c>
      <c r="BA196">
        <f t="shared" si="155"/>
        <v>0.736058225116621</v>
      </c>
      <c r="BB196">
        <f t="shared" si="156"/>
        <v>-1.2337005501361696E-20</v>
      </c>
      <c r="BD196" s="15">
        <f t="shared" si="171"/>
        <v>13.951917681276386</v>
      </c>
      <c r="BE196" s="10">
        <f t="shared" si="172"/>
        <v>0</v>
      </c>
      <c r="BF196">
        <f t="shared" si="173"/>
        <v>0</v>
      </c>
      <c r="BG196">
        <f t="shared" si="174"/>
        <v>0</v>
      </c>
      <c r="BH196">
        <f t="shared" si="175"/>
        <v>0</v>
      </c>
      <c r="BI196">
        <f t="shared" si="176"/>
        <v>0</v>
      </c>
    </row>
    <row r="197" spans="1:61" x14ac:dyDescent="0.3">
      <c r="A197">
        <f t="shared" si="181"/>
        <v>0.16</v>
      </c>
      <c r="B197">
        <f t="shared" si="124"/>
        <v>0.50265482457436694</v>
      </c>
      <c r="C197">
        <f t="shared" si="125"/>
        <v>2.6389378290154264</v>
      </c>
      <c r="D197">
        <f t="shared" si="126"/>
        <v>2.6389378290154264</v>
      </c>
      <c r="E197">
        <f t="shared" si="131"/>
        <v>0.48175367410171532</v>
      </c>
      <c r="F197">
        <f t="shared" si="132"/>
        <v>0.48175367410171521</v>
      </c>
      <c r="G197">
        <f t="shared" si="127"/>
        <v>0.50265482457436694</v>
      </c>
      <c r="H197">
        <f t="shared" si="128"/>
        <v>0.48175367410171532</v>
      </c>
      <c r="I197">
        <f t="shared" si="129"/>
        <v>0.48175367410171521</v>
      </c>
      <c r="J197">
        <f t="shared" si="177"/>
        <v>1.3214632427134709E+20</v>
      </c>
      <c r="K197">
        <f t="shared" si="178"/>
        <v>1.3214632427134709E+20</v>
      </c>
      <c r="L197">
        <f t="shared" si="133"/>
        <v>1</v>
      </c>
      <c r="M197">
        <f t="shared" si="130"/>
        <v>2.6389378290154262E-20</v>
      </c>
      <c r="N197" s="9">
        <f t="shared" si="179"/>
        <v>2.6389378290154262E-20</v>
      </c>
      <c r="O197">
        <f t="shared" si="180"/>
        <v>2.6389378290154262E-20</v>
      </c>
      <c r="Q197">
        <f t="shared" si="134"/>
        <v>46.330441499734846</v>
      </c>
      <c r="R197">
        <f t="shared" si="135"/>
        <v>0</v>
      </c>
      <c r="S197">
        <f t="shared" si="157"/>
        <v>-45.08132536117629</v>
      </c>
      <c r="T197" s="9" t="e">
        <f t="shared" si="136"/>
        <v>#N/A</v>
      </c>
      <c r="U197">
        <f t="shared" si="158"/>
        <v>-1.0000000000000001E+300</v>
      </c>
      <c r="V197">
        <f t="shared" si="159"/>
        <v>0</v>
      </c>
      <c r="W197">
        <f t="shared" si="160"/>
        <v>0</v>
      </c>
      <c r="X197">
        <f t="shared" si="137"/>
        <v>2.6389378290154264</v>
      </c>
      <c r="Y197">
        <f t="shared" si="138"/>
        <v>7.8539816339744828</v>
      </c>
      <c r="Z197">
        <f t="shared" si="139"/>
        <v>-2.6389378290154264</v>
      </c>
      <c r="AA197">
        <f t="shared" si="161"/>
        <v>4.8002100909736187</v>
      </c>
      <c r="AB197">
        <f t="shared" si="140"/>
        <v>12.654191724948102</v>
      </c>
      <c r="AC197">
        <f t="shared" si="162"/>
        <v>0.51879379341516763</v>
      </c>
      <c r="AD197">
        <f t="shared" si="141"/>
        <v>0.73032234514338523</v>
      </c>
      <c r="AE197" s="9">
        <f t="shared" si="163"/>
        <v>13.903307863506654</v>
      </c>
      <c r="AF197">
        <f t="shared" si="164"/>
        <v>0</v>
      </c>
      <c r="AH197">
        <f t="shared" si="142"/>
        <v>7.8539816339744828</v>
      </c>
      <c r="AI197">
        <f t="shared" si="143"/>
        <v>4.8002100909736169</v>
      </c>
      <c r="AJ197">
        <f t="shared" si="144"/>
        <v>0.51879379341517051</v>
      </c>
      <c r="AK197">
        <f t="shared" si="145"/>
        <v>0.73032234514338523</v>
      </c>
      <c r="AL197" s="9">
        <f t="shared" si="165"/>
        <v>13.903307863506654</v>
      </c>
      <c r="AM197" t="e">
        <f t="shared" si="146"/>
        <v>#N/A</v>
      </c>
      <c r="AN197" t="e">
        <f t="shared" si="166"/>
        <v>#N/A</v>
      </c>
      <c r="AO197">
        <f t="shared" si="147"/>
        <v>0</v>
      </c>
      <c r="AP197">
        <f t="shared" si="148"/>
        <v>0</v>
      </c>
      <c r="AQ197">
        <f t="shared" si="149"/>
        <v>2.886579864025407E-15</v>
      </c>
      <c r="AR197">
        <f t="shared" si="167"/>
        <v>0</v>
      </c>
      <c r="AS197">
        <f t="shared" si="150"/>
        <v>0</v>
      </c>
      <c r="AT197">
        <f t="shared" si="168"/>
        <v>0</v>
      </c>
      <c r="AU197">
        <f t="shared" si="169"/>
        <v>0</v>
      </c>
      <c r="AV197">
        <f t="shared" si="151"/>
        <v>2.6389378290154262E-20</v>
      </c>
      <c r="AW197" t="b">
        <f t="shared" si="170"/>
        <v>1</v>
      </c>
      <c r="AX197">
        <f t="shared" si="152"/>
        <v>7.8539816339744828</v>
      </c>
      <c r="AY197">
        <f t="shared" si="153"/>
        <v>4.8002100909736178</v>
      </c>
      <c r="AZ197">
        <f t="shared" si="154"/>
        <v>0.51879379341516763</v>
      </c>
      <c r="BA197">
        <f t="shared" si="155"/>
        <v>0.73032234514338545</v>
      </c>
      <c r="BB197">
        <f t="shared" si="156"/>
        <v>-1.2337005501361696E-20</v>
      </c>
      <c r="BD197" s="15">
        <f t="shared" si="171"/>
        <v>13.903307863506653</v>
      </c>
      <c r="BE197" s="10">
        <f t="shared" si="172"/>
        <v>0</v>
      </c>
      <c r="BF197">
        <f t="shared" si="173"/>
        <v>0</v>
      </c>
      <c r="BG197">
        <f t="shared" si="174"/>
        <v>0</v>
      </c>
      <c r="BH197">
        <f t="shared" si="175"/>
        <v>0</v>
      </c>
      <c r="BI197">
        <f t="shared" si="176"/>
        <v>0</v>
      </c>
    </row>
    <row r="198" spans="1:61" x14ac:dyDescent="0.3">
      <c r="A198">
        <f t="shared" si="181"/>
        <v>0.161</v>
      </c>
      <c r="B198">
        <f t="shared" si="124"/>
        <v>0.50579641722795665</v>
      </c>
      <c r="C198">
        <f t="shared" si="125"/>
        <v>2.6357962363618364</v>
      </c>
      <c r="D198">
        <f t="shared" si="126"/>
        <v>2.6357962363618364</v>
      </c>
      <c r="E198">
        <f t="shared" si="131"/>
        <v>0.48450429084439789</v>
      </c>
      <c r="F198">
        <f t="shared" si="132"/>
        <v>0.48450429084439811</v>
      </c>
      <c r="G198">
        <f t="shared" si="127"/>
        <v>0.50579641722795665</v>
      </c>
      <c r="H198">
        <f t="shared" si="128"/>
        <v>0.48450429084439789</v>
      </c>
      <c r="I198">
        <f t="shared" si="129"/>
        <v>0.48450429084439811</v>
      </c>
      <c r="J198">
        <f t="shared" si="177"/>
        <v>1.3139610616411167E+20</v>
      </c>
      <c r="K198">
        <f t="shared" si="178"/>
        <v>1.3139610616411167E+20</v>
      </c>
      <c r="L198">
        <f t="shared" si="133"/>
        <v>1</v>
      </c>
      <c r="M198">
        <f t="shared" si="130"/>
        <v>2.6357962363618363E-20</v>
      </c>
      <c r="N198" s="9">
        <f t="shared" si="179"/>
        <v>2.6357962363618363E-20</v>
      </c>
      <c r="O198">
        <f t="shared" si="180"/>
        <v>2.6357962363618363E-20</v>
      </c>
      <c r="Q198">
        <f t="shared" si="134"/>
        <v>46.324748146050005</v>
      </c>
      <c r="R198">
        <f t="shared" si="135"/>
        <v>0</v>
      </c>
      <c r="S198">
        <f t="shared" si="157"/>
        <v>-45.082516546546444</v>
      </c>
      <c r="T198" s="9" t="e">
        <f t="shared" si="136"/>
        <v>#N/A</v>
      </c>
      <c r="U198">
        <f t="shared" si="158"/>
        <v>-1.0000000000000001E+300</v>
      </c>
      <c r="V198">
        <f t="shared" si="159"/>
        <v>0</v>
      </c>
      <c r="W198">
        <f t="shared" si="160"/>
        <v>0</v>
      </c>
      <c r="X198">
        <f t="shared" si="137"/>
        <v>2.6357962363618364</v>
      </c>
      <c r="Y198">
        <f t="shared" si="138"/>
        <v>7.8539816339744828</v>
      </c>
      <c r="Z198">
        <f t="shared" si="139"/>
        <v>-2.6357962363618364</v>
      </c>
      <c r="AA198">
        <f t="shared" si="161"/>
        <v>4.7590192543367937</v>
      </c>
      <c r="AB198">
        <f t="shared" si="140"/>
        <v>12.613000888311277</v>
      </c>
      <c r="AC198">
        <f t="shared" si="162"/>
        <v>0.51760260804501435</v>
      </c>
      <c r="AD198">
        <f t="shared" si="141"/>
        <v>0.72462899145854498</v>
      </c>
      <c r="AE198" s="9">
        <f t="shared" si="163"/>
        <v>13.855232487814835</v>
      </c>
      <c r="AF198">
        <f t="shared" si="164"/>
        <v>0</v>
      </c>
      <c r="AH198">
        <f t="shared" si="142"/>
        <v>7.8539816339744828</v>
      </c>
      <c r="AI198">
        <f t="shared" si="143"/>
        <v>4.7590192543367964</v>
      </c>
      <c r="AJ198">
        <f t="shared" si="144"/>
        <v>0.51760260804501712</v>
      </c>
      <c r="AK198">
        <f t="shared" si="145"/>
        <v>0.72462899145854498</v>
      </c>
      <c r="AL198" s="9">
        <f t="shared" si="165"/>
        <v>13.855232487814842</v>
      </c>
      <c r="AM198" t="e">
        <f t="shared" si="146"/>
        <v>#N/A</v>
      </c>
      <c r="AN198" t="e">
        <f t="shared" si="166"/>
        <v>#N/A</v>
      </c>
      <c r="AO198">
        <f t="shared" si="147"/>
        <v>0</v>
      </c>
      <c r="AP198">
        <f t="shared" si="148"/>
        <v>0</v>
      </c>
      <c r="AQ198">
        <f t="shared" si="149"/>
        <v>2.7755575615628914E-15</v>
      </c>
      <c r="AR198">
        <f t="shared" si="167"/>
        <v>0</v>
      </c>
      <c r="AS198">
        <f t="shared" si="150"/>
        <v>0</v>
      </c>
      <c r="AT198">
        <f t="shared" si="168"/>
        <v>0</v>
      </c>
      <c r="AU198">
        <f t="shared" si="169"/>
        <v>0</v>
      </c>
      <c r="AV198">
        <f t="shared" si="151"/>
        <v>2.6357962363618363E-20</v>
      </c>
      <c r="AW198" t="b">
        <f t="shared" si="170"/>
        <v>1</v>
      </c>
      <c r="AX198">
        <f t="shared" si="152"/>
        <v>7.8539816339744828</v>
      </c>
      <c r="AY198">
        <f t="shared" si="153"/>
        <v>4.7590192543367928</v>
      </c>
      <c r="AZ198">
        <f t="shared" si="154"/>
        <v>0.51760260804501457</v>
      </c>
      <c r="BA198">
        <f t="shared" si="155"/>
        <v>0.72462899145854442</v>
      </c>
      <c r="BB198">
        <f t="shared" si="156"/>
        <v>-1.2337005501361696E-20</v>
      </c>
      <c r="BD198" s="15">
        <f t="shared" si="171"/>
        <v>13.855232487814837</v>
      </c>
      <c r="BE198" s="10">
        <f t="shared" si="172"/>
        <v>0</v>
      </c>
      <c r="BF198">
        <f t="shared" si="173"/>
        <v>0</v>
      </c>
      <c r="BG198">
        <f t="shared" si="174"/>
        <v>0</v>
      </c>
      <c r="BH198">
        <f t="shared" si="175"/>
        <v>0</v>
      </c>
      <c r="BI198">
        <f t="shared" si="176"/>
        <v>0</v>
      </c>
    </row>
    <row r="199" spans="1:61" x14ac:dyDescent="0.3">
      <c r="A199">
        <f t="shared" si="181"/>
        <v>0.16200000000000001</v>
      </c>
      <c r="B199">
        <f t="shared" si="124"/>
        <v>0.50893800988154647</v>
      </c>
      <c r="C199">
        <f t="shared" si="125"/>
        <v>2.6326546437082468</v>
      </c>
      <c r="D199">
        <f t="shared" si="126"/>
        <v>2.6326546437082468</v>
      </c>
      <c r="E199">
        <f t="shared" si="131"/>
        <v>0.48725012572533227</v>
      </c>
      <c r="F199">
        <f t="shared" si="132"/>
        <v>0.48725012572533227</v>
      </c>
      <c r="G199">
        <f t="shared" si="127"/>
        <v>0.50893800988154647</v>
      </c>
      <c r="H199">
        <f t="shared" si="128"/>
        <v>0.48725012572533227</v>
      </c>
      <c r="I199">
        <f t="shared" si="129"/>
        <v>0.48725012572533227</v>
      </c>
      <c r="J199">
        <f t="shared" si="177"/>
        <v>1.3065564045158407E+20</v>
      </c>
      <c r="K199">
        <f t="shared" si="178"/>
        <v>1.3065564045158407E+20</v>
      </c>
      <c r="L199">
        <f t="shared" si="133"/>
        <v>1</v>
      </c>
      <c r="M199">
        <f t="shared" si="130"/>
        <v>2.6326546437082466E-20</v>
      </c>
      <c r="N199" s="9">
        <f t="shared" si="179"/>
        <v>2.6326546437082466E-20</v>
      </c>
      <c r="O199">
        <f t="shared" si="180"/>
        <v>2.6326546437082466E-20</v>
      </c>
      <c r="Q199">
        <f t="shared" si="134"/>
        <v>46.31909683715552</v>
      </c>
      <c r="R199">
        <f t="shared" si="135"/>
        <v>0</v>
      </c>
      <c r="S199">
        <f t="shared" si="157"/>
        <v>-45.083709152531569</v>
      </c>
      <c r="T199" s="9" t="e">
        <f t="shared" si="136"/>
        <v>#N/A</v>
      </c>
      <c r="U199">
        <f t="shared" si="158"/>
        <v>-1.0000000000000001E+300</v>
      </c>
      <c r="V199">
        <f t="shared" si="159"/>
        <v>0</v>
      </c>
      <c r="W199">
        <f t="shared" si="160"/>
        <v>0</v>
      </c>
      <c r="X199">
        <f t="shared" si="137"/>
        <v>2.6326546437082468</v>
      </c>
      <c r="Y199">
        <f t="shared" si="138"/>
        <v>7.8539816339744828</v>
      </c>
      <c r="Z199">
        <f t="shared" si="139"/>
        <v>-2.6326546437082468</v>
      </c>
      <c r="AA199">
        <f t="shared" si="161"/>
        <v>4.7183127011184558</v>
      </c>
      <c r="AB199">
        <f t="shared" si="140"/>
        <v>12.572294335092938</v>
      </c>
      <c r="AC199">
        <f t="shared" si="162"/>
        <v>0.5164100020598914</v>
      </c>
      <c r="AD199">
        <f t="shared" si="141"/>
        <v>0.71897768256405936</v>
      </c>
      <c r="AE199" s="9">
        <f t="shared" si="163"/>
        <v>13.807682019716889</v>
      </c>
      <c r="AF199">
        <f t="shared" si="164"/>
        <v>0</v>
      </c>
      <c r="AH199">
        <f t="shared" si="142"/>
        <v>7.8539816339744828</v>
      </c>
      <c r="AI199">
        <f t="shared" si="143"/>
        <v>4.718312701118454</v>
      </c>
      <c r="AJ199">
        <f t="shared" si="144"/>
        <v>0.51641000205989229</v>
      </c>
      <c r="AK199">
        <f t="shared" si="145"/>
        <v>0.71897768256405936</v>
      </c>
      <c r="AL199" s="9">
        <f t="shared" si="165"/>
        <v>13.807682019716889</v>
      </c>
      <c r="AM199" t="e">
        <f t="shared" si="146"/>
        <v>#N/A</v>
      </c>
      <c r="AN199" t="e">
        <f t="shared" si="166"/>
        <v>#N/A</v>
      </c>
      <c r="AO199">
        <f t="shared" si="147"/>
        <v>0</v>
      </c>
      <c r="AP199">
        <f t="shared" si="148"/>
        <v>0</v>
      </c>
      <c r="AQ199">
        <f t="shared" si="149"/>
        <v>8.8817841970012523E-16</v>
      </c>
      <c r="AR199">
        <f t="shared" si="167"/>
        <v>0</v>
      </c>
      <c r="AS199">
        <f t="shared" si="150"/>
        <v>0</v>
      </c>
      <c r="AT199">
        <f t="shared" si="168"/>
        <v>0</v>
      </c>
      <c r="AU199">
        <f t="shared" si="169"/>
        <v>0</v>
      </c>
      <c r="AV199">
        <f t="shared" si="151"/>
        <v>2.6326546437082466E-20</v>
      </c>
      <c r="AW199" t="b">
        <f t="shared" si="170"/>
        <v>1</v>
      </c>
      <c r="AX199">
        <f t="shared" si="152"/>
        <v>7.8539816339744828</v>
      </c>
      <c r="AY199">
        <f t="shared" si="153"/>
        <v>4.7183127011184549</v>
      </c>
      <c r="AZ199">
        <f t="shared" si="154"/>
        <v>0.5164100020598914</v>
      </c>
      <c r="BA199">
        <f t="shared" si="155"/>
        <v>0.71897768256405936</v>
      </c>
      <c r="BB199">
        <f t="shared" si="156"/>
        <v>-1.2337005501361696E-20</v>
      </c>
      <c r="BD199" s="15">
        <f t="shared" si="171"/>
        <v>13.807682019716889</v>
      </c>
      <c r="BE199" s="10">
        <f t="shared" si="172"/>
        <v>0</v>
      </c>
      <c r="BF199">
        <f t="shared" si="173"/>
        <v>0</v>
      </c>
      <c r="BG199">
        <f t="shared" si="174"/>
        <v>0</v>
      </c>
      <c r="BH199">
        <f t="shared" si="175"/>
        <v>0</v>
      </c>
      <c r="BI199">
        <f t="shared" si="176"/>
        <v>0</v>
      </c>
    </row>
    <row r="200" spans="1:61" x14ac:dyDescent="0.3">
      <c r="A200">
        <f t="shared" si="181"/>
        <v>0.16300000000000001</v>
      </c>
      <c r="B200">
        <f t="shared" si="124"/>
        <v>0.51207960253513629</v>
      </c>
      <c r="C200">
        <f t="shared" si="125"/>
        <v>2.6295130510546567</v>
      </c>
      <c r="D200">
        <f t="shared" si="126"/>
        <v>2.6295130510546567</v>
      </c>
      <c r="E200">
        <f t="shared" si="131"/>
        <v>0.48999115164423657</v>
      </c>
      <c r="F200">
        <f t="shared" si="132"/>
        <v>0.48999115164423679</v>
      </c>
      <c r="G200">
        <f t="shared" si="127"/>
        <v>0.51207960253513629</v>
      </c>
      <c r="H200">
        <f t="shared" si="128"/>
        <v>0.48999115164423657</v>
      </c>
      <c r="I200">
        <f t="shared" si="129"/>
        <v>0.48999115164423679</v>
      </c>
      <c r="J200">
        <f t="shared" si="177"/>
        <v>1.2992474868807552E+20</v>
      </c>
      <c r="K200">
        <f t="shared" si="178"/>
        <v>1.2992474868807552E+20</v>
      </c>
      <c r="L200">
        <f t="shared" si="133"/>
        <v>1</v>
      </c>
      <c r="M200">
        <f t="shared" si="130"/>
        <v>2.6295130510546566E-20</v>
      </c>
      <c r="N200" s="9">
        <f t="shared" si="179"/>
        <v>2.6295130510546566E-20</v>
      </c>
      <c r="O200">
        <f t="shared" si="180"/>
        <v>2.6295130510546566E-20</v>
      </c>
      <c r="Q200">
        <f t="shared" si="134"/>
        <v>46.313487100500872</v>
      </c>
      <c r="R200">
        <f t="shared" si="135"/>
        <v>-710542.73576010019</v>
      </c>
      <c r="S200">
        <f t="shared" si="157"/>
        <v>-45.084903182524172</v>
      </c>
      <c r="T200" s="9" t="e">
        <f t="shared" si="136"/>
        <v>#N/A</v>
      </c>
      <c r="U200">
        <f t="shared" si="158"/>
        <v>-1.0000000000000001E+300</v>
      </c>
      <c r="V200">
        <f t="shared" si="159"/>
        <v>0</v>
      </c>
      <c r="W200">
        <f t="shared" si="160"/>
        <v>0</v>
      </c>
      <c r="X200">
        <f t="shared" si="137"/>
        <v>2.6295130510546567</v>
      </c>
      <c r="Y200">
        <f t="shared" si="138"/>
        <v>7.8539816339744828</v>
      </c>
      <c r="Z200">
        <f t="shared" si="139"/>
        <v>-2.6295130510546567</v>
      </c>
      <c r="AA200">
        <f t="shared" si="161"/>
        <v>4.6780816036435837</v>
      </c>
      <c r="AB200">
        <f t="shared" si="140"/>
        <v>12.532063237618067</v>
      </c>
      <c r="AC200">
        <f t="shared" si="162"/>
        <v>0.51521597206728353</v>
      </c>
      <c r="AD200">
        <f t="shared" si="141"/>
        <v>0.71336794590941499</v>
      </c>
      <c r="AE200" s="9">
        <f t="shared" si="163"/>
        <v>13.760647155594764</v>
      </c>
      <c r="AF200">
        <f t="shared" si="164"/>
        <v>0</v>
      </c>
      <c r="AH200">
        <f t="shared" si="142"/>
        <v>7.8539816339744828</v>
      </c>
      <c r="AI200">
        <f t="shared" si="143"/>
        <v>4.6780816036435855</v>
      </c>
      <c r="AJ200">
        <f t="shared" si="144"/>
        <v>0.51521597206728842</v>
      </c>
      <c r="AK200">
        <f t="shared" si="145"/>
        <v>0.71336794590941499</v>
      </c>
      <c r="AL200" s="9">
        <f t="shared" si="165"/>
        <v>13.760647155594771</v>
      </c>
      <c r="AM200" t="e">
        <f t="shared" si="146"/>
        <v>#N/A</v>
      </c>
      <c r="AN200" t="e">
        <f t="shared" si="166"/>
        <v>#N/A</v>
      </c>
      <c r="AO200">
        <f t="shared" si="147"/>
        <v>0</v>
      </c>
      <c r="AP200">
        <f t="shared" si="148"/>
        <v>0</v>
      </c>
      <c r="AQ200">
        <f t="shared" si="149"/>
        <v>4.8849813083506888E-15</v>
      </c>
      <c r="AR200">
        <f t="shared" si="167"/>
        <v>0</v>
      </c>
      <c r="AS200">
        <f t="shared" si="150"/>
        <v>0</v>
      </c>
      <c r="AT200">
        <f t="shared" si="168"/>
        <v>0</v>
      </c>
      <c r="AU200">
        <f t="shared" si="169"/>
        <v>0</v>
      </c>
      <c r="AV200">
        <f t="shared" si="151"/>
        <v>2.6295130510546566E-20</v>
      </c>
      <c r="AW200" t="b">
        <f t="shared" si="170"/>
        <v>1</v>
      </c>
      <c r="AX200">
        <f t="shared" si="152"/>
        <v>7.8539816339744828</v>
      </c>
      <c r="AY200">
        <f t="shared" si="153"/>
        <v>4.6780816036435837</v>
      </c>
      <c r="AZ200">
        <f t="shared" si="154"/>
        <v>0.51521597206728353</v>
      </c>
      <c r="BA200">
        <f t="shared" si="155"/>
        <v>0.71336794590941455</v>
      </c>
      <c r="BB200">
        <f t="shared" si="156"/>
        <v>-1.2337005501361696E-20</v>
      </c>
      <c r="BD200" s="15">
        <f t="shared" si="171"/>
        <v>13.760647155594764</v>
      </c>
      <c r="BE200" s="10">
        <f t="shared" si="172"/>
        <v>0</v>
      </c>
      <c r="BF200">
        <f t="shared" si="173"/>
        <v>0</v>
      </c>
      <c r="BG200">
        <f t="shared" si="174"/>
        <v>0</v>
      </c>
      <c r="BH200">
        <f t="shared" si="175"/>
        <v>0</v>
      </c>
      <c r="BI200">
        <f t="shared" si="176"/>
        <v>0</v>
      </c>
    </row>
    <row r="201" spans="1:61" x14ac:dyDescent="0.3">
      <c r="A201">
        <f t="shared" si="181"/>
        <v>0.16400000000000001</v>
      </c>
      <c r="B201">
        <f t="shared" si="124"/>
        <v>0.51522119518872611</v>
      </c>
      <c r="C201">
        <f t="shared" si="125"/>
        <v>2.6263714584010671</v>
      </c>
      <c r="D201">
        <f t="shared" si="126"/>
        <v>2.6263714584010671</v>
      </c>
      <c r="E201">
        <f t="shared" si="131"/>
        <v>0.49272734154829156</v>
      </c>
      <c r="F201">
        <f t="shared" si="132"/>
        <v>0.49272734154829162</v>
      </c>
      <c r="G201">
        <f t="shared" si="127"/>
        <v>0.51522119518872611</v>
      </c>
      <c r="H201">
        <f t="shared" si="128"/>
        <v>0.49272734154829156</v>
      </c>
      <c r="I201">
        <f t="shared" si="129"/>
        <v>0.49272734154829162</v>
      </c>
      <c r="J201">
        <f t="shared" si="177"/>
        <v>1.2920325678845795E+20</v>
      </c>
      <c r="K201">
        <f t="shared" si="178"/>
        <v>1.2920325678845795E+20</v>
      </c>
      <c r="L201">
        <f t="shared" si="133"/>
        <v>1</v>
      </c>
      <c r="M201">
        <f t="shared" si="130"/>
        <v>2.626371458401067E-20</v>
      </c>
      <c r="N201" s="9">
        <f t="shared" si="179"/>
        <v>2.626371458401067E-20</v>
      </c>
      <c r="O201">
        <f t="shared" si="180"/>
        <v>2.626371458401067E-20</v>
      </c>
      <c r="Q201">
        <f t="shared" si="134"/>
        <v>46.307918472264632</v>
      </c>
      <c r="R201">
        <f t="shared" si="135"/>
        <v>0</v>
      </c>
      <c r="S201">
        <f t="shared" si="157"/>
        <v>-45.086098639928949</v>
      </c>
      <c r="T201" s="9" t="e">
        <f t="shared" si="136"/>
        <v>#N/A</v>
      </c>
      <c r="U201">
        <f t="shared" si="158"/>
        <v>-1.0000000000000001E+300</v>
      </c>
      <c r="V201">
        <f t="shared" si="159"/>
        <v>0</v>
      </c>
      <c r="W201">
        <f t="shared" si="160"/>
        <v>0</v>
      </c>
      <c r="X201">
        <f t="shared" si="137"/>
        <v>2.6263714584010671</v>
      </c>
      <c r="Y201">
        <f t="shared" si="138"/>
        <v>7.8539816339744828</v>
      </c>
      <c r="Z201">
        <f t="shared" si="139"/>
        <v>-2.6263714584010671</v>
      </c>
      <c r="AA201">
        <f t="shared" si="161"/>
        <v>4.6383173494023104</v>
      </c>
      <c r="AB201">
        <f t="shared" si="140"/>
        <v>12.492298983376793</v>
      </c>
      <c r="AC201">
        <f t="shared" si="162"/>
        <v>0.51402051466250998</v>
      </c>
      <c r="AD201">
        <f t="shared" si="141"/>
        <v>0.70779931767317095</v>
      </c>
      <c r="AE201" s="9">
        <f t="shared" si="163"/>
        <v>13.714118815712474</v>
      </c>
      <c r="AF201">
        <f t="shared" si="164"/>
        <v>0</v>
      </c>
      <c r="AH201">
        <f t="shared" si="142"/>
        <v>7.8539816339744828</v>
      </c>
      <c r="AI201">
        <f t="shared" si="143"/>
        <v>4.6383173494023104</v>
      </c>
      <c r="AJ201">
        <f t="shared" si="144"/>
        <v>0.51402051466251208</v>
      </c>
      <c r="AK201">
        <f t="shared" si="145"/>
        <v>0.70779931767317095</v>
      </c>
      <c r="AL201" s="9">
        <f t="shared" si="165"/>
        <v>13.714118815712476</v>
      </c>
      <c r="AM201" t="e">
        <f t="shared" si="146"/>
        <v>#N/A</v>
      </c>
      <c r="AN201" t="e">
        <f t="shared" si="166"/>
        <v>#N/A</v>
      </c>
      <c r="AO201">
        <f t="shared" si="147"/>
        <v>0</v>
      </c>
      <c r="AP201">
        <f t="shared" si="148"/>
        <v>0</v>
      </c>
      <c r="AQ201">
        <f t="shared" si="149"/>
        <v>2.1094237467877974E-15</v>
      </c>
      <c r="AR201">
        <f t="shared" si="167"/>
        <v>0</v>
      </c>
      <c r="AS201">
        <f t="shared" si="150"/>
        <v>0</v>
      </c>
      <c r="AT201">
        <f t="shared" si="168"/>
        <v>0</v>
      </c>
      <c r="AU201">
        <f t="shared" si="169"/>
        <v>0</v>
      </c>
      <c r="AV201">
        <f t="shared" si="151"/>
        <v>2.626371458401067E-20</v>
      </c>
      <c r="AW201" t="b">
        <f t="shared" si="170"/>
        <v>1</v>
      </c>
      <c r="AX201">
        <f t="shared" si="152"/>
        <v>7.8539816339744828</v>
      </c>
      <c r="AY201">
        <f t="shared" si="153"/>
        <v>4.6383173494023104</v>
      </c>
      <c r="AZ201">
        <f t="shared" si="154"/>
        <v>0.51402051466250998</v>
      </c>
      <c r="BA201">
        <f t="shared" si="155"/>
        <v>0.70779931767317084</v>
      </c>
      <c r="BB201">
        <f t="shared" si="156"/>
        <v>-1.2337005501361696E-20</v>
      </c>
      <c r="BD201" s="15">
        <f t="shared" si="171"/>
        <v>13.714118815712474</v>
      </c>
      <c r="BE201" s="10">
        <f t="shared" si="172"/>
        <v>0</v>
      </c>
      <c r="BF201">
        <f t="shared" si="173"/>
        <v>0</v>
      </c>
      <c r="BG201">
        <f t="shared" si="174"/>
        <v>0</v>
      </c>
      <c r="BH201">
        <f t="shared" si="175"/>
        <v>0</v>
      </c>
      <c r="BI201">
        <f t="shared" si="176"/>
        <v>0</v>
      </c>
    </row>
    <row r="202" spans="1:61" x14ac:dyDescent="0.3">
      <c r="A202">
        <f t="shared" si="181"/>
        <v>0.16500000000000001</v>
      </c>
      <c r="B202">
        <f t="shared" si="124"/>
        <v>0.51836278784231593</v>
      </c>
      <c r="C202">
        <f t="shared" si="125"/>
        <v>2.6232298657474771</v>
      </c>
      <c r="D202">
        <f t="shared" si="126"/>
        <v>2.6232298657474771</v>
      </c>
      <c r="E202">
        <f t="shared" si="131"/>
        <v>0.4954586684324076</v>
      </c>
      <c r="F202">
        <f t="shared" si="132"/>
        <v>0.49545866843240777</v>
      </c>
      <c r="G202">
        <f t="shared" si="127"/>
        <v>0.51836278784231593</v>
      </c>
      <c r="H202">
        <f t="shared" si="128"/>
        <v>0.4954586684324076</v>
      </c>
      <c r="I202">
        <f t="shared" si="129"/>
        <v>0.49545866843240777</v>
      </c>
      <c r="J202">
        <f t="shared" si="177"/>
        <v>1.2849099489606197E+20</v>
      </c>
      <c r="K202">
        <f t="shared" si="178"/>
        <v>1.2849099489606197E+20</v>
      </c>
      <c r="L202">
        <f t="shared" si="133"/>
        <v>1</v>
      </c>
      <c r="M202">
        <f t="shared" si="130"/>
        <v>2.623229865747477E-20</v>
      </c>
      <c r="N202" s="9">
        <f t="shared" si="179"/>
        <v>2.623229865747477E-20</v>
      </c>
      <c r="O202">
        <f t="shared" si="180"/>
        <v>2.623229865747477E-20</v>
      </c>
      <c r="Q202">
        <f t="shared" si="134"/>
        <v>46.302390497142603</v>
      </c>
      <c r="R202">
        <f t="shared" si="135"/>
        <v>-710542.73576010019</v>
      </c>
      <c r="S202">
        <f t="shared" si="157"/>
        <v>-45.087295528162798</v>
      </c>
      <c r="T202" s="9" t="e">
        <f t="shared" si="136"/>
        <v>#N/A</v>
      </c>
      <c r="U202">
        <f t="shared" si="158"/>
        <v>-1.0000000000000001E+300</v>
      </c>
      <c r="V202">
        <f t="shared" si="159"/>
        <v>0</v>
      </c>
      <c r="W202">
        <f t="shared" si="160"/>
        <v>0</v>
      </c>
      <c r="X202">
        <f t="shared" si="137"/>
        <v>2.6232298657474771</v>
      </c>
      <c r="Y202">
        <f t="shared" si="138"/>
        <v>7.8539816339744828</v>
      </c>
      <c r="Z202">
        <f t="shared" si="139"/>
        <v>-2.6232298657474771</v>
      </c>
      <c r="AA202">
        <f t="shared" si="161"/>
        <v>4.5990115345304154</v>
      </c>
      <c r="AB202">
        <f t="shared" si="140"/>
        <v>12.452993168504898</v>
      </c>
      <c r="AC202">
        <f t="shared" si="162"/>
        <v>0.51282362642866375</v>
      </c>
      <c r="AD202">
        <f t="shared" si="141"/>
        <v>0.70227134255114798</v>
      </c>
      <c r="AE202" s="9">
        <f t="shared" si="163"/>
        <v>13.668088137484711</v>
      </c>
      <c r="AF202">
        <f t="shared" si="164"/>
        <v>0</v>
      </c>
      <c r="AH202">
        <f t="shared" si="142"/>
        <v>7.8539816339744828</v>
      </c>
      <c r="AI202">
        <f t="shared" si="143"/>
        <v>4.5990115345304181</v>
      </c>
      <c r="AJ202">
        <f t="shared" si="144"/>
        <v>0.51282362642866275</v>
      </c>
      <c r="AK202">
        <f t="shared" si="145"/>
        <v>0.70227134255114798</v>
      </c>
      <c r="AL202" s="9">
        <f t="shared" si="165"/>
        <v>13.668088137484711</v>
      </c>
      <c r="AM202" t="e">
        <f t="shared" si="146"/>
        <v>#N/A</v>
      </c>
      <c r="AN202" t="e">
        <f t="shared" si="166"/>
        <v>#N/A</v>
      </c>
      <c r="AO202">
        <f t="shared" si="147"/>
        <v>0</v>
      </c>
      <c r="AP202">
        <f t="shared" si="148"/>
        <v>0</v>
      </c>
      <c r="AQ202">
        <f t="shared" si="149"/>
        <v>-9.9920072216264089E-16</v>
      </c>
      <c r="AR202">
        <f t="shared" si="167"/>
        <v>0</v>
      </c>
      <c r="AS202">
        <f t="shared" si="150"/>
        <v>0</v>
      </c>
      <c r="AT202">
        <f t="shared" si="168"/>
        <v>0</v>
      </c>
      <c r="AU202">
        <f t="shared" si="169"/>
        <v>0</v>
      </c>
      <c r="AV202">
        <f t="shared" si="151"/>
        <v>2.623229865747477E-20</v>
      </c>
      <c r="AW202" t="b">
        <f t="shared" si="170"/>
        <v>1</v>
      </c>
      <c r="AX202">
        <f t="shared" si="152"/>
        <v>7.8539816339744828</v>
      </c>
      <c r="AY202">
        <f t="shared" si="153"/>
        <v>4.5990115345304146</v>
      </c>
      <c r="AZ202">
        <f t="shared" si="154"/>
        <v>0.51282362642866375</v>
      </c>
      <c r="BA202">
        <f t="shared" si="155"/>
        <v>0.70227134255114765</v>
      </c>
      <c r="BB202">
        <f t="shared" si="156"/>
        <v>-1.2337005501361696E-20</v>
      </c>
      <c r="BD202" s="15">
        <f t="shared" si="171"/>
        <v>13.668088137484709</v>
      </c>
      <c r="BE202" s="10">
        <f t="shared" si="172"/>
        <v>0</v>
      </c>
      <c r="BF202">
        <f t="shared" si="173"/>
        <v>0</v>
      </c>
      <c r="BG202">
        <f t="shared" si="174"/>
        <v>0</v>
      </c>
      <c r="BH202">
        <f t="shared" si="175"/>
        <v>0</v>
      </c>
      <c r="BI202">
        <f t="shared" si="176"/>
        <v>0</v>
      </c>
    </row>
    <row r="203" spans="1:61" x14ac:dyDescent="0.3">
      <c r="A203">
        <f t="shared" si="181"/>
        <v>0.16600000000000001</v>
      </c>
      <c r="B203">
        <f t="shared" si="124"/>
        <v>0.52150438049590564</v>
      </c>
      <c r="C203">
        <f t="shared" si="125"/>
        <v>2.6200882730938875</v>
      </c>
      <c r="D203">
        <f t="shared" si="126"/>
        <v>2.6200882730938875</v>
      </c>
      <c r="E203">
        <f t="shared" si="131"/>
        <v>0.49818510533949079</v>
      </c>
      <c r="F203">
        <f t="shared" si="132"/>
        <v>0.4981851053394909</v>
      </c>
      <c r="G203">
        <f t="shared" si="127"/>
        <v>0.52150438049590564</v>
      </c>
      <c r="H203">
        <f t="shared" si="128"/>
        <v>0.49818510533949079</v>
      </c>
      <c r="I203">
        <f t="shared" si="129"/>
        <v>0.4981851053394909</v>
      </c>
      <c r="J203">
        <f t="shared" si="177"/>
        <v>1.2778779725535022E+20</v>
      </c>
      <c r="K203">
        <f t="shared" si="178"/>
        <v>1.2778779725535022E+20</v>
      </c>
      <c r="L203">
        <f t="shared" si="133"/>
        <v>1</v>
      </c>
      <c r="M203">
        <f t="shared" si="130"/>
        <v>2.6200882730938873E-20</v>
      </c>
      <c r="N203" s="9">
        <f t="shared" si="179"/>
        <v>2.6200882730938873E-20</v>
      </c>
      <c r="O203">
        <f t="shared" si="180"/>
        <v>2.6200882730938873E-20</v>
      </c>
      <c r="Q203">
        <f t="shared" si="134"/>
        <v>46.296902728142477</v>
      </c>
      <c r="R203">
        <f t="shared" si="135"/>
        <v>0</v>
      </c>
      <c r="S203">
        <f t="shared" si="157"/>
        <v>-45.088493850654906</v>
      </c>
      <c r="T203" s="9" t="e">
        <f t="shared" si="136"/>
        <v>#N/A</v>
      </c>
      <c r="U203">
        <f t="shared" si="158"/>
        <v>-1.0000000000000001E+300</v>
      </c>
      <c r="V203">
        <f t="shared" si="159"/>
        <v>0</v>
      </c>
      <c r="W203">
        <f t="shared" si="160"/>
        <v>0</v>
      </c>
      <c r="X203">
        <f t="shared" si="137"/>
        <v>2.6200882730938875</v>
      </c>
      <c r="Y203">
        <f t="shared" si="138"/>
        <v>7.8539816339744828</v>
      </c>
      <c r="Z203">
        <f t="shared" si="139"/>
        <v>-2.6200882730938875</v>
      </c>
      <c r="AA203">
        <f t="shared" si="161"/>
        <v>4.5601559575255539</v>
      </c>
      <c r="AB203">
        <f t="shared" si="140"/>
        <v>12.414137591500037</v>
      </c>
      <c r="AC203">
        <f t="shared" si="162"/>
        <v>0.51162530393655492</v>
      </c>
      <c r="AD203">
        <f t="shared" si="141"/>
        <v>0.69678357355101828</v>
      </c>
      <c r="AE203" s="9">
        <f t="shared" si="163"/>
        <v>13.622546468987609</v>
      </c>
      <c r="AF203">
        <f t="shared" si="164"/>
        <v>0</v>
      </c>
      <c r="AH203">
        <f t="shared" si="142"/>
        <v>7.8539816339744828</v>
      </c>
      <c r="AI203">
        <f t="shared" si="143"/>
        <v>4.5601559575255548</v>
      </c>
      <c r="AJ203">
        <f t="shared" si="144"/>
        <v>0.51162530393655459</v>
      </c>
      <c r="AK203">
        <f t="shared" si="145"/>
        <v>0.69678357355101828</v>
      </c>
      <c r="AL203" s="9">
        <f t="shared" si="165"/>
        <v>13.622546468987609</v>
      </c>
      <c r="AM203" t="e">
        <f t="shared" si="146"/>
        <v>#N/A</v>
      </c>
      <c r="AN203" t="e">
        <f t="shared" si="166"/>
        <v>#N/A</v>
      </c>
      <c r="AO203">
        <f t="shared" si="147"/>
        <v>0</v>
      </c>
      <c r="AP203">
        <f t="shared" si="148"/>
        <v>0</v>
      </c>
      <c r="AQ203">
        <f t="shared" si="149"/>
        <v>0</v>
      </c>
      <c r="AR203">
        <f t="shared" si="167"/>
        <v>0</v>
      </c>
      <c r="AS203">
        <f t="shared" si="150"/>
        <v>0</v>
      </c>
      <c r="AT203">
        <f t="shared" si="168"/>
        <v>0</v>
      </c>
      <c r="AU203">
        <f t="shared" si="169"/>
        <v>0</v>
      </c>
      <c r="AV203">
        <f t="shared" si="151"/>
        <v>2.6200882730938873E-20</v>
      </c>
      <c r="AW203" t="b">
        <f t="shared" si="170"/>
        <v>1</v>
      </c>
      <c r="AX203">
        <f t="shared" si="152"/>
        <v>7.8539816339744828</v>
      </c>
      <c r="AY203">
        <f t="shared" si="153"/>
        <v>4.560155957525553</v>
      </c>
      <c r="AZ203">
        <f t="shared" si="154"/>
        <v>0.51162530393655514</v>
      </c>
      <c r="BA203">
        <f t="shared" si="155"/>
        <v>0.69678357355101805</v>
      </c>
      <c r="BB203">
        <f t="shared" si="156"/>
        <v>-1.2337005501361696E-20</v>
      </c>
      <c r="BD203" s="15">
        <f t="shared" si="171"/>
        <v>13.622546468987609</v>
      </c>
      <c r="BE203" s="10">
        <f t="shared" si="172"/>
        <v>0</v>
      </c>
      <c r="BF203">
        <f t="shared" si="173"/>
        <v>0</v>
      </c>
      <c r="BG203">
        <f t="shared" si="174"/>
        <v>0</v>
      </c>
      <c r="BH203">
        <f t="shared" si="175"/>
        <v>0</v>
      </c>
      <c r="BI203">
        <f t="shared" si="176"/>
        <v>0</v>
      </c>
    </row>
    <row r="204" spans="1:61" x14ac:dyDescent="0.3">
      <c r="A204">
        <f t="shared" si="181"/>
        <v>0.16700000000000001</v>
      </c>
      <c r="B204">
        <f t="shared" si="124"/>
        <v>0.52464597314949546</v>
      </c>
      <c r="C204">
        <f t="shared" si="125"/>
        <v>2.6169466804402974</v>
      </c>
      <c r="D204">
        <f t="shared" si="126"/>
        <v>2.6169466804402974</v>
      </c>
      <c r="E204">
        <f t="shared" si="131"/>
        <v>0.50090662536070985</v>
      </c>
      <c r="F204">
        <f t="shared" si="132"/>
        <v>0.50090662536071018</v>
      </c>
      <c r="G204">
        <f t="shared" si="127"/>
        <v>0.52464597314949546</v>
      </c>
      <c r="H204">
        <f t="shared" si="128"/>
        <v>0.50090662536070985</v>
      </c>
      <c r="I204">
        <f t="shared" si="129"/>
        <v>0.50090662536071018</v>
      </c>
      <c r="J204">
        <f t="shared" si="177"/>
        <v>1.2709350208916536E+20</v>
      </c>
      <c r="K204">
        <f t="shared" si="178"/>
        <v>1.2709350208916536E+20</v>
      </c>
      <c r="L204" t="e">
        <f t="shared" si="133"/>
        <v>#NUM!</v>
      </c>
      <c r="M204">
        <f t="shared" si="130"/>
        <v>2.6169466804402977E-20</v>
      </c>
      <c r="N204" s="9" t="e">
        <f t="shared" si="179"/>
        <v>#NUM!</v>
      </c>
      <c r="O204" t="e">
        <f t="shared" si="180"/>
        <v>#NUM!</v>
      </c>
      <c r="Q204">
        <f t="shared" si="134"/>
        <v>46.291454726384522</v>
      </c>
      <c r="R204">
        <f t="shared" si="135"/>
        <v>0</v>
      </c>
      <c r="S204">
        <f t="shared" si="157"/>
        <v>-45.089693610846808</v>
      </c>
      <c r="T204" s="9" t="e">
        <f t="shared" si="136"/>
        <v>#N/A</v>
      </c>
      <c r="U204">
        <f t="shared" si="158"/>
        <v>-1.0000000000000001E+300</v>
      </c>
      <c r="V204">
        <f t="shared" si="159"/>
        <v>0</v>
      </c>
      <c r="W204">
        <f t="shared" si="160"/>
        <v>0</v>
      </c>
      <c r="X204">
        <f t="shared" si="137"/>
        <v>2.6169466804402974</v>
      </c>
      <c r="Y204">
        <f t="shared" si="138"/>
        <v>7.8539816339744828</v>
      </c>
      <c r="Z204">
        <f t="shared" si="139"/>
        <v>-2.6169466804402974</v>
      </c>
      <c r="AA204">
        <f t="shared" si="161"/>
        <v>4.521742613189156</v>
      </c>
      <c r="AB204">
        <f t="shared" si="140"/>
        <v>12.375724247163639</v>
      </c>
      <c r="AC204">
        <f t="shared" si="162"/>
        <v>0.51042554374465088</v>
      </c>
      <c r="AD204">
        <f t="shared" si="141"/>
        <v>0.69133557179306449</v>
      </c>
      <c r="AE204" s="9">
        <f t="shared" si="163"/>
        <v>13.577485362701355</v>
      </c>
      <c r="AF204">
        <f t="shared" si="164"/>
        <v>0</v>
      </c>
      <c r="AH204">
        <f t="shared" si="142"/>
        <v>7.8539816339744828</v>
      </c>
      <c r="AI204">
        <f t="shared" si="143"/>
        <v>4.5217426131891596</v>
      </c>
      <c r="AJ204">
        <f t="shared" si="144"/>
        <v>0.51042554374465254</v>
      </c>
      <c r="AK204">
        <f t="shared" si="145"/>
        <v>0.69133557179306449</v>
      </c>
      <c r="AL204" s="9">
        <f t="shared" si="165"/>
        <v>13.57748536270136</v>
      </c>
      <c r="AM204" t="e">
        <f t="shared" si="146"/>
        <v>#N/A</v>
      </c>
      <c r="AN204" t="e">
        <f t="shared" si="166"/>
        <v>#N/A</v>
      </c>
      <c r="AO204">
        <f t="shared" si="147"/>
        <v>0</v>
      </c>
      <c r="AP204">
        <f t="shared" si="148"/>
        <v>0</v>
      </c>
      <c r="AQ204">
        <f t="shared" si="149"/>
        <v>1.6653345369377348E-15</v>
      </c>
      <c r="AR204">
        <f t="shared" si="167"/>
        <v>0</v>
      </c>
      <c r="AS204">
        <f t="shared" si="150"/>
        <v>0</v>
      </c>
      <c r="AT204">
        <f t="shared" si="168"/>
        <v>0</v>
      </c>
      <c r="AU204">
        <f t="shared" si="169"/>
        <v>0</v>
      </c>
      <c r="AV204">
        <f t="shared" si="151"/>
        <v>2.6169466804402974E-20</v>
      </c>
      <c r="AW204" t="b">
        <f t="shared" si="170"/>
        <v>1</v>
      </c>
      <c r="AX204">
        <f t="shared" si="152"/>
        <v>7.8539816339744828</v>
      </c>
      <c r="AY204">
        <f t="shared" si="153"/>
        <v>4.521742613189156</v>
      </c>
      <c r="AZ204">
        <f t="shared" si="154"/>
        <v>0.51042554374465088</v>
      </c>
      <c r="BA204">
        <f t="shared" si="155"/>
        <v>0.69133557179306382</v>
      </c>
      <c r="BB204">
        <f t="shared" si="156"/>
        <v>-1.2337005501361696E-20</v>
      </c>
      <c r="BD204" s="15">
        <f t="shared" si="171"/>
        <v>13.577485362701353</v>
      </c>
      <c r="BE204" s="10">
        <f t="shared" si="172"/>
        <v>0</v>
      </c>
      <c r="BF204">
        <f t="shared" si="173"/>
        <v>0</v>
      </c>
      <c r="BG204">
        <f t="shared" si="174"/>
        <v>0</v>
      </c>
      <c r="BH204">
        <f t="shared" si="175"/>
        <v>0</v>
      </c>
      <c r="BI204">
        <f t="shared" si="176"/>
        <v>0</v>
      </c>
    </row>
    <row r="205" spans="1:61" x14ac:dyDescent="0.3">
      <c r="A205">
        <f t="shared" si="181"/>
        <v>0.16800000000000001</v>
      </c>
      <c r="B205">
        <f t="shared" si="124"/>
        <v>0.52778756580308528</v>
      </c>
      <c r="C205">
        <f t="shared" si="125"/>
        <v>2.6138050877867078</v>
      </c>
      <c r="D205">
        <f t="shared" si="126"/>
        <v>2.6138050877867078</v>
      </c>
      <c r="E205">
        <f t="shared" si="131"/>
        <v>0.5036232016357608</v>
      </c>
      <c r="F205">
        <f t="shared" si="132"/>
        <v>0.50362320163576091</v>
      </c>
      <c r="G205">
        <f t="shared" si="127"/>
        <v>0.52778756580308528</v>
      </c>
      <c r="H205">
        <f t="shared" si="128"/>
        <v>0.5036232016357608</v>
      </c>
      <c r="I205">
        <f t="shared" si="129"/>
        <v>0.50362320163576091</v>
      </c>
      <c r="J205">
        <f t="shared" si="177"/>
        <v>1.2640795148036265E+20</v>
      </c>
      <c r="K205">
        <f t="shared" si="178"/>
        <v>1.2640795148036265E+20</v>
      </c>
      <c r="L205">
        <f t="shared" si="133"/>
        <v>1</v>
      </c>
      <c r="M205">
        <f t="shared" si="130"/>
        <v>2.6138050877867077E-20</v>
      </c>
      <c r="N205" s="9">
        <f t="shared" si="179"/>
        <v>2.6138050877867077E-20</v>
      </c>
      <c r="O205">
        <f t="shared" si="180"/>
        <v>2.6138050877867077E-20</v>
      </c>
      <c r="Q205">
        <f t="shared" si="134"/>
        <v>46.286046060908347</v>
      </c>
      <c r="R205">
        <f t="shared" si="135"/>
        <v>-710542.73576010019</v>
      </c>
      <c r="S205">
        <f t="shared" si="157"/>
        <v>-45.090894812192445</v>
      </c>
      <c r="T205" s="9" t="e">
        <f t="shared" si="136"/>
        <v>#N/A</v>
      </c>
      <c r="U205">
        <f t="shared" si="158"/>
        <v>-1.0000000000000001E+300</v>
      </c>
      <c r="V205">
        <f t="shared" si="159"/>
        <v>0</v>
      </c>
      <c r="W205">
        <f t="shared" si="160"/>
        <v>0</v>
      </c>
      <c r="X205">
        <f t="shared" si="137"/>
        <v>2.6138050877867078</v>
      </c>
      <c r="Y205">
        <f t="shared" si="138"/>
        <v>7.8539816339744828</v>
      </c>
      <c r="Z205">
        <f t="shared" si="139"/>
        <v>-2.6138050877867078</v>
      </c>
      <c r="AA205">
        <f t="shared" si="161"/>
        <v>4.4837636867847745</v>
      </c>
      <c r="AB205">
        <f t="shared" si="140"/>
        <v>12.337745320759257</v>
      </c>
      <c r="AC205">
        <f t="shared" si="162"/>
        <v>0.50922434239901682</v>
      </c>
      <c r="AD205">
        <f t="shared" si="141"/>
        <v>0.68592690631689035</v>
      </c>
      <c r="AE205" s="9">
        <f t="shared" si="163"/>
        <v>13.532896569475165</v>
      </c>
      <c r="AF205">
        <f t="shared" si="164"/>
        <v>0</v>
      </c>
      <c r="AH205">
        <f t="shared" si="142"/>
        <v>7.8539816339744828</v>
      </c>
      <c r="AI205">
        <f t="shared" si="143"/>
        <v>4.4837636867847754</v>
      </c>
      <c r="AJ205">
        <f t="shared" si="144"/>
        <v>0.50922434239901548</v>
      </c>
      <c r="AK205">
        <f t="shared" si="145"/>
        <v>0.68592690631689035</v>
      </c>
      <c r="AL205" s="9">
        <f t="shared" si="165"/>
        <v>13.532896569475163</v>
      </c>
      <c r="AM205" t="e">
        <f t="shared" si="146"/>
        <v>#N/A</v>
      </c>
      <c r="AN205" t="e">
        <f t="shared" si="166"/>
        <v>#N/A</v>
      </c>
      <c r="AO205">
        <f t="shared" si="147"/>
        <v>0</v>
      </c>
      <c r="AP205">
        <f t="shared" si="148"/>
        <v>0</v>
      </c>
      <c r="AQ205">
        <f t="shared" si="149"/>
        <v>-1.3322676295501878E-15</v>
      </c>
      <c r="AR205">
        <f t="shared" si="167"/>
        <v>0</v>
      </c>
      <c r="AS205">
        <f t="shared" si="150"/>
        <v>0</v>
      </c>
      <c r="AT205">
        <f t="shared" si="168"/>
        <v>0</v>
      </c>
      <c r="AU205">
        <f t="shared" si="169"/>
        <v>0</v>
      </c>
      <c r="AV205">
        <f t="shared" si="151"/>
        <v>2.6138050877867077E-20</v>
      </c>
      <c r="AW205" t="b">
        <f t="shared" si="170"/>
        <v>1</v>
      </c>
      <c r="AX205">
        <f t="shared" si="152"/>
        <v>7.8539816339744828</v>
      </c>
      <c r="AY205">
        <f t="shared" si="153"/>
        <v>4.4837636867847737</v>
      </c>
      <c r="AZ205">
        <f t="shared" si="154"/>
        <v>0.50922434239901693</v>
      </c>
      <c r="BA205">
        <f t="shared" si="155"/>
        <v>0.68592690631689013</v>
      </c>
      <c r="BB205">
        <f t="shared" si="156"/>
        <v>-1.2337005501361696E-20</v>
      </c>
      <c r="BD205" s="15">
        <f t="shared" si="171"/>
        <v>13.532896569475165</v>
      </c>
      <c r="BE205" s="10">
        <f t="shared" si="172"/>
        <v>0</v>
      </c>
      <c r="BF205">
        <f t="shared" si="173"/>
        <v>0</v>
      </c>
      <c r="BG205">
        <f t="shared" si="174"/>
        <v>0</v>
      </c>
      <c r="BH205">
        <f t="shared" si="175"/>
        <v>0</v>
      </c>
      <c r="BI205">
        <f t="shared" si="176"/>
        <v>0</v>
      </c>
    </row>
    <row r="206" spans="1:61" x14ac:dyDescent="0.3">
      <c r="A206">
        <f t="shared" si="181"/>
        <v>0.16900000000000001</v>
      </c>
      <c r="B206">
        <f t="shared" si="124"/>
        <v>0.5309291584566751</v>
      </c>
      <c r="C206">
        <f t="shared" si="125"/>
        <v>2.6106634951331182</v>
      </c>
      <c r="D206">
        <f t="shared" si="126"/>
        <v>2.6106634951331182</v>
      </c>
      <c r="E206">
        <f t="shared" si="131"/>
        <v>0.50633480735313252</v>
      </c>
      <c r="F206">
        <f t="shared" si="132"/>
        <v>0.50633480735313252</v>
      </c>
      <c r="G206">
        <f t="shared" si="127"/>
        <v>0.5309291584566751</v>
      </c>
      <c r="H206">
        <f t="shared" si="128"/>
        <v>0.50633480735313252</v>
      </c>
      <c r="I206">
        <f t="shared" si="129"/>
        <v>0.50633480735313252</v>
      </c>
      <c r="J206">
        <f t="shared" si="177"/>
        <v>1.2573099125764514E+20</v>
      </c>
      <c r="K206">
        <f t="shared" si="178"/>
        <v>1.2573099125764514E+20</v>
      </c>
      <c r="L206">
        <f t="shared" si="133"/>
        <v>1</v>
      </c>
      <c r="M206">
        <f t="shared" si="130"/>
        <v>2.6106634951331178E-20</v>
      </c>
      <c r="N206" s="9">
        <f t="shared" si="179"/>
        <v>2.6106634951331178E-20</v>
      </c>
      <c r="O206">
        <f t="shared" si="180"/>
        <v>2.6106634951331178E-20</v>
      </c>
      <c r="Q206">
        <f t="shared" si="134"/>
        <v>46.280676308485326</v>
      </c>
      <c r="R206">
        <f t="shared" si="135"/>
        <v>0</v>
      </c>
      <c r="S206">
        <f t="shared" si="157"/>
        <v>-45.0920974581582</v>
      </c>
      <c r="T206" s="9" t="e">
        <f t="shared" si="136"/>
        <v>#N/A</v>
      </c>
      <c r="U206">
        <f t="shared" si="158"/>
        <v>-1.0000000000000001E+300</v>
      </c>
      <c r="V206">
        <f t="shared" si="159"/>
        <v>0</v>
      </c>
      <c r="W206">
        <f t="shared" si="160"/>
        <v>0</v>
      </c>
      <c r="X206">
        <f t="shared" si="137"/>
        <v>2.6106634951331182</v>
      </c>
      <c r="Y206">
        <f t="shared" si="138"/>
        <v>7.8539816339744828</v>
      </c>
      <c r="Z206">
        <f t="shared" si="139"/>
        <v>-2.6106634951331182</v>
      </c>
      <c r="AA206">
        <f t="shared" si="161"/>
        <v>4.446211548403741</v>
      </c>
      <c r="AB206">
        <f t="shared" si="140"/>
        <v>12.300193182378223</v>
      </c>
      <c r="AC206">
        <f t="shared" si="162"/>
        <v>0.50802169643325656</v>
      </c>
      <c r="AD206">
        <f t="shared" si="141"/>
        <v>0.68055715389386762</v>
      </c>
      <c r="AE206" s="9">
        <f t="shared" si="163"/>
        <v>13.488772032705347</v>
      </c>
      <c r="AF206">
        <f t="shared" si="164"/>
        <v>0</v>
      </c>
      <c r="AH206">
        <f t="shared" si="142"/>
        <v>7.8539816339744828</v>
      </c>
      <c r="AI206">
        <f t="shared" si="143"/>
        <v>4.4462115484037383</v>
      </c>
      <c r="AJ206">
        <f t="shared" si="144"/>
        <v>0.50802169643326067</v>
      </c>
      <c r="AK206">
        <f t="shared" si="145"/>
        <v>0.68055715389386762</v>
      </c>
      <c r="AL206" s="9">
        <f t="shared" si="165"/>
        <v>13.488772032705349</v>
      </c>
      <c r="AM206" t="e">
        <f t="shared" si="146"/>
        <v>#N/A</v>
      </c>
      <c r="AN206" t="e">
        <f t="shared" si="166"/>
        <v>#N/A</v>
      </c>
      <c r="AO206">
        <f t="shared" si="147"/>
        <v>0</v>
      </c>
      <c r="AP206">
        <f t="shared" si="148"/>
        <v>0</v>
      </c>
      <c r="AQ206">
        <f t="shared" si="149"/>
        <v>4.1078251911130792E-15</v>
      </c>
      <c r="AR206">
        <f t="shared" si="167"/>
        <v>0</v>
      </c>
      <c r="AS206">
        <f t="shared" si="150"/>
        <v>0</v>
      </c>
      <c r="AT206">
        <f t="shared" si="168"/>
        <v>0</v>
      </c>
      <c r="AU206">
        <f t="shared" si="169"/>
        <v>0</v>
      </c>
      <c r="AV206">
        <f t="shared" si="151"/>
        <v>2.6106634951331181E-20</v>
      </c>
      <c r="AW206" t="b">
        <f t="shared" si="170"/>
        <v>1</v>
      </c>
      <c r="AX206">
        <f t="shared" si="152"/>
        <v>7.8539816339744828</v>
      </c>
      <c r="AY206">
        <f t="shared" si="153"/>
        <v>4.4462115484037401</v>
      </c>
      <c r="AZ206">
        <f t="shared" si="154"/>
        <v>0.50802169643325656</v>
      </c>
      <c r="BA206">
        <f t="shared" si="155"/>
        <v>0.68055715389386762</v>
      </c>
      <c r="BB206">
        <f t="shared" si="156"/>
        <v>-1.2337005501361696E-20</v>
      </c>
      <c r="BD206" s="15">
        <f t="shared" si="171"/>
        <v>13.488772032705347</v>
      </c>
      <c r="BE206" s="10">
        <f t="shared" si="172"/>
        <v>0</v>
      </c>
      <c r="BF206">
        <f t="shared" si="173"/>
        <v>0</v>
      </c>
      <c r="BG206">
        <f t="shared" si="174"/>
        <v>0</v>
      </c>
      <c r="BH206">
        <f t="shared" si="175"/>
        <v>0</v>
      </c>
      <c r="BI206">
        <f t="shared" si="176"/>
        <v>0</v>
      </c>
    </row>
    <row r="207" spans="1:61" x14ac:dyDescent="0.3">
      <c r="A207">
        <f t="shared" si="181"/>
        <v>0.17</v>
      </c>
      <c r="B207">
        <f t="shared" si="124"/>
        <v>0.53407075111026492</v>
      </c>
      <c r="C207">
        <f t="shared" si="125"/>
        <v>2.6075219024795282</v>
      </c>
      <c r="D207">
        <f t="shared" si="126"/>
        <v>2.6075219024795282</v>
      </c>
      <c r="E207">
        <f t="shared" si="131"/>
        <v>0.50904141575037132</v>
      </c>
      <c r="F207">
        <f t="shared" si="132"/>
        <v>0.50904141575037143</v>
      </c>
      <c r="G207">
        <f t="shared" si="127"/>
        <v>0.53407075111026492</v>
      </c>
      <c r="H207">
        <f t="shared" si="128"/>
        <v>0.50904141575037132</v>
      </c>
      <c r="I207">
        <f t="shared" si="129"/>
        <v>0.50904141575037143</v>
      </c>
      <c r="J207">
        <f t="shared" si="177"/>
        <v>1.2506247088542854E+20</v>
      </c>
      <c r="K207">
        <f t="shared" si="178"/>
        <v>1.2506247088542854E+20</v>
      </c>
      <c r="L207">
        <f t="shared" si="133"/>
        <v>1</v>
      </c>
      <c r="M207">
        <f t="shared" si="130"/>
        <v>2.6075219024795281E-20</v>
      </c>
      <c r="N207" s="9">
        <f t="shared" si="179"/>
        <v>2.6075219024795281E-20</v>
      </c>
      <c r="O207">
        <f t="shared" si="180"/>
        <v>2.6075219024795281E-20</v>
      </c>
      <c r="Q207">
        <f t="shared" si="134"/>
        <v>46.275345053436574</v>
      </c>
      <c r="R207">
        <f t="shared" si="135"/>
        <v>-710542.73576010019</v>
      </c>
      <c r="S207">
        <f t="shared" si="157"/>
        <v>-45.093301552223004</v>
      </c>
      <c r="T207" s="9" t="e">
        <f t="shared" si="136"/>
        <v>#N/A</v>
      </c>
      <c r="U207">
        <f t="shared" si="158"/>
        <v>-1.0000000000000001E+300</v>
      </c>
      <c r="V207">
        <f t="shared" si="159"/>
        <v>0</v>
      </c>
      <c r="W207">
        <f t="shared" si="160"/>
        <v>0</v>
      </c>
      <c r="X207">
        <f t="shared" si="137"/>
        <v>2.6075219024795282</v>
      </c>
      <c r="Y207">
        <f t="shared" si="138"/>
        <v>7.8539816339744828</v>
      </c>
      <c r="Z207">
        <f t="shared" si="139"/>
        <v>-2.6075219024795282</v>
      </c>
      <c r="AA207">
        <f t="shared" si="161"/>
        <v>4.4090787475297306</v>
      </c>
      <c r="AB207">
        <f t="shared" si="140"/>
        <v>12.263060381504214</v>
      </c>
      <c r="AC207">
        <f t="shared" si="162"/>
        <v>0.50681760236845186</v>
      </c>
      <c r="AD207">
        <f t="shared" si="141"/>
        <v>0.67522589884511697</v>
      </c>
      <c r="AE207" s="9">
        <f t="shared" si="163"/>
        <v>13.445103882717783</v>
      </c>
      <c r="AF207">
        <f t="shared" si="164"/>
        <v>0</v>
      </c>
      <c r="AH207">
        <f t="shared" si="142"/>
        <v>7.8539816339744828</v>
      </c>
      <c r="AI207">
        <f t="shared" si="143"/>
        <v>4.4090787475297315</v>
      </c>
      <c r="AJ207">
        <f t="shared" si="144"/>
        <v>0.50681760236845719</v>
      </c>
      <c r="AK207">
        <f t="shared" si="145"/>
        <v>0.67522589884511697</v>
      </c>
      <c r="AL207" s="9">
        <f t="shared" si="165"/>
        <v>13.445103882717788</v>
      </c>
      <c r="AM207" t="e">
        <f t="shared" si="146"/>
        <v>#N/A</v>
      </c>
      <c r="AN207" t="e">
        <f t="shared" si="166"/>
        <v>#N/A</v>
      </c>
      <c r="AO207">
        <f t="shared" si="147"/>
        <v>0</v>
      </c>
      <c r="AP207">
        <f t="shared" si="148"/>
        <v>0</v>
      </c>
      <c r="AQ207">
        <f t="shared" si="149"/>
        <v>5.3290705182007514E-15</v>
      </c>
      <c r="AR207">
        <f t="shared" si="167"/>
        <v>0</v>
      </c>
      <c r="AS207">
        <f t="shared" si="150"/>
        <v>0</v>
      </c>
      <c r="AT207">
        <f t="shared" si="168"/>
        <v>0</v>
      </c>
      <c r="AU207">
        <f t="shared" si="169"/>
        <v>0</v>
      </c>
      <c r="AV207">
        <f t="shared" si="151"/>
        <v>2.6075219024795281E-20</v>
      </c>
      <c r="AW207" t="b">
        <f t="shared" si="170"/>
        <v>1</v>
      </c>
      <c r="AX207">
        <f t="shared" si="152"/>
        <v>7.8539816339744828</v>
      </c>
      <c r="AY207">
        <f t="shared" si="153"/>
        <v>4.4090787475297297</v>
      </c>
      <c r="AZ207">
        <f t="shared" si="154"/>
        <v>0.50681760236845197</v>
      </c>
      <c r="BA207">
        <f t="shared" si="155"/>
        <v>0.67522589884511675</v>
      </c>
      <c r="BB207">
        <f t="shared" si="156"/>
        <v>-1.2337005501361696E-20</v>
      </c>
      <c r="BD207" s="15">
        <f t="shared" si="171"/>
        <v>13.445103882717781</v>
      </c>
      <c r="BE207" s="10">
        <f t="shared" si="172"/>
        <v>0</v>
      </c>
      <c r="BF207">
        <f t="shared" si="173"/>
        <v>0</v>
      </c>
      <c r="BG207">
        <f t="shared" si="174"/>
        <v>0</v>
      </c>
      <c r="BH207">
        <f t="shared" si="175"/>
        <v>0</v>
      </c>
      <c r="BI207">
        <f t="shared" si="176"/>
        <v>0</v>
      </c>
    </row>
    <row r="208" spans="1:61" x14ac:dyDescent="0.3">
      <c r="A208">
        <f t="shared" si="181"/>
        <v>0.17100000000000001</v>
      </c>
      <c r="B208">
        <f t="shared" si="124"/>
        <v>0.53721234376385463</v>
      </c>
      <c r="C208">
        <f t="shared" si="125"/>
        <v>2.6043803098259386</v>
      </c>
      <c r="D208">
        <f t="shared" si="126"/>
        <v>2.6043803098259386</v>
      </c>
      <c r="E208">
        <f t="shared" si="131"/>
        <v>0.51174300011434493</v>
      </c>
      <c r="F208">
        <f t="shared" si="132"/>
        <v>0.51174300011434493</v>
      </c>
      <c r="G208">
        <f t="shared" si="127"/>
        <v>0.53721234376385463</v>
      </c>
      <c r="H208">
        <f t="shared" si="128"/>
        <v>0.51174300011434493</v>
      </c>
      <c r="I208">
        <f t="shared" si="129"/>
        <v>0.51174300011434493</v>
      </c>
      <c r="J208">
        <f t="shared" si="177"/>
        <v>1.2440224335757084E+20</v>
      </c>
      <c r="K208">
        <f t="shared" si="178"/>
        <v>1.2440224335757084E+20</v>
      </c>
      <c r="L208">
        <f t="shared" si="133"/>
        <v>1</v>
      </c>
      <c r="M208">
        <f t="shared" si="130"/>
        <v>2.6043803098259384E-20</v>
      </c>
      <c r="N208" s="9">
        <f t="shared" si="179"/>
        <v>2.6043803098259384E-20</v>
      </c>
      <c r="O208">
        <f t="shared" si="180"/>
        <v>2.6043803098259384E-20</v>
      </c>
      <c r="Q208">
        <f t="shared" si="134"/>
        <v>46.27005188745629</v>
      </c>
      <c r="R208">
        <f t="shared" si="135"/>
        <v>0</v>
      </c>
      <c r="S208">
        <f t="shared" si="157"/>
        <v>-45.094507097878356</v>
      </c>
      <c r="T208" s="9" t="e">
        <f t="shared" si="136"/>
        <v>#N/A</v>
      </c>
      <c r="U208">
        <f t="shared" si="158"/>
        <v>-1.0000000000000001E+300</v>
      </c>
      <c r="V208">
        <f t="shared" si="159"/>
        <v>0</v>
      </c>
      <c r="W208">
        <f t="shared" si="160"/>
        <v>0</v>
      </c>
      <c r="X208">
        <f t="shared" si="137"/>
        <v>2.6043803098259386</v>
      </c>
      <c r="Y208">
        <f t="shared" si="138"/>
        <v>7.8539816339744828</v>
      </c>
      <c r="Z208">
        <f t="shared" si="139"/>
        <v>-2.6043803098259386</v>
      </c>
      <c r="AA208">
        <f t="shared" si="161"/>
        <v>4.3723580077940492</v>
      </c>
      <c r="AB208">
        <f t="shared" si="140"/>
        <v>12.226339641768533</v>
      </c>
      <c r="AC208">
        <f t="shared" si="162"/>
        <v>0.50561205671310328</v>
      </c>
      <c r="AD208">
        <f t="shared" si="141"/>
        <v>0.66993273286482979</v>
      </c>
      <c r="AE208" s="9">
        <f t="shared" si="163"/>
        <v>13.401884431346465</v>
      </c>
      <c r="AF208">
        <f t="shared" si="164"/>
        <v>0</v>
      </c>
      <c r="AH208">
        <f t="shared" si="142"/>
        <v>7.8539816339744828</v>
      </c>
      <c r="AI208">
        <f t="shared" si="143"/>
        <v>4.3723580077940492</v>
      </c>
      <c r="AJ208">
        <f t="shared" si="144"/>
        <v>0.50561205671310461</v>
      </c>
      <c r="AK208">
        <f t="shared" si="145"/>
        <v>0.66993273286482979</v>
      </c>
      <c r="AL208" s="9">
        <f t="shared" si="165"/>
        <v>13.401884431346467</v>
      </c>
      <c r="AM208" t="e">
        <f t="shared" si="146"/>
        <v>#N/A</v>
      </c>
      <c r="AN208" t="e">
        <f t="shared" si="166"/>
        <v>#N/A</v>
      </c>
      <c r="AO208">
        <f t="shared" si="147"/>
        <v>0</v>
      </c>
      <c r="AP208">
        <f t="shared" si="148"/>
        <v>0</v>
      </c>
      <c r="AQ208">
        <f t="shared" si="149"/>
        <v>1.3322676295501878E-15</v>
      </c>
      <c r="AR208">
        <f t="shared" si="167"/>
        <v>0</v>
      </c>
      <c r="AS208">
        <f t="shared" si="150"/>
        <v>0</v>
      </c>
      <c r="AT208">
        <f t="shared" si="168"/>
        <v>0</v>
      </c>
      <c r="AU208">
        <f t="shared" si="169"/>
        <v>0</v>
      </c>
      <c r="AV208">
        <f t="shared" si="151"/>
        <v>2.6043803098259384E-20</v>
      </c>
      <c r="AW208" t="b">
        <f t="shared" si="170"/>
        <v>1</v>
      </c>
      <c r="AX208">
        <f t="shared" si="152"/>
        <v>7.8539816339744828</v>
      </c>
      <c r="AY208">
        <f t="shared" si="153"/>
        <v>4.3723580077940483</v>
      </c>
      <c r="AZ208">
        <f t="shared" si="154"/>
        <v>0.50561205671310328</v>
      </c>
      <c r="BA208">
        <f t="shared" si="155"/>
        <v>0.66993273286482979</v>
      </c>
      <c r="BB208">
        <f t="shared" si="156"/>
        <v>-1.2337005501361696E-20</v>
      </c>
      <c r="BD208" s="15">
        <f t="shared" si="171"/>
        <v>13.401884431346463</v>
      </c>
      <c r="BE208" s="10">
        <f t="shared" si="172"/>
        <v>0</v>
      </c>
      <c r="BF208">
        <f t="shared" si="173"/>
        <v>0</v>
      </c>
      <c r="BG208">
        <f t="shared" si="174"/>
        <v>0</v>
      </c>
      <c r="BH208">
        <f t="shared" si="175"/>
        <v>0</v>
      </c>
      <c r="BI208">
        <f t="shared" si="176"/>
        <v>0</v>
      </c>
    </row>
    <row r="209" spans="1:61" x14ac:dyDescent="0.3">
      <c r="A209">
        <f t="shared" si="181"/>
        <v>0.17199999999999999</v>
      </c>
      <c r="B209">
        <f t="shared" si="124"/>
        <v>0.54035393641744434</v>
      </c>
      <c r="C209">
        <f t="shared" si="125"/>
        <v>2.6012387171723486</v>
      </c>
      <c r="D209">
        <f t="shared" si="126"/>
        <v>2.6012387171723486</v>
      </c>
      <c r="E209">
        <f t="shared" si="131"/>
        <v>0.51443953378150642</v>
      </c>
      <c r="F209">
        <f t="shared" si="132"/>
        <v>0.51443953378150664</v>
      </c>
      <c r="G209">
        <f t="shared" si="127"/>
        <v>0.54035393641744434</v>
      </c>
      <c r="H209">
        <f t="shared" si="128"/>
        <v>0.51443953378150642</v>
      </c>
      <c r="I209">
        <f t="shared" si="129"/>
        <v>0.51443953378150664</v>
      </c>
      <c r="J209">
        <f t="shared" si="177"/>
        <v>1.2375016509480929E+20</v>
      </c>
      <c r="K209">
        <f t="shared" si="178"/>
        <v>1.2375016509480929E+20</v>
      </c>
      <c r="L209">
        <f t="shared" si="133"/>
        <v>1</v>
      </c>
      <c r="M209">
        <f t="shared" si="130"/>
        <v>2.6012387171723485E-20</v>
      </c>
      <c r="N209" s="9">
        <f t="shared" si="179"/>
        <v>2.6012387171723485E-20</v>
      </c>
      <c r="O209">
        <f t="shared" si="180"/>
        <v>2.6012387171723485E-20</v>
      </c>
      <c r="Q209">
        <f t="shared" si="134"/>
        <v>46.264796409440201</v>
      </c>
      <c r="R209">
        <f t="shared" si="135"/>
        <v>0</v>
      </c>
      <c r="S209">
        <f t="shared" si="157"/>
        <v>-45.095714098628392</v>
      </c>
      <c r="T209" s="9" t="e">
        <f t="shared" si="136"/>
        <v>#N/A</v>
      </c>
      <c r="U209">
        <f t="shared" si="158"/>
        <v>-1.0000000000000001E+300</v>
      </c>
      <c r="V209">
        <f t="shared" si="159"/>
        <v>0</v>
      </c>
      <c r="W209">
        <f t="shared" si="160"/>
        <v>0</v>
      </c>
      <c r="X209">
        <f t="shared" si="137"/>
        <v>2.6012387171723486</v>
      </c>
      <c r="Y209">
        <f t="shared" si="138"/>
        <v>7.8539816339744828</v>
      </c>
      <c r="Z209">
        <f t="shared" si="139"/>
        <v>-2.6012387171723486</v>
      </c>
      <c r="AA209">
        <f t="shared" si="161"/>
        <v>4.3360422219138117</v>
      </c>
      <c r="AB209">
        <f t="shared" si="140"/>
        <v>12.190023855888295</v>
      </c>
      <c r="AC209">
        <f t="shared" si="162"/>
        <v>0.50440505596306795</v>
      </c>
      <c r="AD209">
        <f t="shared" si="141"/>
        <v>0.66467725484874218</v>
      </c>
      <c r="AE209" s="9">
        <f t="shared" si="163"/>
        <v>13.359106166700105</v>
      </c>
      <c r="AF209">
        <f t="shared" si="164"/>
        <v>0</v>
      </c>
      <c r="AH209">
        <f t="shared" si="142"/>
        <v>7.8539816339744828</v>
      </c>
      <c r="AI209">
        <f t="shared" si="143"/>
        <v>4.3360422219138153</v>
      </c>
      <c r="AJ209">
        <f t="shared" si="144"/>
        <v>0.50440505596306906</v>
      </c>
      <c r="AK209">
        <f t="shared" si="145"/>
        <v>0.66467725484874218</v>
      </c>
      <c r="AL209" s="9">
        <f t="shared" si="165"/>
        <v>13.35910616670011</v>
      </c>
      <c r="AM209" t="e">
        <f t="shared" si="146"/>
        <v>#N/A</v>
      </c>
      <c r="AN209" t="e">
        <f t="shared" si="166"/>
        <v>#N/A</v>
      </c>
      <c r="AO209">
        <f t="shared" si="147"/>
        <v>0</v>
      </c>
      <c r="AP209">
        <f t="shared" si="148"/>
        <v>0</v>
      </c>
      <c r="AQ209">
        <f t="shared" si="149"/>
        <v>1.1102230246251565E-15</v>
      </c>
      <c r="AR209">
        <f t="shared" si="167"/>
        <v>0</v>
      </c>
      <c r="AS209">
        <f t="shared" si="150"/>
        <v>0</v>
      </c>
      <c r="AT209">
        <f t="shared" si="168"/>
        <v>0</v>
      </c>
      <c r="AU209">
        <f t="shared" si="169"/>
        <v>0</v>
      </c>
      <c r="AV209">
        <f t="shared" si="151"/>
        <v>2.6012387171723485E-20</v>
      </c>
      <c r="AW209" t="b">
        <f t="shared" si="170"/>
        <v>1</v>
      </c>
      <c r="AX209">
        <f t="shared" si="152"/>
        <v>7.8539816339744828</v>
      </c>
      <c r="AY209">
        <f t="shared" si="153"/>
        <v>4.3360422219138117</v>
      </c>
      <c r="AZ209">
        <f t="shared" si="154"/>
        <v>0.50440505596306795</v>
      </c>
      <c r="BA209">
        <f t="shared" si="155"/>
        <v>0.66467725484874174</v>
      </c>
      <c r="BB209">
        <f t="shared" si="156"/>
        <v>-1.2337005501361696E-20</v>
      </c>
      <c r="BD209" s="15">
        <f t="shared" si="171"/>
        <v>13.359106166700105</v>
      </c>
      <c r="BE209" s="10">
        <f t="shared" si="172"/>
        <v>0</v>
      </c>
      <c r="BF209">
        <f t="shared" si="173"/>
        <v>0</v>
      </c>
      <c r="BG209">
        <f t="shared" si="174"/>
        <v>0</v>
      </c>
      <c r="BH209">
        <f t="shared" si="175"/>
        <v>0</v>
      </c>
      <c r="BI209">
        <f t="shared" si="176"/>
        <v>0</v>
      </c>
    </row>
    <row r="210" spans="1:61" x14ac:dyDescent="0.3">
      <c r="A210">
        <f t="shared" si="181"/>
        <v>0.17299999999999999</v>
      </c>
      <c r="B210">
        <f t="shared" si="124"/>
        <v>0.54349552907103416</v>
      </c>
      <c r="C210">
        <f t="shared" si="125"/>
        <v>2.598097124518759</v>
      </c>
      <c r="D210">
        <f t="shared" si="126"/>
        <v>2.598097124518759</v>
      </c>
      <c r="E210">
        <f t="shared" si="131"/>
        <v>0.51713099013815711</v>
      </c>
      <c r="F210">
        <f t="shared" si="132"/>
        <v>0.51713099013815722</v>
      </c>
      <c r="G210">
        <f t="shared" si="127"/>
        <v>0.54349552907103416</v>
      </c>
      <c r="H210">
        <f t="shared" si="128"/>
        <v>0.51713099013815711</v>
      </c>
      <c r="I210">
        <f t="shared" si="129"/>
        <v>0.51713099013815722</v>
      </c>
      <c r="J210">
        <f t="shared" si="177"/>
        <v>1.2310609584575498E+20</v>
      </c>
      <c r="K210">
        <f t="shared" si="178"/>
        <v>1.2310609584575498E+20</v>
      </c>
      <c r="L210">
        <f t="shared" si="133"/>
        <v>1</v>
      </c>
      <c r="M210">
        <f t="shared" si="130"/>
        <v>2.5980971245187588E-20</v>
      </c>
      <c r="N210" s="9">
        <f t="shared" si="179"/>
        <v>2.5980971245187588E-20</v>
      </c>
      <c r="O210">
        <f t="shared" si="180"/>
        <v>2.5980971245187588E-20</v>
      </c>
      <c r="Q210">
        <f t="shared" si="134"/>
        <v>46.259578225319039</v>
      </c>
      <c r="R210">
        <f t="shared" si="135"/>
        <v>-710542.73576010019</v>
      </c>
      <c r="S210">
        <f t="shared" si="157"/>
        <v>-45.096922557989963</v>
      </c>
      <c r="T210" s="9" t="e">
        <f t="shared" si="136"/>
        <v>#N/A</v>
      </c>
      <c r="U210">
        <f t="shared" si="158"/>
        <v>-1.0000000000000001E+300</v>
      </c>
      <c r="V210">
        <f t="shared" si="159"/>
        <v>0</v>
      </c>
      <c r="W210">
        <f t="shared" si="160"/>
        <v>0</v>
      </c>
      <c r="X210">
        <f t="shared" si="137"/>
        <v>2.598097124518759</v>
      </c>
      <c r="Y210">
        <f t="shared" si="138"/>
        <v>7.8539816339744828</v>
      </c>
      <c r="Z210">
        <f t="shared" si="139"/>
        <v>-2.598097124518759</v>
      </c>
      <c r="AA210">
        <f t="shared" si="161"/>
        <v>4.3001244468057518</v>
      </c>
      <c r="AB210">
        <f t="shared" si="140"/>
        <v>12.154106080780235</v>
      </c>
      <c r="AC210">
        <f t="shared" si="162"/>
        <v>0.50319659660149962</v>
      </c>
      <c r="AD210">
        <f t="shared" si="141"/>
        <v>0.65945907072758325</v>
      </c>
      <c r="AE210" s="9">
        <f t="shared" si="163"/>
        <v>13.316761748109318</v>
      </c>
      <c r="AF210">
        <f t="shared" si="164"/>
        <v>0</v>
      </c>
      <c r="AH210">
        <f t="shared" si="142"/>
        <v>7.8539816339744828</v>
      </c>
      <c r="AI210">
        <f t="shared" si="143"/>
        <v>4.3001244468057527</v>
      </c>
      <c r="AJ210">
        <f t="shared" si="144"/>
        <v>0.50319659660149796</v>
      </c>
      <c r="AK210">
        <f t="shared" si="145"/>
        <v>0.65945907072758325</v>
      </c>
      <c r="AL210" s="9">
        <f t="shared" si="165"/>
        <v>13.316761748109316</v>
      </c>
      <c r="AM210" t="e">
        <f t="shared" si="146"/>
        <v>#N/A</v>
      </c>
      <c r="AN210" t="e">
        <f t="shared" si="166"/>
        <v>#N/A</v>
      </c>
      <c r="AO210">
        <f t="shared" si="147"/>
        <v>0</v>
      </c>
      <c r="AP210">
        <f t="shared" si="148"/>
        <v>0</v>
      </c>
      <c r="AQ210">
        <f t="shared" si="149"/>
        <v>-1.6653345369377348E-15</v>
      </c>
      <c r="AR210">
        <f t="shared" si="167"/>
        <v>0</v>
      </c>
      <c r="AS210">
        <f t="shared" si="150"/>
        <v>0</v>
      </c>
      <c r="AT210">
        <f t="shared" si="168"/>
        <v>0</v>
      </c>
      <c r="AU210">
        <f t="shared" si="169"/>
        <v>0</v>
      </c>
      <c r="AV210">
        <f t="shared" si="151"/>
        <v>2.5980971245187588E-20</v>
      </c>
      <c r="AW210" t="b">
        <f t="shared" si="170"/>
        <v>1</v>
      </c>
      <c r="AX210">
        <f t="shared" si="152"/>
        <v>7.8539816339744828</v>
      </c>
      <c r="AY210">
        <f t="shared" si="153"/>
        <v>4.3001244468057509</v>
      </c>
      <c r="AZ210">
        <f t="shared" si="154"/>
        <v>0.50319659660149962</v>
      </c>
      <c r="BA210">
        <f t="shared" si="155"/>
        <v>0.65945907072758303</v>
      </c>
      <c r="BB210">
        <f t="shared" si="156"/>
        <v>-1.2337005501361696E-20</v>
      </c>
      <c r="BD210" s="15">
        <f t="shared" si="171"/>
        <v>13.316761748109318</v>
      </c>
      <c r="BE210" s="10">
        <f t="shared" si="172"/>
        <v>0</v>
      </c>
      <c r="BF210">
        <f t="shared" si="173"/>
        <v>0</v>
      </c>
      <c r="BG210">
        <f t="shared" si="174"/>
        <v>0</v>
      </c>
      <c r="BH210">
        <f t="shared" si="175"/>
        <v>0</v>
      </c>
      <c r="BI210">
        <f t="shared" si="176"/>
        <v>0</v>
      </c>
    </row>
    <row r="211" spans="1:61" x14ac:dyDescent="0.3">
      <c r="A211">
        <f t="shared" si="181"/>
        <v>0.17399999999999999</v>
      </c>
      <c r="B211">
        <f t="shared" si="124"/>
        <v>0.54663712172462398</v>
      </c>
      <c r="C211">
        <f t="shared" si="125"/>
        <v>2.5949555318651694</v>
      </c>
      <c r="D211">
        <f t="shared" si="126"/>
        <v>2.5949555318651694</v>
      </c>
      <c r="E211">
        <f t="shared" si="131"/>
        <v>0.51981734262070944</v>
      </c>
      <c r="F211">
        <f t="shared" si="132"/>
        <v>0.51981734262070933</v>
      </c>
      <c r="G211">
        <f t="shared" si="127"/>
        <v>0.54663712172462398</v>
      </c>
      <c r="H211">
        <f t="shared" si="128"/>
        <v>0.51981734262070944</v>
      </c>
      <c r="I211">
        <f t="shared" si="129"/>
        <v>0.51981734262070933</v>
      </c>
      <c r="J211">
        <f t="shared" si="177"/>
        <v>1.2246989859130155E+20</v>
      </c>
      <c r="K211">
        <f t="shared" si="178"/>
        <v>1.2246989859130155E+20</v>
      </c>
      <c r="L211">
        <f t="shared" si="133"/>
        <v>1</v>
      </c>
      <c r="M211">
        <f t="shared" si="130"/>
        <v>2.5949555318651692E-20</v>
      </c>
      <c r="N211" s="9">
        <f t="shared" si="179"/>
        <v>2.5949555318651692E-20</v>
      </c>
      <c r="O211">
        <f t="shared" si="180"/>
        <v>2.5949555318651692E-20</v>
      </c>
      <c r="Q211">
        <f t="shared" si="134"/>
        <v>46.25439694789678</v>
      </c>
      <c r="R211">
        <f t="shared" si="135"/>
        <v>-710542.73576010019</v>
      </c>
      <c r="S211">
        <f t="shared" si="157"/>
        <v>-45.098132479492669</v>
      </c>
      <c r="T211" s="9" t="e">
        <f t="shared" si="136"/>
        <v>#N/A</v>
      </c>
      <c r="U211">
        <f t="shared" si="158"/>
        <v>-1.0000000000000001E+300</v>
      </c>
      <c r="V211">
        <f t="shared" si="159"/>
        <v>0</v>
      </c>
      <c r="W211">
        <f t="shared" si="160"/>
        <v>0</v>
      </c>
      <c r="X211">
        <f t="shared" si="137"/>
        <v>2.5949555318651694</v>
      </c>
      <c r="Y211">
        <f t="shared" si="138"/>
        <v>7.8539816339744828</v>
      </c>
      <c r="Z211">
        <f t="shared" si="139"/>
        <v>-2.5949555318651694</v>
      </c>
      <c r="AA211">
        <f t="shared" si="161"/>
        <v>4.2645978988684448</v>
      </c>
      <c r="AB211">
        <f t="shared" si="140"/>
        <v>12.118579532842928</v>
      </c>
      <c r="AC211">
        <f t="shared" si="162"/>
        <v>0.50198667509878636</v>
      </c>
      <c r="AD211">
        <f t="shared" si="141"/>
        <v>0.65427779330532421</v>
      </c>
      <c r="AE211" s="9">
        <f t="shared" si="163"/>
        <v>13.274844001247038</v>
      </c>
      <c r="AF211">
        <f t="shared" si="164"/>
        <v>0</v>
      </c>
      <c r="AH211">
        <f t="shared" si="142"/>
        <v>7.8539816339744828</v>
      </c>
      <c r="AI211">
        <f t="shared" si="143"/>
        <v>4.2645978988684421</v>
      </c>
      <c r="AJ211">
        <f t="shared" si="144"/>
        <v>0.50198667509879158</v>
      </c>
      <c r="AK211">
        <f t="shared" si="145"/>
        <v>0.65427779330532421</v>
      </c>
      <c r="AL211" s="9">
        <f t="shared" si="165"/>
        <v>13.274844001247041</v>
      </c>
      <c r="AM211" t="e">
        <f t="shared" si="146"/>
        <v>#N/A</v>
      </c>
      <c r="AN211" t="e">
        <f t="shared" si="166"/>
        <v>#N/A</v>
      </c>
      <c r="AO211">
        <f t="shared" si="147"/>
        <v>0</v>
      </c>
      <c r="AP211">
        <f t="shared" si="148"/>
        <v>0</v>
      </c>
      <c r="AQ211">
        <f t="shared" si="149"/>
        <v>5.2180482157382357E-15</v>
      </c>
      <c r="AR211">
        <f t="shared" si="167"/>
        <v>0</v>
      </c>
      <c r="AS211">
        <f t="shared" si="150"/>
        <v>0</v>
      </c>
      <c r="AT211">
        <f t="shared" si="168"/>
        <v>0</v>
      </c>
      <c r="AU211">
        <f t="shared" si="169"/>
        <v>0</v>
      </c>
      <c r="AV211">
        <f t="shared" si="151"/>
        <v>2.5949555318651692E-20</v>
      </c>
      <c r="AW211" t="b">
        <f t="shared" si="170"/>
        <v>1</v>
      </c>
      <c r="AX211">
        <f t="shared" si="152"/>
        <v>7.8539816339744828</v>
      </c>
      <c r="AY211">
        <f t="shared" si="153"/>
        <v>4.2645978988684448</v>
      </c>
      <c r="AZ211">
        <f t="shared" si="154"/>
        <v>0.50198667509878636</v>
      </c>
      <c r="BA211">
        <f t="shared" si="155"/>
        <v>0.65427779330532443</v>
      </c>
      <c r="BB211">
        <f t="shared" si="156"/>
        <v>-1.2337005501361696E-20</v>
      </c>
      <c r="BD211" s="15">
        <f t="shared" si="171"/>
        <v>13.274844001247038</v>
      </c>
      <c r="BE211" s="10">
        <f t="shared" si="172"/>
        <v>0</v>
      </c>
      <c r="BF211">
        <f t="shared" si="173"/>
        <v>0</v>
      </c>
      <c r="BG211">
        <f t="shared" si="174"/>
        <v>0</v>
      </c>
      <c r="BH211">
        <f t="shared" si="175"/>
        <v>0</v>
      </c>
      <c r="BI211">
        <f t="shared" si="176"/>
        <v>0</v>
      </c>
    </row>
    <row r="212" spans="1:61" x14ac:dyDescent="0.3">
      <c r="A212">
        <f t="shared" si="181"/>
        <v>0.17499999999999999</v>
      </c>
      <c r="B212">
        <f t="shared" si="124"/>
        <v>0.5497787143782138</v>
      </c>
      <c r="C212">
        <f t="shared" si="125"/>
        <v>2.5918139392115793</v>
      </c>
      <c r="D212">
        <f t="shared" si="126"/>
        <v>2.5918139392115793</v>
      </c>
      <c r="E212">
        <f t="shared" si="131"/>
        <v>0.5224985647159488</v>
      </c>
      <c r="F212">
        <f t="shared" si="132"/>
        <v>0.52249856471594891</v>
      </c>
      <c r="G212">
        <f t="shared" si="127"/>
        <v>0.5497787143782138</v>
      </c>
      <c r="H212">
        <f t="shared" si="128"/>
        <v>0.5224985647159488</v>
      </c>
      <c r="I212">
        <f t="shared" si="129"/>
        <v>0.52249856471594891</v>
      </c>
      <c r="J212">
        <f t="shared" si="177"/>
        <v>1.218414394523119E+20</v>
      </c>
      <c r="K212">
        <f t="shared" si="178"/>
        <v>1.218414394523119E+20</v>
      </c>
      <c r="L212">
        <f t="shared" si="133"/>
        <v>1</v>
      </c>
      <c r="M212">
        <f t="shared" si="130"/>
        <v>2.5918139392115792E-20</v>
      </c>
      <c r="N212" s="9">
        <f t="shared" si="179"/>
        <v>2.5918139392115792E-20</v>
      </c>
      <c r="O212">
        <f t="shared" si="180"/>
        <v>2.5918139392115792E-20</v>
      </c>
      <c r="Q212">
        <f t="shared" si="134"/>
        <v>46.249252196693526</v>
      </c>
      <c r="R212">
        <f t="shared" si="135"/>
        <v>0</v>
      </c>
      <c r="S212">
        <f t="shared" si="157"/>
        <v>-45.099343866678971</v>
      </c>
      <c r="T212" s="9" t="e">
        <f t="shared" si="136"/>
        <v>#N/A</v>
      </c>
      <c r="U212">
        <f t="shared" si="158"/>
        <v>-1.0000000000000001E+300</v>
      </c>
      <c r="V212">
        <f t="shared" si="159"/>
        <v>0</v>
      </c>
      <c r="W212">
        <f t="shared" si="160"/>
        <v>0</v>
      </c>
      <c r="X212">
        <f t="shared" si="137"/>
        <v>2.5918139392115793</v>
      </c>
      <c r="Y212">
        <f t="shared" si="138"/>
        <v>7.8539816339744828</v>
      </c>
      <c r="Z212">
        <f t="shared" si="139"/>
        <v>-2.5918139392115793</v>
      </c>
      <c r="AA212">
        <f t="shared" si="161"/>
        <v>4.2294559494263293</v>
      </c>
      <c r="AB212">
        <f t="shared" si="140"/>
        <v>12.083437583400812</v>
      </c>
      <c r="AC212">
        <f t="shared" si="162"/>
        <v>0.50077528791248915</v>
      </c>
      <c r="AD212">
        <f t="shared" si="141"/>
        <v>0.64913304210206579</v>
      </c>
      <c r="AE212" s="9">
        <f t="shared" si="163"/>
        <v>13.233345913415366</v>
      </c>
      <c r="AF212">
        <f t="shared" si="164"/>
        <v>0</v>
      </c>
      <c r="AH212">
        <f t="shared" si="142"/>
        <v>7.8539816339744828</v>
      </c>
      <c r="AI212">
        <f t="shared" si="143"/>
        <v>4.2294559494263302</v>
      </c>
      <c r="AJ212">
        <f t="shared" si="144"/>
        <v>0.50077528791248938</v>
      </c>
      <c r="AK212">
        <f t="shared" si="145"/>
        <v>0.64913304210206579</v>
      </c>
      <c r="AL212" s="9">
        <f t="shared" si="165"/>
        <v>13.233345913415366</v>
      </c>
      <c r="AM212" t="e">
        <f t="shared" si="146"/>
        <v>#N/A</v>
      </c>
      <c r="AN212" t="e">
        <f t="shared" si="166"/>
        <v>#N/A</v>
      </c>
      <c r="AO212">
        <f t="shared" si="147"/>
        <v>0</v>
      </c>
      <c r="AP212">
        <f t="shared" si="148"/>
        <v>0</v>
      </c>
      <c r="AQ212">
        <f t="shared" si="149"/>
        <v>0</v>
      </c>
      <c r="AR212">
        <f t="shared" si="167"/>
        <v>0</v>
      </c>
      <c r="AS212">
        <f t="shared" si="150"/>
        <v>0</v>
      </c>
      <c r="AT212">
        <f t="shared" si="168"/>
        <v>0</v>
      </c>
      <c r="AU212">
        <f t="shared" si="169"/>
        <v>0</v>
      </c>
      <c r="AV212">
        <f t="shared" si="151"/>
        <v>2.5918139392115792E-20</v>
      </c>
      <c r="AW212" t="b">
        <f t="shared" si="170"/>
        <v>1</v>
      </c>
      <c r="AX212">
        <f t="shared" si="152"/>
        <v>7.8539816339744828</v>
      </c>
      <c r="AY212">
        <f t="shared" si="153"/>
        <v>4.2294559494263293</v>
      </c>
      <c r="AZ212">
        <f t="shared" si="154"/>
        <v>0.50077528791248938</v>
      </c>
      <c r="BA212">
        <f t="shared" si="155"/>
        <v>0.64913304210206557</v>
      </c>
      <c r="BB212">
        <f t="shared" si="156"/>
        <v>-1.2337005501361696E-20</v>
      </c>
      <c r="BD212" s="15">
        <f t="shared" si="171"/>
        <v>13.233345913415366</v>
      </c>
      <c r="BE212" s="10">
        <f t="shared" si="172"/>
        <v>0</v>
      </c>
      <c r="BF212">
        <f t="shared" si="173"/>
        <v>0</v>
      </c>
      <c r="BG212">
        <f t="shared" si="174"/>
        <v>0</v>
      </c>
      <c r="BH212">
        <f t="shared" si="175"/>
        <v>0</v>
      </c>
      <c r="BI212">
        <f t="shared" si="176"/>
        <v>0</v>
      </c>
    </row>
    <row r="213" spans="1:61" x14ac:dyDescent="0.3">
      <c r="A213">
        <f t="shared" si="181"/>
        <v>0.17599999999999999</v>
      </c>
      <c r="B213">
        <f t="shared" si="124"/>
        <v>0.5529203070318035</v>
      </c>
      <c r="C213">
        <f t="shared" si="125"/>
        <v>2.5886723465579897</v>
      </c>
      <c r="D213">
        <f t="shared" si="126"/>
        <v>2.5886723465579897</v>
      </c>
      <c r="E213">
        <f t="shared" si="131"/>
        <v>0.5251746299612956</v>
      </c>
      <c r="F213">
        <f t="shared" si="132"/>
        <v>0.5251746299612956</v>
      </c>
      <c r="G213">
        <f t="shared" si="127"/>
        <v>0.5529203070318035</v>
      </c>
      <c r="H213">
        <f t="shared" si="128"/>
        <v>0.5251746299612956</v>
      </c>
      <c r="I213">
        <f t="shared" si="129"/>
        <v>0.5251746299612956</v>
      </c>
      <c r="J213">
        <f t="shared" si="177"/>
        <v>1.212205876004519E+20</v>
      </c>
      <c r="K213">
        <f t="shared" si="178"/>
        <v>1.212205876004519E+20</v>
      </c>
      <c r="L213">
        <f t="shared" si="133"/>
        <v>1</v>
      </c>
      <c r="M213">
        <f t="shared" si="130"/>
        <v>2.5886723465579895E-20</v>
      </c>
      <c r="N213" s="9">
        <f t="shared" si="179"/>
        <v>2.5886723465579895E-20</v>
      </c>
      <c r="O213">
        <f t="shared" si="180"/>
        <v>2.5886723465579895E-20</v>
      </c>
      <c r="Q213">
        <f t="shared" si="134"/>
        <v>46.244143597792863</v>
      </c>
      <c r="R213">
        <f t="shared" si="135"/>
        <v>0</v>
      </c>
      <c r="S213">
        <f t="shared" si="157"/>
        <v>-45.100556723104177</v>
      </c>
      <c r="T213" s="9" t="e">
        <f t="shared" si="136"/>
        <v>#N/A</v>
      </c>
      <c r="U213">
        <f t="shared" si="158"/>
        <v>-1.0000000000000001E+300</v>
      </c>
      <c r="V213">
        <f t="shared" si="159"/>
        <v>0</v>
      </c>
      <c r="W213">
        <f t="shared" si="160"/>
        <v>0</v>
      </c>
      <c r="X213">
        <f t="shared" si="137"/>
        <v>2.5886723465579897</v>
      </c>
      <c r="Y213">
        <f t="shared" si="138"/>
        <v>7.8539816339744828</v>
      </c>
      <c r="Z213">
        <f t="shared" si="139"/>
        <v>-2.5886723465579897</v>
      </c>
      <c r="AA213">
        <f t="shared" si="161"/>
        <v>4.1946921203290399</v>
      </c>
      <c r="AB213">
        <f t="shared" si="140"/>
        <v>12.048673754303522</v>
      </c>
      <c r="AC213">
        <f t="shared" si="162"/>
        <v>0.49956243148728002</v>
      </c>
      <c r="AD213">
        <f t="shared" si="141"/>
        <v>0.64402444320140162</v>
      </c>
      <c r="AE213" s="9">
        <f t="shared" si="163"/>
        <v>13.192260628992203</v>
      </c>
      <c r="AF213">
        <f t="shared" si="164"/>
        <v>0</v>
      </c>
      <c r="AH213">
        <f t="shared" si="142"/>
        <v>7.8539816339744828</v>
      </c>
      <c r="AI213">
        <f t="shared" si="143"/>
        <v>4.194692120329039</v>
      </c>
      <c r="AJ213">
        <f t="shared" si="144"/>
        <v>0.49956243148728419</v>
      </c>
      <c r="AK213">
        <f t="shared" si="145"/>
        <v>0.64402444320140162</v>
      </c>
      <c r="AL213" s="9">
        <f t="shared" si="165"/>
        <v>13.192260628992207</v>
      </c>
      <c r="AM213" t="e">
        <f t="shared" si="146"/>
        <v>#N/A</v>
      </c>
      <c r="AN213" t="e">
        <f t="shared" si="166"/>
        <v>#N/A</v>
      </c>
      <c r="AO213">
        <f t="shared" si="147"/>
        <v>0</v>
      </c>
      <c r="AP213">
        <f t="shared" si="148"/>
        <v>0</v>
      </c>
      <c r="AQ213">
        <f t="shared" si="149"/>
        <v>4.163336342344337E-15</v>
      </c>
      <c r="AR213">
        <f t="shared" si="167"/>
        <v>0</v>
      </c>
      <c r="AS213">
        <f t="shared" si="150"/>
        <v>0</v>
      </c>
      <c r="AT213">
        <f t="shared" si="168"/>
        <v>0</v>
      </c>
      <c r="AU213">
        <f t="shared" si="169"/>
        <v>0</v>
      </c>
      <c r="AV213">
        <f t="shared" si="151"/>
        <v>2.5886723465579895E-20</v>
      </c>
      <c r="AW213" t="b">
        <f t="shared" si="170"/>
        <v>1</v>
      </c>
      <c r="AX213">
        <f t="shared" si="152"/>
        <v>7.8539816339744828</v>
      </c>
      <c r="AY213">
        <f t="shared" si="153"/>
        <v>4.194692120329039</v>
      </c>
      <c r="AZ213">
        <f t="shared" si="154"/>
        <v>0.49956243148728002</v>
      </c>
      <c r="BA213">
        <f t="shared" si="155"/>
        <v>0.64402444320140162</v>
      </c>
      <c r="BB213">
        <f t="shared" si="156"/>
        <v>-1.2337005501361696E-20</v>
      </c>
      <c r="BD213" s="15">
        <f t="shared" si="171"/>
        <v>13.192260628992203</v>
      </c>
      <c r="BE213" s="10">
        <f t="shared" si="172"/>
        <v>0</v>
      </c>
      <c r="BF213">
        <f t="shared" si="173"/>
        <v>0</v>
      </c>
      <c r="BG213">
        <f t="shared" si="174"/>
        <v>0</v>
      </c>
      <c r="BH213">
        <f t="shared" si="175"/>
        <v>0</v>
      </c>
      <c r="BI213">
        <f t="shared" si="176"/>
        <v>0</v>
      </c>
    </row>
    <row r="214" spans="1:61" x14ac:dyDescent="0.3">
      <c r="A214">
        <f t="shared" si="181"/>
        <v>0.17699999999999999</v>
      </c>
      <c r="B214">
        <f t="shared" si="124"/>
        <v>0.55606189968539332</v>
      </c>
      <c r="C214">
        <f t="shared" si="125"/>
        <v>2.5855307539043997</v>
      </c>
      <c r="D214">
        <f t="shared" si="126"/>
        <v>2.5855307539043997</v>
      </c>
      <c r="E214">
        <f t="shared" si="131"/>
        <v>0.52784551194506635</v>
      </c>
      <c r="F214">
        <f t="shared" si="132"/>
        <v>0.52784551194506657</v>
      </c>
      <c r="G214">
        <f t="shared" si="127"/>
        <v>0.55606189968539332</v>
      </c>
      <c r="H214">
        <f t="shared" si="128"/>
        <v>0.52784551194506635</v>
      </c>
      <c r="I214">
        <f t="shared" si="129"/>
        <v>0.52784551194506657</v>
      </c>
      <c r="J214">
        <f t="shared" si="177"/>
        <v>1.2060721517204742E+20</v>
      </c>
      <c r="K214">
        <f t="shared" si="178"/>
        <v>1.2060721517204742E+20</v>
      </c>
      <c r="L214">
        <f t="shared" si="133"/>
        <v>1</v>
      </c>
      <c r="M214">
        <f t="shared" si="130"/>
        <v>2.5855307539043996E-20</v>
      </c>
      <c r="N214" s="9">
        <f t="shared" si="179"/>
        <v>2.5855307539043996E-20</v>
      </c>
      <c r="O214">
        <f t="shared" si="180"/>
        <v>2.5855307539043996E-20</v>
      </c>
      <c r="Q214">
        <f t="shared" si="134"/>
        <v>46.23907078369357</v>
      </c>
      <c r="R214">
        <f t="shared" si="135"/>
        <v>0</v>
      </c>
      <c r="S214">
        <f t="shared" si="157"/>
        <v>-45.101771052336581</v>
      </c>
      <c r="T214" s="9" t="e">
        <f t="shared" si="136"/>
        <v>#N/A</v>
      </c>
      <c r="U214">
        <f t="shared" si="158"/>
        <v>-1.0000000000000001E+300</v>
      </c>
      <c r="V214">
        <f t="shared" si="159"/>
        <v>0</v>
      </c>
      <c r="W214">
        <f t="shared" si="160"/>
        <v>0</v>
      </c>
      <c r="X214">
        <f t="shared" si="137"/>
        <v>2.5855307539043997</v>
      </c>
      <c r="Y214">
        <f t="shared" si="138"/>
        <v>7.8539816339744828</v>
      </c>
      <c r="Z214">
        <f t="shared" si="139"/>
        <v>-2.5855307539043997</v>
      </c>
      <c r="AA214">
        <f t="shared" si="161"/>
        <v>4.1603000796998675</v>
      </c>
      <c r="AB214">
        <f t="shared" si="140"/>
        <v>12.01428171367435</v>
      </c>
      <c r="AC214">
        <f t="shared" si="162"/>
        <v>0.49834810225487802</v>
      </c>
      <c r="AD214">
        <f t="shared" si="141"/>
        <v>0.63895162910210934</v>
      </c>
      <c r="AE214" s="9">
        <f t="shared" si="163"/>
        <v>13.151581445031338</v>
      </c>
      <c r="AF214">
        <f t="shared" si="164"/>
        <v>0</v>
      </c>
      <c r="AH214">
        <f t="shared" si="142"/>
        <v>7.8539816339744828</v>
      </c>
      <c r="AI214">
        <f t="shared" si="143"/>
        <v>4.1603000796998684</v>
      </c>
      <c r="AJ214">
        <f t="shared" si="144"/>
        <v>0.49834810225488013</v>
      </c>
      <c r="AK214">
        <f t="shared" si="145"/>
        <v>0.63895162910210934</v>
      </c>
      <c r="AL214" s="9">
        <f t="shared" si="165"/>
        <v>13.15158144503134</v>
      </c>
      <c r="AM214" t="e">
        <f t="shared" si="146"/>
        <v>#N/A</v>
      </c>
      <c r="AN214" t="e">
        <f t="shared" si="166"/>
        <v>#N/A</v>
      </c>
      <c r="AO214">
        <f t="shared" si="147"/>
        <v>0</v>
      </c>
      <c r="AP214">
        <f t="shared" si="148"/>
        <v>0</v>
      </c>
      <c r="AQ214">
        <f t="shared" si="149"/>
        <v>2.1094237467877974E-15</v>
      </c>
      <c r="AR214">
        <f t="shared" si="167"/>
        <v>0</v>
      </c>
      <c r="AS214">
        <f t="shared" si="150"/>
        <v>0</v>
      </c>
      <c r="AT214">
        <f t="shared" si="168"/>
        <v>0</v>
      </c>
      <c r="AU214">
        <f t="shared" si="169"/>
        <v>0</v>
      </c>
      <c r="AV214">
        <f t="shared" si="151"/>
        <v>2.5855307539043996E-20</v>
      </c>
      <c r="AW214" t="b">
        <f t="shared" si="170"/>
        <v>1</v>
      </c>
      <c r="AX214">
        <f t="shared" si="152"/>
        <v>7.8539816339744828</v>
      </c>
      <c r="AY214">
        <f t="shared" si="153"/>
        <v>4.1603000796998657</v>
      </c>
      <c r="AZ214">
        <f t="shared" si="154"/>
        <v>0.49834810225487813</v>
      </c>
      <c r="BA214">
        <f t="shared" si="155"/>
        <v>0.6389516291021089</v>
      </c>
      <c r="BB214">
        <f t="shared" si="156"/>
        <v>-1.2337005501361696E-20</v>
      </c>
      <c r="BD214" s="15">
        <f t="shared" si="171"/>
        <v>13.151581445031336</v>
      </c>
      <c r="BE214" s="10">
        <f t="shared" si="172"/>
        <v>0</v>
      </c>
      <c r="BF214">
        <f t="shared" si="173"/>
        <v>0</v>
      </c>
      <c r="BG214">
        <f t="shared" si="174"/>
        <v>0</v>
      </c>
      <c r="BH214">
        <f t="shared" si="175"/>
        <v>0</v>
      </c>
      <c r="BI214">
        <f t="shared" si="176"/>
        <v>0</v>
      </c>
    </row>
    <row r="215" spans="1:61" x14ac:dyDescent="0.3">
      <c r="A215">
        <f t="shared" si="181"/>
        <v>0.17799999999999999</v>
      </c>
      <c r="B215">
        <f t="shared" si="124"/>
        <v>0.55920349233898314</v>
      </c>
      <c r="C215">
        <f t="shared" si="125"/>
        <v>2.5823891612508101</v>
      </c>
      <c r="D215">
        <f t="shared" si="126"/>
        <v>2.5823891612508101</v>
      </c>
      <c r="E215">
        <f t="shared" si="131"/>
        <v>0.53051118430673405</v>
      </c>
      <c r="F215">
        <f t="shared" si="132"/>
        <v>0.53051118430673405</v>
      </c>
      <c r="G215">
        <f t="shared" si="127"/>
        <v>0.55920349233898314</v>
      </c>
      <c r="H215">
        <f t="shared" si="128"/>
        <v>0.53051118430673405</v>
      </c>
      <c r="I215">
        <f t="shared" si="129"/>
        <v>0.53051118430673405</v>
      </c>
      <c r="J215">
        <f t="shared" si="177"/>
        <v>1.2000119718484519E+20</v>
      </c>
      <c r="K215">
        <f t="shared" si="178"/>
        <v>1.2000119718484519E+20</v>
      </c>
      <c r="L215">
        <f t="shared" si="133"/>
        <v>1</v>
      </c>
      <c r="M215">
        <f t="shared" si="130"/>
        <v>2.5823891612508099E-20</v>
      </c>
      <c r="N215" s="9">
        <f t="shared" si="179"/>
        <v>2.5823891612508099E-20</v>
      </c>
      <c r="O215">
        <f t="shared" si="180"/>
        <v>2.5823891612508099E-20</v>
      </c>
      <c r="Q215">
        <f t="shared" si="134"/>
        <v>46.234033393165483</v>
      </c>
      <c r="R215">
        <f t="shared" si="135"/>
        <v>0</v>
      </c>
      <c r="S215">
        <f t="shared" si="157"/>
        <v>-45.102986857957468</v>
      </c>
      <c r="T215" s="9" t="e">
        <f t="shared" si="136"/>
        <v>#N/A</v>
      </c>
      <c r="U215">
        <f t="shared" si="158"/>
        <v>-1.0000000000000001E+300</v>
      </c>
      <c r="V215">
        <f t="shared" si="159"/>
        <v>0</v>
      </c>
      <c r="W215">
        <f t="shared" si="160"/>
        <v>0</v>
      </c>
      <c r="X215">
        <f t="shared" si="137"/>
        <v>2.5823891612508101</v>
      </c>
      <c r="Y215">
        <f t="shared" si="138"/>
        <v>7.8539816339744828</v>
      </c>
      <c r="Z215">
        <f t="shared" si="139"/>
        <v>-2.5823891612508101</v>
      </c>
      <c r="AA215">
        <f t="shared" si="161"/>
        <v>4.1262736378276008</v>
      </c>
      <c r="AB215">
        <f t="shared" si="140"/>
        <v>11.980255271802083</v>
      </c>
      <c r="AC215">
        <f t="shared" si="162"/>
        <v>0.49713229663398822</v>
      </c>
      <c r="AD215">
        <f t="shared" si="141"/>
        <v>0.63391423857402063</v>
      </c>
      <c r="AE215" s="9">
        <f t="shared" si="163"/>
        <v>13.111301807010092</v>
      </c>
      <c r="AF215">
        <f t="shared" si="164"/>
        <v>0</v>
      </c>
      <c r="AH215">
        <f t="shared" si="142"/>
        <v>7.8539816339744828</v>
      </c>
      <c r="AI215">
        <f t="shared" si="143"/>
        <v>4.1262736378275999</v>
      </c>
      <c r="AJ215">
        <f t="shared" si="144"/>
        <v>0.49713229663399261</v>
      </c>
      <c r="AK215">
        <f t="shared" si="145"/>
        <v>0.63391423857402063</v>
      </c>
      <c r="AL215" s="9">
        <f t="shared" si="165"/>
        <v>13.111301807010095</v>
      </c>
      <c r="AM215" t="e">
        <f t="shared" si="146"/>
        <v>#N/A</v>
      </c>
      <c r="AN215" t="e">
        <f t="shared" si="166"/>
        <v>#N/A</v>
      </c>
      <c r="AO215">
        <f t="shared" si="147"/>
        <v>0</v>
      </c>
      <c r="AP215">
        <f t="shared" si="148"/>
        <v>0</v>
      </c>
      <c r="AQ215">
        <f t="shared" si="149"/>
        <v>4.3853809472693683E-15</v>
      </c>
      <c r="AR215">
        <f t="shared" si="167"/>
        <v>0</v>
      </c>
      <c r="AS215">
        <f t="shared" si="150"/>
        <v>0</v>
      </c>
      <c r="AT215">
        <f t="shared" si="168"/>
        <v>0</v>
      </c>
      <c r="AU215">
        <f t="shared" si="169"/>
        <v>0</v>
      </c>
      <c r="AV215">
        <f t="shared" si="151"/>
        <v>2.5823891612508099E-20</v>
      </c>
      <c r="AW215" t="b">
        <f t="shared" si="170"/>
        <v>1</v>
      </c>
      <c r="AX215">
        <f t="shared" si="152"/>
        <v>7.8539816339744828</v>
      </c>
      <c r="AY215">
        <f t="shared" si="153"/>
        <v>4.1262736378275999</v>
      </c>
      <c r="AZ215">
        <f t="shared" si="154"/>
        <v>0.49713229663398822</v>
      </c>
      <c r="BA215">
        <f t="shared" si="155"/>
        <v>0.63391423857402063</v>
      </c>
      <c r="BB215">
        <f t="shared" si="156"/>
        <v>-1.2337005501361696E-20</v>
      </c>
      <c r="BD215" s="15">
        <f t="shared" si="171"/>
        <v>13.111301807010092</v>
      </c>
      <c r="BE215" s="10">
        <f t="shared" si="172"/>
        <v>0</v>
      </c>
      <c r="BF215">
        <f t="shared" si="173"/>
        <v>0</v>
      </c>
      <c r="BG215">
        <f t="shared" si="174"/>
        <v>0</v>
      </c>
      <c r="BH215">
        <f t="shared" si="175"/>
        <v>0</v>
      </c>
      <c r="BI215">
        <f t="shared" si="176"/>
        <v>0</v>
      </c>
    </row>
    <row r="216" spans="1:61" x14ac:dyDescent="0.3">
      <c r="A216">
        <f t="shared" si="181"/>
        <v>0.17899999999999999</v>
      </c>
      <c r="B216">
        <f t="shared" ref="B216:B279" si="182">th_max*A216</f>
        <v>0.56234508499257296</v>
      </c>
      <c r="C216">
        <f t="shared" ref="C216:C279" si="183">th_max-B216</f>
        <v>2.57924756859722</v>
      </c>
      <c r="D216">
        <f t="shared" ref="D216:D279" si="184">IF(use_th_l,B216,C216)</f>
        <v>2.57924756859722</v>
      </c>
      <c r="E216">
        <f t="shared" si="131"/>
        <v>0.5331716207371886</v>
      </c>
      <c r="F216">
        <f t="shared" si="132"/>
        <v>0.53317162073718882</v>
      </c>
      <c r="G216">
        <f t="shared" ref="G216:G279" si="185">alpha*B216</f>
        <v>0.56234508499257296</v>
      </c>
      <c r="H216">
        <f t="shared" ref="H216:H279" si="186">SIN(G216)</f>
        <v>0.5331716207371886</v>
      </c>
      <c r="I216">
        <f t="shared" ref="I216:I279" si="187">SIN(alpha*C216+add_r)</f>
        <v>0.53317162073718882</v>
      </c>
      <c r="J216">
        <f t="shared" si="177"/>
        <v>1.1940241145756416E+20</v>
      </c>
      <c r="K216">
        <f t="shared" si="178"/>
        <v>1.1940241145756416E+20</v>
      </c>
      <c r="L216" t="e">
        <f t="shared" si="133"/>
        <v>#NUM!</v>
      </c>
      <c r="M216">
        <f t="shared" ref="M216:M279" si="188">-SIN((alpha_m_1)*B216+add_l)</f>
        <v>2.57924756859722E-20</v>
      </c>
      <c r="N216" s="9" t="e">
        <f t="shared" si="179"/>
        <v>#NUM!</v>
      </c>
      <c r="O216" t="e">
        <f t="shared" si="180"/>
        <v>#NUM!</v>
      </c>
      <c r="Q216">
        <f t="shared" si="134"/>
        <v>46.229031071109389</v>
      </c>
      <c r="R216">
        <f t="shared" si="135"/>
        <v>0</v>
      </c>
      <c r="S216">
        <f t="shared" si="157"/>
        <v>-45.104204143561219</v>
      </c>
      <c r="T216" s="9" t="e">
        <f t="shared" si="136"/>
        <v>#N/A</v>
      </c>
      <c r="U216">
        <f t="shared" si="158"/>
        <v>-1.0000000000000001E+300</v>
      </c>
      <c r="V216">
        <f t="shared" si="159"/>
        <v>0</v>
      </c>
      <c r="W216">
        <f t="shared" si="160"/>
        <v>0</v>
      </c>
      <c r="X216">
        <f t="shared" si="137"/>
        <v>2.57924756859722</v>
      </c>
      <c r="Y216">
        <f t="shared" si="138"/>
        <v>7.8539816339744828</v>
      </c>
      <c r="Z216">
        <f t="shared" si="139"/>
        <v>-2.57924756859722</v>
      </c>
      <c r="AA216">
        <f t="shared" si="161"/>
        <v>4.0926067431959892</v>
      </c>
      <c r="AB216">
        <f t="shared" si="140"/>
        <v>11.946588377170471</v>
      </c>
      <c r="AC216">
        <f t="shared" si="162"/>
        <v>0.49591501103023644</v>
      </c>
      <c r="AD216">
        <f t="shared" si="141"/>
        <v>0.62891191651793066</v>
      </c>
      <c r="AE216" s="9">
        <f t="shared" si="163"/>
        <v>13.071415304718638</v>
      </c>
      <c r="AF216">
        <f t="shared" si="164"/>
        <v>0</v>
      </c>
      <c r="AH216">
        <f t="shared" si="142"/>
        <v>7.8539816339744828</v>
      </c>
      <c r="AI216">
        <f t="shared" si="143"/>
        <v>4.0926067431959909</v>
      </c>
      <c r="AJ216">
        <f t="shared" si="144"/>
        <v>0.49591501103024171</v>
      </c>
      <c r="AK216">
        <f t="shared" si="145"/>
        <v>0.62891191651793066</v>
      </c>
      <c r="AL216" s="9">
        <f t="shared" si="165"/>
        <v>13.071415304718647</v>
      </c>
      <c r="AM216" t="e">
        <f t="shared" si="146"/>
        <v>#N/A</v>
      </c>
      <c r="AN216" t="e">
        <f t="shared" si="166"/>
        <v>#N/A</v>
      </c>
      <c r="AO216">
        <f t="shared" si="147"/>
        <v>0</v>
      </c>
      <c r="AP216">
        <f t="shared" si="148"/>
        <v>0</v>
      </c>
      <c r="AQ216">
        <f t="shared" si="149"/>
        <v>5.2735593669694936E-15</v>
      </c>
      <c r="AR216">
        <f t="shared" si="167"/>
        <v>0</v>
      </c>
      <c r="AS216">
        <f t="shared" si="150"/>
        <v>0</v>
      </c>
      <c r="AT216">
        <f t="shared" si="168"/>
        <v>0</v>
      </c>
      <c r="AU216">
        <f t="shared" si="169"/>
        <v>0</v>
      </c>
      <c r="AV216">
        <f t="shared" si="151"/>
        <v>2.57924756859722E-20</v>
      </c>
      <c r="AW216" t="b">
        <f t="shared" si="170"/>
        <v>1</v>
      </c>
      <c r="AX216">
        <f t="shared" si="152"/>
        <v>7.8539816339744828</v>
      </c>
      <c r="AY216">
        <f t="shared" si="153"/>
        <v>4.0926067431959883</v>
      </c>
      <c r="AZ216">
        <f t="shared" si="154"/>
        <v>0.49591501103023655</v>
      </c>
      <c r="BA216">
        <f t="shared" si="155"/>
        <v>0.62891191651793033</v>
      </c>
      <c r="BB216">
        <f t="shared" si="156"/>
        <v>-1.2337005501361696E-20</v>
      </c>
      <c r="BD216" s="15">
        <f t="shared" si="171"/>
        <v>13.071415304718638</v>
      </c>
      <c r="BE216" s="10">
        <f t="shared" si="172"/>
        <v>0</v>
      </c>
      <c r="BF216">
        <f t="shared" si="173"/>
        <v>0</v>
      </c>
      <c r="BG216">
        <f t="shared" si="174"/>
        <v>0</v>
      </c>
      <c r="BH216">
        <f t="shared" si="175"/>
        <v>0</v>
      </c>
      <c r="BI216">
        <f t="shared" si="176"/>
        <v>0</v>
      </c>
    </row>
    <row r="217" spans="1:61" x14ac:dyDescent="0.3">
      <c r="A217">
        <f t="shared" si="181"/>
        <v>0.18</v>
      </c>
      <c r="B217">
        <f t="shared" si="182"/>
        <v>0.56548667764616278</v>
      </c>
      <c r="C217">
        <f t="shared" si="183"/>
        <v>2.5761059759436304</v>
      </c>
      <c r="D217">
        <f t="shared" si="184"/>
        <v>2.5761059759436304</v>
      </c>
      <c r="E217">
        <f t="shared" ref="E217:E280" si="189">SIN(B217-add_l)</f>
        <v>0.53582679497899666</v>
      </c>
      <c r="F217">
        <f t="shared" ref="F217:F280" si="190">SIN(C217)</f>
        <v>0.53582679497899666</v>
      </c>
      <c r="G217">
        <f t="shared" si="185"/>
        <v>0.56548667764616278</v>
      </c>
      <c r="H217">
        <f t="shared" si="186"/>
        <v>0.53582679497899666</v>
      </c>
      <c r="I217">
        <f t="shared" si="187"/>
        <v>0.53582679497899666</v>
      </c>
      <c r="J217">
        <f t="shared" si="177"/>
        <v>1.1881073853212877E+20</v>
      </c>
      <c r="K217">
        <f t="shared" si="178"/>
        <v>1.1881073853212877E+20</v>
      </c>
      <c r="L217">
        <f t="shared" ref="L217:L280" si="191">(cat0*E217*K217)^(1/(alpha_m_1))</f>
        <v>1</v>
      </c>
      <c r="M217">
        <f t="shared" si="188"/>
        <v>2.5761059759436303E-20</v>
      </c>
      <c r="N217" s="9">
        <f t="shared" si="179"/>
        <v>2.5761059759436303E-20</v>
      </c>
      <c r="O217">
        <f t="shared" si="180"/>
        <v>2.5761059759436303E-20</v>
      </c>
      <c r="Q217">
        <f t="shared" ref="Q217:Q280" si="192">alpha*LN(J217)</f>
        <v>46.224063468420873</v>
      </c>
      <c r="R217">
        <f t="shared" ref="R217:R280" si="193">(LN(cat0)+LN(E217)+Q217)/(alpha_m_1)</f>
        <v>0</v>
      </c>
      <c r="S217">
        <f t="shared" si="157"/>
        <v>-45.105422912755351</v>
      </c>
      <c r="T217" s="9" t="e">
        <f t="shared" ref="T217:T280" si="194">IF(ABS(alpha_m_1)&gt;0.00000000000001,R217+S217,NA())</f>
        <v>#N/A</v>
      </c>
      <c r="U217">
        <f t="shared" si="158"/>
        <v>-1.0000000000000001E+300</v>
      </c>
      <c r="V217">
        <f t="shared" si="159"/>
        <v>0</v>
      </c>
      <c r="W217">
        <f t="shared" si="160"/>
        <v>0</v>
      </c>
      <c r="X217">
        <f t="shared" ref="X217:X280" si="195">C217</f>
        <v>2.5761059759436304</v>
      </c>
      <c r="Y217">
        <f t="shared" ref="Y217:Y280" si="196">ea</f>
        <v>7.8539816339744828</v>
      </c>
      <c r="Z217">
        <f t="shared" ref="Z217:Z280" si="197">p2b+PI()/2-X217</f>
        <v>-2.5761059759436304</v>
      </c>
      <c r="AA217">
        <f t="shared" si="161"/>
        <v>4.0592934786456292</v>
      </c>
      <c r="AB217">
        <f t="shared" ref="AB217:AB280" si="198">$AA$7+AA217</f>
        <v>11.913275112620113</v>
      </c>
      <c r="AC217">
        <f t="shared" si="162"/>
        <v>0.49469624183610711</v>
      </c>
      <c r="AD217">
        <f t="shared" ref="AD217:AD280" si="199">-LN(SIN(A217*PI()))</f>
        <v>0.6239443138294114</v>
      </c>
      <c r="AE217" s="9">
        <f t="shared" si="163"/>
        <v>13.031915668285633</v>
      </c>
      <c r="AF217">
        <f t="shared" si="164"/>
        <v>0</v>
      </c>
      <c r="AH217">
        <f t="shared" ref="AH217:AH280" si="200">IF(use_alpha_near_1,$D$18,NA())</f>
        <v>7.8539816339744828</v>
      </c>
      <c r="AI217">
        <f t="shared" ref="AI217:AI280" si="201">IF(use_alpha_near_1,alpha/(alpha_m_1)*(log1p(-SIN(add_l)*_xlfn.COT(B217)-2*SIN(add_l/2)^2)-log1p(SIN(alpha_m_1*B217)*_xlfn.COT(B217)-2*SIN(alpha_m_1*B217/2)^2)),NA())</f>
        <v>4.0592934786456283</v>
      </c>
      <c r="AJ217">
        <f t="shared" ref="AJ217:AJ280" si="202">IF(use_alpha_near_1,$D$21+LN(M217),NA())</f>
        <v>0.49469624183610961</v>
      </c>
      <c r="AK217">
        <f t="shared" ref="AK217:AK280" si="203">IF(use_alpha_near_1,-LN(E217),NA())</f>
        <v>0.6239443138294114</v>
      </c>
      <c r="AL217" s="9">
        <f t="shared" si="165"/>
        <v>13.031915668285633</v>
      </c>
      <c r="AM217" t="e">
        <f t="shared" ref="AM217:AM280" si="204">AL217-T217</f>
        <v>#N/A</v>
      </c>
      <c r="AN217" t="e">
        <f t="shared" si="166"/>
        <v>#N/A</v>
      </c>
      <c r="AO217">
        <f t="shared" ref="AO217:AO280" si="205">AH217-Y217</f>
        <v>0</v>
      </c>
      <c r="AP217">
        <f t="shared" ref="AP217:AP280" si="206">AI217-AA217</f>
        <v>0</v>
      </c>
      <c r="AQ217">
        <f t="shared" ref="AQ217:AQ280" si="207">AJ217-AC217</f>
        <v>2.4980018054066022E-15</v>
      </c>
      <c r="AR217">
        <f t="shared" si="167"/>
        <v>0</v>
      </c>
      <c r="AS217">
        <f t="shared" ref="AS217:AS280" si="208">AL217-AE217</f>
        <v>0</v>
      </c>
      <c r="AT217">
        <f t="shared" si="168"/>
        <v>0</v>
      </c>
      <c r="AU217">
        <f t="shared" si="169"/>
        <v>0</v>
      </c>
      <c r="AV217">
        <f t="shared" ref="AV217:AV280" si="209">alpha_m_1*C217+add_r</f>
        <v>2.5761059759436303E-20</v>
      </c>
      <c r="AW217" t="b">
        <f t="shared" si="170"/>
        <v>1</v>
      </c>
      <c r="AX217">
        <f t="shared" ref="AX217:AX280" si="210">IF(use_alpha_near_1,$D$18,NA())</f>
        <v>7.8539816339744828</v>
      </c>
      <c r="AY217">
        <f t="shared" ref="AY217:AY280" si="211">-alpha/alpha_m_1*log1p(_xlfn.COT(C217)*SIN(AV217)-2*SIN(AV217/2)^2)</f>
        <v>4.0592934786456283</v>
      </c>
      <c r="AZ217">
        <f t="shared" ref="AZ217:AZ280" si="212">LN(ABS(zeta)*SIN(AV217))</f>
        <v>0.49469624183610711</v>
      </c>
      <c r="BA217">
        <f t="shared" ref="BA217:BA280" si="213">-LN(SIN(C217))</f>
        <v>0.6239443138294114</v>
      </c>
      <c r="BB217">
        <f t="shared" ref="BB217:BB280" si="214">-log1p(zeta^-2)/(2*alpha_m_1)</f>
        <v>-1.2337005501361696E-20</v>
      </c>
      <c r="BD217" s="15">
        <f t="shared" si="171"/>
        <v>13.031915668285631</v>
      </c>
      <c r="BE217" s="10">
        <f t="shared" si="172"/>
        <v>0</v>
      </c>
      <c r="BF217">
        <f t="shared" si="173"/>
        <v>0</v>
      </c>
      <c r="BG217">
        <f t="shared" si="174"/>
        <v>0</v>
      </c>
      <c r="BH217">
        <f t="shared" si="175"/>
        <v>0</v>
      </c>
      <c r="BI217">
        <f t="shared" si="176"/>
        <v>0</v>
      </c>
    </row>
    <row r="218" spans="1:61" x14ac:dyDescent="0.3">
      <c r="A218">
        <f t="shared" si="181"/>
        <v>0.18099999999999999</v>
      </c>
      <c r="B218">
        <f t="shared" si="182"/>
        <v>0.56862827029975249</v>
      </c>
      <c r="C218">
        <f t="shared" si="183"/>
        <v>2.5729643832900404</v>
      </c>
      <c r="D218">
        <f t="shared" si="184"/>
        <v>2.5729643832900404</v>
      </c>
      <c r="E218">
        <f t="shared" si="189"/>
        <v>0.53847668082666011</v>
      </c>
      <c r="F218">
        <f t="shared" si="190"/>
        <v>0.53847668082666045</v>
      </c>
      <c r="G218">
        <f t="shared" si="185"/>
        <v>0.56862827029975249</v>
      </c>
      <c r="H218">
        <f t="shared" si="186"/>
        <v>0.53847668082666011</v>
      </c>
      <c r="I218">
        <f t="shared" si="187"/>
        <v>0.53847668082666045</v>
      </c>
      <c r="J218">
        <f t="shared" si="177"/>
        <v>1.1822606159848068E+20</v>
      </c>
      <c r="K218">
        <f t="shared" si="178"/>
        <v>1.1822606159848068E+20</v>
      </c>
      <c r="L218">
        <f t="shared" si="191"/>
        <v>1</v>
      </c>
      <c r="M218">
        <f t="shared" si="188"/>
        <v>2.5729643832900406E-20</v>
      </c>
      <c r="N218" s="9">
        <f t="shared" si="179"/>
        <v>2.5729643832900406E-20</v>
      </c>
      <c r="O218">
        <f t="shared" si="180"/>
        <v>2.5729643832900406E-20</v>
      </c>
      <c r="Q218">
        <f t="shared" si="192"/>
        <v>46.219130241857862</v>
      </c>
      <c r="R218">
        <f t="shared" si="193"/>
        <v>0</v>
      </c>
      <c r="S218">
        <f t="shared" ref="S218:S281" si="215">LN(M218)</f>
        <v>-45.106643169160584</v>
      </c>
      <c r="T218" s="9" t="e">
        <f t="shared" si="194"/>
        <v>#N/A</v>
      </c>
      <c r="U218">
        <f t="shared" ref="U218:U281" si="216">IFERROR(T218-EXP(T218),-1E+300)</f>
        <v>-1.0000000000000001E+300</v>
      </c>
      <c r="V218">
        <f t="shared" ref="V218:V281" si="217">EXP(U218)</f>
        <v>0</v>
      </c>
      <c r="W218">
        <f t="shared" ref="W218:W281" si="218">IFERROR(T218-LN(N218),0)</f>
        <v>0</v>
      </c>
      <c r="X218">
        <f t="shared" si="195"/>
        <v>2.5729643832900404</v>
      </c>
      <c r="Y218">
        <f t="shared" si="196"/>
        <v>7.8539816339744828</v>
      </c>
      <c r="Z218">
        <f t="shared" si="197"/>
        <v>-2.5729643832900404</v>
      </c>
      <c r="AA218">
        <f t="shared" ref="AA218:AA281" si="219">Z218*TAN(PI()/2-X218)</f>
        <v>4.0263280576630089</v>
      </c>
      <c r="AB218">
        <f t="shared" si="198"/>
        <v>11.880309691637493</v>
      </c>
      <c r="AC218">
        <f t="shared" ref="AC218:AC281" si="220">LN(Z218/$AA$6)</f>
        <v>0.49347598543087762</v>
      </c>
      <c r="AD218">
        <f t="shared" si="199"/>
        <v>0.61901108726640042</v>
      </c>
      <c r="AE218" s="9">
        <f t="shared" ref="AE218:AE281" si="221">AB218+AC218+AD218</f>
        <v>12.992796764334772</v>
      </c>
      <c r="AF218">
        <f t="shared" ref="AF218:AF281" si="222">IFERROR(EXP(AE218)*EXP(-EXP(AE218)),0)</f>
        <v>0</v>
      </c>
      <c r="AH218">
        <f t="shared" si="200"/>
        <v>7.8539816339744828</v>
      </c>
      <c r="AI218">
        <f t="shared" si="201"/>
        <v>4.0263280576630125</v>
      </c>
      <c r="AJ218">
        <f t="shared" si="202"/>
        <v>0.49347598543087656</v>
      </c>
      <c r="AK218">
        <f t="shared" si="203"/>
        <v>0.61901108726640042</v>
      </c>
      <c r="AL218" s="9">
        <f t="shared" ref="AL218:AL281" si="223">SUM(AH218:AK218)</f>
        <v>12.992796764334773</v>
      </c>
      <c r="AM218" t="e">
        <f t="shared" si="204"/>
        <v>#N/A</v>
      </c>
      <c r="AN218" t="e">
        <f t="shared" ref="AN218:AN281" si="224">AM218/AL218</f>
        <v>#N/A</v>
      </c>
      <c r="AO218">
        <f t="shared" si="205"/>
        <v>0</v>
      </c>
      <c r="AP218">
        <f t="shared" si="206"/>
        <v>0</v>
      </c>
      <c r="AQ218">
        <f t="shared" si="207"/>
        <v>-1.0547118733938987E-15</v>
      </c>
      <c r="AR218">
        <f t="shared" ref="AR218:AR281" si="225">AP218/AI218</f>
        <v>0</v>
      </c>
      <c r="AS218">
        <f t="shared" si="208"/>
        <v>0</v>
      </c>
      <c r="AT218">
        <f t="shared" ref="AT218:AT281" si="226">AS218/AL218</f>
        <v>0</v>
      </c>
      <c r="AU218">
        <f t="shared" ref="AU218:AU281" si="227">IFERROR(EXP(AL218)*EXP(-EXP(AL218)),0)</f>
        <v>0</v>
      </c>
      <c r="AV218">
        <f t="shared" si="209"/>
        <v>2.5729643832900403E-20</v>
      </c>
      <c r="AW218" t="b">
        <f t="shared" ref="AW218:AW281" si="228">(ABS(_xlfn.COT(C218)*SIN(AV218))&lt;0.00000001)</f>
        <v>1</v>
      </c>
      <c r="AX218">
        <f t="shared" si="210"/>
        <v>7.8539816339744828</v>
      </c>
      <c r="AY218">
        <f t="shared" si="211"/>
        <v>4.0263280576630098</v>
      </c>
      <c r="AZ218">
        <f t="shared" si="212"/>
        <v>0.49347598543087778</v>
      </c>
      <c r="BA218">
        <f t="shared" si="213"/>
        <v>0.61901108726639986</v>
      </c>
      <c r="BB218">
        <f t="shared" si="214"/>
        <v>-1.2337005501361696E-20</v>
      </c>
      <c r="BD218" s="15">
        <f t="shared" ref="BD218:BD281" si="229">SUM(AX218:BB218)</f>
        <v>12.99279676433477</v>
      </c>
      <c r="BE218" s="10">
        <f t="shared" ref="BE218:BE281" si="230">BD218-AL218</f>
        <v>0</v>
      </c>
      <c r="BF218">
        <f t="shared" ref="BF218:BF281" si="231">BD218-AE218</f>
        <v>0</v>
      </c>
      <c r="BG218">
        <f t="shared" ref="BG218:BG281" si="232">AX218-Y218</f>
        <v>0</v>
      </c>
      <c r="BH218">
        <f t="shared" ref="BH218:BH281" si="233">AY218-AA218</f>
        <v>0</v>
      </c>
      <c r="BI218">
        <f t="shared" ref="BI218:BI281" si="234">AZ218-AC218</f>
        <v>0</v>
      </c>
    </row>
    <row r="219" spans="1:61" x14ac:dyDescent="0.3">
      <c r="A219">
        <f t="shared" si="181"/>
        <v>0.182</v>
      </c>
      <c r="B219">
        <f t="shared" si="182"/>
        <v>0.57176986295334231</v>
      </c>
      <c r="C219">
        <f t="shared" si="183"/>
        <v>2.5698227906364508</v>
      </c>
      <c r="D219">
        <f t="shared" si="184"/>
        <v>2.5698227906364508</v>
      </c>
      <c r="E219">
        <f t="shared" si="189"/>
        <v>0.54112125212687578</v>
      </c>
      <c r="F219">
        <f t="shared" si="190"/>
        <v>0.5411212521268759</v>
      </c>
      <c r="G219">
        <f t="shared" si="185"/>
        <v>0.57176986295334231</v>
      </c>
      <c r="H219">
        <f t="shared" si="186"/>
        <v>0.54112125212687578</v>
      </c>
      <c r="I219">
        <f t="shared" si="187"/>
        <v>0.5411212521268759</v>
      </c>
      <c r="J219">
        <f t="shared" si="177"/>
        <v>1.1764826642186922E+20</v>
      </c>
      <c r="K219">
        <f t="shared" si="178"/>
        <v>1.1764826642186922E+20</v>
      </c>
      <c r="L219" t="e">
        <f t="shared" si="191"/>
        <v>#NUM!</v>
      </c>
      <c r="M219">
        <f t="shared" si="188"/>
        <v>2.5698227906364507E-20</v>
      </c>
      <c r="N219" s="9" t="e">
        <f t="shared" si="179"/>
        <v>#NUM!</v>
      </c>
      <c r="O219" t="e">
        <f t="shared" si="180"/>
        <v>#NUM!</v>
      </c>
      <c r="Q219">
        <f t="shared" si="192"/>
        <v>46.214231053911895</v>
      </c>
      <c r="R219">
        <f t="shared" si="193"/>
        <v>0</v>
      </c>
      <c r="S219">
        <f t="shared" si="215"/>
        <v>-45.107864916410904</v>
      </c>
      <c r="T219" s="9" t="e">
        <f t="shared" si="194"/>
        <v>#N/A</v>
      </c>
      <c r="U219">
        <f t="shared" si="216"/>
        <v>-1.0000000000000001E+300</v>
      </c>
      <c r="V219">
        <f t="shared" si="217"/>
        <v>0</v>
      </c>
      <c r="W219">
        <f t="shared" si="218"/>
        <v>0</v>
      </c>
      <c r="X219">
        <f t="shared" si="195"/>
        <v>2.5698227906364508</v>
      </c>
      <c r="Y219">
        <f t="shared" si="196"/>
        <v>7.8539816339744828</v>
      </c>
      <c r="Z219">
        <f t="shared" si="197"/>
        <v>-2.5698227906364508</v>
      </c>
      <c r="AA219">
        <f t="shared" si="219"/>
        <v>3.9937048207919594</v>
      </c>
      <c r="AB219">
        <f t="shared" si="198"/>
        <v>11.847686454766443</v>
      </c>
      <c r="AC219">
        <f t="shared" si="220"/>
        <v>0.49225423818055536</v>
      </c>
      <c r="AD219">
        <f t="shared" si="199"/>
        <v>0.61411189932043742</v>
      </c>
      <c r="AE219" s="9">
        <f t="shared" si="221"/>
        <v>12.954052592267436</v>
      </c>
      <c r="AF219">
        <f t="shared" si="222"/>
        <v>0</v>
      </c>
      <c r="AH219">
        <f t="shared" si="200"/>
        <v>7.8539816339744828</v>
      </c>
      <c r="AI219">
        <f t="shared" si="201"/>
        <v>3.9937048207919599</v>
      </c>
      <c r="AJ219">
        <f t="shared" si="202"/>
        <v>0.49225423818055702</v>
      </c>
      <c r="AK219">
        <f t="shared" si="203"/>
        <v>0.61411189932043742</v>
      </c>
      <c r="AL219" s="9">
        <f t="shared" si="223"/>
        <v>12.954052592267438</v>
      </c>
      <c r="AM219" t="e">
        <f t="shared" si="204"/>
        <v>#N/A</v>
      </c>
      <c r="AN219" t="e">
        <f t="shared" si="224"/>
        <v>#N/A</v>
      </c>
      <c r="AO219">
        <f t="shared" si="205"/>
        <v>0</v>
      </c>
      <c r="AP219">
        <f t="shared" si="206"/>
        <v>0</v>
      </c>
      <c r="AQ219">
        <f t="shared" si="207"/>
        <v>1.6653345369377348E-15</v>
      </c>
      <c r="AR219">
        <f t="shared" si="225"/>
        <v>0</v>
      </c>
      <c r="AS219">
        <f t="shared" si="208"/>
        <v>0</v>
      </c>
      <c r="AT219">
        <f t="shared" si="226"/>
        <v>0</v>
      </c>
      <c r="AU219">
        <f t="shared" si="227"/>
        <v>0</v>
      </c>
      <c r="AV219">
        <f t="shared" si="209"/>
        <v>2.5698227906364507E-20</v>
      </c>
      <c r="AW219" t="b">
        <f t="shared" si="228"/>
        <v>1</v>
      </c>
      <c r="AX219">
        <f t="shared" si="210"/>
        <v>7.8539816339744828</v>
      </c>
      <c r="AY219">
        <f t="shared" si="211"/>
        <v>3.993704820791959</v>
      </c>
      <c r="AZ219">
        <f t="shared" si="212"/>
        <v>0.49225423818055536</v>
      </c>
      <c r="BA219">
        <f t="shared" si="213"/>
        <v>0.61411189932043719</v>
      </c>
      <c r="BB219">
        <f t="shared" si="214"/>
        <v>-1.2337005501361696E-20</v>
      </c>
      <c r="BD219" s="15">
        <f t="shared" si="229"/>
        <v>12.954052592267436</v>
      </c>
      <c r="BE219" s="10">
        <f t="shared" si="230"/>
        <v>0</v>
      </c>
      <c r="BF219">
        <f t="shared" si="231"/>
        <v>0</v>
      </c>
      <c r="BG219">
        <f t="shared" si="232"/>
        <v>0</v>
      </c>
      <c r="BH219">
        <f t="shared" si="233"/>
        <v>0</v>
      </c>
      <c r="BI219">
        <f t="shared" si="234"/>
        <v>0</v>
      </c>
    </row>
    <row r="220" spans="1:61" x14ac:dyDescent="0.3">
      <c r="A220">
        <f t="shared" si="181"/>
        <v>0.183</v>
      </c>
      <c r="B220">
        <f t="shared" si="182"/>
        <v>0.57491145560693213</v>
      </c>
      <c r="C220">
        <f t="shared" si="183"/>
        <v>2.5666811979828612</v>
      </c>
      <c r="D220">
        <f t="shared" si="184"/>
        <v>2.5666811979828612</v>
      </c>
      <c r="E220">
        <f t="shared" si="189"/>
        <v>0.54376048277879241</v>
      </c>
      <c r="F220">
        <f t="shared" si="190"/>
        <v>0.54376048277879241</v>
      </c>
      <c r="G220">
        <f t="shared" si="185"/>
        <v>0.57491145560693213</v>
      </c>
      <c r="H220">
        <f t="shared" si="186"/>
        <v>0.54376048277879241</v>
      </c>
      <c r="I220">
        <f t="shared" si="187"/>
        <v>0.54376048277879241</v>
      </c>
      <c r="J220">
        <f t="shared" si="177"/>
        <v>1.1707724127252645E+20</v>
      </c>
      <c r="K220">
        <f t="shared" si="178"/>
        <v>1.1707724127252645E+20</v>
      </c>
      <c r="L220" t="e">
        <f t="shared" si="191"/>
        <v>#NUM!</v>
      </c>
      <c r="M220">
        <f t="shared" si="188"/>
        <v>2.5666811979828607E-20</v>
      </c>
      <c r="N220" s="9" t="e">
        <f t="shared" si="179"/>
        <v>#NUM!</v>
      </c>
      <c r="O220" t="e">
        <f t="shared" si="180"/>
        <v>#NUM!</v>
      </c>
      <c r="Q220">
        <f t="shared" si="192"/>
        <v>46.209365572682891</v>
      </c>
      <c r="R220">
        <f t="shared" si="193"/>
        <v>0</v>
      </c>
      <c r="S220">
        <f t="shared" si="215"/>
        <v>-45.109088158153646</v>
      </c>
      <c r="T220" s="9" t="e">
        <f t="shared" si="194"/>
        <v>#N/A</v>
      </c>
      <c r="U220">
        <f t="shared" si="216"/>
        <v>-1.0000000000000001E+300</v>
      </c>
      <c r="V220">
        <f t="shared" si="217"/>
        <v>0</v>
      </c>
      <c r="W220">
        <f t="shared" si="218"/>
        <v>0</v>
      </c>
      <c r="X220">
        <f t="shared" si="195"/>
        <v>2.5666811979828612</v>
      </c>
      <c r="Y220">
        <f t="shared" si="196"/>
        <v>7.8539816339744828</v>
      </c>
      <c r="Z220">
        <f t="shared" si="197"/>
        <v>-2.5666811979828612</v>
      </c>
      <c r="AA220">
        <f t="shared" si="219"/>
        <v>3.9614182321626896</v>
      </c>
      <c r="AB220">
        <f t="shared" si="198"/>
        <v>11.815399866137172</v>
      </c>
      <c r="AC220">
        <f t="shared" si="220"/>
        <v>0.49103099643781123</v>
      </c>
      <c r="AD220">
        <f t="shared" si="199"/>
        <v>0.60924641809143321</v>
      </c>
      <c r="AE220" s="9">
        <f t="shared" si="221"/>
        <v>12.915677280666415</v>
      </c>
      <c r="AF220">
        <f t="shared" si="222"/>
        <v>0</v>
      </c>
      <c r="AH220">
        <f t="shared" si="200"/>
        <v>7.8539816339744828</v>
      </c>
      <c r="AI220">
        <f t="shared" si="201"/>
        <v>3.9614182321626878</v>
      </c>
      <c r="AJ220">
        <f t="shared" si="202"/>
        <v>0.49103099643781434</v>
      </c>
      <c r="AK220">
        <f t="shared" si="203"/>
        <v>0.60924641809143321</v>
      </c>
      <c r="AL220" s="9">
        <f t="shared" si="223"/>
        <v>12.915677280666419</v>
      </c>
      <c r="AM220" t="e">
        <f t="shared" si="204"/>
        <v>#N/A</v>
      </c>
      <c r="AN220" t="e">
        <f t="shared" si="224"/>
        <v>#N/A</v>
      </c>
      <c r="AO220">
        <f t="shared" si="205"/>
        <v>0</v>
      </c>
      <c r="AP220">
        <f t="shared" si="206"/>
        <v>0</v>
      </c>
      <c r="AQ220">
        <f t="shared" si="207"/>
        <v>3.1086244689504383E-15</v>
      </c>
      <c r="AR220">
        <f t="shared" si="225"/>
        <v>0</v>
      </c>
      <c r="AS220">
        <f t="shared" si="208"/>
        <v>0</v>
      </c>
      <c r="AT220">
        <f t="shared" si="226"/>
        <v>0</v>
      </c>
      <c r="AU220">
        <f t="shared" si="227"/>
        <v>0</v>
      </c>
      <c r="AV220">
        <f t="shared" si="209"/>
        <v>2.566681197982861E-20</v>
      </c>
      <c r="AW220" t="b">
        <f t="shared" si="228"/>
        <v>1</v>
      </c>
      <c r="AX220">
        <f t="shared" si="210"/>
        <v>7.8539816339744828</v>
      </c>
      <c r="AY220">
        <f t="shared" si="211"/>
        <v>3.9614182321626887</v>
      </c>
      <c r="AZ220">
        <f t="shared" si="212"/>
        <v>0.49103099643781123</v>
      </c>
      <c r="BA220">
        <f t="shared" si="213"/>
        <v>0.60924641809143321</v>
      </c>
      <c r="BB220">
        <f t="shared" si="214"/>
        <v>-1.2337005501361696E-20</v>
      </c>
      <c r="BD220" s="15">
        <f t="shared" si="229"/>
        <v>12.915677280666415</v>
      </c>
      <c r="BE220" s="10">
        <f t="shared" si="230"/>
        <v>0</v>
      </c>
      <c r="BF220">
        <f t="shared" si="231"/>
        <v>0</v>
      </c>
      <c r="BG220">
        <f t="shared" si="232"/>
        <v>0</v>
      </c>
      <c r="BH220">
        <f t="shared" si="233"/>
        <v>0</v>
      </c>
      <c r="BI220">
        <f t="shared" si="234"/>
        <v>0</v>
      </c>
    </row>
    <row r="221" spans="1:61" x14ac:dyDescent="0.3">
      <c r="A221">
        <f t="shared" si="181"/>
        <v>0.184</v>
      </c>
      <c r="B221">
        <f t="shared" si="182"/>
        <v>0.57805304826052195</v>
      </c>
      <c r="C221">
        <f t="shared" si="183"/>
        <v>2.5635396053292712</v>
      </c>
      <c r="D221">
        <f t="shared" si="184"/>
        <v>2.5635396053292712</v>
      </c>
      <c r="E221">
        <f t="shared" si="189"/>
        <v>0.54639434673426912</v>
      </c>
      <c r="F221">
        <f t="shared" si="190"/>
        <v>0.54639434673426923</v>
      </c>
      <c r="G221">
        <f t="shared" si="185"/>
        <v>0.57805304826052195</v>
      </c>
      <c r="H221">
        <f t="shared" si="186"/>
        <v>0.54639434673426912</v>
      </c>
      <c r="I221">
        <f t="shared" si="187"/>
        <v>0.54639434673426923</v>
      </c>
      <c r="J221">
        <f t="shared" si="177"/>
        <v>1.1651287685763559E+20</v>
      </c>
      <c r="K221">
        <f t="shared" si="178"/>
        <v>1.1651287685763559E+20</v>
      </c>
      <c r="L221">
        <f t="shared" si="191"/>
        <v>1</v>
      </c>
      <c r="M221">
        <f t="shared" si="188"/>
        <v>2.5635396053292711E-20</v>
      </c>
      <c r="N221" s="9">
        <f t="shared" si="179"/>
        <v>2.5635396053292711E-20</v>
      </c>
      <c r="O221">
        <f t="shared" si="180"/>
        <v>2.5635396053292711E-20</v>
      </c>
      <c r="Q221">
        <f t="shared" si="192"/>
        <v>46.204533471757308</v>
      </c>
      <c r="R221">
        <f t="shared" si="193"/>
        <v>0</v>
      </c>
      <c r="S221">
        <f t="shared" si="215"/>
        <v>-45.110312898049543</v>
      </c>
      <c r="T221" s="9" t="e">
        <f t="shared" si="194"/>
        <v>#N/A</v>
      </c>
      <c r="U221">
        <f t="shared" si="216"/>
        <v>-1.0000000000000001E+300</v>
      </c>
      <c r="V221">
        <f t="shared" si="217"/>
        <v>0</v>
      </c>
      <c r="W221">
        <f t="shared" si="218"/>
        <v>0</v>
      </c>
      <c r="X221">
        <f t="shared" si="195"/>
        <v>2.5635396053292712</v>
      </c>
      <c r="Y221">
        <f t="shared" si="196"/>
        <v>7.8539816339744828</v>
      </c>
      <c r="Z221">
        <f t="shared" si="197"/>
        <v>-2.5635396053292712</v>
      </c>
      <c r="AA221">
        <f t="shared" si="219"/>
        <v>3.9294628761340564</v>
      </c>
      <c r="AB221">
        <f t="shared" si="198"/>
        <v>11.78344451010854</v>
      </c>
      <c r="AC221">
        <f t="shared" si="220"/>
        <v>0.48980625654191517</v>
      </c>
      <c r="AD221">
        <f t="shared" si="199"/>
        <v>0.60441431716585048</v>
      </c>
      <c r="AE221" s="9">
        <f t="shared" si="221"/>
        <v>12.877665083816305</v>
      </c>
      <c r="AF221">
        <f t="shared" si="222"/>
        <v>0</v>
      </c>
      <c r="AH221">
        <f t="shared" si="200"/>
        <v>7.8539816339744828</v>
      </c>
      <c r="AI221">
        <f t="shared" si="201"/>
        <v>3.929462876134056</v>
      </c>
      <c r="AJ221">
        <f t="shared" si="202"/>
        <v>0.48980625654191812</v>
      </c>
      <c r="AK221">
        <f t="shared" si="203"/>
        <v>0.60441431716585048</v>
      </c>
      <c r="AL221" s="9">
        <f t="shared" si="223"/>
        <v>12.877665083816307</v>
      </c>
      <c r="AM221" t="e">
        <f t="shared" si="204"/>
        <v>#N/A</v>
      </c>
      <c r="AN221" t="e">
        <f t="shared" si="224"/>
        <v>#N/A</v>
      </c>
      <c r="AO221">
        <f t="shared" si="205"/>
        <v>0</v>
      </c>
      <c r="AP221">
        <f t="shared" si="206"/>
        <v>0</v>
      </c>
      <c r="AQ221">
        <f t="shared" si="207"/>
        <v>2.9420910152566648E-15</v>
      </c>
      <c r="AR221">
        <f t="shared" si="225"/>
        <v>0</v>
      </c>
      <c r="AS221">
        <f t="shared" si="208"/>
        <v>0</v>
      </c>
      <c r="AT221">
        <f t="shared" si="226"/>
        <v>0</v>
      </c>
      <c r="AU221">
        <f t="shared" si="227"/>
        <v>0</v>
      </c>
      <c r="AV221">
        <f t="shared" si="209"/>
        <v>2.5635396053292711E-20</v>
      </c>
      <c r="AW221" t="b">
        <f t="shared" si="228"/>
        <v>1</v>
      </c>
      <c r="AX221">
        <f t="shared" si="210"/>
        <v>7.8539816339744828</v>
      </c>
      <c r="AY221">
        <f t="shared" si="211"/>
        <v>3.9294628761340555</v>
      </c>
      <c r="AZ221">
        <f t="shared" si="212"/>
        <v>0.48980625654191534</v>
      </c>
      <c r="BA221">
        <f t="shared" si="213"/>
        <v>0.60441431716585037</v>
      </c>
      <c r="BB221">
        <f t="shared" si="214"/>
        <v>-1.2337005501361696E-20</v>
      </c>
      <c r="BD221" s="15">
        <f t="shared" si="229"/>
        <v>12.877665083816304</v>
      </c>
      <c r="BE221" s="10">
        <f t="shared" si="230"/>
        <v>0</v>
      </c>
      <c r="BF221">
        <f t="shared" si="231"/>
        <v>0</v>
      </c>
      <c r="BG221">
        <f t="shared" si="232"/>
        <v>0</v>
      </c>
      <c r="BH221">
        <f t="shared" si="233"/>
        <v>0</v>
      </c>
      <c r="BI221">
        <f t="shared" si="234"/>
        <v>0</v>
      </c>
    </row>
    <row r="222" spans="1:61" x14ac:dyDescent="0.3">
      <c r="A222">
        <f t="shared" si="181"/>
        <v>0.185</v>
      </c>
      <c r="B222">
        <f t="shared" si="182"/>
        <v>0.58119464091411177</v>
      </c>
      <c r="C222">
        <f t="shared" si="183"/>
        <v>2.5603980126756811</v>
      </c>
      <c r="D222">
        <f t="shared" si="184"/>
        <v>2.5603980126756811</v>
      </c>
      <c r="E222">
        <f t="shared" si="189"/>
        <v>0.5490228179981318</v>
      </c>
      <c r="F222">
        <f t="shared" si="190"/>
        <v>0.54902281799813202</v>
      </c>
      <c r="G222">
        <f t="shared" si="185"/>
        <v>0.58119464091411177</v>
      </c>
      <c r="H222">
        <f t="shared" si="186"/>
        <v>0.5490228179981318</v>
      </c>
      <c r="I222">
        <f t="shared" si="187"/>
        <v>0.54902281799813202</v>
      </c>
      <c r="J222">
        <f t="shared" si="177"/>
        <v>1.1595506625550629E+20</v>
      </c>
      <c r="K222">
        <f t="shared" si="178"/>
        <v>1.1595506625550629E+20</v>
      </c>
      <c r="L222" t="e">
        <f t="shared" si="191"/>
        <v>#NUM!</v>
      </c>
      <c r="M222">
        <f t="shared" si="188"/>
        <v>2.5603980126756814E-20</v>
      </c>
      <c r="N222" s="9" t="e">
        <f t="shared" si="179"/>
        <v>#NUM!</v>
      </c>
      <c r="O222" t="e">
        <f t="shared" si="180"/>
        <v>#NUM!</v>
      </c>
      <c r="Q222">
        <f t="shared" si="192"/>
        <v>46.199734430089649</v>
      </c>
      <c r="R222">
        <f t="shared" si="193"/>
        <v>0</v>
      </c>
      <c r="S222">
        <f t="shared" si="215"/>
        <v>-45.111539139772788</v>
      </c>
      <c r="T222" s="9" t="e">
        <f t="shared" si="194"/>
        <v>#N/A</v>
      </c>
      <c r="U222">
        <f t="shared" si="216"/>
        <v>-1.0000000000000001E+300</v>
      </c>
      <c r="V222">
        <f t="shared" si="217"/>
        <v>0</v>
      </c>
      <c r="W222">
        <f t="shared" si="218"/>
        <v>0</v>
      </c>
      <c r="X222">
        <f t="shared" si="195"/>
        <v>2.5603980126756811</v>
      </c>
      <c r="Y222">
        <f t="shared" si="196"/>
        <v>7.8539816339744828</v>
      </c>
      <c r="Z222">
        <f t="shared" si="197"/>
        <v>-2.5603980126756811</v>
      </c>
      <c r="AA222">
        <f t="shared" si="219"/>
        <v>3.8978334540447181</v>
      </c>
      <c r="AB222">
        <f t="shared" si="198"/>
        <v>11.751815088019201</v>
      </c>
      <c r="AC222">
        <f t="shared" si="220"/>
        <v>0.48858001481867092</v>
      </c>
      <c r="AD222">
        <f t="shared" si="199"/>
        <v>0.59961527549819016</v>
      </c>
      <c r="AE222" s="9">
        <f t="shared" si="221"/>
        <v>12.840010378336062</v>
      </c>
      <c r="AF222">
        <f t="shared" si="222"/>
        <v>0</v>
      </c>
      <c r="AH222">
        <f t="shared" si="200"/>
        <v>7.8539816339744828</v>
      </c>
      <c r="AI222">
        <f t="shared" si="201"/>
        <v>3.8978334540447208</v>
      </c>
      <c r="AJ222">
        <f t="shared" si="202"/>
        <v>0.48858001481867319</v>
      </c>
      <c r="AK222">
        <f t="shared" si="203"/>
        <v>0.59961527549819016</v>
      </c>
      <c r="AL222" s="9">
        <f t="shared" si="223"/>
        <v>12.840010378336066</v>
      </c>
      <c r="AM222" t="e">
        <f t="shared" si="204"/>
        <v>#N/A</v>
      </c>
      <c r="AN222" t="e">
        <f t="shared" si="224"/>
        <v>#N/A</v>
      </c>
      <c r="AO222">
        <f t="shared" si="205"/>
        <v>0</v>
      </c>
      <c r="AP222">
        <f t="shared" si="206"/>
        <v>0</v>
      </c>
      <c r="AQ222">
        <f t="shared" si="207"/>
        <v>2.2759572004815709E-15</v>
      </c>
      <c r="AR222">
        <f t="shared" si="225"/>
        <v>0</v>
      </c>
      <c r="AS222">
        <f t="shared" si="208"/>
        <v>0</v>
      </c>
      <c r="AT222">
        <f t="shared" si="226"/>
        <v>0</v>
      </c>
      <c r="AU222">
        <f t="shared" si="227"/>
        <v>0</v>
      </c>
      <c r="AV222">
        <f t="shared" si="209"/>
        <v>2.5603980126756811E-20</v>
      </c>
      <c r="AW222" t="b">
        <f t="shared" si="228"/>
        <v>1</v>
      </c>
      <c r="AX222">
        <f t="shared" si="210"/>
        <v>7.8539816339744828</v>
      </c>
      <c r="AY222">
        <f t="shared" si="211"/>
        <v>3.8978334540447181</v>
      </c>
      <c r="AZ222">
        <f t="shared" si="212"/>
        <v>0.48858001481867092</v>
      </c>
      <c r="BA222">
        <f t="shared" si="213"/>
        <v>0.59961527549818971</v>
      </c>
      <c r="BB222">
        <f t="shared" si="214"/>
        <v>-1.2337005501361696E-20</v>
      </c>
      <c r="BD222" s="15">
        <f t="shared" si="229"/>
        <v>12.840010378336062</v>
      </c>
      <c r="BE222" s="10">
        <f t="shared" si="230"/>
        <v>0</v>
      </c>
      <c r="BF222">
        <f t="shared" si="231"/>
        <v>0</v>
      </c>
      <c r="BG222">
        <f t="shared" si="232"/>
        <v>0</v>
      </c>
      <c r="BH222">
        <f t="shared" si="233"/>
        <v>0</v>
      </c>
      <c r="BI222">
        <f t="shared" si="234"/>
        <v>0</v>
      </c>
    </row>
    <row r="223" spans="1:61" x14ac:dyDescent="0.3">
      <c r="A223">
        <f t="shared" si="181"/>
        <v>0.186</v>
      </c>
      <c r="B223">
        <f t="shared" si="182"/>
        <v>0.58433623356770148</v>
      </c>
      <c r="C223">
        <f t="shared" si="183"/>
        <v>2.5572564200220915</v>
      </c>
      <c r="D223">
        <f t="shared" si="184"/>
        <v>2.5572564200220915</v>
      </c>
      <c r="E223">
        <f t="shared" si="189"/>
        <v>0.55164587062843018</v>
      </c>
      <c r="F223">
        <f t="shared" si="190"/>
        <v>0.5516458706284304</v>
      </c>
      <c r="G223">
        <f t="shared" si="185"/>
        <v>0.58433623356770148</v>
      </c>
      <c r="H223">
        <f t="shared" si="186"/>
        <v>0.55164587062843018</v>
      </c>
      <c r="I223">
        <f t="shared" si="187"/>
        <v>0.5516458706284304</v>
      </c>
      <c r="J223">
        <f t="shared" si="177"/>
        <v>1.154037048518735E+20</v>
      </c>
      <c r="K223">
        <f t="shared" si="178"/>
        <v>1.154037048518735E+20</v>
      </c>
      <c r="L223">
        <f t="shared" si="191"/>
        <v>1</v>
      </c>
      <c r="M223">
        <f t="shared" si="188"/>
        <v>2.5572564200220914E-20</v>
      </c>
      <c r="N223" s="9">
        <f t="shared" si="179"/>
        <v>2.5572564200220914E-20</v>
      </c>
      <c r="O223">
        <f t="shared" si="180"/>
        <v>2.5572564200220914E-20</v>
      </c>
      <c r="Q223">
        <f t="shared" si="192"/>
        <v>46.19496813188713</v>
      </c>
      <c r="R223">
        <f t="shared" si="193"/>
        <v>0</v>
      </c>
      <c r="S223">
        <f t="shared" si="215"/>
        <v>-45.112766887011112</v>
      </c>
      <c r="T223" s="9" t="e">
        <f t="shared" si="194"/>
        <v>#N/A</v>
      </c>
      <c r="U223">
        <f t="shared" si="216"/>
        <v>-1.0000000000000001E+300</v>
      </c>
      <c r="V223">
        <f t="shared" si="217"/>
        <v>0</v>
      </c>
      <c r="W223">
        <f t="shared" si="218"/>
        <v>0</v>
      </c>
      <c r="X223">
        <f t="shared" si="195"/>
        <v>2.5572564200220915</v>
      </c>
      <c r="Y223">
        <f t="shared" si="196"/>
        <v>7.8539816339744828</v>
      </c>
      <c r="Z223">
        <f t="shared" si="197"/>
        <v>-2.5572564200220915</v>
      </c>
      <c r="AA223">
        <f t="shared" si="219"/>
        <v>3.8665247810690766</v>
      </c>
      <c r="AB223">
        <f t="shared" si="198"/>
        <v>11.720506415043559</v>
      </c>
      <c r="AC223">
        <f t="shared" si="220"/>
        <v>0.4873522675803485</v>
      </c>
      <c r="AD223">
        <f t="shared" si="199"/>
        <v>0.59484897729567165</v>
      </c>
      <c r="AE223" s="9">
        <f t="shared" si="221"/>
        <v>12.802707659919578</v>
      </c>
      <c r="AF223">
        <f t="shared" si="222"/>
        <v>0</v>
      </c>
      <c r="AH223">
        <f t="shared" si="200"/>
        <v>7.8539816339744828</v>
      </c>
      <c r="AI223">
        <f t="shared" si="201"/>
        <v>3.8665247810690779</v>
      </c>
      <c r="AJ223">
        <f t="shared" si="202"/>
        <v>0.48735226758034855</v>
      </c>
      <c r="AK223">
        <f t="shared" si="203"/>
        <v>0.59484897729567165</v>
      </c>
      <c r="AL223" s="9">
        <f t="shared" si="223"/>
        <v>12.80270765991958</v>
      </c>
      <c r="AM223" t="e">
        <f t="shared" si="204"/>
        <v>#N/A</v>
      </c>
      <c r="AN223" t="e">
        <f t="shared" si="224"/>
        <v>#N/A</v>
      </c>
      <c r="AO223">
        <f t="shared" si="205"/>
        <v>0</v>
      </c>
      <c r="AP223">
        <f t="shared" si="206"/>
        <v>0</v>
      </c>
      <c r="AQ223">
        <f t="shared" si="207"/>
        <v>0</v>
      </c>
      <c r="AR223">
        <f t="shared" si="225"/>
        <v>0</v>
      </c>
      <c r="AS223">
        <f t="shared" si="208"/>
        <v>0</v>
      </c>
      <c r="AT223">
        <f t="shared" si="226"/>
        <v>0</v>
      </c>
      <c r="AU223">
        <f t="shared" si="227"/>
        <v>0</v>
      </c>
      <c r="AV223">
        <f t="shared" si="209"/>
        <v>2.5572564200220914E-20</v>
      </c>
      <c r="AW223" t="b">
        <f t="shared" si="228"/>
        <v>1</v>
      </c>
      <c r="AX223">
        <f t="shared" si="210"/>
        <v>7.8539816339744828</v>
      </c>
      <c r="AY223">
        <f t="shared" si="211"/>
        <v>3.8665247810690766</v>
      </c>
      <c r="AZ223">
        <f t="shared" si="212"/>
        <v>0.48735226758034861</v>
      </c>
      <c r="BA223">
        <f t="shared" si="213"/>
        <v>0.59484897729567132</v>
      </c>
      <c r="BB223">
        <f t="shared" si="214"/>
        <v>-1.2337005501361696E-20</v>
      </c>
      <c r="BD223" s="15">
        <f t="shared" si="229"/>
        <v>12.802707659919578</v>
      </c>
      <c r="BE223" s="10">
        <f t="shared" si="230"/>
        <v>0</v>
      </c>
      <c r="BF223">
        <f t="shared" si="231"/>
        <v>0</v>
      </c>
      <c r="BG223">
        <f t="shared" si="232"/>
        <v>0</v>
      </c>
      <c r="BH223">
        <f t="shared" si="233"/>
        <v>0</v>
      </c>
      <c r="BI223">
        <f t="shared" si="234"/>
        <v>0</v>
      </c>
    </row>
    <row r="224" spans="1:61" x14ac:dyDescent="0.3">
      <c r="A224">
        <f t="shared" si="181"/>
        <v>0.187</v>
      </c>
      <c r="B224">
        <f t="shared" si="182"/>
        <v>0.5874778262212913</v>
      </c>
      <c r="C224">
        <f t="shared" si="183"/>
        <v>2.5541148273685019</v>
      </c>
      <c r="D224">
        <f t="shared" si="184"/>
        <v>2.5541148273685019</v>
      </c>
      <c r="E224">
        <f t="shared" si="189"/>
        <v>0.55426347873669402</v>
      </c>
      <c r="F224">
        <f t="shared" si="190"/>
        <v>0.55426347873669402</v>
      </c>
      <c r="G224">
        <f t="shared" si="185"/>
        <v>0.5874778262212913</v>
      </c>
      <c r="H224">
        <f t="shared" si="186"/>
        <v>0.55426347873669402</v>
      </c>
      <c r="I224">
        <f t="shared" si="187"/>
        <v>0.55426347873669402</v>
      </c>
      <c r="J224">
        <f t="shared" si="177"/>
        <v>1.1485869027824062E+20</v>
      </c>
      <c r="K224">
        <f t="shared" si="178"/>
        <v>1.1485869027824062E+20</v>
      </c>
      <c r="L224">
        <f t="shared" si="191"/>
        <v>1</v>
      </c>
      <c r="M224">
        <f t="shared" si="188"/>
        <v>2.5541148273685018E-20</v>
      </c>
      <c r="N224" s="9">
        <f t="shared" si="179"/>
        <v>2.5541148273685018E-20</v>
      </c>
      <c r="O224">
        <f t="shared" si="180"/>
        <v>2.5541148273685018E-20</v>
      </c>
      <c r="Q224">
        <f t="shared" si="192"/>
        <v>46.19023426649747</v>
      </c>
      <c r="R224">
        <f t="shared" si="193"/>
        <v>0</v>
      </c>
      <c r="S224">
        <f t="shared" si="215"/>
        <v>-45.11399614346584</v>
      </c>
      <c r="T224" s="9" t="e">
        <f t="shared" si="194"/>
        <v>#N/A</v>
      </c>
      <c r="U224">
        <f t="shared" si="216"/>
        <v>-1.0000000000000001E+300</v>
      </c>
      <c r="V224">
        <f t="shared" si="217"/>
        <v>0</v>
      </c>
      <c r="W224">
        <f t="shared" si="218"/>
        <v>0</v>
      </c>
      <c r="X224">
        <f t="shared" si="195"/>
        <v>2.5541148273685019</v>
      </c>
      <c r="Y224">
        <f t="shared" si="196"/>
        <v>7.8539816339744828</v>
      </c>
      <c r="Z224">
        <f t="shared" si="197"/>
        <v>-2.5541148273685019</v>
      </c>
      <c r="AA224">
        <f t="shared" si="219"/>
        <v>3.8355317831740878</v>
      </c>
      <c r="AB224">
        <f t="shared" si="198"/>
        <v>11.689513417148572</v>
      </c>
      <c r="AC224">
        <f t="shared" si="220"/>
        <v>0.4861230111256189</v>
      </c>
      <c r="AD224">
        <f t="shared" si="199"/>
        <v>0.59011511190600885</v>
      </c>
      <c r="AE224" s="9">
        <f t="shared" si="221"/>
        <v>12.765751540180199</v>
      </c>
      <c r="AF224">
        <f t="shared" si="222"/>
        <v>0</v>
      </c>
      <c r="AH224">
        <f t="shared" si="200"/>
        <v>7.8539816339744828</v>
      </c>
      <c r="AI224">
        <f t="shared" si="201"/>
        <v>3.8355317831740874</v>
      </c>
      <c r="AJ224">
        <f t="shared" si="202"/>
        <v>0.48612301112562051</v>
      </c>
      <c r="AK224">
        <f t="shared" si="203"/>
        <v>0.59011511190600885</v>
      </c>
      <c r="AL224" s="9">
        <f t="shared" si="223"/>
        <v>12.765751540180199</v>
      </c>
      <c r="AM224" t="e">
        <f t="shared" si="204"/>
        <v>#N/A</v>
      </c>
      <c r="AN224" t="e">
        <f t="shared" si="224"/>
        <v>#N/A</v>
      </c>
      <c r="AO224">
        <f t="shared" si="205"/>
        <v>0</v>
      </c>
      <c r="AP224">
        <f t="shared" si="206"/>
        <v>0</v>
      </c>
      <c r="AQ224">
        <f t="shared" si="207"/>
        <v>1.609823385706477E-15</v>
      </c>
      <c r="AR224">
        <f t="shared" si="225"/>
        <v>0</v>
      </c>
      <c r="AS224">
        <f t="shared" si="208"/>
        <v>0</v>
      </c>
      <c r="AT224">
        <f t="shared" si="226"/>
        <v>0</v>
      </c>
      <c r="AU224">
        <f t="shared" si="227"/>
        <v>0</v>
      </c>
      <c r="AV224">
        <f t="shared" si="209"/>
        <v>2.5541148273685018E-20</v>
      </c>
      <c r="AW224" t="b">
        <f t="shared" si="228"/>
        <v>1</v>
      </c>
      <c r="AX224">
        <f t="shared" si="210"/>
        <v>7.8539816339744828</v>
      </c>
      <c r="AY224">
        <f t="shared" si="211"/>
        <v>3.8355317831740874</v>
      </c>
      <c r="AZ224">
        <f t="shared" si="212"/>
        <v>0.4861230111256189</v>
      </c>
      <c r="BA224">
        <f t="shared" si="213"/>
        <v>0.59011511190600885</v>
      </c>
      <c r="BB224">
        <f t="shared" si="214"/>
        <v>-1.2337005501361696E-20</v>
      </c>
      <c r="BD224" s="15">
        <f t="shared" si="229"/>
        <v>12.765751540180197</v>
      </c>
      <c r="BE224" s="10">
        <f t="shared" si="230"/>
        <v>0</v>
      </c>
      <c r="BF224">
        <f t="shared" si="231"/>
        <v>0</v>
      </c>
      <c r="BG224">
        <f t="shared" si="232"/>
        <v>0</v>
      </c>
      <c r="BH224">
        <f t="shared" si="233"/>
        <v>0</v>
      </c>
      <c r="BI224">
        <f t="shared" si="234"/>
        <v>0</v>
      </c>
    </row>
    <row r="225" spans="1:61" x14ac:dyDescent="0.3">
      <c r="A225">
        <f t="shared" si="181"/>
        <v>0.188</v>
      </c>
      <c r="B225">
        <f t="shared" si="182"/>
        <v>0.59061941887488112</v>
      </c>
      <c r="C225">
        <f t="shared" si="183"/>
        <v>2.5509732347149119</v>
      </c>
      <c r="D225">
        <f t="shared" si="184"/>
        <v>2.5509732347149119</v>
      </c>
      <c r="E225">
        <f t="shared" si="189"/>
        <v>0.55687561648818795</v>
      </c>
      <c r="F225">
        <f t="shared" si="190"/>
        <v>0.55687561648818817</v>
      </c>
      <c r="G225">
        <f t="shared" si="185"/>
        <v>0.59061941887488112</v>
      </c>
      <c r="H225">
        <f t="shared" si="186"/>
        <v>0.55687561648818795</v>
      </c>
      <c r="I225">
        <f t="shared" si="187"/>
        <v>0.55687561648818817</v>
      </c>
      <c r="J225">
        <f t="shared" si="177"/>
        <v>1.14319922352191E+20</v>
      </c>
      <c r="K225">
        <f t="shared" si="178"/>
        <v>1.14319922352191E+20</v>
      </c>
      <c r="L225">
        <f t="shared" si="191"/>
        <v>1</v>
      </c>
      <c r="M225">
        <f t="shared" si="188"/>
        <v>2.5509732347149118E-20</v>
      </c>
      <c r="N225" s="9">
        <f t="shared" si="179"/>
        <v>2.5509732347149118E-20</v>
      </c>
      <c r="O225">
        <f t="shared" si="180"/>
        <v>2.5509732347149118E-20</v>
      </c>
      <c r="Q225">
        <f t="shared" si="192"/>
        <v>46.185532528299639</v>
      </c>
      <c r="R225">
        <f t="shared" si="193"/>
        <v>0</v>
      </c>
      <c r="S225">
        <f t="shared" si="215"/>
        <v>-45.115226912851973</v>
      </c>
      <c r="T225" s="9" t="e">
        <f t="shared" si="194"/>
        <v>#N/A</v>
      </c>
      <c r="U225">
        <f t="shared" si="216"/>
        <v>-1.0000000000000001E+300</v>
      </c>
      <c r="V225">
        <f t="shared" si="217"/>
        <v>0</v>
      </c>
      <c r="W225">
        <f t="shared" si="218"/>
        <v>0</v>
      </c>
      <c r="X225">
        <f t="shared" si="195"/>
        <v>2.5509732347149119</v>
      </c>
      <c r="Y225">
        <f t="shared" si="196"/>
        <v>7.8539816339744828</v>
      </c>
      <c r="Z225">
        <f t="shared" si="197"/>
        <v>-2.5509732347149119</v>
      </c>
      <c r="AA225">
        <f t="shared" si="219"/>
        <v>3.80484949417322</v>
      </c>
      <c r="AB225">
        <f t="shared" si="198"/>
        <v>11.658831128147703</v>
      </c>
      <c r="AC225">
        <f t="shared" si="220"/>
        <v>0.48489224173948614</v>
      </c>
      <c r="AD225">
        <f t="shared" si="199"/>
        <v>0.58541337370818036</v>
      </c>
      <c r="AE225" s="9">
        <f t="shared" si="221"/>
        <v>12.729136743595369</v>
      </c>
      <c r="AF225">
        <f t="shared" si="222"/>
        <v>0</v>
      </c>
      <c r="AH225">
        <f t="shared" si="200"/>
        <v>7.8539816339744828</v>
      </c>
      <c r="AI225">
        <f t="shared" si="201"/>
        <v>3.8048494941732218</v>
      </c>
      <c r="AJ225">
        <f t="shared" si="202"/>
        <v>0.48489224173948742</v>
      </c>
      <c r="AK225">
        <f t="shared" si="203"/>
        <v>0.58541337370818036</v>
      </c>
      <c r="AL225" s="9">
        <f t="shared" si="223"/>
        <v>12.729136743595372</v>
      </c>
      <c r="AM225" t="e">
        <f t="shared" si="204"/>
        <v>#N/A</v>
      </c>
      <c r="AN225" t="e">
        <f t="shared" si="224"/>
        <v>#N/A</v>
      </c>
      <c r="AO225">
        <f t="shared" si="205"/>
        <v>0</v>
      </c>
      <c r="AP225">
        <f t="shared" si="206"/>
        <v>0</v>
      </c>
      <c r="AQ225">
        <f t="shared" si="207"/>
        <v>1.27675647831893E-15</v>
      </c>
      <c r="AR225">
        <f t="shared" si="225"/>
        <v>0</v>
      </c>
      <c r="AS225">
        <f t="shared" si="208"/>
        <v>0</v>
      </c>
      <c r="AT225">
        <f t="shared" si="226"/>
        <v>0</v>
      </c>
      <c r="AU225">
        <f t="shared" si="227"/>
        <v>0</v>
      </c>
      <c r="AV225">
        <f t="shared" si="209"/>
        <v>2.5509732347149118E-20</v>
      </c>
      <c r="AW225" t="b">
        <f t="shared" si="228"/>
        <v>1</v>
      </c>
      <c r="AX225">
        <f t="shared" si="210"/>
        <v>7.8539816339744828</v>
      </c>
      <c r="AY225">
        <f t="shared" si="211"/>
        <v>3.80484949417322</v>
      </c>
      <c r="AZ225">
        <f t="shared" si="212"/>
        <v>0.48489224173948625</v>
      </c>
      <c r="BA225">
        <f t="shared" si="213"/>
        <v>0.58541337370817992</v>
      </c>
      <c r="BB225">
        <f t="shared" si="214"/>
        <v>-1.2337005501361696E-20</v>
      </c>
      <c r="BD225" s="15">
        <f t="shared" si="229"/>
        <v>12.729136743595369</v>
      </c>
      <c r="BE225" s="10">
        <f t="shared" si="230"/>
        <v>0</v>
      </c>
      <c r="BF225">
        <f t="shared" si="231"/>
        <v>0</v>
      </c>
      <c r="BG225">
        <f t="shared" si="232"/>
        <v>0</v>
      </c>
      <c r="BH225">
        <f t="shared" si="233"/>
        <v>0</v>
      </c>
      <c r="BI225">
        <f t="shared" si="234"/>
        <v>0</v>
      </c>
    </row>
    <row r="226" spans="1:61" x14ac:dyDescent="0.3">
      <c r="A226">
        <f t="shared" si="181"/>
        <v>0.189</v>
      </c>
      <c r="B226">
        <f t="shared" si="182"/>
        <v>0.59376101152847094</v>
      </c>
      <c r="C226">
        <f t="shared" si="183"/>
        <v>2.5478316420613223</v>
      </c>
      <c r="D226">
        <f t="shared" si="184"/>
        <v>2.5478316420613223</v>
      </c>
      <c r="E226">
        <f t="shared" si="189"/>
        <v>0.55948225810216701</v>
      </c>
      <c r="F226">
        <f t="shared" si="190"/>
        <v>0.55948225810216701</v>
      </c>
      <c r="G226">
        <f t="shared" si="185"/>
        <v>0.59376101152847094</v>
      </c>
      <c r="H226">
        <f t="shared" si="186"/>
        <v>0.55948225810216701</v>
      </c>
      <c r="I226">
        <f t="shared" si="187"/>
        <v>0.55948225810216701</v>
      </c>
      <c r="J226">
        <f t="shared" si="177"/>
        <v>1.137873030195943E+20</v>
      </c>
      <c r="K226">
        <f t="shared" si="178"/>
        <v>1.137873030195943E+20</v>
      </c>
      <c r="L226" t="e">
        <f t="shared" si="191"/>
        <v>#NUM!</v>
      </c>
      <c r="M226">
        <f t="shared" si="188"/>
        <v>2.5478316420613221E-20</v>
      </c>
      <c r="N226" s="9" t="e">
        <f t="shared" si="179"/>
        <v>#NUM!</v>
      </c>
      <c r="O226" t="e">
        <f t="shared" si="180"/>
        <v>#NUM!</v>
      </c>
      <c r="Q226">
        <f t="shared" si="192"/>
        <v>46.180862616597558</v>
      </c>
      <c r="R226">
        <f t="shared" si="193"/>
        <v>0</v>
      </c>
      <c r="S226">
        <f t="shared" si="215"/>
        <v>-45.116459198898241</v>
      </c>
      <c r="T226" s="9" t="e">
        <f t="shared" si="194"/>
        <v>#N/A</v>
      </c>
      <c r="U226">
        <f t="shared" si="216"/>
        <v>-1.0000000000000001E+300</v>
      </c>
      <c r="V226">
        <f t="shared" si="217"/>
        <v>0</v>
      </c>
      <c r="W226">
        <f t="shared" si="218"/>
        <v>0</v>
      </c>
      <c r="X226">
        <f t="shared" si="195"/>
        <v>2.5478316420613223</v>
      </c>
      <c r="Y226">
        <f t="shared" si="196"/>
        <v>7.8539816339744828</v>
      </c>
      <c r="Z226">
        <f t="shared" si="197"/>
        <v>-2.5478316420613223</v>
      </c>
      <c r="AA226">
        <f t="shared" si="219"/>
        <v>3.7744730528739314</v>
      </c>
      <c r="AB226">
        <f t="shared" si="198"/>
        <v>11.628454686848414</v>
      </c>
      <c r="AC226">
        <f t="shared" si="220"/>
        <v>0.48365995569322123</v>
      </c>
      <c r="AD226">
        <f t="shared" si="199"/>
        <v>0.58074346200609839</v>
      </c>
      <c r="AE226" s="9">
        <f t="shared" si="221"/>
        <v>12.692858104547735</v>
      </c>
      <c r="AF226">
        <f t="shared" si="222"/>
        <v>0</v>
      </c>
      <c r="AH226">
        <f t="shared" si="200"/>
        <v>7.8539816339744828</v>
      </c>
      <c r="AI226">
        <f t="shared" si="201"/>
        <v>3.7744730528739305</v>
      </c>
      <c r="AJ226">
        <f t="shared" si="202"/>
        <v>0.48365995569321996</v>
      </c>
      <c r="AK226">
        <f t="shared" si="203"/>
        <v>0.58074346200609839</v>
      </c>
      <c r="AL226" s="9">
        <f t="shared" si="223"/>
        <v>12.692858104547733</v>
      </c>
      <c r="AM226" t="e">
        <f t="shared" si="204"/>
        <v>#N/A</v>
      </c>
      <c r="AN226" t="e">
        <f t="shared" si="224"/>
        <v>#N/A</v>
      </c>
      <c r="AO226">
        <f t="shared" si="205"/>
        <v>0</v>
      </c>
      <c r="AP226">
        <f t="shared" si="206"/>
        <v>0</v>
      </c>
      <c r="AQ226">
        <f t="shared" si="207"/>
        <v>-1.27675647831893E-15</v>
      </c>
      <c r="AR226">
        <f t="shared" si="225"/>
        <v>0</v>
      </c>
      <c r="AS226">
        <f t="shared" si="208"/>
        <v>0</v>
      </c>
      <c r="AT226">
        <f t="shared" si="226"/>
        <v>0</v>
      </c>
      <c r="AU226">
        <f t="shared" si="227"/>
        <v>0</v>
      </c>
      <c r="AV226">
        <f t="shared" si="209"/>
        <v>2.5478316420613221E-20</v>
      </c>
      <c r="AW226" t="b">
        <f t="shared" si="228"/>
        <v>1</v>
      </c>
      <c r="AX226">
        <f t="shared" si="210"/>
        <v>7.8539816339744828</v>
      </c>
      <c r="AY226">
        <f t="shared" si="211"/>
        <v>3.7744730528739305</v>
      </c>
      <c r="AZ226">
        <f t="shared" si="212"/>
        <v>0.48365995569322123</v>
      </c>
      <c r="BA226">
        <f t="shared" si="213"/>
        <v>0.58074346200609839</v>
      </c>
      <c r="BB226">
        <f t="shared" si="214"/>
        <v>-1.2337005501361696E-20</v>
      </c>
      <c r="BD226" s="15">
        <f t="shared" si="229"/>
        <v>12.692858104547735</v>
      </c>
      <c r="BE226" s="10">
        <f t="shared" si="230"/>
        <v>0</v>
      </c>
      <c r="BF226">
        <f t="shared" si="231"/>
        <v>0</v>
      </c>
      <c r="BG226">
        <f t="shared" si="232"/>
        <v>0</v>
      </c>
      <c r="BH226">
        <f t="shared" si="233"/>
        <v>0</v>
      </c>
      <c r="BI226">
        <f t="shared" si="234"/>
        <v>0</v>
      </c>
    </row>
    <row r="227" spans="1:61" x14ac:dyDescent="0.3">
      <c r="A227">
        <f t="shared" si="181"/>
        <v>0.19</v>
      </c>
      <c r="B227">
        <f t="shared" si="182"/>
        <v>0.59690260418206065</v>
      </c>
      <c r="C227">
        <f t="shared" si="183"/>
        <v>2.5446900494077322</v>
      </c>
      <c r="D227">
        <f t="shared" si="184"/>
        <v>2.5446900494077322</v>
      </c>
      <c r="E227">
        <f t="shared" si="189"/>
        <v>0.56208337785213058</v>
      </c>
      <c r="F227">
        <f t="shared" si="190"/>
        <v>0.56208337785213081</v>
      </c>
      <c r="G227">
        <f t="shared" si="185"/>
        <v>0.59690260418206065</v>
      </c>
      <c r="H227">
        <f t="shared" si="186"/>
        <v>0.56208337785213058</v>
      </c>
      <c r="I227">
        <f t="shared" si="187"/>
        <v>0.56208337785213081</v>
      </c>
      <c r="J227">
        <f t="shared" si="177"/>
        <v>1.1326073629863849E+20</v>
      </c>
      <c r="K227">
        <f t="shared" si="178"/>
        <v>1.1326073629863849E+20</v>
      </c>
      <c r="L227">
        <f t="shared" si="191"/>
        <v>1</v>
      </c>
      <c r="M227">
        <f t="shared" si="188"/>
        <v>2.5446900494077322E-20</v>
      </c>
      <c r="N227" s="9">
        <f t="shared" si="179"/>
        <v>2.5446900494077322E-20</v>
      </c>
      <c r="O227">
        <f t="shared" si="180"/>
        <v>2.5446900494077322E-20</v>
      </c>
      <c r="Q227">
        <f t="shared" si="192"/>
        <v>46.176224235516543</v>
      </c>
      <c r="R227">
        <f t="shared" si="193"/>
        <v>-710542.73576010019</v>
      </c>
      <c r="S227">
        <f t="shared" si="215"/>
        <v>-45.117693005347164</v>
      </c>
      <c r="T227" s="9" t="e">
        <f t="shared" si="194"/>
        <v>#N/A</v>
      </c>
      <c r="U227">
        <f t="shared" si="216"/>
        <v>-1.0000000000000001E+300</v>
      </c>
      <c r="V227">
        <f t="shared" si="217"/>
        <v>0</v>
      </c>
      <c r="W227">
        <f t="shared" si="218"/>
        <v>0</v>
      </c>
      <c r="X227">
        <f t="shared" si="195"/>
        <v>2.5446900494077322</v>
      </c>
      <c r="Y227">
        <f t="shared" si="196"/>
        <v>7.8539816339744828</v>
      </c>
      <c r="Z227">
        <f t="shared" si="197"/>
        <v>-2.5446900494077322</v>
      </c>
      <c r="AA227">
        <f t="shared" si="219"/>
        <v>3.7443977003151856</v>
      </c>
      <c r="AB227">
        <f t="shared" si="198"/>
        <v>11.598379334289667</v>
      </c>
      <c r="AC227">
        <f t="shared" si="220"/>
        <v>0.48242614924429261</v>
      </c>
      <c r="AD227">
        <f t="shared" si="199"/>
        <v>0.57610508092508672</v>
      </c>
      <c r="AE227" s="9">
        <f t="shared" si="221"/>
        <v>12.656910564459046</v>
      </c>
      <c r="AF227">
        <f t="shared" si="222"/>
        <v>0</v>
      </c>
      <c r="AH227">
        <f t="shared" si="200"/>
        <v>7.8539816339744828</v>
      </c>
      <c r="AI227">
        <f t="shared" si="201"/>
        <v>3.7443977003151883</v>
      </c>
      <c r="AJ227">
        <f t="shared" si="202"/>
        <v>0.48242614924429716</v>
      </c>
      <c r="AK227">
        <f t="shared" si="203"/>
        <v>0.57610508092508672</v>
      </c>
      <c r="AL227" s="9">
        <f t="shared" si="223"/>
        <v>12.656910564459055</v>
      </c>
      <c r="AM227" t="e">
        <f t="shared" si="204"/>
        <v>#N/A</v>
      </c>
      <c r="AN227" t="e">
        <f t="shared" si="224"/>
        <v>#N/A</v>
      </c>
      <c r="AO227">
        <f t="shared" si="205"/>
        <v>0</v>
      </c>
      <c r="AP227">
        <f t="shared" si="206"/>
        <v>0</v>
      </c>
      <c r="AQ227">
        <f t="shared" si="207"/>
        <v>4.5519144009631418E-15</v>
      </c>
      <c r="AR227">
        <f t="shared" si="225"/>
        <v>0</v>
      </c>
      <c r="AS227">
        <f t="shared" si="208"/>
        <v>0</v>
      </c>
      <c r="AT227">
        <f t="shared" si="226"/>
        <v>0</v>
      </c>
      <c r="AU227">
        <f t="shared" si="227"/>
        <v>0</v>
      </c>
      <c r="AV227">
        <f t="shared" si="209"/>
        <v>2.5446900494077322E-20</v>
      </c>
      <c r="AW227" t="b">
        <f t="shared" si="228"/>
        <v>1</v>
      </c>
      <c r="AX227">
        <f t="shared" si="210"/>
        <v>7.8539816339744828</v>
      </c>
      <c r="AY227">
        <f t="shared" si="211"/>
        <v>3.7443977003151852</v>
      </c>
      <c r="AZ227">
        <f t="shared" si="212"/>
        <v>0.48242614924429278</v>
      </c>
      <c r="BA227">
        <f t="shared" si="213"/>
        <v>0.57610508092508639</v>
      </c>
      <c r="BB227">
        <f t="shared" si="214"/>
        <v>-1.2337005501361696E-20</v>
      </c>
      <c r="BD227" s="15">
        <f t="shared" si="229"/>
        <v>12.656910564459048</v>
      </c>
      <c r="BE227" s="10">
        <f t="shared" si="230"/>
        <v>0</v>
      </c>
      <c r="BF227">
        <f t="shared" si="231"/>
        <v>0</v>
      </c>
      <c r="BG227">
        <f t="shared" si="232"/>
        <v>0</v>
      </c>
      <c r="BH227">
        <f t="shared" si="233"/>
        <v>0</v>
      </c>
      <c r="BI227">
        <f t="shared" si="234"/>
        <v>0</v>
      </c>
    </row>
    <row r="228" spans="1:61" x14ac:dyDescent="0.3">
      <c r="A228">
        <f t="shared" si="181"/>
        <v>0.191</v>
      </c>
      <c r="B228">
        <f t="shared" si="182"/>
        <v>0.60004419683565047</v>
      </c>
      <c r="C228">
        <f t="shared" si="183"/>
        <v>2.5415484567541426</v>
      </c>
      <c r="D228">
        <f t="shared" si="184"/>
        <v>2.5415484567541426</v>
      </c>
      <c r="E228">
        <f t="shared" si="189"/>
        <v>0.56467895006607705</v>
      </c>
      <c r="F228">
        <f t="shared" si="190"/>
        <v>0.56467895006607716</v>
      </c>
      <c r="G228">
        <f t="shared" si="185"/>
        <v>0.60004419683565047</v>
      </c>
      <c r="H228">
        <f t="shared" si="186"/>
        <v>0.56467895006607705</v>
      </c>
      <c r="I228">
        <f t="shared" si="187"/>
        <v>0.56467895006607716</v>
      </c>
      <c r="J228">
        <f t="shared" si="177"/>
        <v>1.1274012822562025E+20</v>
      </c>
      <c r="K228">
        <f t="shared" si="178"/>
        <v>1.1274012822562025E+20</v>
      </c>
      <c r="L228">
        <f t="shared" si="191"/>
        <v>1</v>
      </c>
      <c r="M228">
        <f t="shared" si="188"/>
        <v>2.5415484567541425E-20</v>
      </c>
      <c r="N228" s="9">
        <f t="shared" si="179"/>
        <v>2.5415484567541425E-20</v>
      </c>
      <c r="O228">
        <f t="shared" si="180"/>
        <v>2.5415484567541425E-20</v>
      </c>
      <c r="Q228">
        <f t="shared" si="192"/>
        <v>46.171617093902533</v>
      </c>
      <c r="R228">
        <f t="shared" si="193"/>
        <v>0</v>
      </c>
      <c r="S228">
        <f t="shared" si="215"/>
        <v>-45.118928335955161</v>
      </c>
      <c r="T228" s="9" t="e">
        <f t="shared" si="194"/>
        <v>#N/A</v>
      </c>
      <c r="U228">
        <f t="shared" si="216"/>
        <v>-1.0000000000000001E+300</v>
      </c>
      <c r="V228">
        <f t="shared" si="217"/>
        <v>0</v>
      </c>
      <c r="W228">
        <f t="shared" si="218"/>
        <v>0</v>
      </c>
      <c r="X228">
        <f t="shared" si="195"/>
        <v>2.5415484567541426</v>
      </c>
      <c r="Y228">
        <f t="shared" si="196"/>
        <v>7.8539816339744828</v>
      </c>
      <c r="Z228">
        <f t="shared" si="197"/>
        <v>-2.5415484567541426</v>
      </c>
      <c r="AA228">
        <f t="shared" si="219"/>
        <v>3.7146187770918093</v>
      </c>
      <c r="AB228">
        <f t="shared" si="198"/>
        <v>11.568600411066292</v>
      </c>
      <c r="AC228">
        <f t="shared" si="220"/>
        <v>0.48119081863630003</v>
      </c>
      <c r="AD228">
        <f t="shared" si="199"/>
        <v>0.57149793931107518</v>
      </c>
      <c r="AE228" s="9">
        <f t="shared" si="221"/>
        <v>12.621289169013668</v>
      </c>
      <c r="AF228">
        <f t="shared" si="222"/>
        <v>0</v>
      </c>
      <c r="AH228">
        <f t="shared" si="200"/>
        <v>7.8539816339744828</v>
      </c>
      <c r="AI228">
        <f t="shared" si="201"/>
        <v>3.7146187770918098</v>
      </c>
      <c r="AJ228">
        <f t="shared" si="202"/>
        <v>0.48119081863629987</v>
      </c>
      <c r="AK228">
        <f t="shared" si="203"/>
        <v>0.57149793931107518</v>
      </c>
      <c r="AL228" s="9">
        <f t="shared" si="223"/>
        <v>12.621289169013668</v>
      </c>
      <c r="AM228" t="e">
        <f t="shared" si="204"/>
        <v>#N/A</v>
      </c>
      <c r="AN228" t="e">
        <f t="shared" si="224"/>
        <v>#N/A</v>
      </c>
      <c r="AO228">
        <f t="shared" si="205"/>
        <v>0</v>
      </c>
      <c r="AP228">
        <f t="shared" si="206"/>
        <v>0</v>
      </c>
      <c r="AQ228">
        <f t="shared" si="207"/>
        <v>0</v>
      </c>
      <c r="AR228">
        <f t="shared" si="225"/>
        <v>0</v>
      </c>
      <c r="AS228">
        <f t="shared" si="208"/>
        <v>0</v>
      </c>
      <c r="AT228">
        <f t="shared" si="226"/>
        <v>0</v>
      </c>
      <c r="AU228">
        <f t="shared" si="227"/>
        <v>0</v>
      </c>
      <c r="AV228">
        <f t="shared" si="209"/>
        <v>2.5415484567541425E-20</v>
      </c>
      <c r="AW228" t="b">
        <f t="shared" si="228"/>
        <v>1</v>
      </c>
      <c r="AX228">
        <f t="shared" si="210"/>
        <v>7.8539816339744828</v>
      </c>
      <c r="AY228">
        <f t="shared" si="211"/>
        <v>3.714618777091808</v>
      </c>
      <c r="AZ228">
        <f t="shared" si="212"/>
        <v>0.48119081863630003</v>
      </c>
      <c r="BA228">
        <f t="shared" si="213"/>
        <v>0.57149793931107506</v>
      </c>
      <c r="BB228">
        <f t="shared" si="214"/>
        <v>-1.2337005501361696E-20</v>
      </c>
      <c r="BD228" s="15">
        <f t="shared" si="229"/>
        <v>12.621289169013664</v>
      </c>
      <c r="BE228" s="10">
        <f t="shared" si="230"/>
        <v>0</v>
      </c>
      <c r="BF228">
        <f t="shared" si="231"/>
        <v>0</v>
      </c>
      <c r="BG228">
        <f t="shared" si="232"/>
        <v>0</v>
      </c>
      <c r="BH228">
        <f t="shared" si="233"/>
        <v>0</v>
      </c>
      <c r="BI228">
        <f t="shared" si="234"/>
        <v>0</v>
      </c>
    </row>
    <row r="229" spans="1:61" x14ac:dyDescent="0.3">
      <c r="A229">
        <f t="shared" si="181"/>
        <v>0.192</v>
      </c>
      <c r="B229">
        <f t="shared" si="182"/>
        <v>0.60318578948924029</v>
      </c>
      <c r="C229">
        <f t="shared" si="183"/>
        <v>2.5384068641005531</v>
      </c>
      <c r="D229">
        <f t="shared" si="184"/>
        <v>2.5384068641005531</v>
      </c>
      <c r="E229">
        <f t="shared" si="189"/>
        <v>0.56726894912675652</v>
      </c>
      <c r="F229">
        <f t="shared" si="190"/>
        <v>0.56726894912675641</v>
      </c>
      <c r="G229">
        <f t="shared" si="185"/>
        <v>0.60318578948924029</v>
      </c>
      <c r="H229">
        <f t="shared" si="186"/>
        <v>0.56726894912675652</v>
      </c>
      <c r="I229">
        <f t="shared" si="187"/>
        <v>0.56726894912675641</v>
      </c>
      <c r="J229">
        <f t="shared" ref="J229:J292" si="235">x_m_zeta/H229</f>
        <v>1.1222538680242984E+20</v>
      </c>
      <c r="K229">
        <f t="shared" ref="K229:K292" si="236">(J229)^alpha</f>
        <v>1.1222538680242984E+20</v>
      </c>
      <c r="L229">
        <f t="shared" si="191"/>
        <v>1</v>
      </c>
      <c r="M229">
        <f t="shared" si="188"/>
        <v>2.5384068641005529E-20</v>
      </c>
      <c r="N229" s="9">
        <f t="shared" si="179"/>
        <v>2.5384068641005529E-20</v>
      </c>
      <c r="O229">
        <f t="shared" si="180"/>
        <v>2.5384068641005529E-20</v>
      </c>
      <c r="Q229">
        <f t="shared" si="192"/>
        <v>46.167040905223892</v>
      </c>
      <c r="R229">
        <f t="shared" si="193"/>
        <v>0</v>
      </c>
      <c r="S229">
        <f t="shared" si="215"/>
        <v>-45.120165194492557</v>
      </c>
      <c r="T229" s="9" t="e">
        <f t="shared" si="194"/>
        <v>#N/A</v>
      </c>
      <c r="U229">
        <f t="shared" si="216"/>
        <v>-1.0000000000000001E+300</v>
      </c>
      <c r="V229">
        <f t="shared" si="217"/>
        <v>0</v>
      </c>
      <c r="W229">
        <f t="shared" si="218"/>
        <v>0</v>
      </c>
      <c r="X229">
        <f t="shared" si="195"/>
        <v>2.5384068641005531</v>
      </c>
      <c r="Y229">
        <f t="shared" si="196"/>
        <v>7.8539816339744828</v>
      </c>
      <c r="Z229">
        <f t="shared" si="197"/>
        <v>-2.5384068641005531</v>
      </c>
      <c r="AA229">
        <f t="shared" si="219"/>
        <v>3.6851317207623953</v>
      </c>
      <c r="AB229">
        <f t="shared" si="198"/>
        <v>11.539113354736878</v>
      </c>
      <c r="AC229">
        <f t="shared" si="220"/>
        <v>0.47995396009890368</v>
      </c>
      <c r="AD229">
        <f t="shared" si="199"/>
        <v>0.56692175063243111</v>
      </c>
      <c r="AE229" s="9">
        <f t="shared" si="221"/>
        <v>12.585989065468214</v>
      </c>
      <c r="AF229">
        <f t="shared" si="222"/>
        <v>0</v>
      </c>
      <c r="AH229">
        <f t="shared" si="200"/>
        <v>7.8539816339744828</v>
      </c>
      <c r="AI229">
        <f t="shared" si="201"/>
        <v>3.6851317207623935</v>
      </c>
      <c r="AJ229">
        <f t="shared" si="202"/>
        <v>0.47995396009890356</v>
      </c>
      <c r="AK229">
        <f t="shared" si="203"/>
        <v>0.56692175063243111</v>
      </c>
      <c r="AL229" s="9">
        <f t="shared" si="223"/>
        <v>12.585989065468212</v>
      </c>
      <c r="AM229" t="e">
        <f t="shared" si="204"/>
        <v>#N/A</v>
      </c>
      <c r="AN229" t="e">
        <f t="shared" si="224"/>
        <v>#N/A</v>
      </c>
      <c r="AO229">
        <f t="shared" si="205"/>
        <v>0</v>
      </c>
      <c r="AP229">
        <f t="shared" si="206"/>
        <v>0</v>
      </c>
      <c r="AQ229">
        <f t="shared" si="207"/>
        <v>0</v>
      </c>
      <c r="AR229">
        <f t="shared" si="225"/>
        <v>0</v>
      </c>
      <c r="AS229">
        <f t="shared" si="208"/>
        <v>0</v>
      </c>
      <c r="AT229">
        <f t="shared" si="226"/>
        <v>0</v>
      </c>
      <c r="AU229">
        <f t="shared" si="227"/>
        <v>0</v>
      </c>
      <c r="AV229">
        <f t="shared" si="209"/>
        <v>2.5384068641005529E-20</v>
      </c>
      <c r="AW229" t="b">
        <f t="shared" si="228"/>
        <v>1</v>
      </c>
      <c r="AX229">
        <f t="shared" si="210"/>
        <v>7.8539816339744828</v>
      </c>
      <c r="AY229">
        <f t="shared" si="211"/>
        <v>3.6851317207623944</v>
      </c>
      <c r="AZ229">
        <f t="shared" si="212"/>
        <v>0.47995396009890368</v>
      </c>
      <c r="BA229">
        <f t="shared" si="213"/>
        <v>0.56692175063243133</v>
      </c>
      <c r="BB229">
        <f t="shared" si="214"/>
        <v>-1.2337005501361696E-20</v>
      </c>
      <c r="BD229" s="15">
        <f t="shared" si="229"/>
        <v>12.585989065468212</v>
      </c>
      <c r="BE229" s="10">
        <f t="shared" si="230"/>
        <v>0</v>
      </c>
      <c r="BF229">
        <f t="shared" si="231"/>
        <v>0</v>
      </c>
      <c r="BG229">
        <f t="shared" si="232"/>
        <v>0</v>
      </c>
      <c r="BH229">
        <f t="shared" si="233"/>
        <v>0</v>
      </c>
      <c r="BI229">
        <f t="shared" si="234"/>
        <v>0</v>
      </c>
    </row>
    <row r="230" spans="1:61" x14ac:dyDescent="0.3">
      <c r="A230">
        <f t="shared" si="181"/>
        <v>0.193</v>
      </c>
      <c r="B230">
        <f t="shared" si="182"/>
        <v>0.60632738214283011</v>
      </c>
      <c r="C230">
        <f t="shared" si="183"/>
        <v>2.535265271446963</v>
      </c>
      <c r="D230">
        <f t="shared" si="184"/>
        <v>2.535265271446963</v>
      </c>
      <c r="E230">
        <f t="shared" si="189"/>
        <v>0.56985334947192379</v>
      </c>
      <c r="F230">
        <f t="shared" si="190"/>
        <v>0.5698533494719239</v>
      </c>
      <c r="G230">
        <f t="shared" si="185"/>
        <v>0.60632738214283011</v>
      </c>
      <c r="H230">
        <f t="shared" si="186"/>
        <v>0.56985334947192379</v>
      </c>
      <c r="I230">
        <f t="shared" si="187"/>
        <v>0.5698533494719239</v>
      </c>
      <c r="J230">
        <f t="shared" si="235"/>
        <v>1.1171642194566888E+20</v>
      </c>
      <c r="K230">
        <f t="shared" si="236"/>
        <v>1.1171642194566888E+20</v>
      </c>
      <c r="L230" t="e">
        <f t="shared" si="191"/>
        <v>#NUM!</v>
      </c>
      <c r="M230">
        <f t="shared" si="188"/>
        <v>2.5352652714469629E-20</v>
      </c>
      <c r="N230" s="9" t="e">
        <f t="shared" ref="N230:N293" si="237">L230*M230</f>
        <v>#NUM!</v>
      </c>
      <c r="O230" t="e">
        <f t="shared" ref="O230:O293" si="238">N230*EXP(-N230)</f>
        <v>#NUM!</v>
      </c>
      <c r="Q230">
        <f t="shared" si="192"/>
        <v>46.162495387475801</v>
      </c>
      <c r="R230">
        <f t="shared" si="193"/>
        <v>0</v>
      </c>
      <c r="S230">
        <f t="shared" si="215"/>
        <v>-45.121403584743703</v>
      </c>
      <c r="T230" s="9" t="e">
        <f t="shared" si="194"/>
        <v>#N/A</v>
      </c>
      <c r="U230">
        <f t="shared" si="216"/>
        <v>-1.0000000000000001E+300</v>
      </c>
      <c r="V230">
        <f t="shared" si="217"/>
        <v>0</v>
      </c>
      <c r="W230">
        <f t="shared" si="218"/>
        <v>0</v>
      </c>
      <c r="X230">
        <f t="shared" si="195"/>
        <v>2.535265271446963</v>
      </c>
      <c r="Y230">
        <f t="shared" si="196"/>
        <v>7.8539816339744828</v>
      </c>
      <c r="Z230">
        <f t="shared" si="197"/>
        <v>-2.535265271446963</v>
      </c>
      <c r="AA230">
        <f t="shared" si="219"/>
        <v>3.6559320633378318</v>
      </c>
      <c r="AB230">
        <f t="shared" si="198"/>
        <v>11.509913697312314</v>
      </c>
      <c r="AC230">
        <f t="shared" si="220"/>
        <v>0.47871556984775698</v>
      </c>
      <c r="AD230">
        <f t="shared" si="199"/>
        <v>0.56237623288434113</v>
      </c>
      <c r="AE230" s="9">
        <f t="shared" si="221"/>
        <v>12.551005500044413</v>
      </c>
      <c r="AF230">
        <f t="shared" si="222"/>
        <v>0</v>
      </c>
      <c r="AH230">
        <f t="shared" si="200"/>
        <v>7.8539816339744828</v>
      </c>
      <c r="AI230">
        <f t="shared" si="201"/>
        <v>3.6559320633378318</v>
      </c>
      <c r="AJ230">
        <f t="shared" si="202"/>
        <v>0.47871556984775765</v>
      </c>
      <c r="AK230">
        <f t="shared" si="203"/>
        <v>0.56237623288434113</v>
      </c>
      <c r="AL230" s="9">
        <f t="shared" si="223"/>
        <v>12.551005500044413</v>
      </c>
      <c r="AM230" t="e">
        <f t="shared" si="204"/>
        <v>#N/A</v>
      </c>
      <c r="AN230" t="e">
        <f t="shared" si="224"/>
        <v>#N/A</v>
      </c>
      <c r="AO230">
        <f t="shared" si="205"/>
        <v>0</v>
      </c>
      <c r="AP230">
        <f t="shared" si="206"/>
        <v>0</v>
      </c>
      <c r="AQ230">
        <f t="shared" si="207"/>
        <v>6.6613381477509392E-16</v>
      </c>
      <c r="AR230">
        <f t="shared" si="225"/>
        <v>0</v>
      </c>
      <c r="AS230">
        <f t="shared" si="208"/>
        <v>0</v>
      </c>
      <c r="AT230">
        <f t="shared" si="226"/>
        <v>0</v>
      </c>
      <c r="AU230">
        <f t="shared" si="227"/>
        <v>0</v>
      </c>
      <c r="AV230">
        <f t="shared" si="209"/>
        <v>2.5352652714469629E-20</v>
      </c>
      <c r="AW230" t="b">
        <f t="shared" si="228"/>
        <v>1</v>
      </c>
      <c r="AX230">
        <f t="shared" si="210"/>
        <v>7.8539816339744828</v>
      </c>
      <c r="AY230">
        <f t="shared" si="211"/>
        <v>3.6559320633378314</v>
      </c>
      <c r="AZ230">
        <f t="shared" si="212"/>
        <v>0.47871556984775709</v>
      </c>
      <c r="BA230">
        <f t="shared" si="213"/>
        <v>0.56237623288434091</v>
      </c>
      <c r="BB230">
        <f t="shared" si="214"/>
        <v>-1.2337005501361696E-20</v>
      </c>
      <c r="BD230" s="15">
        <f t="shared" si="229"/>
        <v>12.551005500044413</v>
      </c>
      <c r="BE230" s="10">
        <f t="shared" si="230"/>
        <v>0</v>
      </c>
      <c r="BF230">
        <f t="shared" si="231"/>
        <v>0</v>
      </c>
      <c r="BG230">
        <f t="shared" si="232"/>
        <v>0</v>
      </c>
      <c r="BH230">
        <f t="shared" si="233"/>
        <v>0</v>
      </c>
      <c r="BI230">
        <f t="shared" si="234"/>
        <v>0</v>
      </c>
    </row>
    <row r="231" spans="1:61" x14ac:dyDescent="0.3">
      <c r="A231">
        <f t="shared" ref="A231:A294" si="239">ROUND(A230+1/1000,3)</f>
        <v>0.19400000000000001</v>
      </c>
      <c r="B231">
        <f t="shared" si="182"/>
        <v>0.60946897479641993</v>
      </c>
      <c r="C231">
        <f t="shared" si="183"/>
        <v>2.532123678793373</v>
      </c>
      <c r="D231">
        <f t="shared" si="184"/>
        <v>2.532123678793373</v>
      </c>
      <c r="E231">
        <f t="shared" si="189"/>
        <v>0.57243212559459089</v>
      </c>
      <c r="F231">
        <f t="shared" si="190"/>
        <v>0.57243212559459122</v>
      </c>
      <c r="G231">
        <f t="shared" si="185"/>
        <v>0.60946897479641993</v>
      </c>
      <c r="H231">
        <f t="shared" si="186"/>
        <v>0.57243212559459089</v>
      </c>
      <c r="I231">
        <f t="shared" si="187"/>
        <v>0.57243212559459122</v>
      </c>
      <c r="J231">
        <f t="shared" si="235"/>
        <v>1.1121314543734215E+20</v>
      </c>
      <c r="K231">
        <f t="shared" si="236"/>
        <v>1.1121314543734215E+20</v>
      </c>
      <c r="L231" t="e">
        <f t="shared" si="191"/>
        <v>#NUM!</v>
      </c>
      <c r="M231">
        <f t="shared" si="188"/>
        <v>2.5321236787933729E-20</v>
      </c>
      <c r="N231" s="9" t="e">
        <f t="shared" si="237"/>
        <v>#NUM!</v>
      </c>
      <c r="O231" t="e">
        <f t="shared" si="238"/>
        <v>#NUM!</v>
      </c>
      <c r="Q231">
        <f t="shared" si="192"/>
        <v>46.157980263087126</v>
      </c>
      <c r="R231">
        <f t="shared" si="193"/>
        <v>0</v>
      </c>
      <c r="S231">
        <f t="shared" si="215"/>
        <v>-45.122643510507025</v>
      </c>
      <c r="T231" s="9" t="e">
        <f t="shared" si="194"/>
        <v>#N/A</v>
      </c>
      <c r="U231">
        <f t="shared" si="216"/>
        <v>-1.0000000000000001E+300</v>
      </c>
      <c r="V231">
        <f t="shared" si="217"/>
        <v>0</v>
      </c>
      <c r="W231">
        <f t="shared" si="218"/>
        <v>0</v>
      </c>
      <c r="X231">
        <f t="shared" si="195"/>
        <v>2.532123678793373</v>
      </c>
      <c r="Y231">
        <f t="shared" si="196"/>
        <v>7.8539816339744828</v>
      </c>
      <c r="Z231">
        <f t="shared" si="197"/>
        <v>-2.532123678793373</v>
      </c>
      <c r="AA231">
        <f t="shared" si="219"/>
        <v>3.6270154288474963</v>
      </c>
      <c r="AB231">
        <f t="shared" si="198"/>
        <v>11.480997062821979</v>
      </c>
      <c r="AC231">
        <f t="shared" si="220"/>
        <v>0.47747564408443649</v>
      </c>
      <c r="AD231">
        <f t="shared" si="199"/>
        <v>0.55786110849566561</v>
      </c>
      <c r="AE231" s="9">
        <f t="shared" si="221"/>
        <v>12.51633381540208</v>
      </c>
      <c r="AF231">
        <f t="shared" si="222"/>
        <v>0</v>
      </c>
      <c r="AH231">
        <f t="shared" si="200"/>
        <v>7.8539816339744828</v>
      </c>
      <c r="AI231">
        <f t="shared" si="201"/>
        <v>3.6270154288474981</v>
      </c>
      <c r="AJ231">
        <f t="shared" si="202"/>
        <v>0.47747564408443566</v>
      </c>
      <c r="AK231">
        <f t="shared" si="203"/>
        <v>0.55786110849566561</v>
      </c>
      <c r="AL231" s="9">
        <f t="shared" si="223"/>
        <v>12.516333815402081</v>
      </c>
      <c r="AM231" t="e">
        <f t="shared" si="204"/>
        <v>#N/A</v>
      </c>
      <c r="AN231" t="e">
        <f t="shared" si="224"/>
        <v>#N/A</v>
      </c>
      <c r="AO231">
        <f t="shared" si="205"/>
        <v>0</v>
      </c>
      <c r="AP231">
        <f t="shared" si="206"/>
        <v>0</v>
      </c>
      <c r="AQ231">
        <f t="shared" si="207"/>
        <v>-8.3266726846886741E-16</v>
      </c>
      <c r="AR231">
        <f t="shared" si="225"/>
        <v>0</v>
      </c>
      <c r="AS231">
        <f t="shared" si="208"/>
        <v>0</v>
      </c>
      <c r="AT231">
        <f t="shared" si="226"/>
        <v>0</v>
      </c>
      <c r="AU231">
        <f t="shared" si="227"/>
        <v>0</v>
      </c>
      <c r="AV231">
        <f t="shared" si="209"/>
        <v>2.5321236787933729E-20</v>
      </c>
      <c r="AW231" t="b">
        <f t="shared" si="228"/>
        <v>1</v>
      </c>
      <c r="AX231">
        <f t="shared" si="210"/>
        <v>7.8539816339744828</v>
      </c>
      <c r="AY231">
        <f t="shared" si="211"/>
        <v>3.6270154288474958</v>
      </c>
      <c r="AZ231">
        <f t="shared" si="212"/>
        <v>0.47747564408443649</v>
      </c>
      <c r="BA231">
        <f t="shared" si="213"/>
        <v>0.55786110849566506</v>
      </c>
      <c r="BB231">
        <f t="shared" si="214"/>
        <v>-1.2337005501361696E-20</v>
      </c>
      <c r="BD231" s="15">
        <f t="shared" si="229"/>
        <v>12.51633381540208</v>
      </c>
      <c r="BE231" s="10">
        <f t="shared" si="230"/>
        <v>0</v>
      </c>
      <c r="BF231">
        <f t="shared" si="231"/>
        <v>0</v>
      </c>
      <c r="BG231">
        <f t="shared" si="232"/>
        <v>0</v>
      </c>
      <c r="BH231">
        <f t="shared" si="233"/>
        <v>0</v>
      </c>
      <c r="BI231">
        <f t="shared" si="234"/>
        <v>0</v>
      </c>
    </row>
    <row r="232" spans="1:61" x14ac:dyDescent="0.3">
      <c r="A232">
        <f t="shared" si="239"/>
        <v>0.19500000000000001</v>
      </c>
      <c r="B232">
        <f t="shared" si="182"/>
        <v>0.61261056745000964</v>
      </c>
      <c r="C232">
        <f t="shared" si="183"/>
        <v>2.5289820861397834</v>
      </c>
      <c r="D232">
        <f t="shared" si="184"/>
        <v>2.5289820861397834</v>
      </c>
      <c r="E232">
        <f t="shared" si="189"/>
        <v>0.57500525204327857</v>
      </c>
      <c r="F232">
        <f t="shared" si="190"/>
        <v>0.57500525204327868</v>
      </c>
      <c r="G232">
        <f t="shared" si="185"/>
        <v>0.61261056745000964</v>
      </c>
      <c r="H232">
        <f t="shared" si="186"/>
        <v>0.57500525204327857</v>
      </c>
      <c r="I232">
        <f t="shared" si="187"/>
        <v>0.57500525204327868</v>
      </c>
      <c r="J232">
        <f t="shared" si="235"/>
        <v>1.1071547087706694E+20</v>
      </c>
      <c r="K232">
        <f t="shared" si="236"/>
        <v>1.1071547087706694E+20</v>
      </c>
      <c r="L232">
        <f t="shared" si="191"/>
        <v>1</v>
      </c>
      <c r="M232">
        <f t="shared" si="188"/>
        <v>2.5289820861397833E-20</v>
      </c>
      <c r="N232" s="9">
        <f t="shared" si="237"/>
        <v>2.5289820861397833E-20</v>
      </c>
      <c r="O232">
        <f t="shared" si="238"/>
        <v>2.5289820861397833E-20</v>
      </c>
      <c r="Q232">
        <f t="shared" si="192"/>
        <v>46.153495258829651</v>
      </c>
      <c r="R232">
        <f t="shared" si="193"/>
        <v>0</v>
      </c>
      <c r="S232">
        <f t="shared" si="215"/>
        <v>-45.123884975595089</v>
      </c>
      <c r="T232" s="9" t="e">
        <f t="shared" si="194"/>
        <v>#N/A</v>
      </c>
      <c r="U232">
        <f t="shared" si="216"/>
        <v>-1.0000000000000001E+300</v>
      </c>
      <c r="V232">
        <f t="shared" si="217"/>
        <v>0</v>
      </c>
      <c r="W232">
        <f t="shared" si="218"/>
        <v>0</v>
      </c>
      <c r="X232">
        <f t="shared" si="195"/>
        <v>2.5289820861397834</v>
      </c>
      <c r="Y232">
        <f t="shared" si="196"/>
        <v>7.8539816339744828</v>
      </c>
      <c r="Z232">
        <f t="shared" si="197"/>
        <v>-2.5289820861397834</v>
      </c>
      <c r="AA232">
        <f t="shared" si="219"/>
        <v>3.5983775309803203</v>
      </c>
      <c r="AB232">
        <f t="shared" si="198"/>
        <v>11.452359164954803</v>
      </c>
      <c r="AC232">
        <f t="shared" si="220"/>
        <v>0.47623417899637155</v>
      </c>
      <c r="AD232">
        <f t="shared" si="199"/>
        <v>0.55337610423819072</v>
      </c>
      <c r="AE232" s="9">
        <f t="shared" si="221"/>
        <v>12.481969448189366</v>
      </c>
      <c r="AF232">
        <f t="shared" si="222"/>
        <v>0</v>
      </c>
      <c r="AH232">
        <f t="shared" si="200"/>
        <v>7.8539816339744828</v>
      </c>
      <c r="AI232">
        <f t="shared" si="201"/>
        <v>3.5983775309803212</v>
      </c>
      <c r="AJ232">
        <f t="shared" si="202"/>
        <v>0.47623417899637133</v>
      </c>
      <c r="AK232">
        <f t="shared" si="203"/>
        <v>0.55337610423819072</v>
      </c>
      <c r="AL232" s="9">
        <f t="shared" si="223"/>
        <v>12.481969448189366</v>
      </c>
      <c r="AM232" t="e">
        <f t="shared" si="204"/>
        <v>#N/A</v>
      </c>
      <c r="AN232" t="e">
        <f t="shared" si="224"/>
        <v>#N/A</v>
      </c>
      <c r="AO232">
        <f t="shared" si="205"/>
        <v>0</v>
      </c>
      <c r="AP232">
        <f t="shared" si="206"/>
        <v>0</v>
      </c>
      <c r="AQ232">
        <f t="shared" si="207"/>
        <v>0</v>
      </c>
      <c r="AR232">
        <f t="shared" si="225"/>
        <v>0</v>
      </c>
      <c r="AS232">
        <f t="shared" si="208"/>
        <v>0</v>
      </c>
      <c r="AT232">
        <f t="shared" si="226"/>
        <v>0</v>
      </c>
      <c r="AU232">
        <f t="shared" si="227"/>
        <v>0</v>
      </c>
      <c r="AV232">
        <f t="shared" si="209"/>
        <v>2.5289820861397833E-20</v>
      </c>
      <c r="AW232" t="b">
        <f t="shared" si="228"/>
        <v>1</v>
      </c>
      <c r="AX232">
        <f t="shared" si="210"/>
        <v>7.8539816339744828</v>
      </c>
      <c r="AY232">
        <f t="shared" si="211"/>
        <v>3.5983775309803194</v>
      </c>
      <c r="AZ232">
        <f t="shared" si="212"/>
        <v>0.47623417899637172</v>
      </c>
      <c r="BA232">
        <f t="shared" si="213"/>
        <v>0.5533761042381905</v>
      </c>
      <c r="BB232">
        <f t="shared" si="214"/>
        <v>-1.2337005501361696E-20</v>
      </c>
      <c r="BD232" s="15">
        <f t="shared" si="229"/>
        <v>12.481969448189364</v>
      </c>
      <c r="BE232" s="10">
        <f t="shared" si="230"/>
        <v>0</v>
      </c>
      <c r="BF232">
        <f t="shared" si="231"/>
        <v>0</v>
      </c>
      <c r="BG232">
        <f t="shared" si="232"/>
        <v>0</v>
      </c>
      <c r="BH232">
        <f t="shared" si="233"/>
        <v>0</v>
      </c>
      <c r="BI232">
        <f t="shared" si="234"/>
        <v>0</v>
      </c>
    </row>
    <row r="233" spans="1:61" x14ac:dyDescent="0.3">
      <c r="A233">
        <f t="shared" si="239"/>
        <v>0.19600000000000001</v>
      </c>
      <c r="B233">
        <f t="shared" si="182"/>
        <v>0.61575216010359946</v>
      </c>
      <c r="C233">
        <f t="shared" si="183"/>
        <v>2.5258404934861938</v>
      </c>
      <c r="D233">
        <f t="shared" si="184"/>
        <v>2.5258404934861938</v>
      </c>
      <c r="E233">
        <f t="shared" si="189"/>
        <v>0.57757270342226763</v>
      </c>
      <c r="F233">
        <f t="shared" si="190"/>
        <v>0.57757270342226763</v>
      </c>
      <c r="G233">
        <f t="shared" si="185"/>
        <v>0.61575216010359946</v>
      </c>
      <c r="H233">
        <f t="shared" si="186"/>
        <v>0.57757270342226763</v>
      </c>
      <c r="I233">
        <f t="shared" si="187"/>
        <v>0.57757270342226763</v>
      </c>
      <c r="J233">
        <f t="shared" si="235"/>
        <v>1.1022331363574571E+20</v>
      </c>
      <c r="K233">
        <f t="shared" si="236"/>
        <v>1.1022331363574571E+20</v>
      </c>
      <c r="L233">
        <f t="shared" si="191"/>
        <v>1</v>
      </c>
      <c r="M233">
        <f t="shared" si="188"/>
        <v>2.5258404934861936E-20</v>
      </c>
      <c r="N233" s="9">
        <f t="shared" si="237"/>
        <v>2.5258404934861936E-20</v>
      </c>
      <c r="O233">
        <f t="shared" si="238"/>
        <v>2.5258404934861936E-20</v>
      </c>
      <c r="Q233">
        <f t="shared" si="192"/>
        <v>46.149040105729661</v>
      </c>
      <c r="R233">
        <f t="shared" si="193"/>
        <v>0</v>
      </c>
      <c r="S233">
        <f t="shared" si="215"/>
        <v>-45.125127983834687</v>
      </c>
      <c r="T233" s="9" t="e">
        <f t="shared" si="194"/>
        <v>#N/A</v>
      </c>
      <c r="U233">
        <f t="shared" si="216"/>
        <v>-1.0000000000000001E+300</v>
      </c>
      <c r="V233">
        <f t="shared" si="217"/>
        <v>0</v>
      </c>
      <c r="W233">
        <f t="shared" si="218"/>
        <v>0</v>
      </c>
      <c r="X233">
        <f t="shared" si="195"/>
        <v>2.5258404934861938</v>
      </c>
      <c r="Y233">
        <f t="shared" si="196"/>
        <v>7.8539816339744828</v>
      </c>
      <c r="Z233">
        <f t="shared" si="197"/>
        <v>-2.5258404934861938</v>
      </c>
      <c r="AA233">
        <f t="shared" si="219"/>
        <v>3.5700141707980628</v>
      </c>
      <c r="AB233">
        <f t="shared" si="198"/>
        <v>11.423995804772545</v>
      </c>
      <c r="AC233">
        <f t="shared" si="220"/>
        <v>0.47499117075677466</v>
      </c>
      <c r="AD233">
        <f t="shared" si="199"/>
        <v>0.54892095113820194</v>
      </c>
      <c r="AE233" s="9">
        <f t="shared" si="221"/>
        <v>12.447907926667522</v>
      </c>
      <c r="AF233">
        <f t="shared" si="222"/>
        <v>0</v>
      </c>
      <c r="AH233">
        <f t="shared" si="200"/>
        <v>7.8539816339744828</v>
      </c>
      <c r="AI233">
        <f t="shared" si="201"/>
        <v>3.5700141707980619</v>
      </c>
      <c r="AJ233">
        <f t="shared" si="202"/>
        <v>0.47499117075677333</v>
      </c>
      <c r="AK233">
        <f t="shared" si="203"/>
        <v>0.54892095113820194</v>
      </c>
      <c r="AL233" s="9">
        <f t="shared" si="223"/>
        <v>12.44790792666752</v>
      </c>
      <c r="AM233" t="e">
        <f t="shared" si="204"/>
        <v>#N/A</v>
      </c>
      <c r="AN233" t="e">
        <f t="shared" si="224"/>
        <v>#N/A</v>
      </c>
      <c r="AO233">
        <f t="shared" si="205"/>
        <v>0</v>
      </c>
      <c r="AP233">
        <f t="shared" si="206"/>
        <v>0</v>
      </c>
      <c r="AQ233">
        <f t="shared" si="207"/>
        <v>-1.3322676295501878E-15</v>
      </c>
      <c r="AR233">
        <f t="shared" si="225"/>
        <v>0</v>
      </c>
      <c r="AS233">
        <f t="shared" si="208"/>
        <v>0</v>
      </c>
      <c r="AT233">
        <f t="shared" si="226"/>
        <v>0</v>
      </c>
      <c r="AU233">
        <f t="shared" si="227"/>
        <v>0</v>
      </c>
      <c r="AV233">
        <f t="shared" si="209"/>
        <v>2.5258404934861936E-20</v>
      </c>
      <c r="AW233" t="b">
        <f t="shared" si="228"/>
        <v>1</v>
      </c>
      <c r="AX233">
        <f t="shared" si="210"/>
        <v>7.8539816339744828</v>
      </c>
      <c r="AY233">
        <f t="shared" si="211"/>
        <v>3.5700141707980619</v>
      </c>
      <c r="AZ233">
        <f t="shared" si="212"/>
        <v>0.47499117075677466</v>
      </c>
      <c r="BA233">
        <f t="shared" si="213"/>
        <v>0.54892095113820194</v>
      </c>
      <c r="BB233">
        <f t="shared" si="214"/>
        <v>-1.2337005501361696E-20</v>
      </c>
      <c r="BD233" s="15">
        <f t="shared" si="229"/>
        <v>12.447907926667522</v>
      </c>
      <c r="BE233" s="10">
        <f t="shared" si="230"/>
        <v>0</v>
      </c>
      <c r="BF233">
        <f t="shared" si="231"/>
        <v>0</v>
      </c>
      <c r="BG233">
        <f t="shared" si="232"/>
        <v>0</v>
      </c>
      <c r="BH233">
        <f t="shared" si="233"/>
        <v>0</v>
      </c>
      <c r="BI233">
        <f t="shared" si="234"/>
        <v>0</v>
      </c>
    </row>
    <row r="234" spans="1:61" x14ac:dyDescent="0.3">
      <c r="A234">
        <f t="shared" si="239"/>
        <v>0.19700000000000001</v>
      </c>
      <c r="B234">
        <f t="shared" si="182"/>
        <v>0.61889375275718927</v>
      </c>
      <c r="C234">
        <f t="shared" si="183"/>
        <v>2.5226989008326037</v>
      </c>
      <c r="D234">
        <f t="shared" si="184"/>
        <v>2.5226989008326037</v>
      </c>
      <c r="E234">
        <f t="shared" si="189"/>
        <v>0.58013445439184941</v>
      </c>
      <c r="F234">
        <f t="shared" si="190"/>
        <v>0.58013445439184952</v>
      </c>
      <c r="G234">
        <f t="shared" si="185"/>
        <v>0.61889375275718927</v>
      </c>
      <c r="H234">
        <f t="shared" si="186"/>
        <v>0.58013445439184941</v>
      </c>
      <c r="I234">
        <f t="shared" si="187"/>
        <v>0.58013445439184952</v>
      </c>
      <c r="J234">
        <f t="shared" si="235"/>
        <v>1.0973659081065012E+20</v>
      </c>
      <c r="K234">
        <f t="shared" si="236"/>
        <v>1.0973659081065012E+20</v>
      </c>
      <c r="L234">
        <f t="shared" si="191"/>
        <v>1</v>
      </c>
      <c r="M234">
        <f t="shared" si="188"/>
        <v>2.5226989008326037E-20</v>
      </c>
      <c r="N234" s="9">
        <f t="shared" si="237"/>
        <v>2.5226989008326037E-20</v>
      </c>
      <c r="O234">
        <f t="shared" si="238"/>
        <v>2.5226989008326037E-20</v>
      </c>
      <c r="Q234">
        <f t="shared" si="192"/>
        <v>46.14461453898177</v>
      </c>
      <c r="R234">
        <f t="shared" si="193"/>
        <v>0</v>
      </c>
      <c r="S234">
        <f t="shared" si="215"/>
        <v>-45.126372539066892</v>
      </c>
      <c r="T234" s="9" t="e">
        <f t="shared" si="194"/>
        <v>#N/A</v>
      </c>
      <c r="U234">
        <f t="shared" si="216"/>
        <v>-1.0000000000000001E+300</v>
      </c>
      <c r="V234">
        <f t="shared" si="217"/>
        <v>0</v>
      </c>
      <c r="W234">
        <f t="shared" si="218"/>
        <v>0</v>
      </c>
      <c r="X234">
        <f t="shared" si="195"/>
        <v>2.5226989008326037</v>
      </c>
      <c r="Y234">
        <f t="shared" si="196"/>
        <v>7.8539816339744828</v>
      </c>
      <c r="Z234">
        <f t="shared" si="197"/>
        <v>-2.5226989008326037</v>
      </c>
      <c r="AA234">
        <f t="shared" si="219"/>
        <v>3.5419212345182429</v>
      </c>
      <c r="AB234">
        <f t="shared" si="198"/>
        <v>11.395902868492726</v>
      </c>
      <c r="AC234">
        <f t="shared" si="220"/>
        <v>0.47374661552456987</v>
      </c>
      <c r="AD234">
        <f t="shared" si="199"/>
        <v>0.54449538439031175</v>
      </c>
      <c r="AE234" s="9">
        <f t="shared" si="221"/>
        <v>12.414144868407607</v>
      </c>
      <c r="AF234">
        <f t="shared" si="222"/>
        <v>0</v>
      </c>
      <c r="AH234">
        <f t="shared" si="200"/>
        <v>7.8539816339744828</v>
      </c>
      <c r="AI234">
        <f t="shared" si="201"/>
        <v>3.5419212345182443</v>
      </c>
      <c r="AJ234">
        <f t="shared" si="202"/>
        <v>0.47374661552456843</v>
      </c>
      <c r="AK234">
        <f t="shared" si="203"/>
        <v>0.54449538439031175</v>
      </c>
      <c r="AL234" s="9">
        <f t="shared" si="223"/>
        <v>12.414144868407606</v>
      </c>
      <c r="AM234" t="e">
        <f t="shared" si="204"/>
        <v>#N/A</v>
      </c>
      <c r="AN234" t="e">
        <f t="shared" si="224"/>
        <v>#N/A</v>
      </c>
      <c r="AO234">
        <f t="shared" si="205"/>
        <v>0</v>
      </c>
      <c r="AP234">
        <f t="shared" si="206"/>
        <v>0</v>
      </c>
      <c r="AQ234">
        <f t="shared" si="207"/>
        <v>-1.4432899320127035E-15</v>
      </c>
      <c r="AR234">
        <f t="shared" si="225"/>
        <v>0</v>
      </c>
      <c r="AS234">
        <f t="shared" si="208"/>
        <v>0</v>
      </c>
      <c r="AT234">
        <f t="shared" si="226"/>
        <v>0</v>
      </c>
      <c r="AU234">
        <f t="shared" si="227"/>
        <v>0</v>
      </c>
      <c r="AV234">
        <f t="shared" si="209"/>
        <v>2.5226989008326037E-20</v>
      </c>
      <c r="AW234" t="b">
        <f t="shared" si="228"/>
        <v>1</v>
      </c>
      <c r="AX234">
        <f t="shared" si="210"/>
        <v>7.8539816339744828</v>
      </c>
      <c r="AY234">
        <f t="shared" si="211"/>
        <v>3.541921234518242</v>
      </c>
      <c r="AZ234">
        <f t="shared" si="212"/>
        <v>0.47374661552456998</v>
      </c>
      <c r="BA234">
        <f t="shared" si="213"/>
        <v>0.54449538439031153</v>
      </c>
      <c r="BB234">
        <f t="shared" si="214"/>
        <v>-1.2337005501361696E-20</v>
      </c>
      <c r="BD234" s="15">
        <f t="shared" si="229"/>
        <v>12.414144868407606</v>
      </c>
      <c r="BE234" s="10">
        <f t="shared" si="230"/>
        <v>0</v>
      </c>
      <c r="BF234">
        <f t="shared" si="231"/>
        <v>0</v>
      </c>
      <c r="BG234">
        <f t="shared" si="232"/>
        <v>0</v>
      </c>
      <c r="BH234">
        <f t="shared" si="233"/>
        <v>0</v>
      </c>
      <c r="BI234">
        <f t="shared" si="234"/>
        <v>0</v>
      </c>
    </row>
    <row r="235" spans="1:61" x14ac:dyDescent="0.3">
      <c r="A235">
        <f t="shared" si="239"/>
        <v>0.19800000000000001</v>
      </c>
      <c r="B235">
        <f t="shared" si="182"/>
        <v>0.62203534541077909</v>
      </c>
      <c r="C235">
        <f t="shared" si="183"/>
        <v>2.5195573081790141</v>
      </c>
      <c r="D235">
        <f t="shared" si="184"/>
        <v>2.5195573081790141</v>
      </c>
      <c r="E235">
        <f t="shared" si="189"/>
        <v>0.58269047966857612</v>
      </c>
      <c r="F235">
        <f t="shared" si="190"/>
        <v>0.58269047966857612</v>
      </c>
      <c r="G235">
        <f t="shared" si="185"/>
        <v>0.62203534541077909</v>
      </c>
      <c r="H235">
        <f t="shared" si="186"/>
        <v>0.58269047966857612</v>
      </c>
      <c r="I235">
        <f t="shared" si="187"/>
        <v>0.58269047966857612</v>
      </c>
      <c r="J235">
        <f t="shared" si="235"/>
        <v>1.0925522118186646E+20</v>
      </c>
      <c r="K235">
        <f t="shared" si="236"/>
        <v>1.0925522118186646E+20</v>
      </c>
      <c r="L235">
        <f t="shared" si="191"/>
        <v>1</v>
      </c>
      <c r="M235">
        <f t="shared" si="188"/>
        <v>2.519557308179014E-20</v>
      </c>
      <c r="N235" s="9">
        <f t="shared" si="237"/>
        <v>2.519557308179014E-20</v>
      </c>
      <c r="O235">
        <f t="shared" si="238"/>
        <v>2.519557308179014E-20</v>
      </c>
      <c r="Q235">
        <f t="shared" si="192"/>
        <v>46.140218297864926</v>
      </c>
      <c r="R235">
        <f t="shared" si="193"/>
        <v>0</v>
      </c>
      <c r="S235">
        <f t="shared" si="215"/>
        <v>-45.127618645147137</v>
      </c>
      <c r="T235" s="9" t="e">
        <f t="shared" si="194"/>
        <v>#N/A</v>
      </c>
      <c r="U235">
        <f t="shared" si="216"/>
        <v>-1.0000000000000001E+300</v>
      </c>
      <c r="V235">
        <f t="shared" si="217"/>
        <v>0</v>
      </c>
      <c r="W235">
        <f t="shared" si="218"/>
        <v>0</v>
      </c>
      <c r="X235">
        <f t="shared" si="195"/>
        <v>2.5195573081790141</v>
      </c>
      <c r="Y235">
        <f t="shared" si="196"/>
        <v>7.8539816339744828</v>
      </c>
      <c r="Z235">
        <f t="shared" si="197"/>
        <v>-2.5195573081790141</v>
      </c>
      <c r="AA235">
        <f t="shared" si="219"/>
        <v>3.5140946913642632</v>
      </c>
      <c r="AB235">
        <f t="shared" si="198"/>
        <v>11.368076325338746</v>
      </c>
      <c r="AC235">
        <f t="shared" si="220"/>
        <v>0.47250050944432281</v>
      </c>
      <c r="AD235">
        <f t="shared" si="199"/>
        <v>0.54009914327346853</v>
      </c>
      <c r="AE235" s="9">
        <f t="shared" si="221"/>
        <v>12.380675978056539</v>
      </c>
      <c r="AF235">
        <f t="shared" si="222"/>
        <v>0</v>
      </c>
      <c r="AH235">
        <f t="shared" si="200"/>
        <v>7.8539816339744828</v>
      </c>
      <c r="AI235">
        <f t="shared" si="201"/>
        <v>3.5140946913642623</v>
      </c>
      <c r="AJ235">
        <f t="shared" si="202"/>
        <v>0.47250050944432331</v>
      </c>
      <c r="AK235">
        <f t="shared" si="203"/>
        <v>0.54009914327346853</v>
      </c>
      <c r="AL235" s="9">
        <f t="shared" si="223"/>
        <v>12.380675978056537</v>
      </c>
      <c r="AM235" t="e">
        <f t="shared" si="204"/>
        <v>#N/A</v>
      </c>
      <c r="AN235" t="e">
        <f t="shared" si="224"/>
        <v>#N/A</v>
      </c>
      <c r="AO235">
        <f t="shared" si="205"/>
        <v>0</v>
      </c>
      <c r="AP235">
        <f t="shared" si="206"/>
        <v>0</v>
      </c>
      <c r="AQ235">
        <f t="shared" si="207"/>
        <v>4.9960036108132044E-16</v>
      </c>
      <c r="AR235">
        <f t="shared" si="225"/>
        <v>0</v>
      </c>
      <c r="AS235">
        <f t="shared" si="208"/>
        <v>0</v>
      </c>
      <c r="AT235">
        <f t="shared" si="226"/>
        <v>0</v>
      </c>
      <c r="AU235">
        <f t="shared" si="227"/>
        <v>0</v>
      </c>
      <c r="AV235">
        <f t="shared" si="209"/>
        <v>2.519557308179014E-20</v>
      </c>
      <c r="AW235" t="b">
        <f t="shared" si="228"/>
        <v>1</v>
      </c>
      <c r="AX235">
        <f t="shared" si="210"/>
        <v>7.8539816339744828</v>
      </c>
      <c r="AY235">
        <f t="shared" si="211"/>
        <v>3.5140946913642632</v>
      </c>
      <c r="AZ235">
        <f t="shared" si="212"/>
        <v>0.47250050944432281</v>
      </c>
      <c r="BA235">
        <f t="shared" si="213"/>
        <v>0.54009914327346853</v>
      </c>
      <c r="BB235">
        <f t="shared" si="214"/>
        <v>-1.2337005501361696E-20</v>
      </c>
      <c r="BD235" s="15">
        <f t="shared" si="229"/>
        <v>12.380675978056539</v>
      </c>
      <c r="BE235" s="10">
        <f t="shared" si="230"/>
        <v>0</v>
      </c>
      <c r="BF235">
        <f t="shared" si="231"/>
        <v>0</v>
      </c>
      <c r="BG235">
        <f t="shared" si="232"/>
        <v>0</v>
      </c>
      <c r="BH235">
        <f t="shared" si="233"/>
        <v>0</v>
      </c>
      <c r="BI235">
        <f t="shared" si="234"/>
        <v>0</v>
      </c>
    </row>
    <row r="236" spans="1:61" x14ac:dyDescent="0.3">
      <c r="A236">
        <f t="shared" si="239"/>
        <v>0.19900000000000001</v>
      </c>
      <c r="B236">
        <f t="shared" si="182"/>
        <v>0.62517693806436891</v>
      </c>
      <c r="C236">
        <f t="shared" si="183"/>
        <v>2.5164157155254241</v>
      </c>
      <c r="D236">
        <f t="shared" si="184"/>
        <v>2.5164157155254241</v>
      </c>
      <c r="E236">
        <f t="shared" si="189"/>
        <v>0.58524075402551012</v>
      </c>
      <c r="F236">
        <f t="shared" si="190"/>
        <v>0.58524075402551035</v>
      </c>
      <c r="G236">
        <f t="shared" si="185"/>
        <v>0.62517693806436891</v>
      </c>
      <c r="H236">
        <f t="shared" si="186"/>
        <v>0.58524075402551012</v>
      </c>
      <c r="I236">
        <f t="shared" si="187"/>
        <v>0.58524075402551035</v>
      </c>
      <c r="J236">
        <f t="shared" si="235"/>
        <v>1.0877912517005468E+20</v>
      </c>
      <c r="K236">
        <f t="shared" si="236"/>
        <v>1.0877912517005468E+20</v>
      </c>
      <c r="L236">
        <f t="shared" si="191"/>
        <v>1</v>
      </c>
      <c r="M236">
        <f t="shared" si="188"/>
        <v>2.516415715525424E-20</v>
      </c>
      <c r="N236" s="9">
        <f t="shared" si="237"/>
        <v>2.516415715525424E-20</v>
      </c>
      <c r="O236">
        <f t="shared" si="238"/>
        <v>2.516415715525424E-20</v>
      </c>
      <c r="Q236">
        <f t="shared" si="192"/>
        <v>46.135851125660544</v>
      </c>
      <c r="R236">
        <f t="shared" si="193"/>
        <v>0</v>
      </c>
      <c r="S236">
        <f t="shared" si="215"/>
        <v>-45.128866305945294</v>
      </c>
      <c r="T236" s="9" t="e">
        <f t="shared" si="194"/>
        <v>#N/A</v>
      </c>
      <c r="U236">
        <f t="shared" si="216"/>
        <v>-1.0000000000000001E+300</v>
      </c>
      <c r="V236">
        <f t="shared" si="217"/>
        <v>0</v>
      </c>
      <c r="W236">
        <f t="shared" si="218"/>
        <v>0</v>
      </c>
      <c r="X236">
        <f t="shared" si="195"/>
        <v>2.5164157155254241</v>
      </c>
      <c r="Y236">
        <f t="shared" si="196"/>
        <v>7.8539816339744828</v>
      </c>
      <c r="Z236">
        <f t="shared" si="197"/>
        <v>-2.5164157155254241</v>
      </c>
      <c r="AA236">
        <f t="shared" si="219"/>
        <v>3.4865305914803053</v>
      </c>
      <c r="AB236">
        <f t="shared" si="198"/>
        <v>11.340512225454788</v>
      </c>
      <c r="AC236">
        <f t="shared" si="220"/>
        <v>0.4712528486461674</v>
      </c>
      <c r="AD236">
        <f t="shared" si="199"/>
        <v>0.53573197106908554</v>
      </c>
      <c r="AE236" s="9">
        <f t="shared" si="221"/>
        <v>12.347497045170041</v>
      </c>
      <c r="AF236">
        <f t="shared" si="222"/>
        <v>0</v>
      </c>
      <c r="AH236">
        <f t="shared" si="200"/>
        <v>7.8539816339744828</v>
      </c>
      <c r="AI236">
        <f t="shared" si="201"/>
        <v>3.4865305914803071</v>
      </c>
      <c r="AJ236">
        <f t="shared" si="202"/>
        <v>0.47125284864616646</v>
      </c>
      <c r="AK236">
        <f t="shared" si="203"/>
        <v>0.53573197106908554</v>
      </c>
      <c r="AL236" s="9">
        <f t="shared" si="223"/>
        <v>12.347497045170041</v>
      </c>
      <c r="AM236" t="e">
        <f t="shared" si="204"/>
        <v>#N/A</v>
      </c>
      <c r="AN236" t="e">
        <f t="shared" si="224"/>
        <v>#N/A</v>
      </c>
      <c r="AO236">
        <f t="shared" si="205"/>
        <v>0</v>
      </c>
      <c r="AP236">
        <f t="shared" si="206"/>
        <v>0</v>
      </c>
      <c r="AQ236">
        <f t="shared" si="207"/>
        <v>-9.4368957093138306E-16</v>
      </c>
      <c r="AR236">
        <f t="shared" si="225"/>
        <v>0</v>
      </c>
      <c r="AS236">
        <f t="shared" si="208"/>
        <v>0</v>
      </c>
      <c r="AT236">
        <f t="shared" si="226"/>
        <v>0</v>
      </c>
      <c r="AU236">
        <f t="shared" si="227"/>
        <v>0</v>
      </c>
      <c r="AV236">
        <f t="shared" si="209"/>
        <v>2.516415715525424E-20</v>
      </c>
      <c r="AW236" t="b">
        <f t="shared" si="228"/>
        <v>1</v>
      </c>
      <c r="AX236">
        <f t="shared" si="210"/>
        <v>7.8539816339744828</v>
      </c>
      <c r="AY236">
        <f t="shared" si="211"/>
        <v>3.4865305914803044</v>
      </c>
      <c r="AZ236">
        <f t="shared" si="212"/>
        <v>0.47125284864616751</v>
      </c>
      <c r="BA236">
        <f t="shared" si="213"/>
        <v>0.5357319710690851</v>
      </c>
      <c r="BB236">
        <f t="shared" si="214"/>
        <v>-1.2337005501361696E-20</v>
      </c>
      <c r="BD236" s="15">
        <f t="shared" si="229"/>
        <v>12.347497045170041</v>
      </c>
      <c r="BE236" s="10">
        <f t="shared" si="230"/>
        <v>0</v>
      </c>
      <c r="BF236">
        <f t="shared" si="231"/>
        <v>0</v>
      </c>
      <c r="BG236">
        <f t="shared" si="232"/>
        <v>0</v>
      </c>
      <c r="BH236">
        <f t="shared" si="233"/>
        <v>0</v>
      </c>
      <c r="BI236">
        <f t="shared" si="234"/>
        <v>0</v>
      </c>
    </row>
    <row r="237" spans="1:61" x14ac:dyDescent="0.3">
      <c r="A237">
        <f t="shared" si="239"/>
        <v>0.2</v>
      </c>
      <c r="B237">
        <f t="shared" si="182"/>
        <v>0.62831853071795862</v>
      </c>
      <c r="C237">
        <f t="shared" si="183"/>
        <v>2.5132741228718345</v>
      </c>
      <c r="D237">
        <f t="shared" si="184"/>
        <v>2.5132741228718345</v>
      </c>
      <c r="E237">
        <f t="shared" si="189"/>
        <v>0.58778525229247314</v>
      </c>
      <c r="F237">
        <f t="shared" si="190"/>
        <v>0.58778525229247325</v>
      </c>
      <c r="G237">
        <f t="shared" si="185"/>
        <v>0.62831853071795862</v>
      </c>
      <c r="H237">
        <f t="shared" si="186"/>
        <v>0.58778525229247314</v>
      </c>
      <c r="I237">
        <f t="shared" si="187"/>
        <v>0.58778525229247325</v>
      </c>
      <c r="J237">
        <f t="shared" si="235"/>
        <v>1.0830822479547495E+20</v>
      </c>
      <c r="K237">
        <f t="shared" si="236"/>
        <v>1.0830822479547495E+20</v>
      </c>
      <c r="L237">
        <f t="shared" si="191"/>
        <v>1</v>
      </c>
      <c r="M237">
        <f t="shared" si="188"/>
        <v>2.5132741228718344E-20</v>
      </c>
      <c r="N237" s="9">
        <f t="shared" si="237"/>
        <v>2.5132741228718344E-20</v>
      </c>
      <c r="O237">
        <f t="shared" si="238"/>
        <v>2.5132741228718344E-20</v>
      </c>
      <c r="Q237">
        <f t="shared" si="192"/>
        <v>46.13151276957268</v>
      </c>
      <c r="R237">
        <f t="shared" si="193"/>
        <v>0</v>
      </c>
      <c r="S237">
        <f t="shared" si="215"/>
        <v>-45.130115525345722</v>
      </c>
      <c r="T237" s="9" t="e">
        <f t="shared" si="194"/>
        <v>#N/A</v>
      </c>
      <c r="U237">
        <f t="shared" si="216"/>
        <v>-1.0000000000000001E+300</v>
      </c>
      <c r="V237">
        <f t="shared" si="217"/>
        <v>0</v>
      </c>
      <c r="W237">
        <f t="shared" si="218"/>
        <v>0</v>
      </c>
      <c r="X237">
        <f t="shared" si="195"/>
        <v>2.5132741228718345</v>
      </c>
      <c r="Y237">
        <f t="shared" si="196"/>
        <v>7.8539816339744828</v>
      </c>
      <c r="Z237">
        <f t="shared" si="197"/>
        <v>-2.5132741228718345</v>
      </c>
      <c r="AA237">
        <f t="shared" si="219"/>
        <v>3.4592250639088391</v>
      </c>
      <c r="AB237">
        <f t="shared" si="198"/>
        <v>11.313206697883322</v>
      </c>
      <c r="AC237">
        <f t="shared" si="220"/>
        <v>0.47000362924573563</v>
      </c>
      <c r="AD237">
        <f t="shared" si="199"/>
        <v>0.53139361498122195</v>
      </c>
      <c r="AE237" s="9">
        <f t="shared" si="221"/>
        <v>12.314603942110278</v>
      </c>
      <c r="AF237">
        <f t="shared" si="222"/>
        <v>0</v>
      </c>
      <c r="AH237">
        <f t="shared" si="200"/>
        <v>7.8539816339744828</v>
      </c>
      <c r="AI237">
        <f t="shared" si="201"/>
        <v>3.4592250639088395</v>
      </c>
      <c r="AJ237">
        <f t="shared" si="202"/>
        <v>0.47000362924573835</v>
      </c>
      <c r="AK237">
        <f t="shared" si="203"/>
        <v>0.53139361498122195</v>
      </c>
      <c r="AL237" s="9">
        <f t="shared" si="223"/>
        <v>12.314603942110281</v>
      </c>
      <c r="AM237" t="e">
        <f t="shared" si="204"/>
        <v>#N/A</v>
      </c>
      <c r="AN237" t="e">
        <f t="shared" si="224"/>
        <v>#N/A</v>
      </c>
      <c r="AO237">
        <f t="shared" si="205"/>
        <v>0</v>
      </c>
      <c r="AP237">
        <f t="shared" si="206"/>
        <v>0</v>
      </c>
      <c r="AQ237">
        <f t="shared" si="207"/>
        <v>2.7200464103316335E-15</v>
      </c>
      <c r="AR237">
        <f t="shared" si="225"/>
        <v>0</v>
      </c>
      <c r="AS237">
        <f t="shared" si="208"/>
        <v>0</v>
      </c>
      <c r="AT237">
        <f t="shared" si="226"/>
        <v>0</v>
      </c>
      <c r="AU237">
        <f t="shared" si="227"/>
        <v>0</v>
      </c>
      <c r="AV237">
        <f t="shared" si="209"/>
        <v>2.5132741228718344E-20</v>
      </c>
      <c r="AW237" t="b">
        <f t="shared" si="228"/>
        <v>1</v>
      </c>
      <c r="AX237">
        <f t="shared" si="210"/>
        <v>7.8539816339744828</v>
      </c>
      <c r="AY237">
        <f t="shared" si="211"/>
        <v>3.4592250639088391</v>
      </c>
      <c r="AZ237">
        <f t="shared" si="212"/>
        <v>0.47000362924573563</v>
      </c>
      <c r="BA237">
        <f t="shared" si="213"/>
        <v>0.53139361498122173</v>
      </c>
      <c r="BB237">
        <f t="shared" si="214"/>
        <v>-1.2337005501361696E-20</v>
      </c>
      <c r="BD237" s="15">
        <f t="shared" si="229"/>
        <v>12.314603942110278</v>
      </c>
      <c r="BE237" s="10">
        <f t="shared" si="230"/>
        <v>0</v>
      </c>
      <c r="BF237">
        <f t="shared" si="231"/>
        <v>0</v>
      </c>
      <c r="BG237">
        <f t="shared" si="232"/>
        <v>0</v>
      </c>
      <c r="BH237">
        <f t="shared" si="233"/>
        <v>0</v>
      </c>
      <c r="BI237">
        <f t="shared" si="234"/>
        <v>0</v>
      </c>
    </row>
    <row r="238" spans="1:61" x14ac:dyDescent="0.3">
      <c r="A238">
        <f t="shared" si="239"/>
        <v>0.20100000000000001</v>
      </c>
      <c r="B238">
        <f t="shared" si="182"/>
        <v>0.63146012337154844</v>
      </c>
      <c r="C238">
        <f t="shared" si="183"/>
        <v>2.5101325302182449</v>
      </c>
      <c r="D238">
        <f t="shared" si="184"/>
        <v>2.5101325302182449</v>
      </c>
      <c r="E238">
        <f t="shared" si="189"/>
        <v>0.59032394935629451</v>
      </c>
      <c r="F238">
        <f t="shared" si="190"/>
        <v>0.59032394935629451</v>
      </c>
      <c r="G238">
        <f t="shared" si="185"/>
        <v>0.63146012337154844</v>
      </c>
      <c r="H238">
        <f t="shared" si="186"/>
        <v>0.59032394935629451</v>
      </c>
      <c r="I238">
        <f t="shared" si="187"/>
        <v>0.59032394935629451</v>
      </c>
      <c r="J238">
        <f t="shared" si="235"/>
        <v>1.0784244363823781E+20</v>
      </c>
      <c r="K238">
        <f t="shared" si="236"/>
        <v>1.0784244363823781E+20</v>
      </c>
      <c r="L238">
        <f t="shared" si="191"/>
        <v>0</v>
      </c>
      <c r="M238">
        <f t="shared" si="188"/>
        <v>2.5101325302182444E-20</v>
      </c>
      <c r="N238" s="9">
        <f t="shared" si="237"/>
        <v>0</v>
      </c>
      <c r="O238">
        <f t="shared" si="238"/>
        <v>0</v>
      </c>
      <c r="Q238">
        <f t="shared" si="192"/>
        <v>46.127202980650218</v>
      </c>
      <c r="R238">
        <f t="shared" si="193"/>
        <v>0</v>
      </c>
      <c r="S238">
        <f t="shared" si="215"/>
        <v>-45.131366307247376</v>
      </c>
      <c r="T238" s="9" t="e">
        <f t="shared" si="194"/>
        <v>#N/A</v>
      </c>
      <c r="U238">
        <f t="shared" si="216"/>
        <v>-1.0000000000000001E+300</v>
      </c>
      <c r="V238">
        <f t="shared" si="217"/>
        <v>0</v>
      </c>
      <c r="W238">
        <f t="shared" si="218"/>
        <v>0</v>
      </c>
      <c r="X238">
        <f t="shared" si="195"/>
        <v>2.5101325302182449</v>
      </c>
      <c r="Y238">
        <f t="shared" si="196"/>
        <v>7.8539816339744828</v>
      </c>
      <c r="Z238">
        <f t="shared" si="197"/>
        <v>-2.5101325302182449</v>
      </c>
      <c r="AA238">
        <f t="shared" si="219"/>
        <v>3.4321743146284467</v>
      </c>
      <c r="AB238">
        <f t="shared" si="198"/>
        <v>11.286155948602929</v>
      </c>
      <c r="AC238">
        <f t="shared" si="220"/>
        <v>0.46875284734408296</v>
      </c>
      <c r="AD238">
        <f t="shared" si="199"/>
        <v>0.52708382605875781</v>
      </c>
      <c r="AE238" s="9">
        <f t="shared" si="221"/>
        <v>12.28199262200577</v>
      </c>
      <c r="AF238">
        <f t="shared" si="222"/>
        <v>0</v>
      </c>
      <c r="AH238">
        <f t="shared" si="200"/>
        <v>7.8539816339744828</v>
      </c>
      <c r="AI238">
        <f t="shared" si="201"/>
        <v>3.4321743146284449</v>
      </c>
      <c r="AJ238">
        <f t="shared" si="202"/>
        <v>0.46875284734408496</v>
      </c>
      <c r="AK238">
        <f t="shared" si="203"/>
        <v>0.52708382605875781</v>
      </c>
      <c r="AL238" s="9">
        <f t="shared" si="223"/>
        <v>12.281992622005772</v>
      </c>
      <c r="AM238" t="e">
        <f t="shared" si="204"/>
        <v>#N/A</v>
      </c>
      <c r="AN238" t="e">
        <f t="shared" si="224"/>
        <v>#N/A</v>
      </c>
      <c r="AO238">
        <f t="shared" si="205"/>
        <v>0</v>
      </c>
      <c r="AP238">
        <f t="shared" si="206"/>
        <v>0</v>
      </c>
      <c r="AQ238">
        <f t="shared" si="207"/>
        <v>1.9984014443252818E-15</v>
      </c>
      <c r="AR238">
        <f t="shared" si="225"/>
        <v>0</v>
      </c>
      <c r="AS238">
        <f t="shared" si="208"/>
        <v>0</v>
      </c>
      <c r="AT238">
        <f t="shared" si="226"/>
        <v>0</v>
      </c>
      <c r="AU238">
        <f t="shared" si="227"/>
        <v>0</v>
      </c>
      <c r="AV238">
        <f t="shared" si="209"/>
        <v>2.5101325302182447E-20</v>
      </c>
      <c r="AW238" t="b">
        <f t="shared" si="228"/>
        <v>1</v>
      </c>
      <c r="AX238">
        <f t="shared" si="210"/>
        <v>7.8539816339744828</v>
      </c>
      <c r="AY238">
        <f t="shared" si="211"/>
        <v>3.4321743146284462</v>
      </c>
      <c r="AZ238">
        <f t="shared" si="212"/>
        <v>0.46875284734408296</v>
      </c>
      <c r="BA238">
        <f t="shared" si="213"/>
        <v>0.52708382605875781</v>
      </c>
      <c r="BB238">
        <f t="shared" si="214"/>
        <v>-1.2337005501361696E-20</v>
      </c>
      <c r="BD238" s="15">
        <f t="shared" si="229"/>
        <v>12.28199262200577</v>
      </c>
      <c r="BE238" s="10">
        <f t="shared" si="230"/>
        <v>0</v>
      </c>
      <c r="BF238">
        <f t="shared" si="231"/>
        <v>0</v>
      </c>
      <c r="BG238">
        <f t="shared" si="232"/>
        <v>0</v>
      </c>
      <c r="BH238">
        <f t="shared" si="233"/>
        <v>0</v>
      </c>
      <c r="BI238">
        <f t="shared" si="234"/>
        <v>0</v>
      </c>
    </row>
    <row r="239" spans="1:61" x14ac:dyDescent="0.3">
      <c r="A239">
        <f t="shared" si="239"/>
        <v>0.20200000000000001</v>
      </c>
      <c r="B239">
        <f t="shared" si="182"/>
        <v>0.63460171602513826</v>
      </c>
      <c r="C239">
        <f t="shared" si="183"/>
        <v>2.5069909375646549</v>
      </c>
      <c r="D239">
        <f t="shared" si="184"/>
        <v>2.5069909375646549</v>
      </c>
      <c r="E239">
        <f t="shared" si="189"/>
        <v>0.59285682016105923</v>
      </c>
      <c r="F239">
        <f t="shared" si="190"/>
        <v>0.59285682016105934</v>
      </c>
      <c r="G239">
        <f t="shared" si="185"/>
        <v>0.63460171602513826</v>
      </c>
      <c r="H239">
        <f t="shared" si="186"/>
        <v>0.59285682016105923</v>
      </c>
      <c r="I239">
        <f t="shared" si="187"/>
        <v>0.59285682016105934</v>
      </c>
      <c r="J239">
        <f t="shared" si="235"/>
        <v>1.073817067997351E+20</v>
      </c>
      <c r="K239">
        <f t="shared" si="236"/>
        <v>1.073817067997351E+20</v>
      </c>
      <c r="L239">
        <f t="shared" si="191"/>
        <v>1</v>
      </c>
      <c r="M239">
        <f t="shared" si="188"/>
        <v>2.5069909375646548E-20</v>
      </c>
      <c r="N239" s="9">
        <f t="shared" si="237"/>
        <v>2.5069909375646548E-20</v>
      </c>
      <c r="O239">
        <f t="shared" si="238"/>
        <v>2.5069909375646548E-20</v>
      </c>
      <c r="Q239">
        <f t="shared" si="192"/>
        <v>46.122921513710963</v>
      </c>
      <c r="R239">
        <f t="shared" si="193"/>
        <v>0</v>
      </c>
      <c r="S239">
        <f t="shared" si="215"/>
        <v>-45.132618655563839</v>
      </c>
      <c r="T239" s="9" t="e">
        <f t="shared" si="194"/>
        <v>#N/A</v>
      </c>
      <c r="U239">
        <f t="shared" si="216"/>
        <v>-1.0000000000000001E+300</v>
      </c>
      <c r="V239">
        <f t="shared" si="217"/>
        <v>0</v>
      </c>
      <c r="W239">
        <f t="shared" si="218"/>
        <v>0</v>
      </c>
      <c r="X239">
        <f t="shared" si="195"/>
        <v>2.5069909375646549</v>
      </c>
      <c r="Y239">
        <f t="shared" si="196"/>
        <v>7.8539816339744828</v>
      </c>
      <c r="Z239">
        <f t="shared" si="197"/>
        <v>-2.5069909375646549</v>
      </c>
      <c r="AA239">
        <f t="shared" si="219"/>
        <v>3.4053746246499585</v>
      </c>
      <c r="AB239">
        <f t="shared" si="198"/>
        <v>11.259356258624441</v>
      </c>
      <c r="AC239">
        <f t="shared" si="220"/>
        <v>0.46750049902761692</v>
      </c>
      <c r="AD239">
        <f t="shared" si="199"/>
        <v>0.52280235911950157</v>
      </c>
      <c r="AE239" s="9">
        <f t="shared" si="221"/>
        <v>12.249659116771559</v>
      </c>
      <c r="AF239">
        <f t="shared" si="222"/>
        <v>0</v>
      </c>
      <c r="AH239">
        <f t="shared" si="200"/>
        <v>7.8539816339744828</v>
      </c>
      <c r="AI239">
        <f t="shared" si="201"/>
        <v>3.405374624649959</v>
      </c>
      <c r="AJ239">
        <f t="shared" si="202"/>
        <v>0.46750049902762214</v>
      </c>
      <c r="AK239">
        <f t="shared" si="203"/>
        <v>0.52280235911950157</v>
      </c>
      <c r="AL239" s="9">
        <f t="shared" si="223"/>
        <v>12.249659116771564</v>
      </c>
      <c r="AM239" t="e">
        <f t="shared" si="204"/>
        <v>#N/A</v>
      </c>
      <c r="AN239" t="e">
        <f t="shared" si="224"/>
        <v>#N/A</v>
      </c>
      <c r="AO239">
        <f t="shared" si="205"/>
        <v>0</v>
      </c>
      <c r="AP239">
        <f t="shared" si="206"/>
        <v>0</v>
      </c>
      <c r="AQ239">
        <f t="shared" si="207"/>
        <v>5.2180482157382357E-15</v>
      </c>
      <c r="AR239">
        <f t="shared" si="225"/>
        <v>0</v>
      </c>
      <c r="AS239">
        <f t="shared" si="208"/>
        <v>0</v>
      </c>
      <c r="AT239">
        <f t="shared" si="226"/>
        <v>0</v>
      </c>
      <c r="AU239">
        <f t="shared" si="227"/>
        <v>0</v>
      </c>
      <c r="AV239">
        <f t="shared" si="209"/>
        <v>2.5069909375646548E-20</v>
      </c>
      <c r="AW239" t="b">
        <f t="shared" si="228"/>
        <v>1</v>
      </c>
      <c r="AX239">
        <f t="shared" si="210"/>
        <v>7.8539816339744828</v>
      </c>
      <c r="AY239">
        <f t="shared" si="211"/>
        <v>3.4053746246499585</v>
      </c>
      <c r="AZ239">
        <f t="shared" si="212"/>
        <v>0.46750049902761709</v>
      </c>
      <c r="BA239">
        <f t="shared" si="213"/>
        <v>0.52280235911950146</v>
      </c>
      <c r="BB239">
        <f t="shared" si="214"/>
        <v>-1.2337005501361696E-20</v>
      </c>
      <c r="BD239" s="15">
        <f t="shared" si="229"/>
        <v>12.249659116771559</v>
      </c>
      <c r="BE239" s="10">
        <f t="shared" si="230"/>
        <v>0</v>
      </c>
      <c r="BF239">
        <f t="shared" si="231"/>
        <v>0</v>
      </c>
      <c r="BG239">
        <f t="shared" si="232"/>
        <v>0</v>
      </c>
      <c r="BH239">
        <f t="shared" si="233"/>
        <v>0</v>
      </c>
      <c r="BI239">
        <f t="shared" si="234"/>
        <v>0</v>
      </c>
    </row>
    <row r="240" spans="1:61" x14ac:dyDescent="0.3">
      <c r="A240">
        <f t="shared" si="239"/>
        <v>0.20300000000000001</v>
      </c>
      <c r="B240">
        <f t="shared" si="182"/>
        <v>0.63774330867872808</v>
      </c>
      <c r="C240">
        <f t="shared" si="183"/>
        <v>2.5038493449110648</v>
      </c>
      <c r="D240">
        <f t="shared" si="184"/>
        <v>2.5038493449110648</v>
      </c>
      <c r="E240">
        <f t="shared" si="189"/>
        <v>0.59538383970835496</v>
      </c>
      <c r="F240">
        <f t="shared" si="190"/>
        <v>0.59538383970835529</v>
      </c>
      <c r="G240">
        <f t="shared" si="185"/>
        <v>0.63774330867872808</v>
      </c>
      <c r="H240">
        <f t="shared" si="186"/>
        <v>0.59538383970835496</v>
      </c>
      <c r="I240">
        <f t="shared" si="187"/>
        <v>0.59538383970835529</v>
      </c>
      <c r="J240">
        <f t="shared" si="235"/>
        <v>1.0692594086521153E+20</v>
      </c>
      <c r="K240">
        <f t="shared" si="236"/>
        <v>1.0692594086521153E+20</v>
      </c>
      <c r="L240">
        <f t="shared" si="191"/>
        <v>1</v>
      </c>
      <c r="M240">
        <f t="shared" si="188"/>
        <v>2.5038493449110651E-20</v>
      </c>
      <c r="N240" s="9">
        <f t="shared" si="237"/>
        <v>2.5038493449110651E-20</v>
      </c>
      <c r="O240">
        <f t="shared" si="238"/>
        <v>2.5038493449110651E-20</v>
      </c>
      <c r="Q240">
        <f t="shared" si="192"/>
        <v>46.118668127267632</v>
      </c>
      <c r="R240">
        <f t="shared" si="193"/>
        <v>0</v>
      </c>
      <c r="S240">
        <f t="shared" si="215"/>
        <v>-45.133872574223439</v>
      </c>
      <c r="T240" s="9" t="e">
        <f t="shared" si="194"/>
        <v>#N/A</v>
      </c>
      <c r="U240">
        <f t="shared" si="216"/>
        <v>-1.0000000000000001E+300</v>
      </c>
      <c r="V240">
        <f t="shared" si="217"/>
        <v>0</v>
      </c>
      <c r="W240">
        <f t="shared" si="218"/>
        <v>0</v>
      </c>
      <c r="X240">
        <f t="shared" si="195"/>
        <v>2.5038493449110648</v>
      </c>
      <c r="Y240">
        <f t="shared" si="196"/>
        <v>7.8539816339744828</v>
      </c>
      <c r="Z240">
        <f t="shared" si="197"/>
        <v>-2.5038493449110648</v>
      </c>
      <c r="AA240">
        <f t="shared" si="219"/>
        <v>3.3788223481688635</v>
      </c>
      <c r="AB240">
        <f t="shared" si="198"/>
        <v>11.232803982143347</v>
      </c>
      <c r="AC240">
        <f t="shared" si="220"/>
        <v>0.46624658036802319</v>
      </c>
      <c r="AD240">
        <f t="shared" si="199"/>
        <v>0.51854897267617417</v>
      </c>
      <c r="AE240" s="9">
        <f t="shared" si="221"/>
        <v>12.217599535187544</v>
      </c>
      <c r="AF240">
        <f t="shared" si="222"/>
        <v>0</v>
      </c>
      <c r="AH240">
        <f t="shared" si="200"/>
        <v>7.8539816339744828</v>
      </c>
      <c r="AI240">
        <f t="shared" si="201"/>
        <v>3.3788223481688653</v>
      </c>
      <c r="AJ240">
        <f t="shared" si="202"/>
        <v>0.46624658036802202</v>
      </c>
      <c r="AK240">
        <f t="shared" si="203"/>
        <v>0.51854897267617417</v>
      </c>
      <c r="AL240" s="9">
        <f t="shared" si="223"/>
        <v>12.217599535187544</v>
      </c>
      <c r="AM240" t="e">
        <f t="shared" si="204"/>
        <v>#N/A</v>
      </c>
      <c r="AN240" t="e">
        <f t="shared" si="224"/>
        <v>#N/A</v>
      </c>
      <c r="AO240">
        <f t="shared" si="205"/>
        <v>0</v>
      </c>
      <c r="AP240">
        <f t="shared" si="206"/>
        <v>0</v>
      </c>
      <c r="AQ240">
        <f t="shared" si="207"/>
        <v>-1.1657341758564144E-15</v>
      </c>
      <c r="AR240">
        <f t="shared" si="225"/>
        <v>0</v>
      </c>
      <c r="AS240">
        <f t="shared" si="208"/>
        <v>0</v>
      </c>
      <c r="AT240">
        <f t="shared" si="226"/>
        <v>0</v>
      </c>
      <c r="AU240">
        <f t="shared" si="227"/>
        <v>0</v>
      </c>
      <c r="AV240">
        <f t="shared" si="209"/>
        <v>2.5038493449110648E-20</v>
      </c>
      <c r="AW240" t="b">
        <f t="shared" si="228"/>
        <v>1</v>
      </c>
      <c r="AX240">
        <f t="shared" si="210"/>
        <v>7.8539816339744828</v>
      </c>
      <c r="AY240">
        <f t="shared" si="211"/>
        <v>3.3788223481688631</v>
      </c>
      <c r="AZ240">
        <f t="shared" si="212"/>
        <v>0.46624658036802319</v>
      </c>
      <c r="BA240">
        <f t="shared" si="213"/>
        <v>0.51854897267617361</v>
      </c>
      <c r="BB240">
        <f t="shared" si="214"/>
        <v>-1.2337005501361696E-20</v>
      </c>
      <c r="BD240" s="15">
        <f t="shared" si="229"/>
        <v>12.217599535187542</v>
      </c>
      <c r="BE240" s="10">
        <f t="shared" si="230"/>
        <v>0</v>
      </c>
      <c r="BF240">
        <f t="shared" si="231"/>
        <v>0</v>
      </c>
      <c r="BG240">
        <f t="shared" si="232"/>
        <v>0</v>
      </c>
      <c r="BH240">
        <f t="shared" si="233"/>
        <v>0</v>
      </c>
      <c r="BI240">
        <f t="shared" si="234"/>
        <v>0</v>
      </c>
    </row>
    <row r="241" spans="1:61" x14ac:dyDescent="0.3">
      <c r="A241">
        <f t="shared" si="239"/>
        <v>0.20399999999999999</v>
      </c>
      <c r="B241">
        <f t="shared" si="182"/>
        <v>0.64088490133231779</v>
      </c>
      <c r="C241">
        <f t="shared" si="183"/>
        <v>2.5007077522574752</v>
      </c>
      <c r="D241">
        <f t="shared" si="184"/>
        <v>2.5007077522574752</v>
      </c>
      <c r="E241">
        <f t="shared" si="189"/>
        <v>0.59790498305751882</v>
      </c>
      <c r="F241">
        <f t="shared" si="190"/>
        <v>0.59790498305751905</v>
      </c>
      <c r="G241">
        <f t="shared" si="185"/>
        <v>0.64088490133231779</v>
      </c>
      <c r="H241">
        <f t="shared" si="186"/>
        <v>0.59790498305751882</v>
      </c>
      <c r="I241">
        <f t="shared" si="187"/>
        <v>0.59790498305751905</v>
      </c>
      <c r="J241">
        <f t="shared" si="235"/>
        <v>1.0647507386743726E+20</v>
      </c>
      <c r="K241">
        <f t="shared" si="236"/>
        <v>1.0647507386743726E+20</v>
      </c>
      <c r="L241">
        <f t="shared" si="191"/>
        <v>1</v>
      </c>
      <c r="M241">
        <f t="shared" si="188"/>
        <v>2.5007077522574751E-20</v>
      </c>
      <c r="N241" s="9">
        <f t="shared" si="237"/>
        <v>2.5007077522574751E-20</v>
      </c>
      <c r="O241">
        <f t="shared" si="238"/>
        <v>2.5007077522574751E-20</v>
      </c>
      <c r="Q241">
        <f t="shared" si="192"/>
        <v>46.11444258345567</v>
      </c>
      <c r="R241">
        <f t="shared" si="193"/>
        <v>-710542.73576010019</v>
      </c>
      <c r="S241">
        <f t="shared" si="215"/>
        <v>-45.135128067169269</v>
      </c>
      <c r="T241" s="9" t="e">
        <f t="shared" si="194"/>
        <v>#N/A</v>
      </c>
      <c r="U241">
        <f t="shared" si="216"/>
        <v>-1.0000000000000001E+300</v>
      </c>
      <c r="V241">
        <f t="shared" si="217"/>
        <v>0</v>
      </c>
      <c r="W241">
        <f t="shared" si="218"/>
        <v>0</v>
      </c>
      <c r="X241">
        <f t="shared" si="195"/>
        <v>2.5007077522574752</v>
      </c>
      <c r="Y241">
        <f t="shared" si="196"/>
        <v>7.8539816339744828</v>
      </c>
      <c r="Z241">
        <f t="shared" si="197"/>
        <v>-2.5007077522574752</v>
      </c>
      <c r="AA241">
        <f t="shared" si="219"/>
        <v>3.3525139107720365</v>
      </c>
      <c r="AB241">
        <f t="shared" si="198"/>
        <v>11.20649554474652</v>
      </c>
      <c r="AC241">
        <f t="shared" si="220"/>
        <v>0.4649910874221912</v>
      </c>
      <c r="AD241">
        <f t="shared" si="199"/>
        <v>0.51432342886421312</v>
      </c>
      <c r="AE241" s="9">
        <f t="shared" si="221"/>
        <v>12.185810061032925</v>
      </c>
      <c r="AF241">
        <f t="shared" si="222"/>
        <v>0</v>
      </c>
      <c r="AH241">
        <f t="shared" si="200"/>
        <v>7.8539816339744828</v>
      </c>
      <c r="AI241">
        <f t="shared" si="201"/>
        <v>3.3525139107720379</v>
      </c>
      <c r="AJ241">
        <f t="shared" si="202"/>
        <v>0.46499108742219164</v>
      </c>
      <c r="AK241">
        <f t="shared" si="203"/>
        <v>0.51432342886421312</v>
      </c>
      <c r="AL241" s="9">
        <f t="shared" si="223"/>
        <v>12.185810061032925</v>
      </c>
      <c r="AM241" t="e">
        <f t="shared" si="204"/>
        <v>#N/A</v>
      </c>
      <c r="AN241" t="e">
        <f t="shared" si="224"/>
        <v>#N/A</v>
      </c>
      <c r="AO241">
        <f t="shared" si="205"/>
        <v>0</v>
      </c>
      <c r="AP241">
        <f t="shared" si="206"/>
        <v>0</v>
      </c>
      <c r="AQ241">
        <f t="shared" si="207"/>
        <v>4.4408920985006262E-16</v>
      </c>
      <c r="AR241">
        <f t="shared" si="225"/>
        <v>0</v>
      </c>
      <c r="AS241">
        <f t="shared" si="208"/>
        <v>0</v>
      </c>
      <c r="AT241">
        <f t="shared" si="226"/>
        <v>0</v>
      </c>
      <c r="AU241">
        <f t="shared" si="227"/>
        <v>0</v>
      </c>
      <c r="AV241">
        <f t="shared" si="209"/>
        <v>2.5007077522574751E-20</v>
      </c>
      <c r="AW241" t="b">
        <f t="shared" si="228"/>
        <v>1</v>
      </c>
      <c r="AX241">
        <f t="shared" si="210"/>
        <v>7.8539816339744828</v>
      </c>
      <c r="AY241">
        <f t="shared" si="211"/>
        <v>3.3525139107720356</v>
      </c>
      <c r="AZ241">
        <f t="shared" si="212"/>
        <v>0.46499108742219131</v>
      </c>
      <c r="BA241">
        <f t="shared" si="213"/>
        <v>0.51432342886421278</v>
      </c>
      <c r="BB241">
        <f t="shared" si="214"/>
        <v>-1.2337005501361696E-20</v>
      </c>
      <c r="BD241" s="15">
        <f t="shared" si="229"/>
        <v>12.185810061032923</v>
      </c>
      <c r="BE241" s="10">
        <f t="shared" si="230"/>
        <v>0</v>
      </c>
      <c r="BF241">
        <f t="shared" si="231"/>
        <v>0</v>
      </c>
      <c r="BG241">
        <f t="shared" si="232"/>
        <v>0</v>
      </c>
      <c r="BH241">
        <f t="shared" si="233"/>
        <v>0</v>
      </c>
      <c r="BI241">
        <f t="shared" si="234"/>
        <v>0</v>
      </c>
    </row>
    <row r="242" spans="1:61" x14ac:dyDescent="0.3">
      <c r="A242">
        <f t="shared" si="239"/>
        <v>0.20499999999999999</v>
      </c>
      <c r="B242">
        <f t="shared" si="182"/>
        <v>0.6440264939859075</v>
      </c>
      <c r="C242">
        <f t="shared" si="183"/>
        <v>2.4975661596038856</v>
      </c>
      <c r="D242">
        <f t="shared" si="184"/>
        <v>2.4975661596038856</v>
      </c>
      <c r="E242">
        <f t="shared" si="189"/>
        <v>0.60042022532588391</v>
      </c>
      <c r="F242">
        <f t="shared" si="190"/>
        <v>0.60042022532588402</v>
      </c>
      <c r="G242">
        <f t="shared" si="185"/>
        <v>0.6440264939859075</v>
      </c>
      <c r="H242">
        <f t="shared" si="186"/>
        <v>0.60042022532588391</v>
      </c>
      <c r="I242">
        <f t="shared" si="187"/>
        <v>0.60042022532588402</v>
      </c>
      <c r="J242">
        <f t="shared" si="235"/>
        <v>1.0602903525144409E+20</v>
      </c>
      <c r="K242">
        <f t="shared" si="236"/>
        <v>1.0602903525144409E+20</v>
      </c>
      <c r="L242" t="e">
        <f t="shared" si="191"/>
        <v>#NUM!</v>
      </c>
      <c r="M242">
        <f t="shared" si="188"/>
        <v>2.4975661596038855E-20</v>
      </c>
      <c r="N242" s="9" t="e">
        <f t="shared" si="237"/>
        <v>#NUM!</v>
      </c>
      <c r="O242" t="e">
        <f t="shared" si="238"/>
        <v>#NUM!</v>
      </c>
      <c r="Q242">
        <f t="shared" si="192"/>
        <v>46.110244647962801</v>
      </c>
      <c r="R242">
        <f t="shared" si="193"/>
        <v>-710542.73576010019</v>
      </c>
      <c r="S242">
        <f t="shared" si="215"/>
        <v>-45.136385138359316</v>
      </c>
      <c r="T242" s="9" t="e">
        <f t="shared" si="194"/>
        <v>#N/A</v>
      </c>
      <c r="U242">
        <f t="shared" si="216"/>
        <v>-1.0000000000000001E+300</v>
      </c>
      <c r="V242">
        <f t="shared" si="217"/>
        <v>0</v>
      </c>
      <c r="W242">
        <f t="shared" si="218"/>
        <v>0</v>
      </c>
      <c r="X242">
        <f t="shared" si="195"/>
        <v>2.4975661596038856</v>
      </c>
      <c r="Y242">
        <f t="shared" si="196"/>
        <v>7.8539816339744828</v>
      </c>
      <c r="Z242">
        <f t="shared" si="197"/>
        <v>-2.4975661596038856</v>
      </c>
      <c r="AA242">
        <f t="shared" si="219"/>
        <v>3.3264458076969547</v>
      </c>
      <c r="AB242">
        <f t="shared" si="198"/>
        <v>11.180427441671437</v>
      </c>
      <c r="AC242">
        <f t="shared" si="220"/>
        <v>0.46373401623214022</v>
      </c>
      <c r="AD242">
        <f t="shared" si="199"/>
        <v>0.51012549337134427</v>
      </c>
      <c r="AE242" s="9">
        <f t="shared" si="221"/>
        <v>12.154286951274921</v>
      </c>
      <c r="AF242">
        <f t="shared" si="222"/>
        <v>0</v>
      </c>
      <c r="AH242">
        <f t="shared" si="200"/>
        <v>7.8539816339744828</v>
      </c>
      <c r="AI242">
        <f t="shared" si="201"/>
        <v>3.3264458076969543</v>
      </c>
      <c r="AJ242">
        <f t="shared" si="202"/>
        <v>0.46373401623214505</v>
      </c>
      <c r="AK242">
        <f t="shared" si="203"/>
        <v>0.51012549337134427</v>
      </c>
      <c r="AL242" s="9">
        <f t="shared" si="223"/>
        <v>12.154286951274926</v>
      </c>
      <c r="AM242" t="e">
        <f t="shared" si="204"/>
        <v>#N/A</v>
      </c>
      <c r="AN242" t="e">
        <f t="shared" si="224"/>
        <v>#N/A</v>
      </c>
      <c r="AO242">
        <f t="shared" si="205"/>
        <v>0</v>
      </c>
      <c r="AP242">
        <f t="shared" si="206"/>
        <v>0</v>
      </c>
      <c r="AQ242">
        <f t="shared" si="207"/>
        <v>4.829470157119431E-15</v>
      </c>
      <c r="AR242">
        <f t="shared" si="225"/>
        <v>0</v>
      </c>
      <c r="AS242">
        <f t="shared" si="208"/>
        <v>0</v>
      </c>
      <c r="AT242">
        <f t="shared" si="226"/>
        <v>0</v>
      </c>
      <c r="AU242">
        <f t="shared" si="227"/>
        <v>0</v>
      </c>
      <c r="AV242">
        <f t="shared" si="209"/>
        <v>2.4975661596038855E-20</v>
      </c>
      <c r="AW242" t="b">
        <f t="shared" si="228"/>
        <v>1</v>
      </c>
      <c r="AX242">
        <f t="shared" si="210"/>
        <v>7.8539816339744828</v>
      </c>
      <c r="AY242">
        <f t="shared" si="211"/>
        <v>3.3264458076969539</v>
      </c>
      <c r="AZ242">
        <f t="shared" si="212"/>
        <v>0.46373401623214022</v>
      </c>
      <c r="BA242">
        <f t="shared" si="213"/>
        <v>0.51012549337134405</v>
      </c>
      <c r="BB242">
        <f t="shared" si="214"/>
        <v>-1.2337005501361696E-20</v>
      </c>
      <c r="BD242" s="15">
        <f t="shared" si="229"/>
        <v>12.154286951274921</v>
      </c>
      <c r="BE242" s="10">
        <f t="shared" si="230"/>
        <v>0</v>
      </c>
      <c r="BF242">
        <f t="shared" si="231"/>
        <v>0</v>
      </c>
      <c r="BG242">
        <f t="shared" si="232"/>
        <v>0</v>
      </c>
      <c r="BH242">
        <f t="shared" si="233"/>
        <v>0</v>
      </c>
      <c r="BI242">
        <f t="shared" si="234"/>
        <v>0</v>
      </c>
    </row>
    <row r="243" spans="1:61" x14ac:dyDescent="0.3">
      <c r="A243">
        <f t="shared" si="239"/>
        <v>0.20599999999999999</v>
      </c>
      <c r="B243">
        <f t="shared" si="182"/>
        <v>0.64716808663949732</v>
      </c>
      <c r="C243">
        <f t="shared" si="183"/>
        <v>2.494424566950296</v>
      </c>
      <c r="D243">
        <f t="shared" si="184"/>
        <v>2.494424566950296</v>
      </c>
      <c r="E243">
        <f t="shared" si="189"/>
        <v>0.60292954168902468</v>
      </c>
      <c r="F243">
        <f t="shared" si="190"/>
        <v>0.60292954168902457</v>
      </c>
      <c r="G243">
        <f t="shared" si="185"/>
        <v>0.64716808663949732</v>
      </c>
      <c r="H243">
        <f t="shared" si="186"/>
        <v>0.60292954168902468</v>
      </c>
      <c r="I243">
        <f t="shared" si="187"/>
        <v>0.60292954168902457</v>
      </c>
      <c r="J243">
        <f t="shared" si="235"/>
        <v>1.055877558402891E+20</v>
      </c>
      <c r="K243">
        <f t="shared" si="236"/>
        <v>1.055877558402891E+20</v>
      </c>
      <c r="L243">
        <f t="shared" si="191"/>
        <v>1</v>
      </c>
      <c r="M243">
        <f t="shared" si="188"/>
        <v>2.4944245669502958E-20</v>
      </c>
      <c r="N243" s="9">
        <f t="shared" si="237"/>
        <v>2.4944245669502958E-20</v>
      </c>
      <c r="O243">
        <f t="shared" si="238"/>
        <v>2.4944245669502958E-20</v>
      </c>
      <c r="Q243">
        <f t="shared" si="192"/>
        <v>46.10607408996033</v>
      </c>
      <c r="R243">
        <f t="shared" si="193"/>
        <v>0</v>
      </c>
      <c r="S243">
        <f t="shared" si="215"/>
        <v>-45.137643791766514</v>
      </c>
      <c r="T243" s="9" t="e">
        <f t="shared" si="194"/>
        <v>#N/A</v>
      </c>
      <c r="U243">
        <f t="shared" si="216"/>
        <v>-1.0000000000000001E+300</v>
      </c>
      <c r="V243">
        <f t="shared" si="217"/>
        <v>0</v>
      </c>
      <c r="W243">
        <f t="shared" si="218"/>
        <v>0</v>
      </c>
      <c r="X243">
        <f t="shared" si="195"/>
        <v>2.494424566950296</v>
      </c>
      <c r="Y243">
        <f t="shared" si="196"/>
        <v>7.8539816339744828</v>
      </c>
      <c r="Z243">
        <f t="shared" si="197"/>
        <v>-2.494424566950296</v>
      </c>
      <c r="AA243">
        <f t="shared" si="219"/>
        <v>3.3006146021416289</v>
      </c>
      <c r="AB243">
        <f t="shared" si="198"/>
        <v>11.154596236116111</v>
      </c>
      <c r="AC243">
        <f t="shared" si="220"/>
        <v>0.462475362824944</v>
      </c>
      <c r="AD243">
        <f t="shared" si="199"/>
        <v>0.50595493536886871</v>
      </c>
      <c r="AE243" s="9">
        <f t="shared" si="221"/>
        <v>12.123026534309925</v>
      </c>
      <c r="AF243">
        <f t="shared" si="222"/>
        <v>0</v>
      </c>
      <c r="AH243">
        <f t="shared" si="200"/>
        <v>7.8539816339744828</v>
      </c>
      <c r="AI243">
        <f t="shared" si="201"/>
        <v>3.3006146021416276</v>
      </c>
      <c r="AJ243">
        <f t="shared" si="202"/>
        <v>0.4624753628249465</v>
      </c>
      <c r="AK243">
        <f t="shared" si="203"/>
        <v>0.50595493536886871</v>
      </c>
      <c r="AL243" s="9">
        <f t="shared" si="223"/>
        <v>12.123026534309925</v>
      </c>
      <c r="AM243" t="e">
        <f t="shared" si="204"/>
        <v>#N/A</v>
      </c>
      <c r="AN243" t="e">
        <f t="shared" si="224"/>
        <v>#N/A</v>
      </c>
      <c r="AO243">
        <f t="shared" si="205"/>
        <v>0</v>
      </c>
      <c r="AP243">
        <f t="shared" si="206"/>
        <v>0</v>
      </c>
      <c r="AQ243">
        <f t="shared" si="207"/>
        <v>2.4980018054066022E-15</v>
      </c>
      <c r="AR243">
        <f t="shared" si="225"/>
        <v>0</v>
      </c>
      <c r="AS243">
        <f t="shared" si="208"/>
        <v>0</v>
      </c>
      <c r="AT243">
        <f t="shared" si="226"/>
        <v>0</v>
      </c>
      <c r="AU243">
        <f t="shared" si="227"/>
        <v>0</v>
      </c>
      <c r="AV243">
        <f t="shared" si="209"/>
        <v>2.4944245669502958E-20</v>
      </c>
      <c r="AW243" t="b">
        <f t="shared" si="228"/>
        <v>1</v>
      </c>
      <c r="AX243">
        <f t="shared" si="210"/>
        <v>7.8539816339744828</v>
      </c>
      <c r="AY243">
        <f t="shared" si="211"/>
        <v>3.3006146021416281</v>
      </c>
      <c r="AZ243">
        <f t="shared" si="212"/>
        <v>0.46247536282494417</v>
      </c>
      <c r="BA243">
        <f t="shared" si="213"/>
        <v>0.50595493536886893</v>
      </c>
      <c r="BB243">
        <f t="shared" si="214"/>
        <v>-1.2337005501361696E-20</v>
      </c>
      <c r="BD243" s="15">
        <f t="shared" si="229"/>
        <v>12.123026534309925</v>
      </c>
      <c r="BE243" s="10">
        <f t="shared" si="230"/>
        <v>0</v>
      </c>
      <c r="BF243">
        <f t="shared" si="231"/>
        <v>0</v>
      </c>
      <c r="BG243">
        <f t="shared" si="232"/>
        <v>0</v>
      </c>
      <c r="BH243">
        <f t="shared" si="233"/>
        <v>0</v>
      </c>
      <c r="BI243">
        <f t="shared" si="234"/>
        <v>0</v>
      </c>
    </row>
    <row r="244" spans="1:61" x14ac:dyDescent="0.3">
      <c r="A244">
        <f t="shared" si="239"/>
        <v>0.20699999999999999</v>
      </c>
      <c r="B244">
        <f t="shared" si="182"/>
        <v>0.65030967929308714</v>
      </c>
      <c r="C244">
        <f t="shared" si="183"/>
        <v>2.491282974296706</v>
      </c>
      <c r="D244">
        <f t="shared" si="184"/>
        <v>2.491282974296706</v>
      </c>
      <c r="E244">
        <f t="shared" si="189"/>
        <v>0.60543290738100131</v>
      </c>
      <c r="F244">
        <f t="shared" si="190"/>
        <v>0.60543290738100142</v>
      </c>
      <c r="G244">
        <f t="shared" si="185"/>
        <v>0.65030967929308714</v>
      </c>
      <c r="H244">
        <f t="shared" si="186"/>
        <v>0.60543290738100131</v>
      </c>
      <c r="I244">
        <f t="shared" si="187"/>
        <v>0.60543290738100142</v>
      </c>
      <c r="J244">
        <f t="shared" si="235"/>
        <v>1.0515116780181129E+20</v>
      </c>
      <c r="K244">
        <f t="shared" si="236"/>
        <v>1.0515116780181129E+20</v>
      </c>
      <c r="L244">
        <f t="shared" si="191"/>
        <v>0</v>
      </c>
      <c r="M244">
        <f t="shared" si="188"/>
        <v>2.4912829742967058E-20</v>
      </c>
      <c r="N244" s="9">
        <f t="shared" si="237"/>
        <v>0</v>
      </c>
      <c r="O244">
        <f t="shared" si="238"/>
        <v>0</v>
      </c>
      <c r="Q244">
        <f t="shared" si="192"/>
        <v>46.101930682036077</v>
      </c>
      <c r="R244">
        <f t="shared" si="193"/>
        <v>0</v>
      </c>
      <c r="S244">
        <f t="shared" si="215"/>
        <v>-45.1389040313788</v>
      </c>
      <c r="T244" s="9" t="e">
        <f t="shared" si="194"/>
        <v>#N/A</v>
      </c>
      <c r="U244">
        <f t="shared" si="216"/>
        <v>-1.0000000000000001E+300</v>
      </c>
      <c r="V244">
        <f t="shared" si="217"/>
        <v>0</v>
      </c>
      <c r="W244">
        <f t="shared" si="218"/>
        <v>0</v>
      </c>
      <c r="X244">
        <f t="shared" si="195"/>
        <v>2.491282974296706</v>
      </c>
      <c r="Y244">
        <f t="shared" si="196"/>
        <v>7.8539816339744828</v>
      </c>
      <c r="Z244">
        <f t="shared" si="197"/>
        <v>-2.491282974296706</v>
      </c>
      <c r="AA244">
        <f t="shared" si="219"/>
        <v>3.2750169236235078</v>
      </c>
      <c r="AB244">
        <f t="shared" si="198"/>
        <v>11.12899855759799</v>
      </c>
      <c r="AC244">
        <f t="shared" si="220"/>
        <v>0.46121512321265629</v>
      </c>
      <c r="AD244">
        <f t="shared" si="199"/>
        <v>0.5018115274446181</v>
      </c>
      <c r="AE244" s="9">
        <f t="shared" si="221"/>
        <v>12.092025208255265</v>
      </c>
      <c r="AF244">
        <f t="shared" si="222"/>
        <v>0</v>
      </c>
      <c r="AH244">
        <f t="shared" si="200"/>
        <v>7.8539816339744828</v>
      </c>
      <c r="AI244">
        <f t="shared" si="201"/>
        <v>3.2750169236235083</v>
      </c>
      <c r="AJ244">
        <f t="shared" si="202"/>
        <v>0.46121512321266067</v>
      </c>
      <c r="AK244">
        <f t="shared" si="203"/>
        <v>0.5018115274446181</v>
      </c>
      <c r="AL244" s="9">
        <f t="shared" si="223"/>
        <v>12.09202520825527</v>
      </c>
      <c r="AM244" t="e">
        <f t="shared" si="204"/>
        <v>#N/A</v>
      </c>
      <c r="AN244" t="e">
        <f t="shared" si="224"/>
        <v>#N/A</v>
      </c>
      <c r="AO244">
        <f t="shared" si="205"/>
        <v>0</v>
      </c>
      <c r="AP244">
        <f t="shared" si="206"/>
        <v>0</v>
      </c>
      <c r="AQ244">
        <f t="shared" si="207"/>
        <v>4.3853809472693683E-15</v>
      </c>
      <c r="AR244">
        <f t="shared" si="225"/>
        <v>0</v>
      </c>
      <c r="AS244">
        <f t="shared" si="208"/>
        <v>0</v>
      </c>
      <c r="AT244">
        <f t="shared" si="226"/>
        <v>0</v>
      </c>
      <c r="AU244">
        <f t="shared" si="227"/>
        <v>0</v>
      </c>
      <c r="AV244">
        <f t="shared" si="209"/>
        <v>2.4912829742967058E-20</v>
      </c>
      <c r="AW244" t="b">
        <f t="shared" si="228"/>
        <v>1</v>
      </c>
      <c r="AX244">
        <f t="shared" si="210"/>
        <v>7.8539816339744828</v>
      </c>
      <c r="AY244">
        <f t="shared" si="211"/>
        <v>3.2750169236235078</v>
      </c>
      <c r="AZ244">
        <f t="shared" si="212"/>
        <v>0.46121512321265629</v>
      </c>
      <c r="BA244">
        <f t="shared" si="213"/>
        <v>0.50181152744461788</v>
      </c>
      <c r="BB244">
        <f t="shared" si="214"/>
        <v>-1.2337005501361696E-20</v>
      </c>
      <c r="BD244" s="15">
        <f t="shared" si="229"/>
        <v>12.092025208255265</v>
      </c>
      <c r="BE244" s="10">
        <f t="shared" si="230"/>
        <v>0</v>
      </c>
      <c r="BF244">
        <f t="shared" si="231"/>
        <v>0</v>
      </c>
      <c r="BG244">
        <f t="shared" si="232"/>
        <v>0</v>
      </c>
      <c r="BH244">
        <f t="shared" si="233"/>
        <v>0</v>
      </c>
      <c r="BI244">
        <f t="shared" si="234"/>
        <v>0</v>
      </c>
    </row>
    <row r="245" spans="1:61" x14ac:dyDescent="0.3">
      <c r="A245">
        <f t="shared" si="239"/>
        <v>0.20799999999999999</v>
      </c>
      <c r="B245">
        <f t="shared" si="182"/>
        <v>0.65345127194667696</v>
      </c>
      <c r="C245">
        <f t="shared" si="183"/>
        <v>2.4881413816431159</v>
      </c>
      <c r="D245">
        <f t="shared" si="184"/>
        <v>2.4881413816431159</v>
      </c>
      <c r="E245">
        <f t="shared" si="189"/>
        <v>0.60793029769460538</v>
      </c>
      <c r="F245">
        <f t="shared" si="190"/>
        <v>0.6079302976946056</v>
      </c>
      <c r="G245">
        <f t="shared" si="185"/>
        <v>0.65345127194667696</v>
      </c>
      <c r="H245">
        <f t="shared" si="186"/>
        <v>0.60793029769460538</v>
      </c>
      <c r="I245">
        <f t="shared" si="187"/>
        <v>0.6079302976946056</v>
      </c>
      <c r="J245">
        <f t="shared" si="235"/>
        <v>1.0471920461634703E+20</v>
      </c>
      <c r="K245">
        <f t="shared" si="236"/>
        <v>1.0471920461634703E+20</v>
      </c>
      <c r="L245">
        <f t="shared" si="191"/>
        <v>1</v>
      </c>
      <c r="M245">
        <f t="shared" si="188"/>
        <v>2.4881413816431159E-20</v>
      </c>
      <c r="N245" s="9">
        <f t="shared" si="237"/>
        <v>2.4881413816431159E-20</v>
      </c>
      <c r="O245">
        <f t="shared" si="238"/>
        <v>2.4881413816431159E-20</v>
      </c>
      <c r="Q245">
        <f t="shared" si="192"/>
        <v>46.09781420012898</v>
      </c>
      <c r="R245">
        <f t="shared" si="193"/>
        <v>-710542.73576010019</v>
      </c>
      <c r="S245">
        <f t="shared" si="215"/>
        <v>-45.140165861199222</v>
      </c>
      <c r="T245" s="9" t="e">
        <f t="shared" si="194"/>
        <v>#N/A</v>
      </c>
      <c r="U245">
        <f t="shared" si="216"/>
        <v>-1.0000000000000001E+300</v>
      </c>
      <c r="V245">
        <f t="shared" si="217"/>
        <v>0</v>
      </c>
      <c r="W245">
        <f t="shared" si="218"/>
        <v>0</v>
      </c>
      <c r="X245">
        <f t="shared" si="195"/>
        <v>2.4881413816431159</v>
      </c>
      <c r="Y245">
        <f t="shared" si="196"/>
        <v>7.8539816339744828</v>
      </c>
      <c r="Z245">
        <f t="shared" si="197"/>
        <v>-2.4881413816431159</v>
      </c>
      <c r="AA245">
        <f t="shared" si="219"/>
        <v>3.2496494663857303</v>
      </c>
      <c r="AB245">
        <f t="shared" si="198"/>
        <v>11.103631100360213</v>
      </c>
      <c r="AC245">
        <f t="shared" si="220"/>
        <v>0.45995329339223401</v>
      </c>
      <c r="AD245">
        <f t="shared" si="199"/>
        <v>0.49769504553752286</v>
      </c>
      <c r="AE245" s="9">
        <f t="shared" si="221"/>
        <v>12.061279439289969</v>
      </c>
      <c r="AF245">
        <f t="shared" si="222"/>
        <v>0</v>
      </c>
      <c r="AH245">
        <f t="shared" si="200"/>
        <v>7.8539816339744828</v>
      </c>
      <c r="AI245">
        <f t="shared" si="201"/>
        <v>3.249649466385732</v>
      </c>
      <c r="AJ245">
        <f t="shared" si="202"/>
        <v>0.459953293392239</v>
      </c>
      <c r="AK245">
        <f t="shared" si="203"/>
        <v>0.49769504553752286</v>
      </c>
      <c r="AL245" s="9">
        <f t="shared" si="223"/>
        <v>12.061279439289976</v>
      </c>
      <c r="AM245" t="e">
        <f t="shared" si="204"/>
        <v>#N/A</v>
      </c>
      <c r="AN245" t="e">
        <f t="shared" si="224"/>
        <v>#N/A</v>
      </c>
      <c r="AO245">
        <f t="shared" si="205"/>
        <v>0</v>
      </c>
      <c r="AP245">
        <f t="shared" si="206"/>
        <v>0</v>
      </c>
      <c r="AQ245">
        <f t="shared" si="207"/>
        <v>4.9960036108132044E-15</v>
      </c>
      <c r="AR245">
        <f t="shared" si="225"/>
        <v>0</v>
      </c>
      <c r="AS245">
        <f t="shared" si="208"/>
        <v>0</v>
      </c>
      <c r="AT245">
        <f t="shared" si="226"/>
        <v>0</v>
      </c>
      <c r="AU245">
        <f t="shared" si="227"/>
        <v>0</v>
      </c>
      <c r="AV245">
        <f t="shared" si="209"/>
        <v>2.4881413816431159E-20</v>
      </c>
      <c r="AW245" t="b">
        <f t="shared" si="228"/>
        <v>1</v>
      </c>
      <c r="AX245">
        <f t="shared" si="210"/>
        <v>7.8539816339744828</v>
      </c>
      <c r="AY245">
        <f t="shared" si="211"/>
        <v>3.2496494663857298</v>
      </c>
      <c r="AZ245">
        <f t="shared" si="212"/>
        <v>0.45995329339223417</v>
      </c>
      <c r="BA245">
        <f t="shared" si="213"/>
        <v>0.49769504553752247</v>
      </c>
      <c r="BB245">
        <f t="shared" si="214"/>
        <v>-1.2337005501361696E-20</v>
      </c>
      <c r="BD245" s="15">
        <f t="shared" si="229"/>
        <v>12.061279439289969</v>
      </c>
      <c r="BE245" s="10">
        <f t="shared" si="230"/>
        <v>0</v>
      </c>
      <c r="BF245">
        <f t="shared" si="231"/>
        <v>0</v>
      </c>
      <c r="BG245">
        <f t="shared" si="232"/>
        <v>0</v>
      </c>
      <c r="BH245">
        <f t="shared" si="233"/>
        <v>0</v>
      </c>
      <c r="BI245">
        <f t="shared" si="234"/>
        <v>0</v>
      </c>
    </row>
    <row r="246" spans="1:61" x14ac:dyDescent="0.3">
      <c r="A246">
        <f t="shared" si="239"/>
        <v>0.20899999999999999</v>
      </c>
      <c r="B246">
        <f t="shared" si="182"/>
        <v>0.65659286460026678</v>
      </c>
      <c r="C246">
        <f t="shared" si="183"/>
        <v>2.4849997889895263</v>
      </c>
      <c r="D246">
        <f t="shared" si="184"/>
        <v>2.4849997889895263</v>
      </c>
      <c r="E246">
        <f t="shared" si="189"/>
        <v>0.61042168798160257</v>
      </c>
      <c r="F246">
        <f t="shared" si="190"/>
        <v>0.61042168798160257</v>
      </c>
      <c r="G246">
        <f t="shared" si="185"/>
        <v>0.65659286460026678</v>
      </c>
      <c r="H246">
        <f t="shared" si="186"/>
        <v>0.61042168798160257</v>
      </c>
      <c r="I246">
        <f t="shared" si="187"/>
        <v>0.61042168798160257</v>
      </c>
      <c r="J246">
        <f t="shared" si="235"/>
        <v>1.0429180104537316E+20</v>
      </c>
      <c r="K246">
        <f t="shared" si="236"/>
        <v>1.0429180104537316E+20</v>
      </c>
      <c r="L246" t="e">
        <f t="shared" si="191"/>
        <v>#NUM!</v>
      </c>
      <c r="M246">
        <f t="shared" si="188"/>
        <v>2.4849997889895262E-20</v>
      </c>
      <c r="N246" s="9" t="e">
        <f t="shared" si="237"/>
        <v>#NUM!</v>
      </c>
      <c r="O246" t="e">
        <f t="shared" si="238"/>
        <v>#NUM!</v>
      </c>
      <c r="Q246">
        <f t="shared" si="192"/>
        <v>46.093724423465218</v>
      </c>
      <c r="R246">
        <f t="shared" si="193"/>
        <v>0</v>
      </c>
      <c r="S246">
        <f t="shared" si="215"/>
        <v>-45.141429285245998</v>
      </c>
      <c r="T246" s="9" t="e">
        <f t="shared" si="194"/>
        <v>#N/A</v>
      </c>
      <c r="U246">
        <f t="shared" si="216"/>
        <v>-1.0000000000000001E+300</v>
      </c>
      <c r="V246">
        <f t="shared" si="217"/>
        <v>0</v>
      </c>
      <c r="W246">
        <f t="shared" si="218"/>
        <v>0</v>
      </c>
      <c r="X246">
        <f t="shared" si="195"/>
        <v>2.4849997889895263</v>
      </c>
      <c r="Y246">
        <f t="shared" si="196"/>
        <v>7.8539816339744828</v>
      </c>
      <c r="Z246">
        <f t="shared" si="197"/>
        <v>-2.4849997889895263</v>
      </c>
      <c r="AA246">
        <f t="shared" si="219"/>
        <v>3.2245089878491164</v>
      </c>
      <c r="AB246">
        <f t="shared" si="198"/>
        <v>11.078490621823599</v>
      </c>
      <c r="AC246">
        <f t="shared" si="220"/>
        <v>0.45868986934546219</v>
      </c>
      <c r="AD246">
        <f t="shared" si="199"/>
        <v>0.49360526887375683</v>
      </c>
      <c r="AE246" s="9">
        <f t="shared" si="221"/>
        <v>12.03078576004282</v>
      </c>
      <c r="AF246">
        <f t="shared" si="222"/>
        <v>0</v>
      </c>
      <c r="AH246">
        <f t="shared" si="200"/>
        <v>7.8539816339744828</v>
      </c>
      <c r="AI246">
        <f t="shared" si="201"/>
        <v>3.2245089878491173</v>
      </c>
      <c r="AJ246">
        <f t="shared" si="202"/>
        <v>0.45868986934546285</v>
      </c>
      <c r="AK246">
        <f t="shared" si="203"/>
        <v>0.49360526887375683</v>
      </c>
      <c r="AL246" s="9">
        <f t="shared" si="223"/>
        <v>12.030785760042821</v>
      </c>
      <c r="AM246" t="e">
        <f t="shared" si="204"/>
        <v>#N/A</v>
      </c>
      <c r="AN246" t="e">
        <f t="shared" si="224"/>
        <v>#N/A</v>
      </c>
      <c r="AO246">
        <f t="shared" si="205"/>
        <v>0</v>
      </c>
      <c r="AP246">
        <f t="shared" si="206"/>
        <v>0</v>
      </c>
      <c r="AQ246">
        <f t="shared" si="207"/>
        <v>6.6613381477509392E-16</v>
      </c>
      <c r="AR246">
        <f t="shared" si="225"/>
        <v>0</v>
      </c>
      <c r="AS246">
        <f t="shared" si="208"/>
        <v>0</v>
      </c>
      <c r="AT246">
        <f t="shared" si="226"/>
        <v>0</v>
      </c>
      <c r="AU246">
        <f t="shared" si="227"/>
        <v>0</v>
      </c>
      <c r="AV246">
        <f t="shared" si="209"/>
        <v>2.4849997889895262E-20</v>
      </c>
      <c r="AW246" t="b">
        <f t="shared" si="228"/>
        <v>1</v>
      </c>
      <c r="AX246">
        <f t="shared" si="210"/>
        <v>7.8539816339744828</v>
      </c>
      <c r="AY246">
        <f t="shared" si="211"/>
        <v>3.224508987849116</v>
      </c>
      <c r="AZ246">
        <f t="shared" si="212"/>
        <v>0.45868986934546219</v>
      </c>
      <c r="BA246">
        <f t="shared" si="213"/>
        <v>0.49360526887375683</v>
      </c>
      <c r="BB246">
        <f t="shared" si="214"/>
        <v>-1.2337005501361696E-20</v>
      </c>
      <c r="BD246" s="15">
        <f t="shared" si="229"/>
        <v>12.03078576004282</v>
      </c>
      <c r="BE246" s="10">
        <f t="shared" si="230"/>
        <v>0</v>
      </c>
      <c r="BF246">
        <f t="shared" si="231"/>
        <v>0</v>
      </c>
      <c r="BG246">
        <f t="shared" si="232"/>
        <v>0</v>
      </c>
      <c r="BH246">
        <f t="shared" si="233"/>
        <v>0</v>
      </c>
      <c r="BI246">
        <f t="shared" si="234"/>
        <v>0</v>
      </c>
    </row>
    <row r="247" spans="1:61" x14ac:dyDescent="0.3">
      <c r="A247">
        <f t="shared" si="239"/>
        <v>0.21</v>
      </c>
      <c r="B247">
        <f t="shared" si="182"/>
        <v>0.65973445725385649</v>
      </c>
      <c r="C247">
        <f t="shared" si="183"/>
        <v>2.4818581963359367</v>
      </c>
      <c r="D247">
        <f t="shared" si="184"/>
        <v>2.4818581963359367</v>
      </c>
      <c r="E247">
        <f t="shared" si="189"/>
        <v>0.61290705365297637</v>
      </c>
      <c r="F247">
        <f t="shared" si="190"/>
        <v>0.61290705365297637</v>
      </c>
      <c r="G247">
        <f t="shared" si="185"/>
        <v>0.65973445725385649</v>
      </c>
      <c r="H247">
        <f t="shared" si="186"/>
        <v>0.61290705365297637</v>
      </c>
      <c r="I247">
        <f t="shared" si="187"/>
        <v>0.61290705365297637</v>
      </c>
      <c r="J247">
        <f t="shared" si="235"/>
        <v>1.0386889310104612E+20</v>
      </c>
      <c r="K247">
        <f t="shared" si="236"/>
        <v>1.0386889310104612E+20</v>
      </c>
      <c r="L247">
        <f t="shared" si="191"/>
        <v>1</v>
      </c>
      <c r="M247">
        <f t="shared" si="188"/>
        <v>2.4818581963359366E-20</v>
      </c>
      <c r="N247" s="9">
        <f t="shared" si="237"/>
        <v>2.4818581963359366E-20</v>
      </c>
      <c r="O247">
        <f t="shared" si="238"/>
        <v>2.4818581963359366E-20</v>
      </c>
      <c r="Q247">
        <f t="shared" si="192"/>
        <v>46.089661134495863</v>
      </c>
      <c r="R247">
        <f t="shared" si="193"/>
        <v>0</v>
      </c>
      <c r="S247">
        <f t="shared" si="215"/>
        <v>-45.142694307552581</v>
      </c>
      <c r="T247" s="9" t="e">
        <f t="shared" si="194"/>
        <v>#N/A</v>
      </c>
      <c r="U247">
        <f t="shared" si="216"/>
        <v>-1.0000000000000001E+300</v>
      </c>
      <c r="V247">
        <f t="shared" si="217"/>
        <v>0</v>
      </c>
      <c r="W247">
        <f t="shared" si="218"/>
        <v>0</v>
      </c>
      <c r="X247">
        <f t="shared" si="195"/>
        <v>2.4818581963359367</v>
      </c>
      <c r="Y247">
        <f t="shared" si="196"/>
        <v>7.8539816339744828</v>
      </c>
      <c r="Z247">
        <f t="shared" si="197"/>
        <v>-2.4818581963359367</v>
      </c>
      <c r="AA247">
        <f t="shared" si="219"/>
        <v>3.1995923071083872</v>
      </c>
      <c r="AB247">
        <f t="shared" si="198"/>
        <v>11.05357394108287</v>
      </c>
      <c r="AC247">
        <f t="shared" si="220"/>
        <v>0.45742484703887548</v>
      </c>
      <c r="AD247">
        <f t="shared" si="199"/>
        <v>0.48954197990440484</v>
      </c>
      <c r="AE247" s="9">
        <f t="shared" si="221"/>
        <v>12.000540768026152</v>
      </c>
      <c r="AF247">
        <f t="shared" si="222"/>
        <v>0</v>
      </c>
      <c r="AH247">
        <f t="shared" si="200"/>
        <v>7.8539816339744828</v>
      </c>
      <c r="AI247">
        <f t="shared" si="201"/>
        <v>3.1995923071083863</v>
      </c>
      <c r="AJ247">
        <f t="shared" si="202"/>
        <v>0.45742484703887953</v>
      </c>
      <c r="AK247">
        <f t="shared" si="203"/>
        <v>0.48954197990440484</v>
      </c>
      <c r="AL247" s="9">
        <f t="shared" si="223"/>
        <v>12.000540768026154</v>
      </c>
      <c r="AM247" t="e">
        <f t="shared" si="204"/>
        <v>#N/A</v>
      </c>
      <c r="AN247" t="e">
        <f t="shared" si="224"/>
        <v>#N/A</v>
      </c>
      <c r="AO247">
        <f t="shared" si="205"/>
        <v>0</v>
      </c>
      <c r="AP247">
        <f t="shared" si="206"/>
        <v>0</v>
      </c>
      <c r="AQ247">
        <f t="shared" si="207"/>
        <v>4.0523140398818214E-15</v>
      </c>
      <c r="AR247">
        <f t="shared" si="225"/>
        <v>0</v>
      </c>
      <c r="AS247">
        <f t="shared" si="208"/>
        <v>0</v>
      </c>
      <c r="AT247">
        <f t="shared" si="226"/>
        <v>0</v>
      </c>
      <c r="AU247">
        <f t="shared" si="227"/>
        <v>0</v>
      </c>
      <c r="AV247">
        <f t="shared" si="209"/>
        <v>2.4818581963359366E-20</v>
      </c>
      <c r="AW247" t="b">
        <f t="shared" si="228"/>
        <v>1</v>
      </c>
      <c r="AX247">
        <f t="shared" si="210"/>
        <v>7.8539816339744828</v>
      </c>
      <c r="AY247">
        <f t="shared" si="211"/>
        <v>3.1995923071083867</v>
      </c>
      <c r="AZ247">
        <f t="shared" si="212"/>
        <v>0.45742484703887548</v>
      </c>
      <c r="BA247">
        <f t="shared" si="213"/>
        <v>0.48954197990440484</v>
      </c>
      <c r="BB247">
        <f t="shared" si="214"/>
        <v>-1.2337005501361696E-20</v>
      </c>
      <c r="BD247" s="15">
        <f t="shared" si="229"/>
        <v>12.000540768026152</v>
      </c>
      <c r="BE247" s="10">
        <f t="shared" si="230"/>
        <v>0</v>
      </c>
      <c r="BF247">
        <f t="shared" si="231"/>
        <v>0</v>
      </c>
      <c r="BG247">
        <f t="shared" si="232"/>
        <v>0</v>
      </c>
      <c r="BH247">
        <f t="shared" si="233"/>
        <v>0</v>
      </c>
      <c r="BI247">
        <f t="shared" si="234"/>
        <v>0</v>
      </c>
    </row>
    <row r="248" spans="1:61" x14ac:dyDescent="0.3">
      <c r="A248">
        <f t="shared" si="239"/>
        <v>0.21099999999999999</v>
      </c>
      <c r="B248">
        <f t="shared" si="182"/>
        <v>0.66287604990744631</v>
      </c>
      <c r="C248">
        <f t="shared" si="183"/>
        <v>2.4787166036823467</v>
      </c>
      <c r="D248">
        <f t="shared" si="184"/>
        <v>2.4787166036823467</v>
      </c>
      <c r="E248">
        <f t="shared" si="189"/>
        <v>0.61538637017917142</v>
      </c>
      <c r="F248">
        <f t="shared" si="190"/>
        <v>0.61538637017917164</v>
      </c>
      <c r="G248">
        <f t="shared" si="185"/>
        <v>0.66287604990744631</v>
      </c>
      <c r="H248">
        <f t="shared" si="186"/>
        <v>0.61538637017917142</v>
      </c>
      <c r="I248">
        <f t="shared" si="187"/>
        <v>0.61538637017917164</v>
      </c>
      <c r="J248">
        <f t="shared" si="235"/>
        <v>1.0345041801660765E+20</v>
      </c>
      <c r="K248">
        <f t="shared" si="236"/>
        <v>1.0345041801660765E+20</v>
      </c>
      <c r="L248">
        <f t="shared" si="191"/>
        <v>1</v>
      </c>
      <c r="M248">
        <f t="shared" si="188"/>
        <v>2.4787166036823466E-20</v>
      </c>
      <c r="N248" s="9">
        <f t="shared" si="237"/>
        <v>2.4787166036823466E-20</v>
      </c>
      <c r="O248">
        <f t="shared" si="238"/>
        <v>2.4787166036823466E-20</v>
      </c>
      <c r="Q248">
        <f t="shared" si="192"/>
        <v>46.085624118836073</v>
      </c>
      <c r="R248">
        <f t="shared" si="193"/>
        <v>0</v>
      </c>
      <c r="S248">
        <f t="shared" si="215"/>
        <v>-45.143960932167779</v>
      </c>
      <c r="T248" s="9" t="e">
        <f t="shared" si="194"/>
        <v>#N/A</v>
      </c>
      <c r="U248">
        <f t="shared" si="216"/>
        <v>-1.0000000000000001E+300</v>
      </c>
      <c r="V248">
        <f t="shared" si="217"/>
        <v>0</v>
      </c>
      <c r="W248">
        <f t="shared" si="218"/>
        <v>0</v>
      </c>
      <c r="X248">
        <f t="shared" si="195"/>
        <v>2.4787166036823467</v>
      </c>
      <c r="Y248">
        <f t="shared" si="196"/>
        <v>7.8539816339744828</v>
      </c>
      <c r="Z248">
        <f t="shared" si="197"/>
        <v>-2.4787166036823467</v>
      </c>
      <c r="AA248">
        <f t="shared" si="219"/>
        <v>3.1748963034711535</v>
      </c>
      <c r="AB248">
        <f t="shared" si="198"/>
        <v>11.028877937445635</v>
      </c>
      <c r="AC248">
        <f t="shared" si="220"/>
        <v>0.45615822242368242</v>
      </c>
      <c r="AD248">
        <f t="shared" si="199"/>
        <v>0.48550496424461287</v>
      </c>
      <c r="AE248" s="9">
        <f t="shared" si="221"/>
        <v>11.970541124113931</v>
      </c>
      <c r="AF248">
        <f t="shared" si="222"/>
        <v>0</v>
      </c>
      <c r="AH248">
        <f t="shared" si="200"/>
        <v>7.8539816339744828</v>
      </c>
      <c r="AI248">
        <f t="shared" si="201"/>
        <v>3.1748963034711544</v>
      </c>
      <c r="AJ248">
        <f t="shared" si="202"/>
        <v>0.45615822242368154</v>
      </c>
      <c r="AK248">
        <f t="shared" si="203"/>
        <v>0.48550496424461287</v>
      </c>
      <c r="AL248" s="9">
        <f t="shared" si="223"/>
        <v>11.970541124113932</v>
      </c>
      <c r="AM248" t="e">
        <f t="shared" si="204"/>
        <v>#N/A</v>
      </c>
      <c r="AN248" t="e">
        <f t="shared" si="224"/>
        <v>#N/A</v>
      </c>
      <c r="AO248">
        <f t="shared" si="205"/>
        <v>0</v>
      </c>
      <c r="AP248">
        <f t="shared" si="206"/>
        <v>0</v>
      </c>
      <c r="AQ248">
        <f t="shared" si="207"/>
        <v>-8.8817841970012523E-16</v>
      </c>
      <c r="AR248">
        <f t="shared" si="225"/>
        <v>0</v>
      </c>
      <c r="AS248">
        <f t="shared" si="208"/>
        <v>0</v>
      </c>
      <c r="AT248">
        <f t="shared" si="226"/>
        <v>0</v>
      </c>
      <c r="AU248">
        <f t="shared" si="227"/>
        <v>0</v>
      </c>
      <c r="AV248">
        <f t="shared" si="209"/>
        <v>2.4787166036823466E-20</v>
      </c>
      <c r="AW248" t="b">
        <f t="shared" si="228"/>
        <v>1</v>
      </c>
      <c r="AX248">
        <f t="shared" si="210"/>
        <v>7.8539816339744828</v>
      </c>
      <c r="AY248">
        <f t="shared" si="211"/>
        <v>3.1748963034711521</v>
      </c>
      <c r="AZ248">
        <f t="shared" si="212"/>
        <v>0.45615822242368254</v>
      </c>
      <c r="BA248">
        <f t="shared" si="213"/>
        <v>0.48550496424461254</v>
      </c>
      <c r="BB248">
        <f t="shared" si="214"/>
        <v>-1.2337005501361696E-20</v>
      </c>
      <c r="BD248" s="15">
        <f t="shared" si="229"/>
        <v>11.970541124113931</v>
      </c>
      <c r="BE248" s="10">
        <f t="shared" si="230"/>
        <v>0</v>
      </c>
      <c r="BF248">
        <f t="shared" si="231"/>
        <v>0</v>
      </c>
      <c r="BG248">
        <f t="shared" si="232"/>
        <v>0</v>
      </c>
      <c r="BH248">
        <f t="shared" si="233"/>
        <v>0</v>
      </c>
      <c r="BI248">
        <f t="shared" si="234"/>
        <v>0</v>
      </c>
    </row>
    <row r="249" spans="1:61" x14ac:dyDescent="0.3">
      <c r="A249">
        <f t="shared" si="239"/>
        <v>0.21199999999999999</v>
      </c>
      <c r="B249">
        <f t="shared" si="182"/>
        <v>0.66601764256103613</v>
      </c>
      <c r="C249">
        <f t="shared" si="183"/>
        <v>2.4755750110287571</v>
      </c>
      <c r="D249">
        <f t="shared" si="184"/>
        <v>2.4755750110287571</v>
      </c>
      <c r="E249">
        <f t="shared" si="189"/>
        <v>0.61785961309033433</v>
      </c>
      <c r="F249">
        <f t="shared" si="190"/>
        <v>0.61785961309033433</v>
      </c>
      <c r="G249">
        <f t="shared" si="185"/>
        <v>0.66601764256103613</v>
      </c>
      <c r="H249">
        <f t="shared" si="186"/>
        <v>0.61785961309033433</v>
      </c>
      <c r="I249">
        <f t="shared" si="187"/>
        <v>0.61785961309033433</v>
      </c>
      <c r="J249">
        <f t="shared" si="235"/>
        <v>1.0303631421762863E+20</v>
      </c>
      <c r="K249">
        <f t="shared" si="236"/>
        <v>1.0303631421762863E+20</v>
      </c>
      <c r="L249">
        <f t="shared" si="191"/>
        <v>1</v>
      </c>
      <c r="M249">
        <f t="shared" si="188"/>
        <v>2.4755750110287569E-20</v>
      </c>
      <c r="N249" s="9">
        <f t="shared" si="237"/>
        <v>2.4755750110287569E-20</v>
      </c>
      <c r="O249">
        <f t="shared" si="238"/>
        <v>2.4755750110287569E-20</v>
      </c>
      <c r="Q249">
        <f t="shared" si="192"/>
        <v>46.081613165205638</v>
      </c>
      <c r="R249">
        <f t="shared" si="193"/>
        <v>-710542.73576010019</v>
      </c>
      <c r="S249">
        <f t="shared" si="215"/>
        <v>-45.145229163155769</v>
      </c>
      <c r="T249" s="9" t="e">
        <f t="shared" si="194"/>
        <v>#N/A</v>
      </c>
      <c r="U249">
        <f t="shared" si="216"/>
        <v>-1.0000000000000001E+300</v>
      </c>
      <c r="V249">
        <f t="shared" si="217"/>
        <v>0</v>
      </c>
      <c r="W249">
        <f t="shared" si="218"/>
        <v>0</v>
      </c>
      <c r="X249">
        <f t="shared" si="195"/>
        <v>2.4755750110287571</v>
      </c>
      <c r="Y249">
        <f t="shared" si="196"/>
        <v>7.8539816339744828</v>
      </c>
      <c r="Z249">
        <f t="shared" si="197"/>
        <v>-2.4755750110287571</v>
      </c>
      <c r="AA249">
        <f t="shared" si="219"/>
        <v>3.1504179150382563</v>
      </c>
      <c r="AB249">
        <f t="shared" si="198"/>
        <v>11.004399549012739</v>
      </c>
      <c r="AC249">
        <f t="shared" si="220"/>
        <v>0.45488999143568742</v>
      </c>
      <c r="AD249">
        <f t="shared" si="199"/>
        <v>0.4814940106141819</v>
      </c>
      <c r="AE249" s="9">
        <f t="shared" si="221"/>
        <v>11.940783551062607</v>
      </c>
      <c r="AF249">
        <f t="shared" si="222"/>
        <v>0</v>
      </c>
      <c r="AH249">
        <f t="shared" si="200"/>
        <v>7.8539816339744828</v>
      </c>
      <c r="AI249">
        <f t="shared" si="201"/>
        <v>3.1504179150382559</v>
      </c>
      <c r="AJ249">
        <f t="shared" si="202"/>
        <v>0.45488999143569231</v>
      </c>
      <c r="AK249">
        <f t="shared" si="203"/>
        <v>0.4814940106141819</v>
      </c>
      <c r="AL249" s="9">
        <f t="shared" si="223"/>
        <v>11.940783551062612</v>
      </c>
      <c r="AM249" t="e">
        <f t="shared" si="204"/>
        <v>#N/A</v>
      </c>
      <c r="AN249" t="e">
        <f t="shared" si="224"/>
        <v>#N/A</v>
      </c>
      <c r="AO249">
        <f t="shared" si="205"/>
        <v>0</v>
      </c>
      <c r="AP249">
        <f t="shared" si="206"/>
        <v>0</v>
      </c>
      <c r="AQ249">
        <f t="shared" si="207"/>
        <v>4.8849813083506888E-15</v>
      </c>
      <c r="AR249">
        <f t="shared" si="225"/>
        <v>0</v>
      </c>
      <c r="AS249">
        <f t="shared" si="208"/>
        <v>0</v>
      </c>
      <c r="AT249">
        <f t="shared" si="226"/>
        <v>0</v>
      </c>
      <c r="AU249">
        <f t="shared" si="227"/>
        <v>0</v>
      </c>
      <c r="AV249">
        <f t="shared" si="209"/>
        <v>2.4755750110287569E-20</v>
      </c>
      <c r="AW249" t="b">
        <f t="shared" si="228"/>
        <v>1</v>
      </c>
      <c r="AX249">
        <f t="shared" si="210"/>
        <v>7.8539816339744828</v>
      </c>
      <c r="AY249">
        <f t="shared" si="211"/>
        <v>3.1504179150382559</v>
      </c>
      <c r="AZ249">
        <f t="shared" si="212"/>
        <v>0.45488999143568742</v>
      </c>
      <c r="BA249">
        <f t="shared" si="213"/>
        <v>0.4814940106141819</v>
      </c>
      <c r="BB249">
        <f t="shared" si="214"/>
        <v>-1.2337005501361696E-20</v>
      </c>
      <c r="BD249" s="15">
        <f t="shared" si="229"/>
        <v>11.940783551062607</v>
      </c>
      <c r="BE249" s="10">
        <f t="shared" si="230"/>
        <v>0</v>
      </c>
      <c r="BF249">
        <f t="shared" si="231"/>
        <v>0</v>
      </c>
      <c r="BG249">
        <f t="shared" si="232"/>
        <v>0</v>
      </c>
      <c r="BH249">
        <f t="shared" si="233"/>
        <v>0</v>
      </c>
      <c r="BI249">
        <f t="shared" si="234"/>
        <v>0</v>
      </c>
    </row>
    <row r="250" spans="1:61" x14ac:dyDescent="0.3">
      <c r="A250">
        <f t="shared" si="239"/>
        <v>0.21299999999999999</v>
      </c>
      <c r="B250">
        <f t="shared" si="182"/>
        <v>0.66915923521462595</v>
      </c>
      <c r="C250">
        <f t="shared" si="183"/>
        <v>2.4724334183751671</v>
      </c>
      <c r="D250">
        <f t="shared" si="184"/>
        <v>2.4724334183751671</v>
      </c>
      <c r="E250">
        <f t="shared" si="189"/>
        <v>0.62032675797655601</v>
      </c>
      <c r="F250">
        <f t="shared" si="190"/>
        <v>0.62032675797655623</v>
      </c>
      <c r="G250">
        <f t="shared" si="185"/>
        <v>0.66915923521462595</v>
      </c>
      <c r="H250">
        <f t="shared" si="186"/>
        <v>0.62032675797655601</v>
      </c>
      <c r="I250">
        <f t="shared" si="187"/>
        <v>0.62032675797655623</v>
      </c>
      <c r="J250">
        <f t="shared" si="235"/>
        <v>1.0262652129406309E+20</v>
      </c>
      <c r="K250">
        <f t="shared" si="236"/>
        <v>1.0262652129406309E+20</v>
      </c>
      <c r="L250">
        <f t="shared" si="191"/>
        <v>1</v>
      </c>
      <c r="M250">
        <f t="shared" si="188"/>
        <v>2.472433418375167E-20</v>
      </c>
      <c r="N250" s="9">
        <f t="shared" si="237"/>
        <v>2.472433418375167E-20</v>
      </c>
      <c r="O250">
        <f t="shared" si="238"/>
        <v>2.472433418375167E-20</v>
      </c>
      <c r="Q250">
        <f t="shared" si="192"/>
        <v>46.077628065371016</v>
      </c>
      <c r="R250">
        <f t="shared" si="193"/>
        <v>0</v>
      </c>
      <c r="S250">
        <f t="shared" si="215"/>
        <v>-45.146499004596251</v>
      </c>
      <c r="T250" s="9" t="e">
        <f t="shared" si="194"/>
        <v>#N/A</v>
      </c>
      <c r="U250">
        <f t="shared" si="216"/>
        <v>-1.0000000000000001E+300</v>
      </c>
      <c r="V250">
        <f t="shared" si="217"/>
        <v>0</v>
      </c>
      <c r="W250">
        <f t="shared" si="218"/>
        <v>0</v>
      </c>
      <c r="X250">
        <f t="shared" si="195"/>
        <v>2.4724334183751671</v>
      </c>
      <c r="Y250">
        <f t="shared" si="196"/>
        <v>7.8539816339744828</v>
      </c>
      <c r="Z250">
        <f t="shared" si="197"/>
        <v>-2.4724334183751671</v>
      </c>
      <c r="AA250">
        <f t="shared" si="219"/>
        <v>3.1261541373240669</v>
      </c>
      <c r="AB250">
        <f t="shared" si="198"/>
        <v>10.980135771298549</v>
      </c>
      <c r="AC250">
        <f t="shared" si="220"/>
        <v>0.45362014999521139</v>
      </c>
      <c r="AD250">
        <f t="shared" si="199"/>
        <v>0.47750891077955865</v>
      </c>
      <c r="AE250" s="9">
        <f t="shared" si="221"/>
        <v>11.91126483207332</v>
      </c>
      <c r="AF250">
        <f t="shared" si="222"/>
        <v>0</v>
      </c>
      <c r="AH250">
        <f t="shared" si="200"/>
        <v>7.8539816339744828</v>
      </c>
      <c r="AI250">
        <f t="shared" si="201"/>
        <v>3.1261541373240682</v>
      </c>
      <c r="AJ250">
        <f t="shared" si="202"/>
        <v>0.45362014999520994</v>
      </c>
      <c r="AK250">
        <f t="shared" si="203"/>
        <v>0.47750891077955865</v>
      </c>
      <c r="AL250" s="9">
        <f t="shared" si="223"/>
        <v>11.91126483207332</v>
      </c>
      <c r="AM250" t="e">
        <f t="shared" si="204"/>
        <v>#N/A</v>
      </c>
      <c r="AN250" t="e">
        <f t="shared" si="224"/>
        <v>#N/A</v>
      </c>
      <c r="AO250">
        <f t="shared" si="205"/>
        <v>0</v>
      </c>
      <c r="AP250">
        <f t="shared" si="206"/>
        <v>0</v>
      </c>
      <c r="AQ250">
        <f t="shared" si="207"/>
        <v>-1.4432899320127035E-15</v>
      </c>
      <c r="AR250">
        <f t="shared" si="225"/>
        <v>0</v>
      </c>
      <c r="AS250">
        <f t="shared" si="208"/>
        <v>0</v>
      </c>
      <c r="AT250">
        <f t="shared" si="226"/>
        <v>0</v>
      </c>
      <c r="AU250">
        <f t="shared" si="227"/>
        <v>0</v>
      </c>
      <c r="AV250">
        <f t="shared" si="209"/>
        <v>2.472433418375167E-20</v>
      </c>
      <c r="AW250" t="b">
        <f t="shared" si="228"/>
        <v>1</v>
      </c>
      <c r="AX250">
        <f t="shared" si="210"/>
        <v>7.8539816339744828</v>
      </c>
      <c r="AY250">
        <f t="shared" si="211"/>
        <v>3.126154137324066</v>
      </c>
      <c r="AZ250">
        <f t="shared" si="212"/>
        <v>0.45362014999521155</v>
      </c>
      <c r="BA250">
        <f t="shared" si="213"/>
        <v>0.47750891077955826</v>
      </c>
      <c r="BB250">
        <f t="shared" si="214"/>
        <v>-1.2337005501361696E-20</v>
      </c>
      <c r="BD250" s="15">
        <f t="shared" si="229"/>
        <v>11.91126483207332</v>
      </c>
      <c r="BE250" s="10">
        <f t="shared" si="230"/>
        <v>0</v>
      </c>
      <c r="BF250">
        <f t="shared" si="231"/>
        <v>0</v>
      </c>
      <c r="BG250">
        <f t="shared" si="232"/>
        <v>0</v>
      </c>
      <c r="BH250">
        <f t="shared" si="233"/>
        <v>0</v>
      </c>
      <c r="BI250">
        <f t="shared" si="234"/>
        <v>0</v>
      </c>
    </row>
    <row r="251" spans="1:61" x14ac:dyDescent="0.3">
      <c r="A251">
        <f t="shared" si="239"/>
        <v>0.214</v>
      </c>
      <c r="B251">
        <f t="shared" si="182"/>
        <v>0.67230082786821577</v>
      </c>
      <c r="C251">
        <f t="shared" si="183"/>
        <v>2.4692918257215775</v>
      </c>
      <c r="D251">
        <f t="shared" si="184"/>
        <v>2.4692918257215775</v>
      </c>
      <c r="E251">
        <f t="shared" si="189"/>
        <v>0.62278778048811256</v>
      </c>
      <c r="F251">
        <f t="shared" si="190"/>
        <v>0.62278778048811256</v>
      </c>
      <c r="G251">
        <f t="shared" si="185"/>
        <v>0.67230082786821577</v>
      </c>
      <c r="H251">
        <f t="shared" si="186"/>
        <v>0.62278778048811256</v>
      </c>
      <c r="I251">
        <f t="shared" si="187"/>
        <v>0.62278778048811256</v>
      </c>
      <c r="J251">
        <f t="shared" si="235"/>
        <v>1.0222097997308617E+20</v>
      </c>
      <c r="K251">
        <f t="shared" si="236"/>
        <v>1.0222097997308617E+20</v>
      </c>
      <c r="L251">
        <f t="shared" si="191"/>
        <v>1</v>
      </c>
      <c r="M251">
        <f t="shared" si="188"/>
        <v>2.4692918257215773E-20</v>
      </c>
      <c r="N251" s="9">
        <f t="shared" si="237"/>
        <v>2.4692918257215773E-20</v>
      </c>
      <c r="O251">
        <f t="shared" si="238"/>
        <v>2.4692918257215773E-20</v>
      </c>
      <c r="Q251">
        <f t="shared" si="192"/>
        <v>46.073668614088646</v>
      </c>
      <c r="R251">
        <f t="shared" si="193"/>
        <v>0</v>
      </c>
      <c r="S251">
        <f t="shared" si="215"/>
        <v>-45.147770460584447</v>
      </c>
      <c r="T251" s="9" t="e">
        <f t="shared" si="194"/>
        <v>#N/A</v>
      </c>
      <c r="U251">
        <f t="shared" si="216"/>
        <v>-1.0000000000000001E+300</v>
      </c>
      <c r="V251">
        <f t="shared" si="217"/>
        <v>0</v>
      </c>
      <c r="W251">
        <f t="shared" si="218"/>
        <v>0</v>
      </c>
      <c r="X251">
        <f t="shared" si="195"/>
        <v>2.4692918257215775</v>
      </c>
      <c r="Y251">
        <f t="shared" si="196"/>
        <v>7.8539816339744828</v>
      </c>
      <c r="Z251">
        <f t="shared" si="197"/>
        <v>-2.4692918257215775</v>
      </c>
      <c r="AA251">
        <f t="shared" si="219"/>
        <v>3.1021020219155129</v>
      </c>
      <c r="AB251">
        <f t="shared" si="198"/>
        <v>10.956083655889996</v>
      </c>
      <c r="AC251">
        <f t="shared" si="220"/>
        <v>0.45234869400701483</v>
      </c>
      <c r="AD251">
        <f t="shared" si="199"/>
        <v>0.47354945949718802</v>
      </c>
      <c r="AE251" s="9">
        <f t="shared" si="221"/>
        <v>11.881981809394198</v>
      </c>
      <c r="AF251">
        <f t="shared" si="222"/>
        <v>0</v>
      </c>
      <c r="AH251">
        <f t="shared" si="200"/>
        <v>7.8539816339744828</v>
      </c>
      <c r="AI251">
        <f t="shared" si="201"/>
        <v>3.102102021915512</v>
      </c>
      <c r="AJ251">
        <f t="shared" si="202"/>
        <v>0.45234869400701427</v>
      </c>
      <c r="AK251">
        <f t="shared" si="203"/>
        <v>0.47354945949718802</v>
      </c>
      <c r="AL251" s="9">
        <f t="shared" si="223"/>
        <v>11.881981809394196</v>
      </c>
      <c r="AM251" t="e">
        <f t="shared" si="204"/>
        <v>#N/A</v>
      </c>
      <c r="AN251" t="e">
        <f t="shared" si="224"/>
        <v>#N/A</v>
      </c>
      <c r="AO251">
        <f t="shared" si="205"/>
        <v>0</v>
      </c>
      <c r="AP251">
        <f t="shared" si="206"/>
        <v>0</v>
      </c>
      <c r="AQ251">
        <f t="shared" si="207"/>
        <v>-5.5511151231257827E-16</v>
      </c>
      <c r="AR251">
        <f t="shared" si="225"/>
        <v>0</v>
      </c>
      <c r="AS251">
        <f t="shared" si="208"/>
        <v>0</v>
      </c>
      <c r="AT251">
        <f t="shared" si="226"/>
        <v>0</v>
      </c>
      <c r="AU251">
        <f t="shared" si="227"/>
        <v>0</v>
      </c>
      <c r="AV251">
        <f t="shared" si="209"/>
        <v>2.4692918257215773E-20</v>
      </c>
      <c r="AW251" t="b">
        <f t="shared" si="228"/>
        <v>1</v>
      </c>
      <c r="AX251">
        <f t="shared" si="210"/>
        <v>7.8539816339744828</v>
      </c>
      <c r="AY251">
        <f t="shared" si="211"/>
        <v>3.102102021915512</v>
      </c>
      <c r="AZ251">
        <f t="shared" si="212"/>
        <v>0.45234869400701483</v>
      </c>
      <c r="BA251">
        <f t="shared" si="213"/>
        <v>0.47354945949718802</v>
      </c>
      <c r="BB251">
        <f t="shared" si="214"/>
        <v>-1.2337005501361696E-20</v>
      </c>
      <c r="BD251" s="15">
        <f t="shared" si="229"/>
        <v>11.881981809394196</v>
      </c>
      <c r="BE251" s="10">
        <f t="shared" si="230"/>
        <v>0</v>
      </c>
      <c r="BF251">
        <f t="shared" si="231"/>
        <v>0</v>
      </c>
      <c r="BG251">
        <f t="shared" si="232"/>
        <v>0</v>
      </c>
      <c r="BH251">
        <f t="shared" si="233"/>
        <v>0</v>
      </c>
      <c r="BI251">
        <f t="shared" si="234"/>
        <v>0</v>
      </c>
    </row>
    <row r="252" spans="1:61" x14ac:dyDescent="0.3">
      <c r="A252">
        <f t="shared" si="239"/>
        <v>0.215</v>
      </c>
      <c r="B252">
        <f t="shared" si="182"/>
        <v>0.67544242052180548</v>
      </c>
      <c r="C252">
        <f t="shared" si="183"/>
        <v>2.4661502330679879</v>
      </c>
      <c r="D252">
        <f t="shared" si="184"/>
        <v>2.4661502330679879</v>
      </c>
      <c r="E252">
        <f t="shared" si="189"/>
        <v>0.62524265633570508</v>
      </c>
      <c r="F252">
        <f t="shared" si="190"/>
        <v>0.62524265633570508</v>
      </c>
      <c r="G252">
        <f t="shared" si="185"/>
        <v>0.67544242052180548</v>
      </c>
      <c r="H252">
        <f t="shared" si="186"/>
        <v>0.62524265633570508</v>
      </c>
      <c r="I252">
        <f t="shared" si="187"/>
        <v>0.62524265633570508</v>
      </c>
      <c r="J252">
        <f t="shared" si="235"/>
        <v>1.0181963209269071E+20</v>
      </c>
      <c r="K252">
        <f t="shared" si="236"/>
        <v>1.0181963209269071E+20</v>
      </c>
      <c r="L252" t="e">
        <f t="shared" si="191"/>
        <v>#NUM!</v>
      </c>
      <c r="M252">
        <f t="shared" si="188"/>
        <v>2.4661502330679874E-20</v>
      </c>
      <c r="N252" s="9" t="e">
        <f t="shared" si="237"/>
        <v>#NUM!</v>
      </c>
      <c r="O252" t="e">
        <f t="shared" si="238"/>
        <v>#NUM!</v>
      </c>
      <c r="Q252">
        <f t="shared" si="192"/>
        <v>46.069734609049647</v>
      </c>
      <c r="R252">
        <f t="shared" si="193"/>
        <v>-710542.73576010019</v>
      </c>
      <c r="S252">
        <f t="shared" si="215"/>
        <v>-45.149043535231243</v>
      </c>
      <c r="T252" s="9" t="e">
        <f t="shared" si="194"/>
        <v>#N/A</v>
      </c>
      <c r="U252">
        <f t="shared" si="216"/>
        <v>-1.0000000000000001E+300</v>
      </c>
      <c r="V252">
        <f t="shared" si="217"/>
        <v>0</v>
      </c>
      <c r="W252">
        <f t="shared" si="218"/>
        <v>0</v>
      </c>
      <c r="X252">
        <f t="shared" si="195"/>
        <v>2.4661502330679879</v>
      </c>
      <c r="Y252">
        <f t="shared" si="196"/>
        <v>7.8539816339744828</v>
      </c>
      <c r="Z252">
        <f t="shared" si="197"/>
        <v>-2.4661502330679879</v>
      </c>
      <c r="AA252">
        <f t="shared" si="219"/>
        <v>3.0782586751684775</v>
      </c>
      <c r="AB252">
        <f t="shared" si="198"/>
        <v>10.93224030914296</v>
      </c>
      <c r="AC252">
        <f t="shared" si="220"/>
        <v>0.45107561936021673</v>
      </c>
      <c r="AD252">
        <f t="shared" si="199"/>
        <v>0.46961545445818953</v>
      </c>
      <c r="AE252" s="9">
        <f t="shared" si="221"/>
        <v>11.852931382961366</v>
      </c>
      <c r="AF252">
        <f t="shared" si="222"/>
        <v>0</v>
      </c>
      <c r="AH252">
        <f t="shared" si="200"/>
        <v>7.8539816339744828</v>
      </c>
      <c r="AI252">
        <f t="shared" si="201"/>
        <v>3.0782586751684757</v>
      </c>
      <c r="AJ252">
        <f t="shared" si="202"/>
        <v>0.45107561936021767</v>
      </c>
      <c r="AK252">
        <f t="shared" si="203"/>
        <v>0.46961545445818953</v>
      </c>
      <c r="AL252" s="9">
        <f t="shared" si="223"/>
        <v>11.852931382961366</v>
      </c>
      <c r="AM252" t="e">
        <f t="shared" si="204"/>
        <v>#N/A</v>
      </c>
      <c r="AN252" t="e">
        <f t="shared" si="224"/>
        <v>#N/A</v>
      </c>
      <c r="AO252">
        <f t="shared" si="205"/>
        <v>0</v>
      </c>
      <c r="AP252">
        <f t="shared" si="206"/>
        <v>0</v>
      </c>
      <c r="AQ252">
        <f t="shared" si="207"/>
        <v>9.4368957093138306E-16</v>
      </c>
      <c r="AR252">
        <f t="shared" si="225"/>
        <v>0</v>
      </c>
      <c r="AS252">
        <f t="shared" si="208"/>
        <v>0</v>
      </c>
      <c r="AT252">
        <f t="shared" si="226"/>
        <v>0</v>
      </c>
      <c r="AU252">
        <f t="shared" si="227"/>
        <v>0</v>
      </c>
      <c r="AV252">
        <f t="shared" si="209"/>
        <v>2.4661502330679877E-20</v>
      </c>
      <c r="AW252" t="b">
        <f t="shared" si="228"/>
        <v>1</v>
      </c>
      <c r="AX252">
        <f t="shared" si="210"/>
        <v>7.8539816339744828</v>
      </c>
      <c r="AY252">
        <f t="shared" si="211"/>
        <v>3.0782586751684775</v>
      </c>
      <c r="AZ252">
        <f t="shared" si="212"/>
        <v>0.4510756193602169</v>
      </c>
      <c r="BA252">
        <f t="shared" si="213"/>
        <v>0.46961545445818953</v>
      </c>
      <c r="BB252">
        <f t="shared" si="214"/>
        <v>-1.2337005501361696E-20</v>
      </c>
      <c r="BD252" s="15">
        <f t="shared" si="229"/>
        <v>11.852931382961367</v>
      </c>
      <c r="BE252" s="10">
        <f t="shared" si="230"/>
        <v>0</v>
      </c>
      <c r="BF252">
        <f t="shared" si="231"/>
        <v>0</v>
      </c>
      <c r="BG252">
        <f t="shared" si="232"/>
        <v>0</v>
      </c>
      <c r="BH252">
        <f t="shared" si="233"/>
        <v>0</v>
      </c>
      <c r="BI252">
        <f t="shared" si="234"/>
        <v>0</v>
      </c>
    </row>
    <row r="253" spans="1:61" x14ac:dyDescent="0.3">
      <c r="A253">
        <f t="shared" si="239"/>
        <v>0.216</v>
      </c>
      <c r="B253">
        <f t="shared" si="182"/>
        <v>0.6785840131753953</v>
      </c>
      <c r="C253">
        <f t="shared" si="183"/>
        <v>2.4630086404143978</v>
      </c>
      <c r="D253">
        <f t="shared" si="184"/>
        <v>2.4630086404143978</v>
      </c>
      <c r="E253">
        <f t="shared" si="189"/>
        <v>0.62769136129070047</v>
      </c>
      <c r="F253">
        <f t="shared" si="190"/>
        <v>0.62769136129070058</v>
      </c>
      <c r="G253">
        <f t="shared" si="185"/>
        <v>0.6785840131753953</v>
      </c>
      <c r="H253">
        <f t="shared" si="186"/>
        <v>0.62769136129070047</v>
      </c>
      <c r="I253">
        <f t="shared" si="187"/>
        <v>0.62769136129070058</v>
      </c>
      <c r="J253">
        <f t="shared" si="235"/>
        <v>1.0142242057601714E+20</v>
      </c>
      <c r="K253">
        <f t="shared" si="236"/>
        <v>1.0142242057601714E+20</v>
      </c>
      <c r="L253">
        <f t="shared" si="191"/>
        <v>1</v>
      </c>
      <c r="M253">
        <f t="shared" si="188"/>
        <v>2.4630086404143977E-20</v>
      </c>
      <c r="N253" s="9">
        <f t="shared" si="237"/>
        <v>2.4630086404143977E-20</v>
      </c>
      <c r="O253">
        <f t="shared" si="238"/>
        <v>2.4630086404143977E-20</v>
      </c>
      <c r="Q253">
        <f t="shared" si="192"/>
        <v>46.065825850825775</v>
      </c>
      <c r="R253">
        <f t="shared" si="193"/>
        <v>0</v>
      </c>
      <c r="S253">
        <f t="shared" si="215"/>
        <v>-45.150318232663246</v>
      </c>
      <c r="T253" s="9" t="e">
        <f t="shared" si="194"/>
        <v>#N/A</v>
      </c>
      <c r="U253">
        <f t="shared" si="216"/>
        <v>-1.0000000000000001E+300</v>
      </c>
      <c r="V253">
        <f t="shared" si="217"/>
        <v>0</v>
      </c>
      <c r="W253">
        <f t="shared" si="218"/>
        <v>0</v>
      </c>
      <c r="X253">
        <f t="shared" si="195"/>
        <v>2.4630086404143978</v>
      </c>
      <c r="Y253">
        <f t="shared" si="196"/>
        <v>7.8539816339744828</v>
      </c>
      <c r="Z253">
        <f t="shared" si="197"/>
        <v>-2.4630086404143978</v>
      </c>
      <c r="AA253">
        <f t="shared" si="219"/>
        <v>3.0546212569404432</v>
      </c>
      <c r="AB253">
        <f t="shared" si="198"/>
        <v>10.908602890914926</v>
      </c>
      <c r="AC253">
        <f t="shared" si="220"/>
        <v>0.44980092192821614</v>
      </c>
      <c r="AD253">
        <f t="shared" si="199"/>
        <v>0.46570669623431632</v>
      </c>
      <c r="AE253" s="9">
        <f t="shared" si="221"/>
        <v>11.824110509077457</v>
      </c>
      <c r="AF253">
        <f t="shared" si="222"/>
        <v>0</v>
      </c>
      <c r="AH253">
        <f t="shared" si="200"/>
        <v>7.8539816339744828</v>
      </c>
      <c r="AI253">
        <f t="shared" si="201"/>
        <v>3.0546212569404432</v>
      </c>
      <c r="AJ253">
        <f t="shared" si="202"/>
        <v>0.4498009219282153</v>
      </c>
      <c r="AK253">
        <f t="shared" si="203"/>
        <v>0.46570669623431632</v>
      </c>
      <c r="AL253" s="9">
        <f t="shared" si="223"/>
        <v>11.824110509077457</v>
      </c>
      <c r="AM253" t="e">
        <f t="shared" si="204"/>
        <v>#N/A</v>
      </c>
      <c r="AN253" t="e">
        <f t="shared" si="224"/>
        <v>#N/A</v>
      </c>
      <c r="AO253">
        <f t="shared" si="205"/>
        <v>0</v>
      </c>
      <c r="AP253">
        <f t="shared" si="206"/>
        <v>0</v>
      </c>
      <c r="AQ253">
        <f t="shared" si="207"/>
        <v>-8.3266726846886741E-16</v>
      </c>
      <c r="AR253">
        <f t="shared" si="225"/>
        <v>0</v>
      </c>
      <c r="AS253">
        <f t="shared" si="208"/>
        <v>0</v>
      </c>
      <c r="AT253">
        <f t="shared" si="226"/>
        <v>0</v>
      </c>
      <c r="AU253">
        <f t="shared" si="227"/>
        <v>0</v>
      </c>
      <c r="AV253">
        <f t="shared" si="209"/>
        <v>2.4630086404143977E-20</v>
      </c>
      <c r="AW253" t="b">
        <f t="shared" si="228"/>
        <v>1</v>
      </c>
      <c r="AX253">
        <f t="shared" si="210"/>
        <v>7.8539816339744828</v>
      </c>
      <c r="AY253">
        <f t="shared" si="211"/>
        <v>3.0546212569404423</v>
      </c>
      <c r="AZ253">
        <f t="shared" si="212"/>
        <v>0.44980092192821614</v>
      </c>
      <c r="BA253">
        <f t="shared" si="213"/>
        <v>0.46570669623431615</v>
      </c>
      <c r="BB253">
        <f t="shared" si="214"/>
        <v>-1.2337005501361696E-20</v>
      </c>
      <c r="BD253" s="15">
        <f t="shared" si="229"/>
        <v>11.824110509077455</v>
      </c>
      <c r="BE253" s="10">
        <f t="shared" si="230"/>
        <v>0</v>
      </c>
      <c r="BF253">
        <f t="shared" si="231"/>
        <v>0</v>
      </c>
      <c r="BG253">
        <f t="shared" si="232"/>
        <v>0</v>
      </c>
      <c r="BH253">
        <f t="shared" si="233"/>
        <v>0</v>
      </c>
      <c r="BI253">
        <f t="shared" si="234"/>
        <v>0</v>
      </c>
    </row>
    <row r="254" spans="1:61" x14ac:dyDescent="0.3">
      <c r="A254">
        <f t="shared" si="239"/>
        <v>0.217</v>
      </c>
      <c r="B254">
        <f t="shared" si="182"/>
        <v>0.68172560582898512</v>
      </c>
      <c r="C254">
        <f t="shared" si="183"/>
        <v>2.4598670477608078</v>
      </c>
      <c r="D254">
        <f t="shared" si="184"/>
        <v>2.4598670477608078</v>
      </c>
      <c r="E254">
        <f t="shared" si="189"/>
        <v>0.63013387118536912</v>
      </c>
      <c r="F254">
        <f t="shared" si="190"/>
        <v>0.63013387118536934</v>
      </c>
      <c r="G254">
        <f t="shared" si="185"/>
        <v>0.68172560582898512</v>
      </c>
      <c r="H254">
        <f t="shared" si="186"/>
        <v>0.63013387118536912</v>
      </c>
      <c r="I254">
        <f t="shared" si="187"/>
        <v>0.63013387118536934</v>
      </c>
      <c r="J254">
        <f t="shared" si="235"/>
        <v>1.0102928940639414E+20</v>
      </c>
      <c r="K254">
        <f t="shared" si="236"/>
        <v>1.0102928940639414E+20</v>
      </c>
      <c r="L254">
        <f t="shared" si="191"/>
        <v>1</v>
      </c>
      <c r="M254">
        <f t="shared" si="188"/>
        <v>2.459867047760808E-20</v>
      </c>
      <c r="N254" s="9">
        <f t="shared" si="237"/>
        <v>2.459867047760808E-20</v>
      </c>
      <c r="O254">
        <f t="shared" si="238"/>
        <v>2.459867047760808E-20</v>
      </c>
      <c r="Q254">
        <f t="shared" si="192"/>
        <v>46.061942142816626</v>
      </c>
      <c r="R254">
        <f t="shared" si="193"/>
        <v>0</v>
      </c>
      <c r="S254">
        <f t="shared" si="215"/>
        <v>-45.151594557022847</v>
      </c>
      <c r="T254" s="9" t="e">
        <f t="shared" si="194"/>
        <v>#N/A</v>
      </c>
      <c r="U254">
        <f t="shared" si="216"/>
        <v>-1.0000000000000001E+300</v>
      </c>
      <c r="V254">
        <f t="shared" si="217"/>
        <v>0</v>
      </c>
      <c r="W254">
        <f t="shared" si="218"/>
        <v>0</v>
      </c>
      <c r="X254">
        <f t="shared" si="195"/>
        <v>2.4598670477608078</v>
      </c>
      <c r="Y254">
        <f t="shared" si="196"/>
        <v>7.8539816339744828</v>
      </c>
      <c r="Z254">
        <f t="shared" si="197"/>
        <v>-2.4598670477608078</v>
      </c>
      <c r="AA254">
        <f t="shared" si="219"/>
        <v>3.0311869793581678</v>
      </c>
      <c r="AB254">
        <f t="shared" si="198"/>
        <v>10.885168613332651</v>
      </c>
      <c r="AC254">
        <f t="shared" si="220"/>
        <v>0.44852459756861124</v>
      </c>
      <c r="AD254">
        <f t="shared" si="199"/>
        <v>0.46182298822516887</v>
      </c>
      <c r="AE254" s="9">
        <f t="shared" si="221"/>
        <v>11.79551619912643</v>
      </c>
      <c r="AF254">
        <f t="shared" si="222"/>
        <v>0</v>
      </c>
      <c r="AH254">
        <f t="shared" si="200"/>
        <v>7.8539816339744828</v>
      </c>
      <c r="AI254">
        <f t="shared" si="201"/>
        <v>3.0311869793581705</v>
      </c>
      <c r="AJ254">
        <f t="shared" si="202"/>
        <v>0.44852459756861407</v>
      </c>
      <c r="AK254">
        <f t="shared" si="203"/>
        <v>0.46182298822516887</v>
      </c>
      <c r="AL254" s="9">
        <f t="shared" si="223"/>
        <v>11.795516199126435</v>
      </c>
      <c r="AM254" t="e">
        <f t="shared" si="204"/>
        <v>#N/A</v>
      </c>
      <c r="AN254" t="e">
        <f t="shared" si="224"/>
        <v>#N/A</v>
      </c>
      <c r="AO254">
        <f t="shared" si="205"/>
        <v>0</v>
      </c>
      <c r="AP254">
        <f t="shared" si="206"/>
        <v>0</v>
      </c>
      <c r="AQ254">
        <f t="shared" si="207"/>
        <v>2.8310687127941492E-15</v>
      </c>
      <c r="AR254">
        <f t="shared" si="225"/>
        <v>0</v>
      </c>
      <c r="AS254">
        <f t="shared" si="208"/>
        <v>0</v>
      </c>
      <c r="AT254">
        <f t="shared" si="226"/>
        <v>0</v>
      </c>
      <c r="AU254">
        <f t="shared" si="227"/>
        <v>0</v>
      </c>
      <c r="AV254">
        <f t="shared" si="209"/>
        <v>2.4598670477608077E-20</v>
      </c>
      <c r="AW254" t="b">
        <f t="shared" si="228"/>
        <v>1</v>
      </c>
      <c r="AX254">
        <f t="shared" si="210"/>
        <v>7.8539816339744828</v>
      </c>
      <c r="AY254">
        <f t="shared" si="211"/>
        <v>3.0311869793581678</v>
      </c>
      <c r="AZ254">
        <f t="shared" si="212"/>
        <v>0.44852459756861141</v>
      </c>
      <c r="BA254">
        <f t="shared" si="213"/>
        <v>0.46182298822516854</v>
      </c>
      <c r="BB254">
        <f t="shared" si="214"/>
        <v>-1.2337005501361696E-20</v>
      </c>
      <c r="BD254" s="15">
        <f t="shared" si="229"/>
        <v>11.795516199126432</v>
      </c>
      <c r="BE254" s="10">
        <f t="shared" si="230"/>
        <v>0</v>
      </c>
      <c r="BF254">
        <f t="shared" si="231"/>
        <v>0</v>
      </c>
      <c r="BG254">
        <f t="shared" si="232"/>
        <v>0</v>
      </c>
      <c r="BH254">
        <f t="shared" si="233"/>
        <v>0</v>
      </c>
      <c r="BI254">
        <f t="shared" si="234"/>
        <v>0</v>
      </c>
    </row>
    <row r="255" spans="1:61" x14ac:dyDescent="0.3">
      <c r="A255">
        <f t="shared" si="239"/>
        <v>0.218</v>
      </c>
      <c r="B255">
        <f t="shared" si="182"/>
        <v>0.68486719848257493</v>
      </c>
      <c r="C255">
        <f t="shared" si="183"/>
        <v>2.4567254551072182</v>
      </c>
      <c r="D255">
        <f t="shared" si="184"/>
        <v>2.4567254551072182</v>
      </c>
      <c r="E255">
        <f t="shared" si="189"/>
        <v>0.63257016191312443</v>
      </c>
      <c r="F255">
        <f t="shared" si="190"/>
        <v>0.63257016191312454</v>
      </c>
      <c r="G255">
        <f t="shared" si="185"/>
        <v>0.68486719848257493</v>
      </c>
      <c r="H255">
        <f t="shared" si="186"/>
        <v>0.63257016191312443</v>
      </c>
      <c r="I255">
        <f t="shared" si="187"/>
        <v>0.63257016191312454</v>
      </c>
      <c r="J255">
        <f t="shared" si="235"/>
        <v>1.0064018360306618E+20</v>
      </c>
      <c r="K255">
        <f t="shared" si="236"/>
        <v>1.0064018360306618E+20</v>
      </c>
      <c r="L255">
        <f t="shared" si="191"/>
        <v>1</v>
      </c>
      <c r="M255">
        <f t="shared" si="188"/>
        <v>2.4567254551072181E-20</v>
      </c>
      <c r="N255" s="9">
        <f t="shared" si="237"/>
        <v>2.4567254551072181E-20</v>
      </c>
      <c r="O255">
        <f t="shared" si="238"/>
        <v>2.4567254551072181E-20</v>
      </c>
      <c r="Q255">
        <f t="shared" si="192"/>
        <v>46.058083291198081</v>
      </c>
      <c r="R255">
        <f t="shared" si="193"/>
        <v>0</v>
      </c>
      <c r="S255">
        <f t="shared" si="215"/>
        <v>-45.152872512468342</v>
      </c>
      <c r="T255" s="9" t="e">
        <f t="shared" si="194"/>
        <v>#N/A</v>
      </c>
      <c r="U255">
        <f t="shared" si="216"/>
        <v>-1.0000000000000001E+300</v>
      </c>
      <c r="V255">
        <f t="shared" si="217"/>
        <v>0</v>
      </c>
      <c r="W255">
        <f t="shared" si="218"/>
        <v>0</v>
      </c>
      <c r="X255">
        <f t="shared" si="195"/>
        <v>2.4567254551072182</v>
      </c>
      <c r="Y255">
        <f t="shared" si="196"/>
        <v>7.8539816339744828</v>
      </c>
      <c r="Z255">
        <f t="shared" si="197"/>
        <v>-2.4567254551072182</v>
      </c>
      <c r="AA255">
        <f t="shared" si="219"/>
        <v>3.0079531056192703</v>
      </c>
      <c r="AB255">
        <f t="shared" si="198"/>
        <v>10.861934739593753</v>
      </c>
      <c r="AC255">
        <f t="shared" si="220"/>
        <v>0.44724664212311938</v>
      </c>
      <c r="AD255">
        <f t="shared" si="199"/>
        <v>0.45796413660662072</v>
      </c>
      <c r="AE255" s="9">
        <f t="shared" si="221"/>
        <v>11.767145518323492</v>
      </c>
      <c r="AF255">
        <f t="shared" si="222"/>
        <v>0</v>
      </c>
      <c r="AH255">
        <f t="shared" si="200"/>
        <v>7.8539816339744828</v>
      </c>
      <c r="AI255">
        <f t="shared" si="201"/>
        <v>3.0079531056192703</v>
      </c>
      <c r="AJ255">
        <f t="shared" si="202"/>
        <v>0.44724664212311893</v>
      </c>
      <c r="AK255">
        <f t="shared" si="203"/>
        <v>0.45796413660662072</v>
      </c>
      <c r="AL255" s="9">
        <f t="shared" si="223"/>
        <v>11.767145518323492</v>
      </c>
      <c r="AM255" t="e">
        <f t="shared" si="204"/>
        <v>#N/A</v>
      </c>
      <c r="AN255" t="e">
        <f t="shared" si="224"/>
        <v>#N/A</v>
      </c>
      <c r="AO255">
        <f t="shared" si="205"/>
        <v>0</v>
      </c>
      <c r="AP255">
        <f t="shared" si="206"/>
        <v>0</v>
      </c>
      <c r="AQ255">
        <f t="shared" si="207"/>
        <v>-4.4408920985006262E-16</v>
      </c>
      <c r="AR255">
        <f t="shared" si="225"/>
        <v>0</v>
      </c>
      <c r="AS255">
        <f t="shared" si="208"/>
        <v>0</v>
      </c>
      <c r="AT255">
        <f t="shared" si="226"/>
        <v>0</v>
      </c>
      <c r="AU255">
        <f t="shared" si="227"/>
        <v>0</v>
      </c>
      <c r="AV255">
        <f t="shared" si="209"/>
        <v>2.4567254551072181E-20</v>
      </c>
      <c r="AW255" t="b">
        <f t="shared" si="228"/>
        <v>1</v>
      </c>
      <c r="AX255">
        <f t="shared" si="210"/>
        <v>7.8539816339744828</v>
      </c>
      <c r="AY255">
        <f t="shared" si="211"/>
        <v>3.0079531056192699</v>
      </c>
      <c r="AZ255">
        <f t="shared" si="212"/>
        <v>0.44724664212311938</v>
      </c>
      <c r="BA255">
        <f t="shared" si="213"/>
        <v>0.45796413660662055</v>
      </c>
      <c r="BB255">
        <f t="shared" si="214"/>
        <v>-1.2337005501361696E-20</v>
      </c>
      <c r="BD255" s="15">
        <f t="shared" si="229"/>
        <v>11.767145518323492</v>
      </c>
      <c r="BE255" s="10">
        <f t="shared" si="230"/>
        <v>0</v>
      </c>
      <c r="BF255">
        <f t="shared" si="231"/>
        <v>0</v>
      </c>
      <c r="BG255">
        <f t="shared" si="232"/>
        <v>0</v>
      </c>
      <c r="BH255">
        <f t="shared" si="233"/>
        <v>0</v>
      </c>
      <c r="BI255">
        <f t="shared" si="234"/>
        <v>0</v>
      </c>
    </row>
    <row r="256" spans="1:61" x14ac:dyDescent="0.3">
      <c r="A256">
        <f t="shared" si="239"/>
        <v>0.219</v>
      </c>
      <c r="B256">
        <f t="shared" si="182"/>
        <v>0.68800879113616464</v>
      </c>
      <c r="C256">
        <f t="shared" si="183"/>
        <v>2.4535838624536286</v>
      </c>
      <c r="D256">
        <f t="shared" si="184"/>
        <v>2.4535838624536286</v>
      </c>
      <c r="E256">
        <f t="shared" si="189"/>
        <v>0.63500020942876056</v>
      </c>
      <c r="F256">
        <f t="shared" si="190"/>
        <v>0.63500020942876056</v>
      </c>
      <c r="G256">
        <f t="shared" si="185"/>
        <v>0.68800879113616464</v>
      </c>
      <c r="H256">
        <f t="shared" si="186"/>
        <v>0.63500020942876056</v>
      </c>
      <c r="I256">
        <f t="shared" si="187"/>
        <v>0.63500020942876056</v>
      </c>
      <c r="J256">
        <f t="shared" si="235"/>
        <v>1.0025504919758653E+20</v>
      </c>
      <c r="K256">
        <f t="shared" si="236"/>
        <v>1.0025504919758653E+20</v>
      </c>
      <c r="L256">
        <f t="shared" si="191"/>
        <v>1</v>
      </c>
      <c r="M256">
        <f t="shared" si="188"/>
        <v>2.4535838624536284E-20</v>
      </c>
      <c r="N256" s="9">
        <f t="shared" si="237"/>
        <v>2.4535838624536284E-20</v>
      </c>
      <c r="O256">
        <f t="shared" si="238"/>
        <v>2.4535838624536284E-20</v>
      </c>
      <c r="Q256">
        <f t="shared" si="192"/>
        <v>46.054249104871886</v>
      </c>
      <c r="R256">
        <f t="shared" si="193"/>
        <v>0</v>
      </c>
      <c r="S256">
        <f t="shared" si="215"/>
        <v>-45.154152103173963</v>
      </c>
      <c r="T256" s="9" t="e">
        <f t="shared" si="194"/>
        <v>#N/A</v>
      </c>
      <c r="U256">
        <f t="shared" si="216"/>
        <v>-1.0000000000000001E+300</v>
      </c>
      <c r="V256">
        <f t="shared" si="217"/>
        <v>0</v>
      </c>
      <c r="W256">
        <f t="shared" si="218"/>
        <v>0</v>
      </c>
      <c r="X256">
        <f t="shared" si="195"/>
        <v>2.4535838624536286</v>
      </c>
      <c r="Y256">
        <f t="shared" si="196"/>
        <v>7.8539816339744828</v>
      </c>
      <c r="Z256">
        <f t="shared" si="197"/>
        <v>-2.4535838624536286</v>
      </c>
      <c r="AA256">
        <f t="shared" si="219"/>
        <v>2.9849169488266378</v>
      </c>
      <c r="AB256">
        <f t="shared" si="198"/>
        <v>10.838898582801122</v>
      </c>
      <c r="AC256">
        <f t="shared" si="220"/>
        <v>0.44596705141749426</v>
      </c>
      <c r="AD256">
        <f t="shared" si="199"/>
        <v>0.45412995028042802</v>
      </c>
      <c r="AE256" s="9">
        <f t="shared" si="221"/>
        <v>11.738995584499044</v>
      </c>
      <c r="AF256">
        <f t="shared" si="222"/>
        <v>0</v>
      </c>
      <c r="AH256">
        <f t="shared" si="200"/>
        <v>7.8539816339744828</v>
      </c>
      <c r="AI256">
        <f t="shared" si="201"/>
        <v>2.9849169488266383</v>
      </c>
      <c r="AJ256">
        <f t="shared" si="202"/>
        <v>0.44596705141749737</v>
      </c>
      <c r="AK256">
        <f t="shared" si="203"/>
        <v>0.45412995028042802</v>
      </c>
      <c r="AL256" s="9">
        <f t="shared" si="223"/>
        <v>11.738995584499047</v>
      </c>
      <c r="AM256" t="e">
        <f t="shared" si="204"/>
        <v>#N/A</v>
      </c>
      <c r="AN256" t="e">
        <f t="shared" si="224"/>
        <v>#N/A</v>
      </c>
      <c r="AO256">
        <f t="shared" si="205"/>
        <v>0</v>
      </c>
      <c r="AP256">
        <f t="shared" si="206"/>
        <v>0</v>
      </c>
      <c r="AQ256">
        <f t="shared" si="207"/>
        <v>3.1086244689504383E-15</v>
      </c>
      <c r="AR256">
        <f t="shared" si="225"/>
        <v>0</v>
      </c>
      <c r="AS256">
        <f t="shared" si="208"/>
        <v>0</v>
      </c>
      <c r="AT256">
        <f t="shared" si="226"/>
        <v>0</v>
      </c>
      <c r="AU256">
        <f t="shared" si="227"/>
        <v>0</v>
      </c>
      <c r="AV256">
        <f t="shared" si="209"/>
        <v>2.4535838624536284E-20</v>
      </c>
      <c r="AW256" t="b">
        <f t="shared" si="228"/>
        <v>1</v>
      </c>
      <c r="AX256">
        <f t="shared" si="210"/>
        <v>7.8539816339744828</v>
      </c>
      <c r="AY256">
        <f t="shared" si="211"/>
        <v>2.9849169488266383</v>
      </c>
      <c r="AZ256">
        <f t="shared" si="212"/>
        <v>0.44596705141749426</v>
      </c>
      <c r="BA256">
        <f t="shared" si="213"/>
        <v>0.45412995028042802</v>
      </c>
      <c r="BB256">
        <f t="shared" si="214"/>
        <v>-1.2337005501361696E-20</v>
      </c>
      <c r="BD256" s="15">
        <f t="shared" si="229"/>
        <v>11.738995584499044</v>
      </c>
      <c r="BE256" s="10">
        <f t="shared" si="230"/>
        <v>0</v>
      </c>
      <c r="BF256">
        <f t="shared" si="231"/>
        <v>0</v>
      </c>
      <c r="BG256">
        <f t="shared" si="232"/>
        <v>0</v>
      </c>
      <c r="BH256">
        <f t="shared" si="233"/>
        <v>0</v>
      </c>
      <c r="BI256">
        <f t="shared" si="234"/>
        <v>0</v>
      </c>
    </row>
    <row r="257" spans="1:61" x14ac:dyDescent="0.3">
      <c r="A257">
        <f t="shared" si="239"/>
        <v>0.22</v>
      </c>
      <c r="B257">
        <f t="shared" si="182"/>
        <v>0.69115038378975446</v>
      </c>
      <c r="C257">
        <f t="shared" si="183"/>
        <v>2.4504422698000385</v>
      </c>
      <c r="D257">
        <f t="shared" si="184"/>
        <v>2.4504422698000385</v>
      </c>
      <c r="E257">
        <f t="shared" si="189"/>
        <v>0.63742398974868963</v>
      </c>
      <c r="F257">
        <f t="shared" si="190"/>
        <v>0.63742398974868986</v>
      </c>
      <c r="G257">
        <f t="shared" si="185"/>
        <v>0.69115038378975446</v>
      </c>
      <c r="H257">
        <f t="shared" si="186"/>
        <v>0.63742398974868963</v>
      </c>
      <c r="I257">
        <f t="shared" si="187"/>
        <v>0.63742398974868986</v>
      </c>
      <c r="J257">
        <f t="shared" si="235"/>
        <v>9.9873833210854638E+19</v>
      </c>
      <c r="K257">
        <f t="shared" si="236"/>
        <v>9.9873833210854638E+19</v>
      </c>
      <c r="L257" t="e">
        <f t="shared" si="191"/>
        <v>#NUM!</v>
      </c>
      <c r="M257">
        <f t="shared" si="188"/>
        <v>2.4504422698000388E-20</v>
      </c>
      <c r="N257" s="9" t="e">
        <f t="shared" si="237"/>
        <v>#NUM!</v>
      </c>
      <c r="O257" t="e">
        <f t="shared" si="238"/>
        <v>#NUM!</v>
      </c>
      <c r="Q257">
        <f t="shared" si="192"/>
        <v>46.050439395416447</v>
      </c>
      <c r="R257">
        <f t="shared" si="193"/>
        <v>0</v>
      </c>
      <c r="S257">
        <f t="shared" si="215"/>
        <v>-45.155433333330016</v>
      </c>
      <c r="T257" s="9" t="e">
        <f t="shared" si="194"/>
        <v>#N/A</v>
      </c>
      <c r="U257">
        <f t="shared" si="216"/>
        <v>-1.0000000000000001E+300</v>
      </c>
      <c r="V257">
        <f t="shared" si="217"/>
        <v>0</v>
      </c>
      <c r="W257">
        <f t="shared" si="218"/>
        <v>0</v>
      </c>
      <c r="X257">
        <f t="shared" si="195"/>
        <v>2.4504422698000385</v>
      </c>
      <c r="Y257">
        <f t="shared" si="196"/>
        <v>7.8539816339744828</v>
      </c>
      <c r="Z257">
        <f t="shared" si="197"/>
        <v>-2.4504422698000385</v>
      </c>
      <c r="AA257">
        <f t="shared" si="219"/>
        <v>2.9620758708546453</v>
      </c>
      <c r="AB257">
        <f t="shared" si="198"/>
        <v>10.816057504829129</v>
      </c>
      <c r="AC257">
        <f t="shared" si="220"/>
        <v>0.44468582126144574</v>
      </c>
      <c r="AD257">
        <f t="shared" si="199"/>
        <v>0.45032024082498934</v>
      </c>
      <c r="AE257" s="9">
        <f t="shared" si="221"/>
        <v>11.711063566915564</v>
      </c>
      <c r="AF257">
        <f t="shared" si="222"/>
        <v>0</v>
      </c>
      <c r="AH257">
        <f t="shared" si="200"/>
        <v>7.8539816339744828</v>
      </c>
      <c r="AI257">
        <f t="shared" si="201"/>
        <v>2.9620758708546462</v>
      </c>
      <c r="AJ257">
        <f t="shared" si="202"/>
        <v>0.4446858212614444</v>
      </c>
      <c r="AK257">
        <f t="shared" si="203"/>
        <v>0.45032024082498934</v>
      </c>
      <c r="AL257" s="9">
        <f t="shared" si="223"/>
        <v>11.711063566915563</v>
      </c>
      <c r="AM257" t="e">
        <f t="shared" si="204"/>
        <v>#N/A</v>
      </c>
      <c r="AN257" t="e">
        <f t="shared" si="224"/>
        <v>#N/A</v>
      </c>
      <c r="AO257">
        <f t="shared" si="205"/>
        <v>0</v>
      </c>
      <c r="AP257">
        <f t="shared" si="206"/>
        <v>0</v>
      </c>
      <c r="AQ257">
        <f t="shared" si="207"/>
        <v>-1.3322676295501878E-15</v>
      </c>
      <c r="AR257">
        <f t="shared" si="225"/>
        <v>0</v>
      </c>
      <c r="AS257">
        <f t="shared" si="208"/>
        <v>0</v>
      </c>
      <c r="AT257">
        <f t="shared" si="226"/>
        <v>0</v>
      </c>
      <c r="AU257">
        <f t="shared" si="227"/>
        <v>0</v>
      </c>
      <c r="AV257">
        <f t="shared" si="209"/>
        <v>2.4504422698000385E-20</v>
      </c>
      <c r="AW257" t="b">
        <f t="shared" si="228"/>
        <v>1</v>
      </c>
      <c r="AX257">
        <f t="shared" si="210"/>
        <v>7.8539816339744828</v>
      </c>
      <c r="AY257">
        <f t="shared" si="211"/>
        <v>2.9620758708546444</v>
      </c>
      <c r="AZ257">
        <f t="shared" si="212"/>
        <v>0.44468582126144574</v>
      </c>
      <c r="BA257">
        <f t="shared" si="213"/>
        <v>0.450320240824989</v>
      </c>
      <c r="BB257">
        <f t="shared" si="214"/>
        <v>-1.2337005501361696E-20</v>
      </c>
      <c r="BD257" s="15">
        <f t="shared" si="229"/>
        <v>11.711063566915563</v>
      </c>
      <c r="BE257" s="10">
        <f t="shared" si="230"/>
        <v>0</v>
      </c>
      <c r="BF257">
        <f t="shared" si="231"/>
        <v>0</v>
      </c>
      <c r="BG257">
        <f t="shared" si="232"/>
        <v>0</v>
      </c>
      <c r="BH257">
        <f t="shared" si="233"/>
        <v>0</v>
      </c>
      <c r="BI257">
        <f t="shared" si="234"/>
        <v>0</v>
      </c>
    </row>
    <row r="258" spans="1:61" x14ac:dyDescent="0.3">
      <c r="A258">
        <f t="shared" si="239"/>
        <v>0.221</v>
      </c>
      <c r="B258">
        <f t="shared" si="182"/>
        <v>0.69429197644334428</v>
      </c>
      <c r="C258">
        <f t="shared" si="183"/>
        <v>2.4473006771464489</v>
      </c>
      <c r="D258">
        <f t="shared" si="184"/>
        <v>2.4473006771464489</v>
      </c>
      <c r="E258">
        <f t="shared" si="189"/>
        <v>0.63984147895117838</v>
      </c>
      <c r="F258">
        <f t="shared" si="190"/>
        <v>0.63984147895117838</v>
      </c>
      <c r="G258">
        <f t="shared" si="185"/>
        <v>0.69429197644334428</v>
      </c>
      <c r="H258">
        <f t="shared" si="186"/>
        <v>0.63984147895117838</v>
      </c>
      <c r="I258">
        <f t="shared" si="187"/>
        <v>0.63984147895117838</v>
      </c>
      <c r="J258">
        <f t="shared" si="235"/>
        <v>9.9496483630777123E+19</v>
      </c>
      <c r="K258">
        <f t="shared" si="236"/>
        <v>9.9496483630777123E+19</v>
      </c>
      <c r="L258">
        <f t="shared" si="191"/>
        <v>1</v>
      </c>
      <c r="M258">
        <f t="shared" si="188"/>
        <v>2.4473006771464488E-20</v>
      </c>
      <c r="N258" s="9">
        <f t="shared" si="237"/>
        <v>2.4473006771464488E-20</v>
      </c>
      <c r="O258">
        <f t="shared" si="238"/>
        <v>2.4473006771464488E-20</v>
      </c>
      <c r="Q258">
        <f t="shared" si="192"/>
        <v>46.04665397703868</v>
      </c>
      <c r="R258">
        <f t="shared" si="193"/>
        <v>-710542.73576010019</v>
      </c>
      <c r="S258">
        <f t="shared" si="215"/>
        <v>-45.1567162071429</v>
      </c>
      <c r="T258" s="9" t="e">
        <f t="shared" si="194"/>
        <v>#N/A</v>
      </c>
      <c r="U258">
        <f t="shared" si="216"/>
        <v>-1.0000000000000001E+300</v>
      </c>
      <c r="V258">
        <f t="shared" si="217"/>
        <v>0</v>
      </c>
      <c r="W258">
        <f t="shared" si="218"/>
        <v>0</v>
      </c>
      <c r="X258">
        <f t="shared" si="195"/>
        <v>2.4473006771464489</v>
      </c>
      <c r="Y258">
        <f t="shared" si="196"/>
        <v>7.8539816339744828</v>
      </c>
      <c r="Z258">
        <f t="shared" si="197"/>
        <v>-2.4473006771464489</v>
      </c>
      <c r="AA258">
        <f t="shared" si="219"/>
        <v>2.9394272812461475</v>
      </c>
      <c r="AB258">
        <f t="shared" si="198"/>
        <v>10.793408915220631</v>
      </c>
      <c r="AC258">
        <f t="shared" si="220"/>
        <v>0.44340294744855657</v>
      </c>
      <c r="AD258">
        <f t="shared" si="199"/>
        <v>0.4465348224472242</v>
      </c>
      <c r="AE258" s="9">
        <f t="shared" si="221"/>
        <v>11.683346685116412</v>
      </c>
      <c r="AF258">
        <f t="shared" si="222"/>
        <v>0</v>
      </c>
      <c r="AH258">
        <f t="shared" si="200"/>
        <v>7.8539816339744828</v>
      </c>
      <c r="AI258">
        <f t="shared" si="201"/>
        <v>2.9394272812461471</v>
      </c>
      <c r="AJ258">
        <f t="shared" si="202"/>
        <v>0.44340294744856124</v>
      </c>
      <c r="AK258">
        <f t="shared" si="203"/>
        <v>0.4465348224472242</v>
      </c>
      <c r="AL258" s="9">
        <f t="shared" si="223"/>
        <v>11.683346685116415</v>
      </c>
      <c r="AM258" t="e">
        <f t="shared" si="204"/>
        <v>#N/A</v>
      </c>
      <c r="AN258" t="e">
        <f t="shared" si="224"/>
        <v>#N/A</v>
      </c>
      <c r="AO258">
        <f t="shared" si="205"/>
        <v>0</v>
      </c>
      <c r="AP258">
        <f t="shared" si="206"/>
        <v>0</v>
      </c>
      <c r="AQ258">
        <f t="shared" si="207"/>
        <v>4.6629367034256575E-15</v>
      </c>
      <c r="AR258">
        <f t="shared" si="225"/>
        <v>0</v>
      </c>
      <c r="AS258">
        <f t="shared" si="208"/>
        <v>0</v>
      </c>
      <c r="AT258">
        <f t="shared" si="226"/>
        <v>0</v>
      </c>
      <c r="AU258">
        <f t="shared" si="227"/>
        <v>0</v>
      </c>
      <c r="AV258">
        <f t="shared" si="209"/>
        <v>2.4473006771464488E-20</v>
      </c>
      <c r="AW258" t="b">
        <f t="shared" si="228"/>
        <v>1</v>
      </c>
      <c r="AX258">
        <f t="shared" si="210"/>
        <v>7.8539816339744828</v>
      </c>
      <c r="AY258">
        <f t="shared" si="211"/>
        <v>2.9394272812461471</v>
      </c>
      <c r="AZ258">
        <f t="shared" si="212"/>
        <v>0.44340294744855657</v>
      </c>
      <c r="BA258">
        <f t="shared" si="213"/>
        <v>0.4465348224472242</v>
      </c>
      <c r="BB258">
        <f t="shared" si="214"/>
        <v>-1.2337005501361696E-20</v>
      </c>
      <c r="BD258" s="15">
        <f t="shared" si="229"/>
        <v>11.68334668511641</v>
      </c>
      <c r="BE258" s="10">
        <f t="shared" si="230"/>
        <v>0</v>
      </c>
      <c r="BF258">
        <f t="shared" si="231"/>
        <v>0</v>
      </c>
      <c r="BG258">
        <f t="shared" si="232"/>
        <v>0</v>
      </c>
      <c r="BH258">
        <f t="shared" si="233"/>
        <v>0</v>
      </c>
      <c r="BI258">
        <f t="shared" si="234"/>
        <v>0</v>
      </c>
    </row>
    <row r="259" spans="1:61" x14ac:dyDescent="0.3">
      <c r="A259">
        <f t="shared" si="239"/>
        <v>0.222</v>
      </c>
      <c r="B259">
        <f t="shared" si="182"/>
        <v>0.6974335690969341</v>
      </c>
      <c r="C259">
        <f t="shared" si="183"/>
        <v>2.4441590844928589</v>
      </c>
      <c r="D259">
        <f t="shared" si="184"/>
        <v>2.4441590844928589</v>
      </c>
      <c r="E259">
        <f t="shared" si="189"/>
        <v>0.64225265317658442</v>
      </c>
      <c r="F259">
        <f t="shared" si="190"/>
        <v>0.64225265317658453</v>
      </c>
      <c r="G259">
        <f t="shared" si="185"/>
        <v>0.6974335690969341</v>
      </c>
      <c r="H259">
        <f t="shared" si="186"/>
        <v>0.64225265317658442</v>
      </c>
      <c r="I259">
        <f t="shared" si="187"/>
        <v>0.64225265317658453</v>
      </c>
      <c r="J259">
        <f t="shared" si="235"/>
        <v>9.9122949390533034E+19</v>
      </c>
      <c r="K259">
        <f t="shared" si="236"/>
        <v>9.9122949390533034E+19</v>
      </c>
      <c r="L259">
        <f t="shared" si="191"/>
        <v>1</v>
      </c>
      <c r="M259">
        <f t="shared" si="188"/>
        <v>2.4441590844928588E-20</v>
      </c>
      <c r="N259" s="9">
        <f t="shared" si="237"/>
        <v>2.4441590844928588E-20</v>
      </c>
      <c r="O259">
        <f t="shared" si="238"/>
        <v>2.4441590844928588E-20</v>
      </c>
      <c r="Q259">
        <f t="shared" si="192"/>
        <v>46.042892666526996</v>
      </c>
      <c r="R259">
        <f t="shared" si="193"/>
        <v>-710542.73576010019</v>
      </c>
      <c r="S259">
        <f t="shared" si="215"/>
        <v>-45.158000728835262</v>
      </c>
      <c r="T259" s="9" t="e">
        <f t="shared" si="194"/>
        <v>#N/A</v>
      </c>
      <c r="U259">
        <f t="shared" si="216"/>
        <v>-1.0000000000000001E+300</v>
      </c>
      <c r="V259">
        <f t="shared" si="217"/>
        <v>0</v>
      </c>
      <c r="W259">
        <f t="shared" si="218"/>
        <v>0</v>
      </c>
      <c r="X259">
        <f t="shared" si="195"/>
        <v>2.4441590844928589</v>
      </c>
      <c r="Y259">
        <f t="shared" si="196"/>
        <v>7.8539816339744828</v>
      </c>
      <c r="Z259">
        <f t="shared" si="197"/>
        <v>-2.4441590844928589</v>
      </c>
      <c r="AA259">
        <f t="shared" si="219"/>
        <v>2.9169686361392539</v>
      </c>
      <c r="AB259">
        <f t="shared" si="198"/>
        <v>10.770950270113737</v>
      </c>
      <c r="AC259">
        <f t="shared" si="220"/>
        <v>0.44211842575619975</v>
      </c>
      <c r="AD259">
        <f t="shared" si="199"/>
        <v>0.44277351193553965</v>
      </c>
      <c r="AE259" s="9">
        <f t="shared" si="221"/>
        <v>11.655842207805476</v>
      </c>
      <c r="AF259">
        <f t="shared" si="222"/>
        <v>0</v>
      </c>
      <c r="AH259">
        <f t="shared" si="200"/>
        <v>7.8539816339744828</v>
      </c>
      <c r="AI259">
        <f t="shared" si="201"/>
        <v>2.9169686361392544</v>
      </c>
      <c r="AJ259">
        <f t="shared" si="202"/>
        <v>0.44211842575619897</v>
      </c>
      <c r="AK259">
        <f t="shared" si="203"/>
        <v>0.44277351193553965</v>
      </c>
      <c r="AL259" s="9">
        <f t="shared" si="223"/>
        <v>11.655842207805476</v>
      </c>
      <c r="AM259" t="e">
        <f t="shared" si="204"/>
        <v>#N/A</v>
      </c>
      <c r="AN259" t="e">
        <f t="shared" si="224"/>
        <v>#N/A</v>
      </c>
      <c r="AO259">
        <f t="shared" si="205"/>
        <v>0</v>
      </c>
      <c r="AP259">
        <f t="shared" si="206"/>
        <v>0</v>
      </c>
      <c r="AQ259">
        <f t="shared" si="207"/>
        <v>-7.7715611723760958E-16</v>
      </c>
      <c r="AR259">
        <f t="shared" si="225"/>
        <v>0</v>
      </c>
      <c r="AS259">
        <f t="shared" si="208"/>
        <v>0</v>
      </c>
      <c r="AT259">
        <f t="shared" si="226"/>
        <v>0</v>
      </c>
      <c r="AU259">
        <f t="shared" si="227"/>
        <v>0</v>
      </c>
      <c r="AV259">
        <f t="shared" si="209"/>
        <v>2.4441590844928588E-20</v>
      </c>
      <c r="AW259" t="b">
        <f t="shared" si="228"/>
        <v>1</v>
      </c>
      <c r="AX259">
        <f t="shared" si="210"/>
        <v>7.8539816339744828</v>
      </c>
      <c r="AY259">
        <f t="shared" si="211"/>
        <v>2.9169686361392535</v>
      </c>
      <c r="AZ259">
        <f t="shared" si="212"/>
        <v>0.44211842575619992</v>
      </c>
      <c r="BA259">
        <f t="shared" si="213"/>
        <v>0.44277351193553949</v>
      </c>
      <c r="BB259">
        <f t="shared" si="214"/>
        <v>-1.2337005501361696E-20</v>
      </c>
      <c r="BD259" s="15">
        <f t="shared" si="229"/>
        <v>11.655842207805478</v>
      </c>
      <c r="BE259" s="10">
        <f t="shared" si="230"/>
        <v>0</v>
      </c>
      <c r="BF259">
        <f t="shared" si="231"/>
        <v>0</v>
      </c>
      <c r="BG259">
        <f t="shared" si="232"/>
        <v>0</v>
      </c>
      <c r="BH259">
        <f t="shared" si="233"/>
        <v>0</v>
      </c>
      <c r="BI259">
        <f t="shared" si="234"/>
        <v>0</v>
      </c>
    </row>
    <row r="260" spans="1:61" x14ac:dyDescent="0.3">
      <c r="A260">
        <f t="shared" si="239"/>
        <v>0.223</v>
      </c>
      <c r="B260">
        <f t="shared" si="182"/>
        <v>0.70057516175052392</v>
      </c>
      <c r="C260">
        <f t="shared" si="183"/>
        <v>2.4410174918392693</v>
      </c>
      <c r="D260">
        <f t="shared" si="184"/>
        <v>2.4410174918392693</v>
      </c>
      <c r="E260">
        <f t="shared" si="189"/>
        <v>0.64465748862759131</v>
      </c>
      <c r="F260">
        <f t="shared" si="190"/>
        <v>0.64465748862759142</v>
      </c>
      <c r="G260">
        <f t="shared" si="185"/>
        <v>0.70057516175052392</v>
      </c>
      <c r="H260">
        <f t="shared" si="186"/>
        <v>0.64465748862759131</v>
      </c>
      <c r="I260">
        <f t="shared" si="187"/>
        <v>0.64465748862759142</v>
      </c>
      <c r="J260">
        <f t="shared" si="235"/>
        <v>9.8753180347424276E+19</v>
      </c>
      <c r="K260">
        <f t="shared" si="236"/>
        <v>9.8753180347424276E+19</v>
      </c>
      <c r="L260">
        <f t="shared" si="191"/>
        <v>1</v>
      </c>
      <c r="M260">
        <f t="shared" si="188"/>
        <v>2.4410174918392689E-20</v>
      </c>
      <c r="N260" s="9">
        <f t="shared" si="237"/>
        <v>2.4410174918392689E-20</v>
      </c>
      <c r="O260">
        <f t="shared" si="238"/>
        <v>2.4410174918392689E-20</v>
      </c>
      <c r="Q260">
        <f t="shared" si="192"/>
        <v>46.039155283205318</v>
      </c>
      <c r="R260">
        <f t="shared" si="193"/>
        <v>0</v>
      </c>
      <c r="S260">
        <f t="shared" si="215"/>
        <v>-45.159286902646002</v>
      </c>
      <c r="T260" s="9" t="e">
        <f t="shared" si="194"/>
        <v>#N/A</v>
      </c>
      <c r="U260">
        <f t="shared" si="216"/>
        <v>-1.0000000000000001E+300</v>
      </c>
      <c r="V260">
        <f t="shared" si="217"/>
        <v>0</v>
      </c>
      <c r="W260">
        <f t="shared" si="218"/>
        <v>0</v>
      </c>
      <c r="X260">
        <f t="shared" si="195"/>
        <v>2.4410174918392693</v>
      </c>
      <c r="Y260">
        <f t="shared" si="196"/>
        <v>7.8539816339744828</v>
      </c>
      <c r="Z260">
        <f t="shared" si="197"/>
        <v>-2.4410174918392693</v>
      </c>
      <c r="AA260">
        <f t="shared" si="219"/>
        <v>2.8946974372230252</v>
      </c>
      <c r="AB260">
        <f t="shared" si="198"/>
        <v>10.748679071197508</v>
      </c>
      <c r="AC260">
        <f t="shared" si="220"/>
        <v>0.44083225194545572</v>
      </c>
      <c r="AD260">
        <f t="shared" si="199"/>
        <v>0.43903612861385705</v>
      </c>
      <c r="AE260" s="9">
        <f t="shared" si="221"/>
        <v>11.62854745175682</v>
      </c>
      <c r="AF260">
        <f t="shared" si="222"/>
        <v>0</v>
      </c>
      <c r="AH260">
        <f t="shared" si="200"/>
        <v>7.8539816339744828</v>
      </c>
      <c r="AI260">
        <f t="shared" si="201"/>
        <v>2.8946974372230247</v>
      </c>
      <c r="AJ260">
        <f t="shared" si="202"/>
        <v>0.44083225194545861</v>
      </c>
      <c r="AK260">
        <f t="shared" si="203"/>
        <v>0.43903612861385705</v>
      </c>
      <c r="AL260" s="9">
        <f t="shared" si="223"/>
        <v>11.628547451756823</v>
      </c>
      <c r="AM260" t="e">
        <f t="shared" si="204"/>
        <v>#N/A</v>
      </c>
      <c r="AN260" t="e">
        <f t="shared" si="224"/>
        <v>#N/A</v>
      </c>
      <c r="AO260">
        <f t="shared" si="205"/>
        <v>0</v>
      </c>
      <c r="AP260">
        <f t="shared" si="206"/>
        <v>0</v>
      </c>
      <c r="AQ260">
        <f t="shared" si="207"/>
        <v>2.886579864025407E-15</v>
      </c>
      <c r="AR260">
        <f t="shared" si="225"/>
        <v>0</v>
      </c>
      <c r="AS260">
        <f t="shared" si="208"/>
        <v>0</v>
      </c>
      <c r="AT260">
        <f t="shared" si="226"/>
        <v>0</v>
      </c>
      <c r="AU260">
        <f t="shared" si="227"/>
        <v>0</v>
      </c>
      <c r="AV260">
        <f t="shared" si="209"/>
        <v>2.4410174918392692E-20</v>
      </c>
      <c r="AW260" t="b">
        <f t="shared" si="228"/>
        <v>1</v>
      </c>
      <c r="AX260">
        <f t="shared" si="210"/>
        <v>7.8539816339744828</v>
      </c>
      <c r="AY260">
        <f t="shared" si="211"/>
        <v>2.8946974372230247</v>
      </c>
      <c r="AZ260">
        <f t="shared" si="212"/>
        <v>0.44083225194545572</v>
      </c>
      <c r="BA260">
        <f t="shared" si="213"/>
        <v>0.43903612861385688</v>
      </c>
      <c r="BB260">
        <f t="shared" si="214"/>
        <v>-1.2337005501361696E-20</v>
      </c>
      <c r="BD260" s="15">
        <f t="shared" si="229"/>
        <v>11.62854745175682</v>
      </c>
      <c r="BE260" s="10">
        <f t="shared" si="230"/>
        <v>0</v>
      </c>
      <c r="BF260">
        <f t="shared" si="231"/>
        <v>0</v>
      </c>
      <c r="BG260">
        <f t="shared" si="232"/>
        <v>0</v>
      </c>
      <c r="BH260">
        <f t="shared" si="233"/>
        <v>0</v>
      </c>
      <c r="BI260">
        <f t="shared" si="234"/>
        <v>0</v>
      </c>
    </row>
    <row r="261" spans="1:61" x14ac:dyDescent="0.3">
      <c r="A261">
        <f t="shared" si="239"/>
        <v>0.224</v>
      </c>
      <c r="B261">
        <f t="shared" si="182"/>
        <v>0.70371675440411363</v>
      </c>
      <c r="C261">
        <f t="shared" si="183"/>
        <v>2.4378758991856797</v>
      </c>
      <c r="D261">
        <f t="shared" si="184"/>
        <v>2.4378758991856797</v>
      </c>
      <c r="E261">
        <f t="shared" si="189"/>
        <v>0.64705596156944423</v>
      </c>
      <c r="F261">
        <f t="shared" si="190"/>
        <v>0.64705596156944423</v>
      </c>
      <c r="G261">
        <f t="shared" si="185"/>
        <v>0.70371675440411363</v>
      </c>
      <c r="H261">
        <f t="shared" si="186"/>
        <v>0.64705596156944423</v>
      </c>
      <c r="I261">
        <f t="shared" si="187"/>
        <v>0.64705596156944423</v>
      </c>
      <c r="J261">
        <f t="shared" si="235"/>
        <v>9.8387127262292787E+19</v>
      </c>
      <c r="K261">
        <f t="shared" si="236"/>
        <v>9.8387127262292787E+19</v>
      </c>
      <c r="L261">
        <f t="shared" si="191"/>
        <v>1</v>
      </c>
      <c r="M261">
        <f t="shared" si="188"/>
        <v>2.4378758991856795E-20</v>
      </c>
      <c r="N261" s="9">
        <f t="shared" si="237"/>
        <v>2.4378758991856795E-20</v>
      </c>
      <c r="O261">
        <f t="shared" si="238"/>
        <v>2.4378758991856795E-20</v>
      </c>
      <c r="Q261">
        <f t="shared" si="192"/>
        <v>46.035441648888124</v>
      </c>
      <c r="R261">
        <f t="shared" si="193"/>
        <v>-710542.73576010019</v>
      </c>
      <c r="S261">
        <f t="shared" si="215"/>
        <v>-45.160574732830433</v>
      </c>
      <c r="T261" s="9" t="e">
        <f t="shared" si="194"/>
        <v>#N/A</v>
      </c>
      <c r="U261">
        <f t="shared" si="216"/>
        <v>-1.0000000000000001E+300</v>
      </c>
      <c r="V261">
        <f t="shared" si="217"/>
        <v>0</v>
      </c>
      <c r="W261">
        <f t="shared" si="218"/>
        <v>0</v>
      </c>
      <c r="X261">
        <f t="shared" si="195"/>
        <v>2.4378758991856797</v>
      </c>
      <c r="Y261">
        <f t="shared" si="196"/>
        <v>7.8539816339744828</v>
      </c>
      <c r="Z261">
        <f t="shared" si="197"/>
        <v>-2.4378758991856797</v>
      </c>
      <c r="AA261">
        <f t="shared" si="219"/>
        <v>2.8726112307210929</v>
      </c>
      <c r="AB261">
        <f t="shared" si="198"/>
        <v>10.726592864695576</v>
      </c>
      <c r="AC261">
        <f t="shared" si="220"/>
        <v>0.4395444217610272</v>
      </c>
      <c r="AD261">
        <f t="shared" si="199"/>
        <v>0.43532249429666792</v>
      </c>
      <c r="AE261" s="9">
        <f t="shared" si="221"/>
        <v>11.601459780753272</v>
      </c>
      <c r="AF261">
        <f t="shared" si="222"/>
        <v>0</v>
      </c>
      <c r="AH261">
        <f t="shared" si="200"/>
        <v>7.8539816339744828</v>
      </c>
      <c r="AI261">
        <f t="shared" si="201"/>
        <v>2.8726112307210911</v>
      </c>
      <c r="AJ261">
        <f t="shared" si="202"/>
        <v>0.43954442176102759</v>
      </c>
      <c r="AK261">
        <f t="shared" si="203"/>
        <v>0.43532249429666792</v>
      </c>
      <c r="AL261" s="9">
        <f t="shared" si="223"/>
        <v>11.60145978075327</v>
      </c>
      <c r="AM261" t="e">
        <f t="shared" si="204"/>
        <v>#N/A</v>
      </c>
      <c r="AN261" t="e">
        <f t="shared" si="224"/>
        <v>#N/A</v>
      </c>
      <c r="AO261">
        <f t="shared" si="205"/>
        <v>0</v>
      </c>
      <c r="AP261">
        <f t="shared" si="206"/>
        <v>0</v>
      </c>
      <c r="AQ261">
        <f t="shared" si="207"/>
        <v>0</v>
      </c>
      <c r="AR261">
        <f t="shared" si="225"/>
        <v>0</v>
      </c>
      <c r="AS261">
        <f t="shared" si="208"/>
        <v>0</v>
      </c>
      <c r="AT261">
        <f t="shared" si="226"/>
        <v>0</v>
      </c>
      <c r="AU261">
        <f t="shared" si="227"/>
        <v>0</v>
      </c>
      <c r="AV261">
        <f t="shared" si="209"/>
        <v>2.4378758991856795E-20</v>
      </c>
      <c r="AW261" t="b">
        <f t="shared" si="228"/>
        <v>1</v>
      </c>
      <c r="AX261">
        <f t="shared" si="210"/>
        <v>7.8539816339744828</v>
      </c>
      <c r="AY261">
        <f t="shared" si="211"/>
        <v>2.8726112307210925</v>
      </c>
      <c r="AZ261">
        <f t="shared" si="212"/>
        <v>0.4395444217610272</v>
      </c>
      <c r="BA261">
        <f t="shared" si="213"/>
        <v>0.43532249429666792</v>
      </c>
      <c r="BB261">
        <f t="shared" si="214"/>
        <v>-1.2337005501361696E-20</v>
      </c>
      <c r="BD261" s="15">
        <f t="shared" si="229"/>
        <v>11.601459780753272</v>
      </c>
      <c r="BE261" s="10">
        <f t="shared" si="230"/>
        <v>0</v>
      </c>
      <c r="BF261">
        <f t="shared" si="231"/>
        <v>0</v>
      </c>
      <c r="BG261">
        <f t="shared" si="232"/>
        <v>0</v>
      </c>
      <c r="BH261">
        <f t="shared" si="233"/>
        <v>0</v>
      </c>
      <c r="BI261">
        <f t="shared" si="234"/>
        <v>0</v>
      </c>
    </row>
    <row r="262" spans="1:61" x14ac:dyDescent="0.3">
      <c r="A262">
        <f t="shared" si="239"/>
        <v>0.22500000000000001</v>
      </c>
      <c r="B262">
        <f t="shared" si="182"/>
        <v>0.70685834705770345</v>
      </c>
      <c r="C262">
        <f t="shared" si="183"/>
        <v>2.4347343065320897</v>
      </c>
      <c r="D262">
        <f t="shared" si="184"/>
        <v>2.4347343065320897</v>
      </c>
      <c r="E262">
        <f t="shared" si="189"/>
        <v>0.64944804833018366</v>
      </c>
      <c r="F262">
        <f t="shared" si="190"/>
        <v>0.64944804833018377</v>
      </c>
      <c r="G262">
        <f t="shared" si="185"/>
        <v>0.70685834705770345</v>
      </c>
      <c r="H262">
        <f t="shared" si="186"/>
        <v>0.64944804833018366</v>
      </c>
      <c r="I262">
        <f t="shared" si="187"/>
        <v>0.64944804833018377</v>
      </c>
      <c r="J262">
        <f t="shared" si="235"/>
        <v>9.8024741779487146E+19</v>
      </c>
      <c r="K262">
        <f t="shared" si="236"/>
        <v>9.8024741779487146E+19</v>
      </c>
      <c r="L262">
        <f t="shared" si="191"/>
        <v>1</v>
      </c>
      <c r="M262">
        <f t="shared" si="188"/>
        <v>2.4347343065320896E-20</v>
      </c>
      <c r="N262" s="9">
        <f t="shared" si="237"/>
        <v>2.4347343065320896E-20</v>
      </c>
      <c r="O262">
        <f t="shared" si="238"/>
        <v>2.4347343065320896E-20</v>
      </c>
      <c r="Q262">
        <f t="shared" si="192"/>
        <v>46.031751587836553</v>
      </c>
      <c r="R262">
        <f t="shared" si="193"/>
        <v>0</v>
      </c>
      <c r="S262">
        <f t="shared" si="215"/>
        <v>-45.161864223660302</v>
      </c>
      <c r="T262" s="9" t="e">
        <f t="shared" si="194"/>
        <v>#N/A</v>
      </c>
      <c r="U262">
        <f t="shared" si="216"/>
        <v>-1.0000000000000001E+300</v>
      </c>
      <c r="V262">
        <f t="shared" si="217"/>
        <v>0</v>
      </c>
      <c r="W262">
        <f t="shared" si="218"/>
        <v>0</v>
      </c>
      <c r="X262">
        <f t="shared" si="195"/>
        <v>2.4347343065320897</v>
      </c>
      <c r="Y262">
        <f t="shared" si="196"/>
        <v>7.8539816339744828</v>
      </c>
      <c r="Z262">
        <f t="shared" si="197"/>
        <v>-2.4347343065320897</v>
      </c>
      <c r="AA262">
        <f t="shared" si="219"/>
        <v>2.8507076064024108</v>
      </c>
      <c r="AB262">
        <f t="shared" si="198"/>
        <v>10.704689240376894</v>
      </c>
      <c r="AC262">
        <f t="shared" si="220"/>
        <v>0.43825493093115531</v>
      </c>
      <c r="AD262">
        <f t="shared" si="199"/>
        <v>0.43163243324509448</v>
      </c>
      <c r="AE262" s="9">
        <f t="shared" si="221"/>
        <v>11.574576604553144</v>
      </c>
      <c r="AF262">
        <f t="shared" si="222"/>
        <v>0</v>
      </c>
      <c r="AH262">
        <f t="shared" si="200"/>
        <v>7.8539816339744828</v>
      </c>
      <c r="AI262">
        <f t="shared" si="201"/>
        <v>2.8507076064024113</v>
      </c>
      <c r="AJ262">
        <f t="shared" si="202"/>
        <v>0.43825493093115853</v>
      </c>
      <c r="AK262">
        <f t="shared" si="203"/>
        <v>0.43163243324509448</v>
      </c>
      <c r="AL262" s="9">
        <f t="shared" si="223"/>
        <v>11.574576604553148</v>
      </c>
      <c r="AM262" t="e">
        <f t="shared" si="204"/>
        <v>#N/A</v>
      </c>
      <c r="AN262" t="e">
        <f t="shared" si="224"/>
        <v>#N/A</v>
      </c>
      <c r="AO262">
        <f t="shared" si="205"/>
        <v>0</v>
      </c>
      <c r="AP262">
        <f t="shared" si="206"/>
        <v>0</v>
      </c>
      <c r="AQ262">
        <f t="shared" si="207"/>
        <v>3.219646771412954E-15</v>
      </c>
      <c r="AR262">
        <f t="shared" si="225"/>
        <v>0</v>
      </c>
      <c r="AS262">
        <f t="shared" si="208"/>
        <v>0</v>
      </c>
      <c r="AT262">
        <f t="shared" si="226"/>
        <v>0</v>
      </c>
      <c r="AU262">
        <f t="shared" si="227"/>
        <v>0</v>
      </c>
      <c r="AV262">
        <f t="shared" si="209"/>
        <v>2.4347343065320896E-20</v>
      </c>
      <c r="AW262" t="b">
        <f t="shared" si="228"/>
        <v>1</v>
      </c>
      <c r="AX262">
        <f t="shared" si="210"/>
        <v>7.8539816339744828</v>
      </c>
      <c r="AY262">
        <f t="shared" si="211"/>
        <v>2.8507076064024099</v>
      </c>
      <c r="AZ262">
        <f t="shared" si="212"/>
        <v>0.43825493093115531</v>
      </c>
      <c r="BA262">
        <f t="shared" si="213"/>
        <v>0.43163243324509432</v>
      </c>
      <c r="BB262">
        <f t="shared" si="214"/>
        <v>-1.2337005501361696E-20</v>
      </c>
      <c r="BD262" s="15">
        <f t="shared" si="229"/>
        <v>11.574576604553142</v>
      </c>
      <c r="BE262" s="10">
        <f t="shared" si="230"/>
        <v>0</v>
      </c>
      <c r="BF262">
        <f t="shared" si="231"/>
        <v>0</v>
      </c>
      <c r="BG262">
        <f t="shared" si="232"/>
        <v>0</v>
      </c>
      <c r="BH262">
        <f t="shared" si="233"/>
        <v>0</v>
      </c>
      <c r="BI262">
        <f t="shared" si="234"/>
        <v>0</v>
      </c>
    </row>
    <row r="263" spans="1:61" x14ac:dyDescent="0.3">
      <c r="A263">
        <f t="shared" si="239"/>
        <v>0.22600000000000001</v>
      </c>
      <c r="B263">
        <f t="shared" si="182"/>
        <v>0.70999993971129327</v>
      </c>
      <c r="C263">
        <f t="shared" si="183"/>
        <v>2.4315927138784996</v>
      </c>
      <c r="D263">
        <f t="shared" si="184"/>
        <v>2.4315927138784996</v>
      </c>
      <c r="E263">
        <f t="shared" si="189"/>
        <v>0.6518337253008788</v>
      </c>
      <c r="F263">
        <f t="shared" si="190"/>
        <v>0.65183372530087902</v>
      </c>
      <c r="G263">
        <f t="shared" si="185"/>
        <v>0.70999993971129327</v>
      </c>
      <c r="H263">
        <f t="shared" si="186"/>
        <v>0.6518337253008788</v>
      </c>
      <c r="I263">
        <f t="shared" si="187"/>
        <v>0.65183372530087902</v>
      </c>
      <c r="J263">
        <f t="shared" si="235"/>
        <v>9.7665976407361438E+19</v>
      </c>
      <c r="K263">
        <f t="shared" si="236"/>
        <v>9.7665976407361438E+19</v>
      </c>
      <c r="L263" t="e">
        <f t="shared" si="191"/>
        <v>#NUM!</v>
      </c>
      <c r="M263">
        <f t="shared" si="188"/>
        <v>2.4315927138784996E-20</v>
      </c>
      <c r="N263" s="9" t="e">
        <f t="shared" si="237"/>
        <v>#NUM!</v>
      </c>
      <c r="O263" t="e">
        <f t="shared" si="238"/>
        <v>#NUM!</v>
      </c>
      <c r="Q263">
        <f t="shared" si="192"/>
        <v>46.028084926715387</v>
      </c>
      <c r="R263">
        <f t="shared" si="193"/>
        <v>0</v>
      </c>
      <c r="S263">
        <f t="shared" si="215"/>
        <v>-45.163155379423927</v>
      </c>
      <c r="T263" s="9" t="e">
        <f t="shared" si="194"/>
        <v>#N/A</v>
      </c>
      <c r="U263">
        <f t="shared" si="216"/>
        <v>-1.0000000000000001E+300</v>
      </c>
      <c r="V263">
        <f t="shared" si="217"/>
        <v>0</v>
      </c>
      <c r="W263">
        <f t="shared" si="218"/>
        <v>0</v>
      </c>
      <c r="X263">
        <f t="shared" si="195"/>
        <v>2.4315927138784996</v>
      </c>
      <c r="Y263">
        <f t="shared" si="196"/>
        <v>7.8539816339744828</v>
      </c>
      <c r="Z263">
        <f t="shared" si="197"/>
        <v>-2.4315927138784996</v>
      </c>
      <c r="AA263">
        <f t="shared" si="219"/>
        <v>2.8289841966182676</v>
      </c>
      <c r="AB263">
        <f t="shared" si="198"/>
        <v>10.68296583059275</v>
      </c>
      <c r="AC263">
        <f t="shared" si="220"/>
        <v>0.43696377516753526</v>
      </c>
      <c r="AD263">
        <f t="shared" si="199"/>
        <v>0.42796577212392733</v>
      </c>
      <c r="AE263" s="9">
        <f t="shared" si="221"/>
        <v>11.547895377884213</v>
      </c>
      <c r="AF263">
        <f t="shared" si="222"/>
        <v>0</v>
      </c>
      <c r="AH263">
        <f t="shared" si="200"/>
        <v>7.8539816339744828</v>
      </c>
      <c r="AI263">
        <f t="shared" si="201"/>
        <v>2.8289841966182694</v>
      </c>
      <c r="AJ263">
        <f t="shared" si="202"/>
        <v>0.43696377516753415</v>
      </c>
      <c r="AK263">
        <f t="shared" si="203"/>
        <v>0.42796577212392733</v>
      </c>
      <c r="AL263" s="9">
        <f t="shared" si="223"/>
        <v>11.547895377884215</v>
      </c>
      <c r="AM263" t="e">
        <f t="shared" si="204"/>
        <v>#N/A</v>
      </c>
      <c r="AN263" t="e">
        <f t="shared" si="224"/>
        <v>#N/A</v>
      </c>
      <c r="AO263">
        <f t="shared" si="205"/>
        <v>0</v>
      </c>
      <c r="AP263">
        <f t="shared" si="206"/>
        <v>0</v>
      </c>
      <c r="AQ263">
        <f t="shared" si="207"/>
        <v>-1.1102230246251565E-15</v>
      </c>
      <c r="AR263">
        <f t="shared" si="225"/>
        <v>0</v>
      </c>
      <c r="AS263">
        <f t="shared" si="208"/>
        <v>0</v>
      </c>
      <c r="AT263">
        <f t="shared" si="226"/>
        <v>0</v>
      </c>
      <c r="AU263">
        <f t="shared" si="227"/>
        <v>0</v>
      </c>
      <c r="AV263">
        <f t="shared" si="209"/>
        <v>2.4315927138784996E-20</v>
      </c>
      <c r="AW263" t="b">
        <f t="shared" si="228"/>
        <v>1</v>
      </c>
      <c r="AX263">
        <f t="shared" si="210"/>
        <v>7.8539816339744828</v>
      </c>
      <c r="AY263">
        <f t="shared" si="211"/>
        <v>2.8289841966182667</v>
      </c>
      <c r="AZ263">
        <f t="shared" si="212"/>
        <v>0.43696377516753537</v>
      </c>
      <c r="BA263">
        <f t="shared" si="213"/>
        <v>0.42796577212392695</v>
      </c>
      <c r="BB263">
        <f t="shared" si="214"/>
        <v>-1.2337005501361696E-20</v>
      </c>
      <c r="BD263" s="15">
        <f t="shared" si="229"/>
        <v>11.547895377884213</v>
      </c>
      <c r="BE263" s="10">
        <f t="shared" si="230"/>
        <v>0</v>
      </c>
      <c r="BF263">
        <f t="shared" si="231"/>
        <v>0</v>
      </c>
      <c r="BG263">
        <f t="shared" si="232"/>
        <v>0</v>
      </c>
      <c r="BH263">
        <f t="shared" si="233"/>
        <v>0</v>
      </c>
      <c r="BI263">
        <f t="shared" si="234"/>
        <v>0</v>
      </c>
    </row>
    <row r="264" spans="1:61" x14ac:dyDescent="0.3">
      <c r="A264">
        <f t="shared" si="239"/>
        <v>0.22700000000000001</v>
      </c>
      <c r="B264">
        <f t="shared" si="182"/>
        <v>0.71314153236488309</v>
      </c>
      <c r="C264">
        <f t="shared" si="183"/>
        <v>2.42845112122491</v>
      </c>
      <c r="D264">
        <f t="shared" si="184"/>
        <v>2.42845112122491</v>
      </c>
      <c r="E264">
        <f t="shared" si="189"/>
        <v>0.65421296893586112</v>
      </c>
      <c r="F264">
        <f t="shared" si="190"/>
        <v>0.65421296893586123</v>
      </c>
      <c r="G264">
        <f t="shared" si="185"/>
        <v>0.71314153236488309</v>
      </c>
      <c r="H264">
        <f t="shared" si="186"/>
        <v>0.65421296893586112</v>
      </c>
      <c r="I264">
        <f t="shared" si="187"/>
        <v>0.65421296893586123</v>
      </c>
      <c r="J264">
        <f t="shared" si="235"/>
        <v>9.7310784499289784E+19</v>
      </c>
      <c r="K264">
        <f t="shared" si="236"/>
        <v>9.7310784499289784E+19</v>
      </c>
      <c r="L264">
        <f t="shared" si="191"/>
        <v>1</v>
      </c>
      <c r="M264">
        <f t="shared" si="188"/>
        <v>2.4284511212249099E-20</v>
      </c>
      <c r="N264" s="9">
        <f t="shared" si="237"/>
        <v>2.4284511212249099E-20</v>
      </c>
      <c r="O264">
        <f t="shared" si="238"/>
        <v>2.4284511212249099E-20</v>
      </c>
      <c r="Q264">
        <f t="shared" si="192"/>
        <v>46.02444149455107</v>
      </c>
      <c r="R264">
        <f t="shared" si="193"/>
        <v>0</v>
      </c>
      <c r="S264">
        <f t="shared" si="215"/>
        <v>-45.164448204426229</v>
      </c>
      <c r="T264" s="9" t="e">
        <f t="shared" si="194"/>
        <v>#N/A</v>
      </c>
      <c r="U264">
        <f t="shared" si="216"/>
        <v>-1.0000000000000001E+300</v>
      </c>
      <c r="V264">
        <f t="shared" si="217"/>
        <v>0</v>
      </c>
      <c r="W264">
        <f t="shared" si="218"/>
        <v>0</v>
      </c>
      <c r="X264">
        <f t="shared" si="195"/>
        <v>2.42845112122491</v>
      </c>
      <c r="Y264">
        <f t="shared" si="196"/>
        <v>7.8539816339744828</v>
      </c>
      <c r="Z264">
        <f t="shared" si="197"/>
        <v>-2.42845112122491</v>
      </c>
      <c r="AA264">
        <f t="shared" si="219"/>
        <v>2.807438675364736</v>
      </c>
      <c r="AB264">
        <f t="shared" si="198"/>
        <v>10.661420309339219</v>
      </c>
      <c r="AC264">
        <f t="shared" si="220"/>
        <v>0.43567095016523022</v>
      </c>
      <c r="AD264">
        <f t="shared" si="199"/>
        <v>0.42432233995961144</v>
      </c>
      <c r="AE264" s="9">
        <f t="shared" si="221"/>
        <v>11.52141359946406</v>
      </c>
      <c r="AF264">
        <f t="shared" si="222"/>
        <v>0</v>
      </c>
      <c r="AH264">
        <f t="shared" si="200"/>
        <v>7.8539816339744828</v>
      </c>
      <c r="AI264">
        <f t="shared" si="201"/>
        <v>2.8074386753647356</v>
      </c>
      <c r="AJ264">
        <f t="shared" si="202"/>
        <v>0.43567095016523183</v>
      </c>
      <c r="AK264">
        <f t="shared" si="203"/>
        <v>0.42432233995961144</v>
      </c>
      <c r="AL264" s="9">
        <f t="shared" si="223"/>
        <v>11.521413599464061</v>
      </c>
      <c r="AM264" t="e">
        <f t="shared" si="204"/>
        <v>#N/A</v>
      </c>
      <c r="AN264" t="e">
        <f t="shared" si="224"/>
        <v>#N/A</v>
      </c>
      <c r="AO264">
        <f t="shared" si="205"/>
        <v>0</v>
      </c>
      <c r="AP264">
        <f t="shared" si="206"/>
        <v>0</v>
      </c>
      <c r="AQ264">
        <f t="shared" si="207"/>
        <v>1.609823385706477E-15</v>
      </c>
      <c r="AR264">
        <f t="shared" si="225"/>
        <v>0</v>
      </c>
      <c r="AS264">
        <f t="shared" si="208"/>
        <v>0</v>
      </c>
      <c r="AT264">
        <f t="shared" si="226"/>
        <v>0</v>
      </c>
      <c r="AU264">
        <f t="shared" si="227"/>
        <v>0</v>
      </c>
      <c r="AV264">
        <f t="shared" si="209"/>
        <v>2.4284511212249099E-20</v>
      </c>
      <c r="AW264" t="b">
        <f t="shared" si="228"/>
        <v>1</v>
      </c>
      <c r="AX264">
        <f t="shared" si="210"/>
        <v>7.8539816339744828</v>
      </c>
      <c r="AY264">
        <f t="shared" si="211"/>
        <v>2.8074386753647356</v>
      </c>
      <c r="AZ264">
        <f t="shared" si="212"/>
        <v>0.43567095016523022</v>
      </c>
      <c r="BA264">
        <f t="shared" si="213"/>
        <v>0.42432233995961127</v>
      </c>
      <c r="BB264">
        <f t="shared" si="214"/>
        <v>-1.2337005501361696E-20</v>
      </c>
      <c r="BD264" s="15">
        <f t="shared" si="229"/>
        <v>11.52141359946406</v>
      </c>
      <c r="BE264" s="10">
        <f t="shared" si="230"/>
        <v>0</v>
      </c>
      <c r="BF264">
        <f t="shared" si="231"/>
        <v>0</v>
      </c>
      <c r="BG264">
        <f t="shared" si="232"/>
        <v>0</v>
      </c>
      <c r="BH264">
        <f t="shared" si="233"/>
        <v>0</v>
      </c>
      <c r="BI264">
        <f t="shared" si="234"/>
        <v>0</v>
      </c>
    </row>
    <row r="265" spans="1:61" x14ac:dyDescent="0.3">
      <c r="A265">
        <f t="shared" si="239"/>
        <v>0.22800000000000001</v>
      </c>
      <c r="B265">
        <f t="shared" si="182"/>
        <v>0.71628312501847291</v>
      </c>
      <c r="C265">
        <f t="shared" si="183"/>
        <v>2.4253095285713204</v>
      </c>
      <c r="D265">
        <f t="shared" si="184"/>
        <v>2.4253095285713204</v>
      </c>
      <c r="E265">
        <f t="shared" si="189"/>
        <v>0.65658575575295652</v>
      </c>
      <c r="F265">
        <f t="shared" si="190"/>
        <v>0.65658575575295641</v>
      </c>
      <c r="G265">
        <f t="shared" si="185"/>
        <v>0.71628312501847291</v>
      </c>
      <c r="H265">
        <f t="shared" si="186"/>
        <v>0.65658575575295652</v>
      </c>
      <c r="I265">
        <f t="shared" si="187"/>
        <v>0.65658575575295641</v>
      </c>
      <c r="J265">
        <f t="shared" si="235"/>
        <v>9.6959120235181064E+19</v>
      </c>
      <c r="K265">
        <f t="shared" si="236"/>
        <v>9.6959120235181064E+19</v>
      </c>
      <c r="L265">
        <f t="shared" si="191"/>
        <v>1</v>
      </c>
      <c r="M265">
        <f t="shared" si="188"/>
        <v>2.4253095285713203E-20</v>
      </c>
      <c r="N265" s="9">
        <f t="shared" si="237"/>
        <v>2.4253095285713203E-20</v>
      </c>
      <c r="O265">
        <f t="shared" si="238"/>
        <v>2.4253095285713203E-20</v>
      </c>
      <c r="Q265">
        <f t="shared" si="192"/>
        <v>46.02082112269062</v>
      </c>
      <c r="R265">
        <f t="shared" si="193"/>
        <v>0</v>
      </c>
      <c r="S265">
        <f t="shared" si="215"/>
        <v>-45.165742702988872</v>
      </c>
      <c r="T265" s="9" t="e">
        <f t="shared" si="194"/>
        <v>#N/A</v>
      </c>
      <c r="U265">
        <f t="shared" si="216"/>
        <v>-1.0000000000000001E+300</v>
      </c>
      <c r="V265">
        <f t="shared" si="217"/>
        <v>0</v>
      </c>
      <c r="W265">
        <f t="shared" si="218"/>
        <v>0</v>
      </c>
      <c r="X265">
        <f t="shared" si="195"/>
        <v>2.4253095285713204</v>
      </c>
      <c r="Y265">
        <f t="shared" si="196"/>
        <v>7.8539816339744828</v>
      </c>
      <c r="Z265">
        <f t="shared" si="197"/>
        <v>-2.4253095285713204</v>
      </c>
      <c r="AA265">
        <f t="shared" si="219"/>
        <v>2.786068757369796</v>
      </c>
      <c r="AB265">
        <f t="shared" si="198"/>
        <v>10.640050391344278</v>
      </c>
      <c r="AC265">
        <f t="shared" si="220"/>
        <v>0.43437645160258448</v>
      </c>
      <c r="AD265">
        <f t="shared" si="199"/>
        <v>0.42070196809916</v>
      </c>
      <c r="AE265" s="9">
        <f t="shared" si="221"/>
        <v>11.495128811046023</v>
      </c>
      <c r="AF265">
        <f t="shared" si="222"/>
        <v>0</v>
      </c>
      <c r="AH265">
        <f t="shared" si="200"/>
        <v>7.8539816339744828</v>
      </c>
      <c r="AI265">
        <f t="shared" si="201"/>
        <v>2.7860687573697946</v>
      </c>
      <c r="AJ265">
        <f t="shared" si="202"/>
        <v>0.43437645160258853</v>
      </c>
      <c r="AK265">
        <f t="shared" si="203"/>
        <v>0.42070196809916</v>
      </c>
      <c r="AL265" s="9">
        <f t="shared" si="223"/>
        <v>11.495128811046026</v>
      </c>
      <c r="AM265" t="e">
        <f t="shared" si="204"/>
        <v>#N/A</v>
      </c>
      <c r="AN265" t="e">
        <f t="shared" si="224"/>
        <v>#N/A</v>
      </c>
      <c r="AO265">
        <f t="shared" si="205"/>
        <v>0</v>
      </c>
      <c r="AP265">
        <f t="shared" si="206"/>
        <v>0</v>
      </c>
      <c r="AQ265">
        <f t="shared" si="207"/>
        <v>4.0523140398818214E-15</v>
      </c>
      <c r="AR265">
        <f t="shared" si="225"/>
        <v>0</v>
      </c>
      <c r="AS265">
        <f t="shared" si="208"/>
        <v>0</v>
      </c>
      <c r="AT265">
        <f t="shared" si="226"/>
        <v>0</v>
      </c>
      <c r="AU265">
        <f t="shared" si="227"/>
        <v>0</v>
      </c>
      <c r="AV265">
        <f t="shared" si="209"/>
        <v>2.4253095285713203E-20</v>
      </c>
      <c r="AW265" t="b">
        <f t="shared" si="228"/>
        <v>1</v>
      </c>
      <c r="AX265">
        <f t="shared" si="210"/>
        <v>7.8539816339744828</v>
      </c>
      <c r="AY265">
        <f t="shared" si="211"/>
        <v>2.786068757369796</v>
      </c>
      <c r="AZ265">
        <f t="shared" si="212"/>
        <v>0.43437645160258448</v>
      </c>
      <c r="BA265">
        <f t="shared" si="213"/>
        <v>0.42070196809916016</v>
      </c>
      <c r="BB265">
        <f t="shared" si="214"/>
        <v>-1.2337005501361696E-20</v>
      </c>
      <c r="BD265" s="15">
        <f t="shared" si="229"/>
        <v>11.495128811046023</v>
      </c>
      <c r="BE265" s="10">
        <f t="shared" si="230"/>
        <v>0</v>
      </c>
      <c r="BF265">
        <f t="shared" si="231"/>
        <v>0</v>
      </c>
      <c r="BG265">
        <f t="shared" si="232"/>
        <v>0</v>
      </c>
      <c r="BH265">
        <f t="shared" si="233"/>
        <v>0</v>
      </c>
      <c r="BI265">
        <f t="shared" si="234"/>
        <v>0</v>
      </c>
    </row>
    <row r="266" spans="1:61" x14ac:dyDescent="0.3">
      <c r="A266">
        <f t="shared" si="239"/>
        <v>0.22900000000000001</v>
      </c>
      <c r="B266">
        <f t="shared" si="182"/>
        <v>0.71942471767206262</v>
      </c>
      <c r="C266">
        <f t="shared" si="183"/>
        <v>2.4221679359177304</v>
      </c>
      <c r="D266">
        <f t="shared" si="184"/>
        <v>2.4221679359177304</v>
      </c>
      <c r="E266">
        <f t="shared" si="189"/>
        <v>0.65895206233371695</v>
      </c>
      <c r="F266">
        <f t="shared" si="190"/>
        <v>0.65895206233371706</v>
      </c>
      <c r="G266">
        <f t="shared" si="185"/>
        <v>0.71942471767206262</v>
      </c>
      <c r="H266">
        <f t="shared" si="186"/>
        <v>0.65895206233371695</v>
      </c>
      <c r="I266">
        <f t="shared" si="187"/>
        <v>0.65895206233371706</v>
      </c>
      <c r="J266">
        <f t="shared" si="235"/>
        <v>9.6610938603478319E+19</v>
      </c>
      <c r="K266">
        <f t="shared" si="236"/>
        <v>9.6610938603478319E+19</v>
      </c>
      <c r="L266" t="e">
        <f t="shared" si="191"/>
        <v>#NUM!</v>
      </c>
      <c r="M266">
        <f t="shared" si="188"/>
        <v>2.4221679359177303E-20</v>
      </c>
      <c r="N266" s="9" t="e">
        <f t="shared" si="237"/>
        <v>#NUM!</v>
      </c>
      <c r="O266" t="e">
        <f t="shared" si="238"/>
        <v>#NUM!</v>
      </c>
      <c r="Q266">
        <f t="shared" si="192"/>
        <v>46.01722364476143</v>
      </c>
      <c r="R266">
        <f t="shared" si="193"/>
        <v>0</v>
      </c>
      <c r="S266">
        <f t="shared" si="215"/>
        <v>-45.167038879450324</v>
      </c>
      <c r="T266" s="9" t="e">
        <f t="shared" si="194"/>
        <v>#N/A</v>
      </c>
      <c r="U266">
        <f t="shared" si="216"/>
        <v>-1.0000000000000001E+300</v>
      </c>
      <c r="V266">
        <f t="shared" si="217"/>
        <v>0</v>
      </c>
      <c r="W266">
        <f t="shared" si="218"/>
        <v>0</v>
      </c>
      <c r="X266">
        <f t="shared" si="195"/>
        <v>2.4221679359177304</v>
      </c>
      <c r="Y266">
        <f t="shared" si="196"/>
        <v>7.8539816339744828</v>
      </c>
      <c r="Z266">
        <f t="shared" si="197"/>
        <v>-2.4221679359177304</v>
      </c>
      <c r="AA266">
        <f t="shared" si="219"/>
        <v>2.764872197204387</v>
      </c>
      <c r="AB266">
        <f t="shared" si="198"/>
        <v>10.618853831178869</v>
      </c>
      <c r="AC266">
        <f t="shared" si="220"/>
        <v>0.43308027514113778</v>
      </c>
      <c r="AD266">
        <f t="shared" si="199"/>
        <v>0.41710449016996898</v>
      </c>
      <c r="AE266" s="9">
        <f t="shared" si="221"/>
        <v>11.469038596489977</v>
      </c>
      <c r="AF266">
        <f t="shared" si="222"/>
        <v>0</v>
      </c>
      <c r="AH266">
        <f t="shared" si="200"/>
        <v>7.8539816339744828</v>
      </c>
      <c r="AI266">
        <f t="shared" si="201"/>
        <v>2.7648721972043884</v>
      </c>
      <c r="AJ266">
        <f t="shared" si="202"/>
        <v>0.43308027514113689</v>
      </c>
      <c r="AK266">
        <f t="shared" si="203"/>
        <v>0.41710449016996898</v>
      </c>
      <c r="AL266" s="9">
        <f t="shared" si="223"/>
        <v>11.469038596489977</v>
      </c>
      <c r="AM266" t="e">
        <f t="shared" si="204"/>
        <v>#N/A</v>
      </c>
      <c r="AN266" t="e">
        <f t="shared" si="224"/>
        <v>#N/A</v>
      </c>
      <c r="AO266">
        <f t="shared" si="205"/>
        <v>0</v>
      </c>
      <c r="AP266">
        <f t="shared" si="206"/>
        <v>0</v>
      </c>
      <c r="AQ266">
        <f t="shared" si="207"/>
        <v>-8.8817841970012523E-16</v>
      </c>
      <c r="AR266">
        <f t="shared" si="225"/>
        <v>0</v>
      </c>
      <c r="AS266">
        <f t="shared" si="208"/>
        <v>0</v>
      </c>
      <c r="AT266">
        <f t="shared" si="226"/>
        <v>0</v>
      </c>
      <c r="AU266">
        <f t="shared" si="227"/>
        <v>0</v>
      </c>
      <c r="AV266">
        <f t="shared" si="209"/>
        <v>2.4221679359177303E-20</v>
      </c>
      <c r="AW266" t="b">
        <f t="shared" si="228"/>
        <v>1</v>
      </c>
      <c r="AX266">
        <f t="shared" si="210"/>
        <v>7.8539816339744828</v>
      </c>
      <c r="AY266">
        <f t="shared" si="211"/>
        <v>2.764872197204387</v>
      </c>
      <c r="AZ266">
        <f t="shared" si="212"/>
        <v>0.43308027514113778</v>
      </c>
      <c r="BA266">
        <f t="shared" si="213"/>
        <v>0.41710449016996881</v>
      </c>
      <c r="BB266">
        <f t="shared" si="214"/>
        <v>-1.2337005501361696E-20</v>
      </c>
      <c r="BD266" s="15">
        <f t="shared" si="229"/>
        <v>11.469038596489977</v>
      </c>
      <c r="BE266" s="10">
        <f t="shared" si="230"/>
        <v>0</v>
      </c>
      <c r="BF266">
        <f t="shared" si="231"/>
        <v>0</v>
      </c>
      <c r="BG266">
        <f t="shared" si="232"/>
        <v>0</v>
      </c>
      <c r="BH266">
        <f t="shared" si="233"/>
        <v>0</v>
      </c>
      <c r="BI266">
        <f t="shared" si="234"/>
        <v>0</v>
      </c>
    </row>
    <row r="267" spans="1:61" x14ac:dyDescent="0.3">
      <c r="A267">
        <f t="shared" si="239"/>
        <v>0.23</v>
      </c>
      <c r="B267">
        <f t="shared" si="182"/>
        <v>0.72256631032565244</v>
      </c>
      <c r="C267">
        <f t="shared" si="183"/>
        <v>2.4190263432641408</v>
      </c>
      <c r="D267">
        <f t="shared" si="184"/>
        <v>2.4190263432641408</v>
      </c>
      <c r="E267">
        <f t="shared" si="189"/>
        <v>0.66131186532365183</v>
      </c>
      <c r="F267">
        <f t="shared" si="190"/>
        <v>0.66131186532365183</v>
      </c>
      <c r="G267">
        <f t="shared" si="185"/>
        <v>0.72256631032565244</v>
      </c>
      <c r="H267">
        <f t="shared" si="186"/>
        <v>0.66131186532365183</v>
      </c>
      <c r="I267">
        <f t="shared" si="187"/>
        <v>0.66131186532365183</v>
      </c>
      <c r="J267">
        <f t="shared" si="235"/>
        <v>9.6266195383627989E+19</v>
      </c>
      <c r="K267">
        <f t="shared" si="236"/>
        <v>9.6266195383627989E+19</v>
      </c>
      <c r="L267">
        <f t="shared" si="191"/>
        <v>1</v>
      </c>
      <c r="M267">
        <f t="shared" si="188"/>
        <v>2.4190263432641403E-20</v>
      </c>
      <c r="N267" s="9">
        <f t="shared" si="237"/>
        <v>2.4190263432641403E-20</v>
      </c>
      <c r="O267">
        <f t="shared" si="238"/>
        <v>2.4190263432641403E-20</v>
      </c>
      <c r="Q267">
        <f t="shared" si="192"/>
        <v>46.01364889663197</v>
      </c>
      <c r="R267">
        <f t="shared" si="193"/>
        <v>0</v>
      </c>
      <c r="S267">
        <f t="shared" si="215"/>
        <v>-45.16833673816592</v>
      </c>
      <c r="T267" s="9" t="e">
        <f t="shared" si="194"/>
        <v>#N/A</v>
      </c>
      <c r="U267">
        <f t="shared" si="216"/>
        <v>-1.0000000000000001E+300</v>
      </c>
      <c r="V267">
        <f t="shared" si="217"/>
        <v>0</v>
      </c>
      <c r="W267">
        <f t="shared" si="218"/>
        <v>0</v>
      </c>
      <c r="X267">
        <f t="shared" si="195"/>
        <v>2.4190263432641408</v>
      </c>
      <c r="Y267">
        <f t="shared" si="196"/>
        <v>7.8539816339744828</v>
      </c>
      <c r="Z267">
        <f t="shared" si="197"/>
        <v>-2.4190263432641408</v>
      </c>
      <c r="AA267">
        <f t="shared" si="219"/>
        <v>2.7438467884166466</v>
      </c>
      <c r="AB267">
        <f t="shared" si="198"/>
        <v>10.59782842239113</v>
      </c>
      <c r="AC267">
        <f t="shared" si="220"/>
        <v>0.43178241642553783</v>
      </c>
      <c r="AD267">
        <f t="shared" si="199"/>
        <v>0.41352974204050907</v>
      </c>
      <c r="AE267" s="9">
        <f t="shared" si="221"/>
        <v>11.443140580857177</v>
      </c>
      <c r="AF267">
        <f t="shared" si="222"/>
        <v>0</v>
      </c>
      <c r="AH267">
        <f t="shared" si="200"/>
        <v>7.8539816339744828</v>
      </c>
      <c r="AI267">
        <f t="shared" si="201"/>
        <v>2.7438467884166458</v>
      </c>
      <c r="AJ267">
        <f t="shared" si="202"/>
        <v>0.43178241642554127</v>
      </c>
      <c r="AK267">
        <f t="shared" si="203"/>
        <v>0.41352974204050907</v>
      </c>
      <c r="AL267" s="9">
        <f t="shared" si="223"/>
        <v>11.443140580857179</v>
      </c>
      <c r="AM267" t="e">
        <f t="shared" si="204"/>
        <v>#N/A</v>
      </c>
      <c r="AN267" t="e">
        <f t="shared" si="224"/>
        <v>#N/A</v>
      </c>
      <c r="AO267">
        <f t="shared" si="205"/>
        <v>0</v>
      </c>
      <c r="AP267">
        <f t="shared" si="206"/>
        <v>0</v>
      </c>
      <c r="AQ267">
        <f t="shared" si="207"/>
        <v>3.4416913763379853E-15</v>
      </c>
      <c r="AR267">
        <f t="shared" si="225"/>
        <v>0</v>
      </c>
      <c r="AS267">
        <f t="shared" si="208"/>
        <v>0</v>
      </c>
      <c r="AT267">
        <f t="shared" si="226"/>
        <v>0</v>
      </c>
      <c r="AU267">
        <f t="shared" si="227"/>
        <v>0</v>
      </c>
      <c r="AV267">
        <f t="shared" si="209"/>
        <v>2.4190263432641406E-20</v>
      </c>
      <c r="AW267" t="b">
        <f t="shared" si="228"/>
        <v>1</v>
      </c>
      <c r="AX267">
        <f t="shared" si="210"/>
        <v>7.8539816339744828</v>
      </c>
      <c r="AY267">
        <f t="shared" si="211"/>
        <v>2.7438467884166462</v>
      </c>
      <c r="AZ267">
        <f t="shared" si="212"/>
        <v>0.43178241642553783</v>
      </c>
      <c r="BA267">
        <f t="shared" si="213"/>
        <v>0.41352974204050907</v>
      </c>
      <c r="BB267">
        <f t="shared" si="214"/>
        <v>-1.2337005501361696E-20</v>
      </c>
      <c r="BD267" s="15">
        <f t="shared" si="229"/>
        <v>11.443140580857175</v>
      </c>
      <c r="BE267" s="10">
        <f t="shared" si="230"/>
        <v>0</v>
      </c>
      <c r="BF267">
        <f t="shared" si="231"/>
        <v>0</v>
      </c>
      <c r="BG267">
        <f t="shared" si="232"/>
        <v>0</v>
      </c>
      <c r="BH267">
        <f t="shared" si="233"/>
        <v>0</v>
      </c>
      <c r="BI267">
        <f t="shared" si="234"/>
        <v>0</v>
      </c>
    </row>
    <row r="268" spans="1:61" x14ac:dyDescent="0.3">
      <c r="A268">
        <f t="shared" si="239"/>
        <v>0.23100000000000001</v>
      </c>
      <c r="B268">
        <f t="shared" si="182"/>
        <v>0.72570790297924226</v>
      </c>
      <c r="C268">
        <f t="shared" si="183"/>
        <v>2.4158847506105507</v>
      </c>
      <c r="D268">
        <f t="shared" si="184"/>
        <v>2.4158847506105507</v>
      </c>
      <c r="E268">
        <f t="shared" si="189"/>
        <v>0.66366514143245847</v>
      </c>
      <c r="F268">
        <f t="shared" si="190"/>
        <v>0.66366514143245869</v>
      </c>
      <c r="G268">
        <f t="shared" si="185"/>
        <v>0.72570790297924226</v>
      </c>
      <c r="H268">
        <f t="shared" si="186"/>
        <v>0.66366514143245847</v>
      </c>
      <c r="I268">
        <f t="shared" si="187"/>
        <v>0.66366514143245869</v>
      </c>
      <c r="J268">
        <f t="shared" si="235"/>
        <v>9.592484712900513E+19</v>
      </c>
      <c r="K268">
        <f t="shared" si="236"/>
        <v>9.592484712900513E+19</v>
      </c>
      <c r="L268">
        <f t="shared" si="191"/>
        <v>1</v>
      </c>
      <c r="M268">
        <f t="shared" si="188"/>
        <v>2.4158847506105507E-20</v>
      </c>
      <c r="N268" s="9">
        <f t="shared" si="237"/>
        <v>2.4158847506105507E-20</v>
      </c>
      <c r="O268">
        <f t="shared" si="238"/>
        <v>2.4158847506105507E-20</v>
      </c>
      <c r="Q268">
        <f t="shared" si="192"/>
        <v>46.010096716373333</v>
      </c>
      <c r="R268">
        <f t="shared" si="193"/>
        <v>0</v>
      </c>
      <c r="S268">
        <f t="shared" si="215"/>
        <v>-45.169636283508005</v>
      </c>
      <c r="T268" s="9" t="e">
        <f t="shared" si="194"/>
        <v>#N/A</v>
      </c>
      <c r="U268">
        <f t="shared" si="216"/>
        <v>-1.0000000000000001E+300</v>
      </c>
      <c r="V268">
        <f t="shared" si="217"/>
        <v>0</v>
      </c>
      <c r="W268">
        <f t="shared" si="218"/>
        <v>0</v>
      </c>
      <c r="X268">
        <f t="shared" si="195"/>
        <v>2.4158847506105507</v>
      </c>
      <c r="Y268">
        <f t="shared" si="196"/>
        <v>7.8539816339744828</v>
      </c>
      <c r="Z268">
        <f t="shared" si="197"/>
        <v>-2.4158847506105507</v>
      </c>
      <c r="AA268">
        <f t="shared" si="219"/>
        <v>2.7229903626886101</v>
      </c>
      <c r="AB268">
        <f t="shared" si="198"/>
        <v>10.576971996663094</v>
      </c>
      <c r="AC268">
        <f t="shared" si="220"/>
        <v>0.43048287108345212</v>
      </c>
      <c r="AD268">
        <f t="shared" si="199"/>
        <v>0.40997756178187289</v>
      </c>
      <c r="AE268" s="9">
        <f t="shared" si="221"/>
        <v>11.417432429528418</v>
      </c>
      <c r="AF268">
        <f t="shared" si="222"/>
        <v>0</v>
      </c>
      <c r="AH268">
        <f t="shared" si="200"/>
        <v>7.8539816339744828</v>
      </c>
      <c r="AI268">
        <f t="shared" si="201"/>
        <v>2.7229903626886114</v>
      </c>
      <c r="AJ268">
        <f t="shared" si="202"/>
        <v>0.43048287108345562</v>
      </c>
      <c r="AK268">
        <f t="shared" si="203"/>
        <v>0.40997756178187289</v>
      </c>
      <c r="AL268" s="9">
        <f t="shared" si="223"/>
        <v>11.417432429528422</v>
      </c>
      <c r="AM268" t="e">
        <f t="shared" si="204"/>
        <v>#N/A</v>
      </c>
      <c r="AN268" t="e">
        <f t="shared" si="224"/>
        <v>#N/A</v>
      </c>
      <c r="AO268">
        <f t="shared" si="205"/>
        <v>0</v>
      </c>
      <c r="AP268">
        <f t="shared" si="206"/>
        <v>0</v>
      </c>
      <c r="AQ268">
        <f t="shared" si="207"/>
        <v>3.4972025275692431E-15</v>
      </c>
      <c r="AR268">
        <f t="shared" si="225"/>
        <v>0</v>
      </c>
      <c r="AS268">
        <f t="shared" si="208"/>
        <v>0</v>
      </c>
      <c r="AT268">
        <f t="shared" si="226"/>
        <v>0</v>
      </c>
      <c r="AU268">
        <f t="shared" si="227"/>
        <v>0</v>
      </c>
      <c r="AV268">
        <f t="shared" si="209"/>
        <v>2.4158847506105507E-20</v>
      </c>
      <c r="AW268" t="b">
        <f t="shared" si="228"/>
        <v>1</v>
      </c>
      <c r="AX268">
        <f t="shared" si="210"/>
        <v>7.8539816339744828</v>
      </c>
      <c r="AY268">
        <f t="shared" si="211"/>
        <v>2.7229903626886101</v>
      </c>
      <c r="AZ268">
        <f t="shared" si="212"/>
        <v>0.43048287108345223</v>
      </c>
      <c r="BA268">
        <f t="shared" si="213"/>
        <v>0.40997756178187256</v>
      </c>
      <c r="BB268">
        <f t="shared" si="214"/>
        <v>-1.2337005501361696E-20</v>
      </c>
      <c r="BD268" s="15">
        <f t="shared" si="229"/>
        <v>11.417432429528418</v>
      </c>
      <c r="BE268" s="10">
        <f t="shared" si="230"/>
        <v>0</v>
      </c>
      <c r="BF268">
        <f t="shared" si="231"/>
        <v>0</v>
      </c>
      <c r="BG268">
        <f t="shared" si="232"/>
        <v>0</v>
      </c>
      <c r="BH268">
        <f t="shared" si="233"/>
        <v>0</v>
      </c>
      <c r="BI268">
        <f t="shared" si="234"/>
        <v>0</v>
      </c>
    </row>
    <row r="269" spans="1:61" x14ac:dyDescent="0.3">
      <c r="A269">
        <f t="shared" si="239"/>
        <v>0.23200000000000001</v>
      </c>
      <c r="B269">
        <f t="shared" si="182"/>
        <v>0.72884949563283208</v>
      </c>
      <c r="C269">
        <f t="shared" si="183"/>
        <v>2.4127431579569611</v>
      </c>
      <c r="D269">
        <f t="shared" si="184"/>
        <v>2.4127431579569611</v>
      </c>
      <c r="E269">
        <f t="shared" si="189"/>
        <v>0.66601186743425167</v>
      </c>
      <c r="F269">
        <f t="shared" si="190"/>
        <v>0.66601186743425167</v>
      </c>
      <c r="G269">
        <f t="shared" si="185"/>
        <v>0.72884949563283208</v>
      </c>
      <c r="H269">
        <f t="shared" si="186"/>
        <v>0.66601186743425167</v>
      </c>
      <c r="I269">
        <f t="shared" si="187"/>
        <v>0.66601186743425167</v>
      </c>
      <c r="J269">
        <f t="shared" si="235"/>
        <v>9.5586851150280475E+19</v>
      </c>
      <c r="K269">
        <f t="shared" si="236"/>
        <v>9.5586851150280475E+19</v>
      </c>
      <c r="L269" t="e">
        <f t="shared" si="191"/>
        <v>#NUM!</v>
      </c>
      <c r="M269">
        <f t="shared" si="188"/>
        <v>2.412743157956961E-20</v>
      </c>
      <c r="N269" s="9" t="e">
        <f t="shared" si="237"/>
        <v>#NUM!</v>
      </c>
      <c r="O269" t="e">
        <f t="shared" si="238"/>
        <v>#NUM!</v>
      </c>
      <c r="Q269">
        <f t="shared" si="192"/>
        <v>46.006566944221618</v>
      </c>
      <c r="R269">
        <f t="shared" si="193"/>
        <v>0</v>
      </c>
      <c r="S269">
        <f t="shared" si="215"/>
        <v>-45.17093751986598</v>
      </c>
      <c r="T269" s="9" t="e">
        <f t="shared" si="194"/>
        <v>#N/A</v>
      </c>
      <c r="U269">
        <f t="shared" si="216"/>
        <v>-1.0000000000000001E+300</v>
      </c>
      <c r="V269">
        <f t="shared" si="217"/>
        <v>0</v>
      </c>
      <c r="W269">
        <f t="shared" si="218"/>
        <v>0</v>
      </c>
      <c r="X269">
        <f t="shared" si="195"/>
        <v>2.4127431579569611</v>
      </c>
      <c r="Y269">
        <f t="shared" si="196"/>
        <v>7.8539816339744828</v>
      </c>
      <c r="Z269">
        <f t="shared" si="197"/>
        <v>-2.4127431579569611</v>
      </c>
      <c r="AA269">
        <f t="shared" si="219"/>
        <v>2.7023007890147634</v>
      </c>
      <c r="AB269">
        <f t="shared" si="198"/>
        <v>10.556282422989247</v>
      </c>
      <c r="AC269">
        <f t="shared" si="220"/>
        <v>0.42918163472548043</v>
      </c>
      <c r="AD269">
        <f t="shared" si="199"/>
        <v>0.40644778963015604</v>
      </c>
      <c r="AE269" s="9">
        <f t="shared" si="221"/>
        <v>11.391911847344884</v>
      </c>
      <c r="AF269">
        <f t="shared" si="222"/>
        <v>0</v>
      </c>
      <c r="AH269">
        <f t="shared" si="200"/>
        <v>7.8539816339744828</v>
      </c>
      <c r="AI269">
        <f t="shared" si="201"/>
        <v>2.702300789014763</v>
      </c>
      <c r="AJ269">
        <f t="shared" si="202"/>
        <v>0.42918163472548088</v>
      </c>
      <c r="AK269">
        <f t="shared" si="203"/>
        <v>0.40644778963015604</v>
      </c>
      <c r="AL269" s="9">
        <f t="shared" si="223"/>
        <v>11.391911847344883</v>
      </c>
      <c r="AM269" t="e">
        <f t="shared" si="204"/>
        <v>#N/A</v>
      </c>
      <c r="AN269" t="e">
        <f t="shared" si="224"/>
        <v>#N/A</v>
      </c>
      <c r="AO269">
        <f t="shared" si="205"/>
        <v>0</v>
      </c>
      <c r="AP269">
        <f t="shared" si="206"/>
        <v>0</v>
      </c>
      <c r="AQ269">
        <f t="shared" si="207"/>
        <v>4.4408920985006262E-16</v>
      </c>
      <c r="AR269">
        <f t="shared" si="225"/>
        <v>0</v>
      </c>
      <c r="AS269">
        <f t="shared" si="208"/>
        <v>0</v>
      </c>
      <c r="AT269">
        <f t="shared" si="226"/>
        <v>0</v>
      </c>
      <c r="AU269">
        <f t="shared" si="227"/>
        <v>0</v>
      </c>
      <c r="AV269">
        <f t="shared" si="209"/>
        <v>2.412743157956961E-20</v>
      </c>
      <c r="AW269" t="b">
        <f t="shared" si="228"/>
        <v>1</v>
      </c>
      <c r="AX269">
        <f t="shared" si="210"/>
        <v>7.8539816339744828</v>
      </c>
      <c r="AY269">
        <f t="shared" si="211"/>
        <v>2.702300789014763</v>
      </c>
      <c r="AZ269">
        <f t="shared" si="212"/>
        <v>0.42918163472548043</v>
      </c>
      <c r="BA269">
        <f t="shared" si="213"/>
        <v>0.40644778963015604</v>
      </c>
      <c r="BB269">
        <f t="shared" si="214"/>
        <v>-1.2337005501361696E-20</v>
      </c>
      <c r="BD269" s="15">
        <f t="shared" si="229"/>
        <v>11.391911847344883</v>
      </c>
      <c r="BE269" s="10">
        <f t="shared" si="230"/>
        <v>0</v>
      </c>
      <c r="BF269">
        <f t="shared" si="231"/>
        <v>0</v>
      </c>
      <c r="BG269">
        <f t="shared" si="232"/>
        <v>0</v>
      </c>
      <c r="BH269">
        <f t="shared" si="233"/>
        <v>0</v>
      </c>
      <c r="BI269">
        <f t="shared" si="234"/>
        <v>0</v>
      </c>
    </row>
    <row r="270" spans="1:61" x14ac:dyDescent="0.3">
      <c r="A270">
        <f t="shared" si="239"/>
        <v>0.23300000000000001</v>
      </c>
      <c r="B270">
        <f t="shared" si="182"/>
        <v>0.73199108828642179</v>
      </c>
      <c r="C270">
        <f t="shared" si="183"/>
        <v>2.4096015653033716</v>
      </c>
      <c r="D270">
        <f t="shared" si="184"/>
        <v>2.4096015653033716</v>
      </c>
      <c r="E270">
        <f t="shared" si="189"/>
        <v>0.66835202016779305</v>
      </c>
      <c r="F270">
        <f t="shared" si="190"/>
        <v>0.66835202016779294</v>
      </c>
      <c r="G270">
        <f t="shared" si="185"/>
        <v>0.73199108828642179</v>
      </c>
      <c r="H270">
        <f t="shared" si="186"/>
        <v>0.66835202016779305</v>
      </c>
      <c r="I270">
        <f t="shared" si="187"/>
        <v>0.66835202016779294</v>
      </c>
      <c r="J270">
        <f t="shared" si="235"/>
        <v>9.5252165499216249E+19</v>
      </c>
      <c r="K270">
        <f t="shared" si="236"/>
        <v>9.5252165499216249E+19</v>
      </c>
      <c r="L270">
        <f t="shared" si="191"/>
        <v>1</v>
      </c>
      <c r="M270">
        <f t="shared" si="188"/>
        <v>2.4096015653033711E-20</v>
      </c>
      <c r="N270" s="9">
        <f t="shared" si="237"/>
        <v>2.4096015653033711E-20</v>
      </c>
      <c r="O270">
        <f t="shared" si="238"/>
        <v>2.4096015653033711E-20</v>
      </c>
      <c r="Q270">
        <f t="shared" si="192"/>
        <v>46.003059422541106</v>
      </c>
      <c r="R270">
        <f t="shared" si="193"/>
        <v>0</v>
      </c>
      <c r="S270">
        <f t="shared" si="215"/>
        <v>-45.172240451646395</v>
      </c>
      <c r="T270" s="9" t="e">
        <f t="shared" si="194"/>
        <v>#N/A</v>
      </c>
      <c r="U270">
        <f t="shared" si="216"/>
        <v>-1.0000000000000001E+300</v>
      </c>
      <c r="V270">
        <f t="shared" si="217"/>
        <v>0</v>
      </c>
      <c r="W270">
        <f t="shared" si="218"/>
        <v>0</v>
      </c>
      <c r="X270">
        <f t="shared" si="195"/>
        <v>2.4096015653033716</v>
      </c>
      <c r="Y270">
        <f t="shared" si="196"/>
        <v>7.8539816339744828</v>
      </c>
      <c r="Z270">
        <f t="shared" si="197"/>
        <v>-2.4096015653033716</v>
      </c>
      <c r="AA270">
        <f t="shared" si="219"/>
        <v>2.681775972901697</v>
      </c>
      <c r="AB270">
        <f t="shared" si="198"/>
        <v>10.53575760687618</v>
      </c>
      <c r="AC270">
        <f t="shared" si="220"/>
        <v>0.42787870294506458</v>
      </c>
      <c r="AD270">
        <f t="shared" si="199"/>
        <v>0.40294026794964799</v>
      </c>
      <c r="AE270" s="9">
        <f t="shared" si="221"/>
        <v>11.366576577770891</v>
      </c>
      <c r="AF270">
        <f t="shared" si="222"/>
        <v>0</v>
      </c>
      <c r="AH270">
        <f t="shared" si="200"/>
        <v>7.8539816339744828</v>
      </c>
      <c r="AI270">
        <f t="shared" si="201"/>
        <v>2.6817759729016966</v>
      </c>
      <c r="AJ270">
        <f t="shared" si="202"/>
        <v>0.42787870294506547</v>
      </c>
      <c r="AK270">
        <f t="shared" si="203"/>
        <v>0.40294026794964799</v>
      </c>
      <c r="AL270" s="9">
        <f t="shared" si="223"/>
        <v>11.366576577770893</v>
      </c>
      <c r="AM270" t="e">
        <f t="shared" si="204"/>
        <v>#N/A</v>
      </c>
      <c r="AN270" t="e">
        <f t="shared" si="224"/>
        <v>#N/A</v>
      </c>
      <c r="AO270">
        <f t="shared" si="205"/>
        <v>0</v>
      </c>
      <c r="AP270">
        <f t="shared" si="206"/>
        <v>0</v>
      </c>
      <c r="AQ270">
        <f t="shared" si="207"/>
        <v>8.8817841970012523E-16</v>
      </c>
      <c r="AR270">
        <f t="shared" si="225"/>
        <v>0</v>
      </c>
      <c r="AS270">
        <f t="shared" si="208"/>
        <v>0</v>
      </c>
      <c r="AT270">
        <f t="shared" si="226"/>
        <v>0</v>
      </c>
      <c r="AU270">
        <f t="shared" si="227"/>
        <v>0</v>
      </c>
      <c r="AV270">
        <f t="shared" si="209"/>
        <v>2.4096015653033714E-20</v>
      </c>
      <c r="AW270" t="b">
        <f t="shared" si="228"/>
        <v>1</v>
      </c>
      <c r="AX270">
        <f t="shared" si="210"/>
        <v>7.8539816339744828</v>
      </c>
      <c r="AY270">
        <f t="shared" si="211"/>
        <v>2.6817759729016961</v>
      </c>
      <c r="AZ270">
        <f t="shared" si="212"/>
        <v>0.42787870294506458</v>
      </c>
      <c r="BA270">
        <f t="shared" si="213"/>
        <v>0.40294026794964816</v>
      </c>
      <c r="BB270">
        <f t="shared" si="214"/>
        <v>-1.2337005501361696E-20</v>
      </c>
      <c r="BD270" s="15">
        <f t="shared" si="229"/>
        <v>11.366576577770891</v>
      </c>
      <c r="BE270" s="10">
        <f t="shared" si="230"/>
        <v>0</v>
      </c>
      <c r="BF270">
        <f t="shared" si="231"/>
        <v>0</v>
      </c>
      <c r="BG270">
        <f t="shared" si="232"/>
        <v>0</v>
      </c>
      <c r="BH270">
        <f t="shared" si="233"/>
        <v>0</v>
      </c>
      <c r="BI270">
        <f t="shared" si="234"/>
        <v>0</v>
      </c>
    </row>
    <row r="271" spans="1:61" x14ac:dyDescent="0.3">
      <c r="A271">
        <f t="shared" si="239"/>
        <v>0.23400000000000001</v>
      </c>
      <c r="B271">
        <f t="shared" si="182"/>
        <v>0.73513268094001161</v>
      </c>
      <c r="C271">
        <f t="shared" si="183"/>
        <v>2.4064599726497815</v>
      </c>
      <c r="D271">
        <f t="shared" si="184"/>
        <v>2.4064599726497815</v>
      </c>
      <c r="E271">
        <f t="shared" si="189"/>
        <v>0.67068557653672001</v>
      </c>
      <c r="F271">
        <f t="shared" si="190"/>
        <v>0.67068557653672012</v>
      </c>
      <c r="G271">
        <f t="shared" si="185"/>
        <v>0.73513268094001161</v>
      </c>
      <c r="H271">
        <f t="shared" si="186"/>
        <v>0.67068557653672001</v>
      </c>
      <c r="I271">
        <f t="shared" si="187"/>
        <v>0.67068557653672012</v>
      </c>
      <c r="J271">
        <f t="shared" si="235"/>
        <v>9.4920748952877842E+19</v>
      </c>
      <c r="K271">
        <f t="shared" si="236"/>
        <v>9.4920748952877842E+19</v>
      </c>
      <c r="L271">
        <f t="shared" si="191"/>
        <v>1</v>
      </c>
      <c r="M271">
        <f t="shared" si="188"/>
        <v>2.4064599726497814E-20</v>
      </c>
      <c r="N271" s="9">
        <f t="shared" si="237"/>
        <v>2.4064599726497814E-20</v>
      </c>
      <c r="O271">
        <f t="shared" si="238"/>
        <v>2.4064599726497814E-20</v>
      </c>
      <c r="Q271">
        <f t="shared" si="192"/>
        <v>45.999573995788275</v>
      </c>
      <c r="R271">
        <f t="shared" si="193"/>
        <v>0</v>
      </c>
      <c r="S271">
        <f t="shared" si="215"/>
        <v>-45.173545083273062</v>
      </c>
      <c r="T271" s="9" t="e">
        <f t="shared" si="194"/>
        <v>#N/A</v>
      </c>
      <c r="U271">
        <f t="shared" si="216"/>
        <v>-1.0000000000000001E+300</v>
      </c>
      <c r="V271">
        <f t="shared" si="217"/>
        <v>0</v>
      </c>
      <c r="W271">
        <f t="shared" si="218"/>
        <v>0</v>
      </c>
      <c r="X271">
        <f t="shared" si="195"/>
        <v>2.4064599726497815</v>
      </c>
      <c r="Y271">
        <f t="shared" si="196"/>
        <v>7.8539816339744828</v>
      </c>
      <c r="Z271">
        <f t="shared" si="197"/>
        <v>-2.4064599726497815</v>
      </c>
      <c r="AA271">
        <f t="shared" si="219"/>
        <v>2.6614138555883189</v>
      </c>
      <c r="AB271">
        <f t="shared" si="198"/>
        <v>10.515395489562803</v>
      </c>
      <c r="AC271">
        <f t="shared" si="220"/>
        <v>0.42657407131839958</v>
      </c>
      <c r="AD271">
        <f t="shared" si="199"/>
        <v>0.39945484119681401</v>
      </c>
      <c r="AE271" s="9">
        <f t="shared" si="221"/>
        <v>11.341424402078015</v>
      </c>
      <c r="AF271">
        <f t="shared" si="222"/>
        <v>0</v>
      </c>
      <c r="AH271">
        <f t="shared" si="200"/>
        <v>7.8539816339744828</v>
      </c>
      <c r="AI271">
        <f t="shared" si="201"/>
        <v>2.6614138555883189</v>
      </c>
      <c r="AJ271">
        <f t="shared" si="202"/>
        <v>0.42657407131839875</v>
      </c>
      <c r="AK271">
        <f t="shared" si="203"/>
        <v>0.39945484119681401</v>
      </c>
      <c r="AL271" s="9">
        <f t="shared" si="223"/>
        <v>11.341424402078015</v>
      </c>
      <c r="AM271" t="e">
        <f t="shared" si="204"/>
        <v>#N/A</v>
      </c>
      <c r="AN271" t="e">
        <f t="shared" si="224"/>
        <v>#N/A</v>
      </c>
      <c r="AO271">
        <f t="shared" si="205"/>
        <v>0</v>
      </c>
      <c r="AP271">
        <f t="shared" si="206"/>
        <v>0</v>
      </c>
      <c r="AQ271">
        <f t="shared" si="207"/>
        <v>-8.3266726846886741E-16</v>
      </c>
      <c r="AR271">
        <f t="shared" si="225"/>
        <v>0</v>
      </c>
      <c r="AS271">
        <f t="shared" si="208"/>
        <v>0</v>
      </c>
      <c r="AT271">
        <f t="shared" si="226"/>
        <v>0</v>
      </c>
      <c r="AU271">
        <f t="shared" si="227"/>
        <v>0</v>
      </c>
      <c r="AV271">
        <f t="shared" si="209"/>
        <v>2.4064599726497814E-20</v>
      </c>
      <c r="AW271" t="b">
        <f t="shared" si="228"/>
        <v>1</v>
      </c>
      <c r="AX271">
        <f t="shared" si="210"/>
        <v>7.8539816339744828</v>
      </c>
      <c r="AY271">
        <f t="shared" si="211"/>
        <v>2.661413855588318</v>
      </c>
      <c r="AZ271">
        <f t="shared" si="212"/>
        <v>0.42657407131839958</v>
      </c>
      <c r="BA271">
        <f t="shared" si="213"/>
        <v>0.39945484119681385</v>
      </c>
      <c r="BB271">
        <f t="shared" si="214"/>
        <v>-1.2337005501361696E-20</v>
      </c>
      <c r="BD271" s="15">
        <f t="shared" si="229"/>
        <v>11.341424402078014</v>
      </c>
      <c r="BE271" s="10">
        <f t="shared" si="230"/>
        <v>0</v>
      </c>
      <c r="BF271">
        <f t="shared" si="231"/>
        <v>0</v>
      </c>
      <c r="BG271">
        <f t="shared" si="232"/>
        <v>0</v>
      </c>
      <c r="BH271">
        <f t="shared" si="233"/>
        <v>0</v>
      </c>
      <c r="BI271">
        <f t="shared" si="234"/>
        <v>0</v>
      </c>
    </row>
    <row r="272" spans="1:61" x14ac:dyDescent="0.3">
      <c r="A272">
        <f t="shared" si="239"/>
        <v>0.23499999999999999</v>
      </c>
      <c r="B272">
        <f t="shared" si="182"/>
        <v>0.73827427359360132</v>
      </c>
      <c r="C272">
        <f t="shared" si="183"/>
        <v>2.4033183799961919</v>
      </c>
      <c r="D272">
        <f t="shared" si="184"/>
        <v>2.4033183799961919</v>
      </c>
      <c r="E272">
        <f t="shared" si="189"/>
        <v>0.67301251350977331</v>
      </c>
      <c r="F272">
        <f t="shared" si="190"/>
        <v>0.67301251350977331</v>
      </c>
      <c r="G272">
        <f t="shared" si="185"/>
        <v>0.73827427359360132</v>
      </c>
      <c r="H272">
        <f t="shared" si="186"/>
        <v>0.67301251350977331</v>
      </c>
      <c r="I272">
        <f t="shared" si="187"/>
        <v>0.67301251350977331</v>
      </c>
      <c r="J272">
        <f t="shared" si="235"/>
        <v>9.4592560998249054E+19</v>
      </c>
      <c r="K272">
        <f t="shared" si="236"/>
        <v>9.4592560998249054E+19</v>
      </c>
      <c r="L272" t="e">
        <f t="shared" si="191"/>
        <v>#NUM!</v>
      </c>
      <c r="M272">
        <f t="shared" si="188"/>
        <v>2.4033183799961917E-20</v>
      </c>
      <c r="N272" s="9" t="e">
        <f t="shared" si="237"/>
        <v>#NUM!</v>
      </c>
      <c r="O272" t="e">
        <f t="shared" si="238"/>
        <v>#NUM!</v>
      </c>
      <c r="Q272">
        <f t="shared" si="192"/>
        <v>45.996110510476505</v>
      </c>
      <c r="R272">
        <f t="shared" si="193"/>
        <v>-710542.73576010019</v>
      </c>
      <c r="S272">
        <f t="shared" si="215"/>
        <v>-45.174851419187114</v>
      </c>
      <c r="T272" s="9" t="e">
        <f t="shared" si="194"/>
        <v>#N/A</v>
      </c>
      <c r="U272">
        <f t="shared" si="216"/>
        <v>-1.0000000000000001E+300</v>
      </c>
      <c r="V272">
        <f t="shared" si="217"/>
        <v>0</v>
      </c>
      <c r="W272">
        <f t="shared" si="218"/>
        <v>0</v>
      </c>
      <c r="X272">
        <f t="shared" si="195"/>
        <v>2.4033183799961919</v>
      </c>
      <c r="Y272">
        <f t="shared" si="196"/>
        <v>7.8539816339744828</v>
      </c>
      <c r="Z272">
        <f t="shared" si="197"/>
        <v>-2.4033183799961919</v>
      </c>
      <c r="AA272">
        <f t="shared" si="219"/>
        <v>2.6412124132859658</v>
      </c>
      <c r="AB272">
        <f t="shared" si="198"/>
        <v>10.495194047260448</v>
      </c>
      <c r="AC272">
        <f t="shared" si="220"/>
        <v>0.42526773540434409</v>
      </c>
      <c r="AD272">
        <f t="shared" si="199"/>
        <v>0.39599135588504819</v>
      </c>
      <c r="AE272" s="9">
        <f t="shared" si="221"/>
        <v>11.316453138549839</v>
      </c>
      <c r="AF272">
        <f t="shared" si="222"/>
        <v>0</v>
      </c>
      <c r="AH272">
        <f t="shared" si="200"/>
        <v>7.8539816339744828</v>
      </c>
      <c r="AI272">
        <f t="shared" si="201"/>
        <v>2.6412124132859662</v>
      </c>
      <c r="AJ272">
        <f t="shared" si="202"/>
        <v>0.42526773540434704</v>
      </c>
      <c r="AK272">
        <f t="shared" si="203"/>
        <v>0.39599135588504819</v>
      </c>
      <c r="AL272" s="9">
        <f t="shared" si="223"/>
        <v>11.316453138549845</v>
      </c>
      <c r="AM272" t="e">
        <f t="shared" si="204"/>
        <v>#N/A</v>
      </c>
      <c r="AN272" t="e">
        <f t="shared" si="224"/>
        <v>#N/A</v>
      </c>
      <c r="AO272">
        <f t="shared" si="205"/>
        <v>0</v>
      </c>
      <c r="AP272">
        <f t="shared" si="206"/>
        <v>0</v>
      </c>
      <c r="AQ272">
        <f t="shared" si="207"/>
        <v>2.9420910152566648E-15</v>
      </c>
      <c r="AR272">
        <f t="shared" si="225"/>
        <v>0</v>
      </c>
      <c r="AS272">
        <f t="shared" si="208"/>
        <v>0</v>
      </c>
      <c r="AT272">
        <f t="shared" si="226"/>
        <v>0</v>
      </c>
      <c r="AU272">
        <f t="shared" si="227"/>
        <v>0</v>
      </c>
      <c r="AV272">
        <f t="shared" si="209"/>
        <v>2.4033183799961917E-20</v>
      </c>
      <c r="AW272" t="b">
        <f t="shared" si="228"/>
        <v>1</v>
      </c>
      <c r="AX272">
        <f t="shared" si="210"/>
        <v>7.8539816339744828</v>
      </c>
      <c r="AY272">
        <f t="shared" si="211"/>
        <v>2.6412124132859658</v>
      </c>
      <c r="AZ272">
        <f t="shared" si="212"/>
        <v>0.42526773540434426</v>
      </c>
      <c r="BA272">
        <f t="shared" si="213"/>
        <v>0.39599135588504819</v>
      </c>
      <c r="BB272">
        <f t="shared" si="214"/>
        <v>-1.2337005501361696E-20</v>
      </c>
      <c r="BD272" s="15">
        <f t="shared" si="229"/>
        <v>11.316453138549839</v>
      </c>
      <c r="BE272" s="10">
        <f t="shared" si="230"/>
        <v>0</v>
      </c>
      <c r="BF272">
        <f t="shared" si="231"/>
        <v>0</v>
      </c>
      <c r="BG272">
        <f t="shared" si="232"/>
        <v>0</v>
      </c>
      <c r="BH272">
        <f t="shared" si="233"/>
        <v>0</v>
      </c>
      <c r="BI272">
        <f t="shared" si="234"/>
        <v>0</v>
      </c>
    </row>
    <row r="273" spans="1:61" x14ac:dyDescent="0.3">
      <c r="A273">
        <f t="shared" si="239"/>
        <v>0.23599999999999999</v>
      </c>
      <c r="B273">
        <f t="shared" si="182"/>
        <v>0.74141586624719114</v>
      </c>
      <c r="C273">
        <f t="shared" si="183"/>
        <v>2.4001767873426019</v>
      </c>
      <c r="D273">
        <f t="shared" si="184"/>
        <v>2.4001767873426019</v>
      </c>
      <c r="E273">
        <f t="shared" si="189"/>
        <v>0.67533280812102436</v>
      </c>
      <c r="F273">
        <f t="shared" si="190"/>
        <v>0.67533280812102459</v>
      </c>
      <c r="G273">
        <f t="shared" si="185"/>
        <v>0.74141586624719114</v>
      </c>
      <c r="H273">
        <f t="shared" si="186"/>
        <v>0.67533280812102436</v>
      </c>
      <c r="I273">
        <f t="shared" si="187"/>
        <v>0.67533280812102459</v>
      </c>
      <c r="J273">
        <f t="shared" si="235"/>
        <v>9.4267561817238815E+19</v>
      </c>
      <c r="K273">
        <f t="shared" si="236"/>
        <v>9.4267561817238815E+19</v>
      </c>
      <c r="L273">
        <f t="shared" si="191"/>
        <v>1</v>
      </c>
      <c r="M273">
        <f t="shared" si="188"/>
        <v>2.4001767873426018E-20</v>
      </c>
      <c r="N273" s="9">
        <f t="shared" si="237"/>
        <v>2.4001767873426018E-20</v>
      </c>
      <c r="O273">
        <f t="shared" si="238"/>
        <v>2.4001767873426018E-20</v>
      </c>
      <c r="Q273">
        <f t="shared" si="192"/>
        <v>45.992668815141634</v>
      </c>
      <c r="R273">
        <f t="shared" si="193"/>
        <v>0</v>
      </c>
      <c r="S273">
        <f t="shared" si="215"/>
        <v>-45.176159463847128</v>
      </c>
      <c r="T273" s="9" t="e">
        <f t="shared" si="194"/>
        <v>#N/A</v>
      </c>
      <c r="U273">
        <f t="shared" si="216"/>
        <v>-1.0000000000000001E+300</v>
      </c>
      <c r="V273">
        <f t="shared" si="217"/>
        <v>0</v>
      </c>
      <c r="W273">
        <f t="shared" si="218"/>
        <v>0</v>
      </c>
      <c r="X273">
        <f t="shared" si="195"/>
        <v>2.4001767873426019</v>
      </c>
      <c r="Y273">
        <f t="shared" si="196"/>
        <v>7.8539816339744828</v>
      </c>
      <c r="Z273">
        <f t="shared" si="197"/>
        <v>-2.4001767873426019</v>
      </c>
      <c r="AA273">
        <f t="shared" si="219"/>
        <v>2.6211696564378126</v>
      </c>
      <c r="AB273">
        <f t="shared" si="198"/>
        <v>10.475151290412295</v>
      </c>
      <c r="AC273">
        <f t="shared" si="220"/>
        <v>0.42395969074432877</v>
      </c>
      <c r="AD273">
        <f t="shared" si="199"/>
        <v>0.39254966055017659</v>
      </c>
      <c r="AE273" s="9">
        <f t="shared" si="221"/>
        <v>11.291660641706802</v>
      </c>
      <c r="AF273">
        <f t="shared" si="222"/>
        <v>0</v>
      </c>
      <c r="AH273">
        <f t="shared" si="200"/>
        <v>7.8539816339744828</v>
      </c>
      <c r="AI273">
        <f t="shared" si="201"/>
        <v>2.621169656437814</v>
      </c>
      <c r="AJ273">
        <f t="shared" si="202"/>
        <v>0.42395969074433282</v>
      </c>
      <c r="AK273">
        <f t="shared" si="203"/>
        <v>0.39254966055017659</v>
      </c>
      <c r="AL273" s="9">
        <f t="shared" si="223"/>
        <v>11.291660641706807</v>
      </c>
      <c r="AM273" t="e">
        <f t="shared" si="204"/>
        <v>#N/A</v>
      </c>
      <c r="AN273" t="e">
        <f t="shared" si="224"/>
        <v>#N/A</v>
      </c>
      <c r="AO273">
        <f t="shared" si="205"/>
        <v>0</v>
      </c>
      <c r="AP273">
        <f t="shared" si="206"/>
        <v>0</v>
      </c>
      <c r="AQ273">
        <f t="shared" si="207"/>
        <v>4.0523140398818214E-15</v>
      </c>
      <c r="AR273">
        <f t="shared" si="225"/>
        <v>0</v>
      </c>
      <c r="AS273">
        <f t="shared" si="208"/>
        <v>0</v>
      </c>
      <c r="AT273">
        <f t="shared" si="226"/>
        <v>0</v>
      </c>
      <c r="AU273">
        <f t="shared" si="227"/>
        <v>0</v>
      </c>
      <c r="AV273">
        <f t="shared" si="209"/>
        <v>2.4001767873426018E-20</v>
      </c>
      <c r="AW273" t="b">
        <f t="shared" si="228"/>
        <v>1</v>
      </c>
      <c r="AX273">
        <f t="shared" si="210"/>
        <v>7.8539816339744828</v>
      </c>
      <c r="AY273">
        <f t="shared" si="211"/>
        <v>2.6211696564378122</v>
      </c>
      <c r="AZ273">
        <f t="shared" si="212"/>
        <v>0.42395969074432877</v>
      </c>
      <c r="BA273">
        <f t="shared" si="213"/>
        <v>0.39254966055017626</v>
      </c>
      <c r="BB273">
        <f t="shared" si="214"/>
        <v>-1.2337005501361696E-20</v>
      </c>
      <c r="BD273" s="15">
        <f t="shared" si="229"/>
        <v>11.291660641706802</v>
      </c>
      <c r="BE273" s="10">
        <f t="shared" si="230"/>
        <v>0</v>
      </c>
      <c r="BF273">
        <f t="shared" si="231"/>
        <v>0</v>
      </c>
      <c r="BG273">
        <f t="shared" si="232"/>
        <v>0</v>
      </c>
      <c r="BH273">
        <f t="shared" si="233"/>
        <v>0</v>
      </c>
      <c r="BI273">
        <f t="shared" si="234"/>
        <v>0</v>
      </c>
    </row>
    <row r="274" spans="1:61" x14ac:dyDescent="0.3">
      <c r="A274">
        <f t="shared" si="239"/>
        <v>0.23699999999999999</v>
      </c>
      <c r="B274">
        <f t="shared" si="182"/>
        <v>0.74455745890078096</v>
      </c>
      <c r="C274">
        <f t="shared" si="183"/>
        <v>2.3970351946890123</v>
      </c>
      <c r="D274">
        <f t="shared" si="184"/>
        <v>2.3970351946890123</v>
      </c>
      <c r="E274">
        <f t="shared" si="189"/>
        <v>0.67764643747010223</v>
      </c>
      <c r="F274">
        <f t="shared" si="190"/>
        <v>0.67764643747010223</v>
      </c>
      <c r="G274">
        <f t="shared" si="185"/>
        <v>0.74455745890078096</v>
      </c>
      <c r="H274">
        <f t="shared" si="186"/>
        <v>0.67764643747010223</v>
      </c>
      <c r="I274">
        <f t="shared" si="187"/>
        <v>0.67764643747010223</v>
      </c>
      <c r="J274">
        <f t="shared" si="235"/>
        <v>9.3945712272068002E+19</v>
      </c>
      <c r="K274">
        <f t="shared" si="236"/>
        <v>9.3945712272068002E+19</v>
      </c>
      <c r="L274">
        <f t="shared" si="191"/>
        <v>1</v>
      </c>
      <c r="M274">
        <f t="shared" si="188"/>
        <v>2.3970351946890121E-20</v>
      </c>
      <c r="N274" s="9">
        <f t="shared" si="237"/>
        <v>2.3970351946890121E-20</v>
      </c>
      <c r="O274">
        <f t="shared" si="238"/>
        <v>2.3970351946890121E-20</v>
      </c>
      <c r="Q274">
        <f t="shared" si="192"/>
        <v>45.989248760308151</v>
      </c>
      <c r="R274">
        <f t="shared" si="193"/>
        <v>0</v>
      </c>
      <c r="S274">
        <f t="shared" si="215"/>
        <v>-45.177469221729197</v>
      </c>
      <c r="T274" s="9" t="e">
        <f t="shared" si="194"/>
        <v>#N/A</v>
      </c>
      <c r="U274">
        <f t="shared" si="216"/>
        <v>-1.0000000000000001E+300</v>
      </c>
      <c r="V274">
        <f t="shared" si="217"/>
        <v>0</v>
      </c>
      <c r="W274">
        <f t="shared" si="218"/>
        <v>0</v>
      </c>
      <c r="X274">
        <f t="shared" si="195"/>
        <v>2.3970351946890123</v>
      </c>
      <c r="Y274">
        <f t="shared" si="196"/>
        <v>7.8539816339744828</v>
      </c>
      <c r="Z274">
        <f t="shared" si="197"/>
        <v>-2.3970351946890123</v>
      </c>
      <c r="AA274">
        <f t="shared" si="219"/>
        <v>2.6012836289970629</v>
      </c>
      <c r="AB274">
        <f t="shared" si="198"/>
        <v>10.455265262971546</v>
      </c>
      <c r="AC274">
        <f t="shared" si="220"/>
        <v>0.42264993286226527</v>
      </c>
      <c r="AD274">
        <f t="shared" si="199"/>
        <v>0.38912960571669181</v>
      </c>
      <c r="AE274" s="9">
        <f t="shared" si="221"/>
        <v>11.267044801550503</v>
      </c>
      <c r="AF274">
        <f t="shared" si="222"/>
        <v>0</v>
      </c>
      <c r="AH274">
        <f t="shared" si="200"/>
        <v>7.8539816339744828</v>
      </c>
      <c r="AI274">
        <f t="shared" si="201"/>
        <v>2.601283628997062</v>
      </c>
      <c r="AJ274">
        <f t="shared" si="202"/>
        <v>0.42264993286226371</v>
      </c>
      <c r="AK274">
        <f t="shared" si="203"/>
        <v>0.38912960571669181</v>
      </c>
      <c r="AL274" s="9">
        <f t="shared" si="223"/>
        <v>11.267044801550499</v>
      </c>
      <c r="AM274" t="e">
        <f t="shared" si="204"/>
        <v>#N/A</v>
      </c>
      <c r="AN274" t="e">
        <f t="shared" si="224"/>
        <v>#N/A</v>
      </c>
      <c r="AO274">
        <f t="shared" si="205"/>
        <v>0</v>
      </c>
      <c r="AP274">
        <f t="shared" si="206"/>
        <v>0</v>
      </c>
      <c r="AQ274">
        <f t="shared" si="207"/>
        <v>-1.5543122344752192E-15</v>
      </c>
      <c r="AR274">
        <f t="shared" si="225"/>
        <v>0</v>
      </c>
      <c r="AS274">
        <f t="shared" si="208"/>
        <v>0</v>
      </c>
      <c r="AT274">
        <f t="shared" si="226"/>
        <v>0</v>
      </c>
      <c r="AU274">
        <f t="shared" si="227"/>
        <v>0</v>
      </c>
      <c r="AV274">
        <f t="shared" si="209"/>
        <v>2.3970351946890121E-20</v>
      </c>
      <c r="AW274" t="b">
        <f t="shared" si="228"/>
        <v>1</v>
      </c>
      <c r="AX274">
        <f t="shared" si="210"/>
        <v>7.8539816339744828</v>
      </c>
      <c r="AY274">
        <f t="shared" si="211"/>
        <v>2.6012836289970624</v>
      </c>
      <c r="AZ274">
        <f t="shared" si="212"/>
        <v>0.42264993286226527</v>
      </c>
      <c r="BA274">
        <f t="shared" si="213"/>
        <v>0.38912960571669181</v>
      </c>
      <c r="BB274">
        <f t="shared" si="214"/>
        <v>-1.2337005501361696E-20</v>
      </c>
      <c r="BD274" s="15">
        <f t="shared" si="229"/>
        <v>11.267044801550503</v>
      </c>
      <c r="BE274" s="10">
        <f t="shared" si="230"/>
        <v>0</v>
      </c>
      <c r="BF274">
        <f t="shared" si="231"/>
        <v>0</v>
      </c>
      <c r="BG274">
        <f t="shared" si="232"/>
        <v>0</v>
      </c>
      <c r="BH274">
        <f t="shared" si="233"/>
        <v>0</v>
      </c>
      <c r="BI274">
        <f t="shared" si="234"/>
        <v>0</v>
      </c>
    </row>
    <row r="275" spans="1:61" x14ac:dyDescent="0.3">
      <c r="A275">
        <f t="shared" si="239"/>
        <v>0.23799999999999999</v>
      </c>
      <c r="B275">
        <f t="shared" si="182"/>
        <v>0.74769905155437077</v>
      </c>
      <c r="C275">
        <f t="shared" si="183"/>
        <v>2.3938936020354222</v>
      </c>
      <c r="D275">
        <f t="shared" si="184"/>
        <v>2.3938936020354222</v>
      </c>
      <c r="E275">
        <f t="shared" si="189"/>
        <v>0.67995337872241923</v>
      </c>
      <c r="F275">
        <f t="shared" si="190"/>
        <v>0.67995337872241934</v>
      </c>
      <c r="G275">
        <f t="shared" si="185"/>
        <v>0.74769905155437077</v>
      </c>
      <c r="H275">
        <f t="shared" si="186"/>
        <v>0.67995337872241923</v>
      </c>
      <c r="I275">
        <f t="shared" si="187"/>
        <v>0.67995337872241934</v>
      </c>
      <c r="J275">
        <f t="shared" si="235"/>
        <v>9.3626973891024945E+19</v>
      </c>
      <c r="K275">
        <f t="shared" si="236"/>
        <v>9.3626973891024945E+19</v>
      </c>
      <c r="L275">
        <f t="shared" si="191"/>
        <v>1</v>
      </c>
      <c r="M275">
        <f t="shared" si="188"/>
        <v>2.3938936020354225E-20</v>
      </c>
      <c r="N275" s="9">
        <f t="shared" si="237"/>
        <v>2.3938936020354225E-20</v>
      </c>
      <c r="O275">
        <f t="shared" si="238"/>
        <v>2.3938936020354225E-20</v>
      </c>
      <c r="Q275">
        <f t="shared" si="192"/>
        <v>45.985850198456163</v>
      </c>
      <c r="R275">
        <f t="shared" si="193"/>
        <v>0</v>
      </c>
      <c r="S275">
        <f t="shared" si="215"/>
        <v>-45.178780697327007</v>
      </c>
      <c r="T275" s="9" t="e">
        <f t="shared" si="194"/>
        <v>#N/A</v>
      </c>
      <c r="U275">
        <f t="shared" si="216"/>
        <v>-1.0000000000000001E+300</v>
      </c>
      <c r="V275">
        <f t="shared" si="217"/>
        <v>0</v>
      </c>
      <c r="W275">
        <f t="shared" si="218"/>
        <v>0</v>
      </c>
      <c r="X275">
        <f t="shared" si="195"/>
        <v>2.3938936020354222</v>
      </c>
      <c r="Y275">
        <f t="shared" si="196"/>
        <v>7.8539816339744828</v>
      </c>
      <c r="Z275">
        <f t="shared" si="197"/>
        <v>-2.3938936020354222</v>
      </c>
      <c r="AA275">
        <f t="shared" si="219"/>
        <v>2.5815524077233003</v>
      </c>
      <c r="AB275">
        <f t="shared" si="198"/>
        <v>10.435534041697784</v>
      </c>
      <c r="AC275">
        <f t="shared" si="220"/>
        <v>0.42133845726445457</v>
      </c>
      <c r="AD275">
        <f t="shared" si="199"/>
        <v>0.38573104386470169</v>
      </c>
      <c r="AE275" s="9">
        <f t="shared" si="221"/>
        <v>11.24260354282694</v>
      </c>
      <c r="AF275">
        <f t="shared" si="222"/>
        <v>0</v>
      </c>
      <c r="AH275">
        <f t="shared" si="200"/>
        <v>7.8539816339744828</v>
      </c>
      <c r="AI275">
        <f t="shared" si="201"/>
        <v>2.5815524077233007</v>
      </c>
      <c r="AJ275">
        <f t="shared" si="202"/>
        <v>0.42133845726445429</v>
      </c>
      <c r="AK275">
        <f t="shared" si="203"/>
        <v>0.38573104386470169</v>
      </c>
      <c r="AL275" s="9">
        <f t="shared" si="223"/>
        <v>11.24260354282694</v>
      </c>
      <c r="AM275" t="e">
        <f t="shared" si="204"/>
        <v>#N/A</v>
      </c>
      <c r="AN275" t="e">
        <f t="shared" si="224"/>
        <v>#N/A</v>
      </c>
      <c r="AO275">
        <f t="shared" si="205"/>
        <v>0</v>
      </c>
      <c r="AP275">
        <f t="shared" si="206"/>
        <v>0</v>
      </c>
      <c r="AQ275">
        <f t="shared" si="207"/>
        <v>0</v>
      </c>
      <c r="AR275">
        <f t="shared" si="225"/>
        <v>0</v>
      </c>
      <c r="AS275">
        <f t="shared" si="208"/>
        <v>0</v>
      </c>
      <c r="AT275">
        <f t="shared" si="226"/>
        <v>0</v>
      </c>
      <c r="AU275">
        <f t="shared" si="227"/>
        <v>0</v>
      </c>
      <c r="AV275">
        <f t="shared" si="209"/>
        <v>2.3938936020354222E-20</v>
      </c>
      <c r="AW275" t="b">
        <f t="shared" si="228"/>
        <v>1</v>
      </c>
      <c r="AX275">
        <f t="shared" si="210"/>
        <v>7.8539816339744828</v>
      </c>
      <c r="AY275">
        <f t="shared" si="211"/>
        <v>2.5815524077232999</v>
      </c>
      <c r="AZ275">
        <f t="shared" si="212"/>
        <v>0.42133845726445457</v>
      </c>
      <c r="BA275">
        <f t="shared" si="213"/>
        <v>0.38573104386470153</v>
      </c>
      <c r="BB275">
        <f t="shared" si="214"/>
        <v>-1.2337005501361696E-20</v>
      </c>
      <c r="BD275" s="15">
        <f t="shared" si="229"/>
        <v>11.242603542826938</v>
      </c>
      <c r="BE275" s="10">
        <f t="shared" si="230"/>
        <v>0</v>
      </c>
      <c r="BF275">
        <f t="shared" si="231"/>
        <v>0</v>
      </c>
      <c r="BG275">
        <f t="shared" si="232"/>
        <v>0</v>
      </c>
      <c r="BH275">
        <f t="shared" si="233"/>
        <v>0</v>
      </c>
      <c r="BI275">
        <f t="shared" si="234"/>
        <v>0</v>
      </c>
    </row>
    <row r="276" spans="1:61" x14ac:dyDescent="0.3">
      <c r="A276">
        <f t="shared" si="239"/>
        <v>0.23899999999999999</v>
      </c>
      <c r="B276">
        <f t="shared" si="182"/>
        <v>0.75084064420796048</v>
      </c>
      <c r="C276">
        <f t="shared" si="183"/>
        <v>2.3907520093818326</v>
      </c>
      <c r="D276">
        <f t="shared" si="184"/>
        <v>2.3907520093818326</v>
      </c>
      <c r="E276">
        <f t="shared" si="189"/>
        <v>0.68225360910939636</v>
      </c>
      <c r="F276">
        <f t="shared" si="190"/>
        <v>0.68225360910939647</v>
      </c>
      <c r="G276">
        <f t="shared" si="185"/>
        <v>0.75084064420796048</v>
      </c>
      <c r="H276">
        <f t="shared" si="186"/>
        <v>0.68225360910939636</v>
      </c>
      <c r="I276">
        <f t="shared" si="187"/>
        <v>0.68225360910939647</v>
      </c>
      <c r="J276">
        <f t="shared" si="235"/>
        <v>9.3311308854579069E+19</v>
      </c>
      <c r="K276">
        <f t="shared" si="236"/>
        <v>9.3311308854579069E+19</v>
      </c>
      <c r="L276" t="e">
        <f t="shared" si="191"/>
        <v>#NUM!</v>
      </c>
      <c r="M276">
        <f t="shared" si="188"/>
        <v>2.3907520093818325E-20</v>
      </c>
      <c r="N276" s="9" t="e">
        <f t="shared" si="237"/>
        <v>#NUM!</v>
      </c>
      <c r="O276" t="e">
        <f t="shared" si="238"/>
        <v>#NUM!</v>
      </c>
      <c r="Q276">
        <f t="shared" si="192"/>
        <v>45.982472983989034</v>
      </c>
      <c r="R276">
        <f t="shared" si="193"/>
        <v>0</v>
      </c>
      <c r="S276">
        <f t="shared" si="215"/>
        <v>-45.180093895151963</v>
      </c>
      <c r="T276" s="9" t="e">
        <f t="shared" si="194"/>
        <v>#N/A</v>
      </c>
      <c r="U276">
        <f t="shared" si="216"/>
        <v>-1.0000000000000001E+300</v>
      </c>
      <c r="V276">
        <f t="shared" si="217"/>
        <v>0</v>
      </c>
      <c r="W276">
        <f t="shared" si="218"/>
        <v>0</v>
      </c>
      <c r="X276">
        <f t="shared" si="195"/>
        <v>2.3907520093818326</v>
      </c>
      <c r="Y276">
        <f t="shared" si="196"/>
        <v>7.8539816339744828</v>
      </c>
      <c r="Z276">
        <f t="shared" si="197"/>
        <v>-2.3907520093818326</v>
      </c>
      <c r="AA276">
        <f t="shared" si="219"/>
        <v>2.5619741014965385</v>
      </c>
      <c r="AB276">
        <f t="shared" si="198"/>
        <v>10.415955735471021</v>
      </c>
      <c r="AC276">
        <f t="shared" si="220"/>
        <v>0.42002525943949409</v>
      </c>
      <c r="AD276">
        <f t="shared" si="199"/>
        <v>0.38235382939757301</v>
      </c>
      <c r="AE276" s="9">
        <f t="shared" si="221"/>
        <v>11.218334824308089</v>
      </c>
      <c r="AF276">
        <f t="shared" si="222"/>
        <v>0</v>
      </c>
      <c r="AH276">
        <f t="shared" si="200"/>
        <v>7.8539816339744828</v>
      </c>
      <c r="AI276">
        <f t="shared" si="201"/>
        <v>2.5619741014965389</v>
      </c>
      <c r="AJ276">
        <f t="shared" si="202"/>
        <v>0.4200252594394982</v>
      </c>
      <c r="AK276">
        <f t="shared" si="203"/>
        <v>0.38235382939757301</v>
      </c>
      <c r="AL276" s="9">
        <f t="shared" si="223"/>
        <v>11.218334824308092</v>
      </c>
      <c r="AM276" t="e">
        <f t="shared" si="204"/>
        <v>#N/A</v>
      </c>
      <c r="AN276" t="e">
        <f t="shared" si="224"/>
        <v>#N/A</v>
      </c>
      <c r="AO276">
        <f t="shared" si="205"/>
        <v>0</v>
      </c>
      <c r="AP276">
        <f t="shared" si="206"/>
        <v>0</v>
      </c>
      <c r="AQ276">
        <f t="shared" si="207"/>
        <v>4.1078251911130792E-15</v>
      </c>
      <c r="AR276">
        <f t="shared" si="225"/>
        <v>0</v>
      </c>
      <c r="AS276">
        <f t="shared" si="208"/>
        <v>0</v>
      </c>
      <c r="AT276">
        <f t="shared" si="226"/>
        <v>0</v>
      </c>
      <c r="AU276">
        <f t="shared" si="227"/>
        <v>0</v>
      </c>
      <c r="AV276">
        <f t="shared" si="209"/>
        <v>2.3907520093818325E-20</v>
      </c>
      <c r="AW276" t="b">
        <f t="shared" si="228"/>
        <v>1</v>
      </c>
      <c r="AX276">
        <f t="shared" si="210"/>
        <v>7.8539816339744828</v>
      </c>
      <c r="AY276">
        <f t="shared" si="211"/>
        <v>2.5619741014965376</v>
      </c>
      <c r="AZ276">
        <f t="shared" si="212"/>
        <v>0.42002525943949409</v>
      </c>
      <c r="BA276">
        <f t="shared" si="213"/>
        <v>0.38235382939757284</v>
      </c>
      <c r="BB276">
        <f t="shared" si="214"/>
        <v>-1.2337005501361696E-20</v>
      </c>
      <c r="BD276" s="15">
        <f t="shared" si="229"/>
        <v>11.218334824308087</v>
      </c>
      <c r="BE276" s="10">
        <f t="shared" si="230"/>
        <v>0</v>
      </c>
      <c r="BF276">
        <f t="shared" si="231"/>
        <v>0</v>
      </c>
      <c r="BG276">
        <f t="shared" si="232"/>
        <v>0</v>
      </c>
      <c r="BH276">
        <f t="shared" si="233"/>
        <v>0</v>
      </c>
      <c r="BI276">
        <f t="shared" si="234"/>
        <v>0</v>
      </c>
    </row>
    <row r="277" spans="1:61" x14ac:dyDescent="0.3">
      <c r="A277">
        <f t="shared" si="239"/>
        <v>0.24</v>
      </c>
      <c r="B277">
        <f t="shared" si="182"/>
        <v>0.7539822368615503</v>
      </c>
      <c r="C277">
        <f t="shared" si="183"/>
        <v>2.3876104167282426</v>
      </c>
      <c r="D277">
        <f t="shared" si="184"/>
        <v>2.3876104167282426</v>
      </c>
      <c r="E277">
        <f t="shared" si="189"/>
        <v>0.68454710592868862</v>
      </c>
      <c r="F277">
        <f t="shared" si="190"/>
        <v>0.68454710592868884</v>
      </c>
      <c r="G277">
        <f t="shared" si="185"/>
        <v>0.7539822368615503</v>
      </c>
      <c r="H277">
        <f t="shared" si="186"/>
        <v>0.68454710592868862</v>
      </c>
      <c r="I277">
        <f t="shared" si="187"/>
        <v>0.68454710592868884</v>
      </c>
      <c r="J277">
        <f t="shared" si="235"/>
        <v>9.2998679981841908E+19</v>
      </c>
      <c r="K277">
        <f t="shared" si="236"/>
        <v>9.2998679981841908E+19</v>
      </c>
      <c r="L277">
        <f t="shared" si="191"/>
        <v>1</v>
      </c>
      <c r="M277">
        <f t="shared" si="188"/>
        <v>2.3876104167282425E-20</v>
      </c>
      <c r="N277" s="9">
        <f t="shared" si="237"/>
        <v>2.3876104167282425E-20</v>
      </c>
      <c r="O277">
        <f t="shared" si="238"/>
        <v>2.3876104167282425E-20</v>
      </c>
      <c r="Q277">
        <f t="shared" si="192"/>
        <v>45.979116973201712</v>
      </c>
      <c r="R277">
        <f t="shared" si="193"/>
        <v>0</v>
      </c>
      <c r="S277">
        <f t="shared" si="215"/>
        <v>-45.181408819733271</v>
      </c>
      <c r="T277" s="9" t="e">
        <f t="shared" si="194"/>
        <v>#N/A</v>
      </c>
      <c r="U277">
        <f t="shared" si="216"/>
        <v>-1.0000000000000001E+300</v>
      </c>
      <c r="V277">
        <f t="shared" si="217"/>
        <v>0</v>
      </c>
      <c r="W277">
        <f t="shared" si="218"/>
        <v>0</v>
      </c>
      <c r="X277">
        <f t="shared" si="195"/>
        <v>2.3876104167282426</v>
      </c>
      <c r="Y277">
        <f t="shared" si="196"/>
        <v>7.8539816339744828</v>
      </c>
      <c r="Z277">
        <f t="shared" si="197"/>
        <v>-2.3876104167282426</v>
      </c>
      <c r="AA277">
        <f t="shared" si="219"/>
        <v>2.5425468506483804</v>
      </c>
      <c r="AB277">
        <f t="shared" si="198"/>
        <v>10.396528484622863</v>
      </c>
      <c r="AC277">
        <f t="shared" si="220"/>
        <v>0.41871033485818487</v>
      </c>
      <c r="AD277">
        <f t="shared" si="199"/>
        <v>0.37899781861025172</v>
      </c>
      <c r="AE277" s="9">
        <f t="shared" si="221"/>
        <v>11.194236638091299</v>
      </c>
      <c r="AF277">
        <f t="shared" si="222"/>
        <v>0</v>
      </c>
      <c r="AH277">
        <f t="shared" si="200"/>
        <v>7.8539816339744828</v>
      </c>
      <c r="AI277">
        <f t="shared" si="201"/>
        <v>2.5425468506483817</v>
      </c>
      <c r="AJ277">
        <f t="shared" si="202"/>
        <v>0.41871033485818998</v>
      </c>
      <c r="AK277">
        <f t="shared" si="203"/>
        <v>0.37899781861025172</v>
      </c>
      <c r="AL277" s="9">
        <f t="shared" si="223"/>
        <v>11.194236638091306</v>
      </c>
      <c r="AM277" t="e">
        <f t="shared" si="204"/>
        <v>#N/A</v>
      </c>
      <c r="AN277" t="e">
        <f t="shared" si="224"/>
        <v>#N/A</v>
      </c>
      <c r="AO277">
        <f t="shared" si="205"/>
        <v>0</v>
      </c>
      <c r="AP277">
        <f t="shared" si="206"/>
        <v>0</v>
      </c>
      <c r="AQ277">
        <f t="shared" si="207"/>
        <v>5.1070259132757201E-15</v>
      </c>
      <c r="AR277">
        <f t="shared" si="225"/>
        <v>0</v>
      </c>
      <c r="AS277">
        <f t="shared" si="208"/>
        <v>0</v>
      </c>
      <c r="AT277">
        <f t="shared" si="226"/>
        <v>0</v>
      </c>
      <c r="AU277">
        <f t="shared" si="227"/>
        <v>0</v>
      </c>
      <c r="AV277">
        <f t="shared" si="209"/>
        <v>2.3876104167282425E-20</v>
      </c>
      <c r="AW277" t="b">
        <f t="shared" si="228"/>
        <v>1</v>
      </c>
      <c r="AX277">
        <f t="shared" si="210"/>
        <v>7.8539816339744828</v>
      </c>
      <c r="AY277">
        <f t="shared" si="211"/>
        <v>2.5425468506483799</v>
      </c>
      <c r="AZ277">
        <f t="shared" si="212"/>
        <v>0.41871033485818504</v>
      </c>
      <c r="BA277">
        <f t="shared" si="213"/>
        <v>0.37899781861025139</v>
      </c>
      <c r="BB277">
        <f t="shared" si="214"/>
        <v>-1.2337005501361696E-20</v>
      </c>
      <c r="BD277" s="15">
        <f t="shared" si="229"/>
        <v>11.194236638091299</v>
      </c>
      <c r="BE277" s="10">
        <f t="shared" si="230"/>
        <v>0</v>
      </c>
      <c r="BF277">
        <f t="shared" si="231"/>
        <v>0</v>
      </c>
      <c r="BG277">
        <f t="shared" si="232"/>
        <v>0</v>
      </c>
      <c r="BH277">
        <f t="shared" si="233"/>
        <v>0</v>
      </c>
      <c r="BI277">
        <f t="shared" si="234"/>
        <v>0</v>
      </c>
    </row>
    <row r="278" spans="1:61" x14ac:dyDescent="0.3">
      <c r="A278">
        <f t="shared" si="239"/>
        <v>0.24099999999999999</v>
      </c>
      <c r="B278">
        <f t="shared" si="182"/>
        <v>0.75712382951514012</v>
      </c>
      <c r="C278">
        <f t="shared" si="183"/>
        <v>2.384468824074653</v>
      </c>
      <c r="D278">
        <f t="shared" si="184"/>
        <v>2.384468824074653</v>
      </c>
      <c r="E278">
        <f t="shared" si="189"/>
        <v>0.68683384654440827</v>
      </c>
      <c r="F278">
        <f t="shared" si="190"/>
        <v>0.68683384654440827</v>
      </c>
      <c r="G278">
        <f t="shared" si="185"/>
        <v>0.75712382951514012</v>
      </c>
      <c r="H278">
        <f t="shared" si="186"/>
        <v>0.68683384654440827</v>
      </c>
      <c r="I278">
        <f t="shared" si="187"/>
        <v>0.68683384654440827</v>
      </c>
      <c r="J278">
        <f t="shared" si="235"/>
        <v>9.2689050717365862E+19</v>
      </c>
      <c r="K278">
        <f t="shared" si="236"/>
        <v>9.2689050717365862E+19</v>
      </c>
      <c r="L278">
        <f t="shared" si="191"/>
        <v>1</v>
      </c>
      <c r="M278">
        <f t="shared" si="188"/>
        <v>2.3844688240746529E-20</v>
      </c>
      <c r="N278" s="9">
        <f t="shared" si="237"/>
        <v>2.3844688240746529E-20</v>
      </c>
      <c r="O278">
        <f t="shared" si="238"/>
        <v>2.3844688240746529E-20</v>
      </c>
      <c r="Q278">
        <f t="shared" si="192"/>
        <v>45.975782024249703</v>
      </c>
      <c r="R278">
        <f t="shared" si="193"/>
        <v>-710542.73576010019</v>
      </c>
      <c r="S278">
        <f t="shared" si="215"/>
        <v>-45.182725475618021</v>
      </c>
      <c r="T278" s="9" t="e">
        <f t="shared" si="194"/>
        <v>#N/A</v>
      </c>
      <c r="U278">
        <f t="shared" si="216"/>
        <v>-1.0000000000000001E+300</v>
      </c>
      <c r="V278">
        <f t="shared" si="217"/>
        <v>0</v>
      </c>
      <c r="W278">
        <f t="shared" si="218"/>
        <v>0</v>
      </c>
      <c r="X278">
        <f t="shared" si="195"/>
        <v>2.384468824074653</v>
      </c>
      <c r="Y278">
        <f t="shared" si="196"/>
        <v>7.8539816339744828</v>
      </c>
      <c r="Z278">
        <f t="shared" si="197"/>
        <v>-2.384468824074653</v>
      </c>
      <c r="AA278">
        <f t="shared" si="219"/>
        <v>2.5232688263098701</v>
      </c>
      <c r="AB278">
        <f t="shared" si="198"/>
        <v>10.377250460284353</v>
      </c>
      <c r="AC278">
        <f t="shared" si="220"/>
        <v>0.41739367897343821</v>
      </c>
      <c r="AD278">
        <f t="shared" si="199"/>
        <v>0.37566286965824702</v>
      </c>
      <c r="AE278" s="9">
        <f t="shared" si="221"/>
        <v>11.170307008916039</v>
      </c>
      <c r="AF278">
        <f t="shared" si="222"/>
        <v>0</v>
      </c>
      <c r="AH278">
        <f t="shared" si="200"/>
        <v>7.8539816339744828</v>
      </c>
      <c r="AI278">
        <f t="shared" si="201"/>
        <v>2.5232688263098706</v>
      </c>
      <c r="AJ278">
        <f t="shared" si="202"/>
        <v>0.41739367897343982</v>
      </c>
      <c r="AK278">
        <f t="shared" si="203"/>
        <v>0.37566286965824702</v>
      </c>
      <c r="AL278" s="9">
        <f t="shared" si="223"/>
        <v>11.170307008916041</v>
      </c>
      <c r="AM278" t="e">
        <f t="shared" si="204"/>
        <v>#N/A</v>
      </c>
      <c r="AN278" t="e">
        <f t="shared" si="224"/>
        <v>#N/A</v>
      </c>
      <c r="AO278">
        <f t="shared" si="205"/>
        <v>0</v>
      </c>
      <c r="AP278">
        <f t="shared" si="206"/>
        <v>0</v>
      </c>
      <c r="AQ278">
        <f t="shared" si="207"/>
        <v>1.609823385706477E-15</v>
      </c>
      <c r="AR278">
        <f t="shared" si="225"/>
        <v>0</v>
      </c>
      <c r="AS278">
        <f t="shared" si="208"/>
        <v>0</v>
      </c>
      <c r="AT278">
        <f t="shared" si="226"/>
        <v>0</v>
      </c>
      <c r="AU278">
        <f t="shared" si="227"/>
        <v>0</v>
      </c>
      <c r="AV278">
        <f t="shared" si="209"/>
        <v>2.3844688240746529E-20</v>
      </c>
      <c r="AW278" t="b">
        <f t="shared" si="228"/>
        <v>1</v>
      </c>
      <c r="AX278">
        <f t="shared" si="210"/>
        <v>7.8539816339744828</v>
      </c>
      <c r="AY278">
        <f t="shared" si="211"/>
        <v>2.5232688263098697</v>
      </c>
      <c r="AZ278">
        <f t="shared" si="212"/>
        <v>0.41739367897343821</v>
      </c>
      <c r="BA278">
        <f t="shared" si="213"/>
        <v>0.37566286965824702</v>
      </c>
      <c r="BB278">
        <f t="shared" si="214"/>
        <v>-1.2337005501361696E-20</v>
      </c>
      <c r="BD278" s="15">
        <f t="shared" si="229"/>
        <v>11.170307008916039</v>
      </c>
      <c r="BE278" s="10">
        <f t="shared" si="230"/>
        <v>0</v>
      </c>
      <c r="BF278">
        <f t="shared" si="231"/>
        <v>0</v>
      </c>
      <c r="BG278">
        <f t="shared" si="232"/>
        <v>0</v>
      </c>
      <c r="BH278">
        <f t="shared" si="233"/>
        <v>0</v>
      </c>
      <c r="BI278">
        <f t="shared" si="234"/>
        <v>0</v>
      </c>
    </row>
    <row r="279" spans="1:61" x14ac:dyDescent="0.3">
      <c r="A279">
        <f t="shared" si="239"/>
        <v>0.24199999999999999</v>
      </c>
      <c r="B279">
        <f t="shared" si="182"/>
        <v>0.76026542216872994</v>
      </c>
      <c r="C279">
        <f t="shared" si="183"/>
        <v>2.3813272314210634</v>
      </c>
      <c r="D279">
        <f t="shared" si="184"/>
        <v>2.3813272314210634</v>
      </c>
      <c r="E279">
        <f t="shared" si="189"/>
        <v>0.68911380838734848</v>
      </c>
      <c r="F279">
        <f t="shared" si="190"/>
        <v>0.68911380838734837</v>
      </c>
      <c r="G279">
        <f t="shared" si="185"/>
        <v>0.76026542216872994</v>
      </c>
      <c r="H279">
        <f t="shared" si="186"/>
        <v>0.68911380838734848</v>
      </c>
      <c r="I279">
        <f t="shared" si="187"/>
        <v>0.68911380838734837</v>
      </c>
      <c r="J279">
        <f t="shared" si="235"/>
        <v>9.238238511827057E+19</v>
      </c>
      <c r="K279">
        <f t="shared" si="236"/>
        <v>9.238238511827057E+19</v>
      </c>
      <c r="L279">
        <f t="shared" si="191"/>
        <v>1</v>
      </c>
      <c r="M279">
        <f t="shared" si="188"/>
        <v>2.3813272314210632E-20</v>
      </c>
      <c r="N279" s="9">
        <f t="shared" si="237"/>
        <v>2.3813272314210632E-20</v>
      </c>
      <c r="O279">
        <f t="shared" si="238"/>
        <v>2.3813272314210632E-20</v>
      </c>
      <c r="Q279">
        <f t="shared" si="192"/>
        <v>45.97246799711872</v>
      </c>
      <c r="R279">
        <f t="shared" si="193"/>
        <v>0</v>
      </c>
      <c r="S279">
        <f t="shared" si="215"/>
        <v>-45.18404386737128</v>
      </c>
      <c r="T279" s="9" t="e">
        <f t="shared" si="194"/>
        <v>#N/A</v>
      </c>
      <c r="U279">
        <f t="shared" si="216"/>
        <v>-1.0000000000000001E+300</v>
      </c>
      <c r="V279">
        <f t="shared" si="217"/>
        <v>0</v>
      </c>
      <c r="W279">
        <f t="shared" si="218"/>
        <v>0</v>
      </c>
      <c r="X279">
        <f t="shared" si="195"/>
        <v>2.3813272314210634</v>
      </c>
      <c r="Y279">
        <f t="shared" si="196"/>
        <v>7.8539816339744828</v>
      </c>
      <c r="Z279">
        <f t="shared" si="197"/>
        <v>-2.3813272314210634</v>
      </c>
      <c r="AA279">
        <f t="shared" si="219"/>
        <v>2.5041382297754708</v>
      </c>
      <c r="AB279">
        <f t="shared" si="198"/>
        <v>10.358119863749954</v>
      </c>
      <c r="AC279">
        <f t="shared" si="220"/>
        <v>0.41607528722018006</v>
      </c>
      <c r="AD279">
        <f t="shared" si="199"/>
        <v>0.37234884252725797</v>
      </c>
      <c r="AE279" s="9">
        <f t="shared" si="221"/>
        <v>11.14654399349739</v>
      </c>
      <c r="AF279">
        <f t="shared" si="222"/>
        <v>0</v>
      </c>
      <c r="AH279">
        <f t="shared" si="200"/>
        <v>7.8539816339744828</v>
      </c>
      <c r="AI279">
        <f t="shared" si="201"/>
        <v>2.50413822977547</v>
      </c>
      <c r="AJ279">
        <f t="shared" si="202"/>
        <v>0.41607528722018117</v>
      </c>
      <c r="AK279">
        <f t="shared" si="203"/>
        <v>0.37234884252725797</v>
      </c>
      <c r="AL279" s="9">
        <f t="shared" si="223"/>
        <v>11.14654399349739</v>
      </c>
      <c r="AM279" t="e">
        <f t="shared" si="204"/>
        <v>#N/A</v>
      </c>
      <c r="AN279" t="e">
        <f t="shared" si="224"/>
        <v>#N/A</v>
      </c>
      <c r="AO279">
        <f t="shared" si="205"/>
        <v>0</v>
      </c>
      <c r="AP279">
        <f t="shared" si="206"/>
        <v>0</v>
      </c>
      <c r="AQ279">
        <f t="shared" si="207"/>
        <v>1.1102230246251565E-15</v>
      </c>
      <c r="AR279">
        <f t="shared" si="225"/>
        <v>0</v>
      </c>
      <c r="AS279">
        <f t="shared" si="208"/>
        <v>0</v>
      </c>
      <c r="AT279">
        <f t="shared" si="226"/>
        <v>0</v>
      </c>
      <c r="AU279">
        <f t="shared" si="227"/>
        <v>0</v>
      </c>
      <c r="AV279">
        <f t="shared" si="209"/>
        <v>2.3813272314210632E-20</v>
      </c>
      <c r="AW279" t="b">
        <f t="shared" si="228"/>
        <v>1</v>
      </c>
      <c r="AX279">
        <f t="shared" si="210"/>
        <v>7.8539816339744828</v>
      </c>
      <c r="AY279">
        <f t="shared" si="211"/>
        <v>2.5041382297754704</v>
      </c>
      <c r="AZ279">
        <f t="shared" si="212"/>
        <v>0.41607528722018006</v>
      </c>
      <c r="BA279">
        <f t="shared" si="213"/>
        <v>0.37234884252725808</v>
      </c>
      <c r="BB279">
        <f t="shared" si="214"/>
        <v>-1.2337005501361696E-20</v>
      </c>
      <c r="BD279" s="15">
        <f t="shared" si="229"/>
        <v>11.14654399349739</v>
      </c>
      <c r="BE279" s="10">
        <f t="shared" si="230"/>
        <v>0</v>
      </c>
      <c r="BF279">
        <f t="shared" si="231"/>
        <v>0</v>
      </c>
      <c r="BG279">
        <f t="shared" si="232"/>
        <v>0</v>
      </c>
      <c r="BH279">
        <f t="shared" si="233"/>
        <v>0</v>
      </c>
      <c r="BI279">
        <f t="shared" si="234"/>
        <v>0</v>
      </c>
    </row>
    <row r="280" spans="1:61" x14ac:dyDescent="0.3">
      <c r="A280">
        <f t="shared" si="239"/>
        <v>0.24299999999999999</v>
      </c>
      <c r="B280">
        <f t="shared" ref="B280:B343" si="240">th_max*A280</f>
        <v>0.76340701482231976</v>
      </c>
      <c r="C280">
        <f t="shared" ref="C280:C343" si="241">th_max-B280</f>
        <v>2.3781856387674734</v>
      </c>
      <c r="D280">
        <f t="shared" ref="D280:D343" si="242">IF(use_th_l,B280,C280)</f>
        <v>2.3781856387674734</v>
      </c>
      <c r="E280">
        <f t="shared" si="189"/>
        <v>0.69138696895520646</v>
      </c>
      <c r="F280">
        <f t="shared" si="190"/>
        <v>0.69138696895520646</v>
      </c>
      <c r="G280">
        <f t="shared" ref="G280:G343" si="243">alpha*B280</f>
        <v>0.76340701482231976</v>
      </c>
      <c r="H280">
        <f t="shared" ref="H280:H343" si="244">SIN(G280)</f>
        <v>0.69138696895520646</v>
      </c>
      <c r="I280">
        <f t="shared" ref="I280:I343" si="245">SIN(alpha*C280+add_r)</f>
        <v>0.69138696895520646</v>
      </c>
      <c r="J280">
        <f t="shared" si="235"/>
        <v>9.2078647841687437E+19</v>
      </c>
      <c r="K280">
        <f t="shared" si="236"/>
        <v>9.2078647841687437E+19</v>
      </c>
      <c r="L280">
        <f t="shared" si="191"/>
        <v>1</v>
      </c>
      <c r="M280">
        <f t="shared" ref="M280:M343" si="246">-SIN((alpha_m_1)*B280+add_l)</f>
        <v>2.3781856387674733E-20</v>
      </c>
      <c r="N280" s="9">
        <f t="shared" si="237"/>
        <v>2.3781856387674733E-20</v>
      </c>
      <c r="O280">
        <f t="shared" si="238"/>
        <v>2.3781856387674733E-20</v>
      </c>
      <c r="Q280">
        <f t="shared" si="192"/>
        <v>45.969174753594885</v>
      </c>
      <c r="R280">
        <f t="shared" si="193"/>
        <v>-710542.73576010019</v>
      </c>
      <c r="S280">
        <f t="shared" si="215"/>
        <v>-45.185363999576204</v>
      </c>
      <c r="T280" s="9" t="e">
        <f t="shared" si="194"/>
        <v>#N/A</v>
      </c>
      <c r="U280">
        <f t="shared" si="216"/>
        <v>-1.0000000000000001E+300</v>
      </c>
      <c r="V280">
        <f t="shared" si="217"/>
        <v>0</v>
      </c>
      <c r="W280">
        <f t="shared" si="218"/>
        <v>0</v>
      </c>
      <c r="X280">
        <f t="shared" si="195"/>
        <v>2.3781856387674734</v>
      </c>
      <c r="Y280">
        <f t="shared" si="196"/>
        <v>7.8539816339744828</v>
      </c>
      <c r="Z280">
        <f t="shared" si="197"/>
        <v>-2.3781856387674734</v>
      </c>
      <c r="AA280">
        <f t="shared" si="219"/>
        <v>2.4851532918827726</v>
      </c>
      <c r="AB280">
        <f t="shared" si="198"/>
        <v>10.339134925857255</v>
      </c>
      <c r="AC280">
        <f t="shared" si="220"/>
        <v>0.41475515501525706</v>
      </c>
      <c r="AD280">
        <f t="shared" si="199"/>
        <v>0.36905559900342877</v>
      </c>
      <c r="AE280" s="9">
        <f t="shared" si="221"/>
        <v>11.122945679875942</v>
      </c>
      <c r="AF280">
        <f t="shared" si="222"/>
        <v>0</v>
      </c>
      <c r="AH280">
        <f t="shared" si="200"/>
        <v>7.8539816339744828</v>
      </c>
      <c r="AI280">
        <f t="shared" si="201"/>
        <v>2.4851532918827726</v>
      </c>
      <c r="AJ280">
        <f t="shared" si="202"/>
        <v>0.41475515501525706</v>
      </c>
      <c r="AK280">
        <f t="shared" si="203"/>
        <v>0.36905559900342877</v>
      </c>
      <c r="AL280" s="9">
        <f t="shared" si="223"/>
        <v>11.122945679875942</v>
      </c>
      <c r="AM280" t="e">
        <f t="shared" si="204"/>
        <v>#N/A</v>
      </c>
      <c r="AN280" t="e">
        <f t="shared" si="224"/>
        <v>#N/A</v>
      </c>
      <c r="AO280">
        <f t="shared" si="205"/>
        <v>0</v>
      </c>
      <c r="AP280">
        <f t="shared" si="206"/>
        <v>0</v>
      </c>
      <c r="AQ280">
        <f t="shared" si="207"/>
        <v>0</v>
      </c>
      <c r="AR280">
        <f t="shared" si="225"/>
        <v>0</v>
      </c>
      <c r="AS280">
        <f t="shared" si="208"/>
        <v>0</v>
      </c>
      <c r="AT280">
        <f t="shared" si="226"/>
        <v>0</v>
      </c>
      <c r="AU280">
        <f t="shared" si="227"/>
        <v>0</v>
      </c>
      <c r="AV280">
        <f t="shared" si="209"/>
        <v>2.3781856387674733E-20</v>
      </c>
      <c r="AW280" t="b">
        <f t="shared" si="228"/>
        <v>1</v>
      </c>
      <c r="AX280">
        <f t="shared" si="210"/>
        <v>7.8539816339744828</v>
      </c>
      <c r="AY280">
        <f t="shared" si="211"/>
        <v>2.4851532918827721</v>
      </c>
      <c r="AZ280">
        <f t="shared" si="212"/>
        <v>0.41475515501525706</v>
      </c>
      <c r="BA280">
        <f t="shared" si="213"/>
        <v>0.36905559900342877</v>
      </c>
      <c r="BB280">
        <f t="shared" si="214"/>
        <v>-1.2337005501361696E-20</v>
      </c>
      <c r="BD280" s="15">
        <f t="shared" si="229"/>
        <v>11.122945679875942</v>
      </c>
      <c r="BE280" s="10">
        <f t="shared" si="230"/>
        <v>0</v>
      </c>
      <c r="BF280">
        <f t="shared" si="231"/>
        <v>0</v>
      </c>
      <c r="BG280">
        <f t="shared" si="232"/>
        <v>0</v>
      </c>
      <c r="BH280">
        <f t="shared" si="233"/>
        <v>0</v>
      </c>
      <c r="BI280">
        <f t="shared" si="234"/>
        <v>0</v>
      </c>
    </row>
    <row r="281" spans="1:61" x14ac:dyDescent="0.3">
      <c r="A281">
        <f t="shared" si="239"/>
        <v>0.24399999999999999</v>
      </c>
      <c r="B281">
        <f t="shared" si="240"/>
        <v>0.76654860747590947</v>
      </c>
      <c r="C281">
        <f t="shared" si="241"/>
        <v>2.3750440461138838</v>
      </c>
      <c r="D281">
        <f t="shared" si="242"/>
        <v>2.3750440461138838</v>
      </c>
      <c r="E281">
        <f t="shared" ref="E281:E344" si="247">SIN(B281-add_l)</f>
        <v>0.69365330581280493</v>
      </c>
      <c r="F281">
        <f t="shared" ref="F281:F344" si="248">SIN(C281)</f>
        <v>0.69365330581280493</v>
      </c>
      <c r="G281">
        <f t="shared" si="243"/>
        <v>0.76654860747590947</v>
      </c>
      <c r="H281">
        <f t="shared" si="244"/>
        <v>0.69365330581280493</v>
      </c>
      <c r="I281">
        <f t="shared" si="245"/>
        <v>0.69365330581280493</v>
      </c>
      <c r="J281">
        <f t="shared" si="235"/>
        <v>9.1777804132513563E+19</v>
      </c>
      <c r="K281">
        <f t="shared" si="236"/>
        <v>9.1777804132513563E+19</v>
      </c>
      <c r="L281">
        <f t="shared" ref="L281:L344" si="249">(cat0*E281*K281)^(1/(alpha_m_1))</f>
        <v>1</v>
      </c>
      <c r="M281">
        <f t="shared" si="246"/>
        <v>2.3750440461138836E-20</v>
      </c>
      <c r="N281" s="9">
        <f t="shared" si="237"/>
        <v>2.3750440461138836E-20</v>
      </c>
      <c r="O281">
        <f t="shared" si="238"/>
        <v>2.3750440461138836E-20</v>
      </c>
      <c r="Q281">
        <f t="shared" ref="Q281:Q344" si="250">alpha*LN(J281)</f>
        <v>45.965902157235675</v>
      </c>
      <c r="R281">
        <f t="shared" ref="R281:R344" si="251">(LN(cat0)+LN(E281)+Q281)/(alpha_m_1)</f>
        <v>-710542.73576010019</v>
      </c>
      <c r="S281">
        <f t="shared" si="215"/>
        <v>-45.186685876834119</v>
      </c>
      <c r="T281" s="9" t="e">
        <f t="shared" ref="T281:T344" si="252">IF(ABS(alpha_m_1)&gt;0.00000000000001,R281+S281,NA())</f>
        <v>#N/A</v>
      </c>
      <c r="U281">
        <f t="shared" si="216"/>
        <v>-1.0000000000000001E+300</v>
      </c>
      <c r="V281">
        <f t="shared" si="217"/>
        <v>0</v>
      </c>
      <c r="W281">
        <f t="shared" si="218"/>
        <v>0</v>
      </c>
      <c r="X281">
        <f t="shared" ref="X281:X344" si="253">C281</f>
        <v>2.3750440461138838</v>
      </c>
      <c r="Y281">
        <f t="shared" ref="Y281:Y344" si="254">ea</f>
        <v>7.8539816339744828</v>
      </c>
      <c r="Z281">
        <f t="shared" ref="Z281:Z344" si="255">p2b+PI()/2-X281</f>
        <v>-2.3750440461138838</v>
      </c>
      <c r="AA281">
        <f t="shared" si="219"/>
        <v>2.4663122724074533</v>
      </c>
      <c r="AB281">
        <f t="shared" ref="AB281:AB344" si="256">$AA$7+AA281</f>
        <v>10.320293906381936</v>
      </c>
      <c r="AC281">
        <f t="shared" si="220"/>
        <v>0.41343327775734129</v>
      </c>
      <c r="AD281">
        <f t="shared" ref="AD281:AD344" si="257">-LN(SIN(A281*PI()))</f>
        <v>0.36578300264421892</v>
      </c>
      <c r="AE281" s="9">
        <f t="shared" si="221"/>
        <v>11.099510186783498</v>
      </c>
      <c r="AF281">
        <f t="shared" si="222"/>
        <v>0</v>
      </c>
      <c r="AH281">
        <f t="shared" ref="AH281:AH344" si="258">IF(use_alpha_near_1,$D$18,NA())</f>
        <v>7.8539816339744828</v>
      </c>
      <c r="AI281">
        <f t="shared" ref="AI281:AI344" si="259">IF(use_alpha_near_1,alpha/(alpha_m_1)*(log1p(-SIN(add_l)*_xlfn.COT(B281)-2*SIN(add_l/2)^2)-log1p(SIN(alpha_m_1*B281)*_xlfn.COT(B281)-2*SIN(alpha_m_1*B281/2)^2)),NA())</f>
        <v>2.4663122724074533</v>
      </c>
      <c r="AJ281">
        <f t="shared" ref="AJ281:AJ344" si="260">IF(use_alpha_near_1,$D$21+LN(M281),NA())</f>
        <v>0.41343327775734195</v>
      </c>
      <c r="AK281">
        <f t="shared" ref="AK281:AK344" si="261">IF(use_alpha_near_1,-LN(E281),NA())</f>
        <v>0.36578300264421892</v>
      </c>
      <c r="AL281" s="9">
        <f t="shared" si="223"/>
        <v>11.099510186783498</v>
      </c>
      <c r="AM281" t="e">
        <f t="shared" ref="AM281:AM344" si="262">AL281-T281</f>
        <v>#N/A</v>
      </c>
      <c r="AN281" t="e">
        <f t="shared" si="224"/>
        <v>#N/A</v>
      </c>
      <c r="AO281">
        <f t="shared" ref="AO281:AO344" si="263">AH281-Y281</f>
        <v>0</v>
      </c>
      <c r="AP281">
        <f t="shared" ref="AP281:AP344" si="264">AI281-AA281</f>
        <v>0</v>
      </c>
      <c r="AQ281">
        <f t="shared" ref="AQ281:AQ344" si="265">AJ281-AC281</f>
        <v>6.6613381477509392E-16</v>
      </c>
      <c r="AR281">
        <f t="shared" si="225"/>
        <v>0</v>
      </c>
      <c r="AS281">
        <f t="shared" ref="AS281:AS344" si="266">AL281-AE281</f>
        <v>0</v>
      </c>
      <c r="AT281">
        <f t="shared" si="226"/>
        <v>0</v>
      </c>
      <c r="AU281">
        <f t="shared" si="227"/>
        <v>0</v>
      </c>
      <c r="AV281">
        <f t="shared" ref="AV281:AV344" si="267">alpha_m_1*C281+add_r</f>
        <v>2.3750440461138836E-20</v>
      </c>
      <c r="AW281" t="b">
        <f t="shared" si="228"/>
        <v>1</v>
      </c>
      <c r="AX281">
        <f t="shared" ref="AX281:AX344" si="268">IF(use_alpha_near_1,$D$18,NA())</f>
        <v>7.8539816339744828</v>
      </c>
      <c r="AY281">
        <f t="shared" ref="AY281:AY344" si="269">-alpha/alpha_m_1*log1p(_xlfn.COT(C281)*SIN(AV281)-2*SIN(AV281/2)^2)</f>
        <v>2.4663122724074524</v>
      </c>
      <c r="AZ281">
        <f t="shared" ref="AZ281:AZ344" si="270">LN(ABS(zeta)*SIN(AV281))</f>
        <v>0.4134332777573414</v>
      </c>
      <c r="BA281">
        <f t="shared" ref="BA281:BA344" si="271">-LN(SIN(C281))</f>
        <v>0.36578300264421892</v>
      </c>
      <c r="BB281">
        <f t="shared" ref="BB281:BB344" si="272">-log1p(zeta^-2)/(2*alpha_m_1)</f>
        <v>-1.2337005501361696E-20</v>
      </c>
      <c r="BD281" s="15">
        <f t="shared" si="229"/>
        <v>11.099510186783496</v>
      </c>
      <c r="BE281" s="10">
        <f t="shared" si="230"/>
        <v>0</v>
      </c>
      <c r="BF281">
        <f t="shared" si="231"/>
        <v>0</v>
      </c>
      <c r="BG281">
        <f t="shared" si="232"/>
        <v>0</v>
      </c>
      <c r="BH281">
        <f t="shared" si="233"/>
        <v>0</v>
      </c>
      <c r="BI281">
        <f t="shared" si="234"/>
        <v>0</v>
      </c>
    </row>
    <row r="282" spans="1:61" x14ac:dyDescent="0.3">
      <c r="A282">
        <f t="shared" si="239"/>
        <v>0.245</v>
      </c>
      <c r="B282">
        <f t="shared" si="240"/>
        <v>0.76969020012949929</v>
      </c>
      <c r="C282">
        <f t="shared" si="241"/>
        <v>2.3719024534602937</v>
      </c>
      <c r="D282">
        <f t="shared" si="242"/>
        <v>2.3719024534602937</v>
      </c>
      <c r="E282">
        <f t="shared" si="247"/>
        <v>0.69591279659231431</v>
      </c>
      <c r="F282">
        <f t="shared" si="248"/>
        <v>0.69591279659231442</v>
      </c>
      <c r="G282">
        <f t="shared" si="243"/>
        <v>0.76969020012949929</v>
      </c>
      <c r="H282">
        <f t="shared" si="244"/>
        <v>0.69591279659231431</v>
      </c>
      <c r="I282">
        <f t="shared" si="245"/>
        <v>0.69591279659231442</v>
      </c>
      <c r="J282">
        <f t="shared" si="235"/>
        <v>9.1479819811465773E+19</v>
      </c>
      <c r="K282">
        <f t="shared" si="236"/>
        <v>9.1479819811465773E+19</v>
      </c>
      <c r="L282">
        <f t="shared" si="249"/>
        <v>1</v>
      </c>
      <c r="M282">
        <f t="shared" si="246"/>
        <v>2.3719024534602939E-20</v>
      </c>
      <c r="N282" s="9">
        <f t="shared" si="237"/>
        <v>2.3719024534602939E-20</v>
      </c>
      <c r="O282">
        <f t="shared" si="238"/>
        <v>2.3719024534602939E-20</v>
      </c>
      <c r="Q282">
        <f t="shared" si="250"/>
        <v>45.962650073341329</v>
      </c>
      <c r="R282">
        <f t="shared" si="251"/>
        <v>0</v>
      </c>
      <c r="S282">
        <f t="shared" ref="S282:S345" si="273">LN(M282)</f>
        <v>-45.188009503764626</v>
      </c>
      <c r="T282" s="9" t="e">
        <f t="shared" si="252"/>
        <v>#N/A</v>
      </c>
      <c r="U282">
        <f t="shared" ref="U282:U345" si="274">IFERROR(T282-EXP(T282),-1E+300)</f>
        <v>-1.0000000000000001E+300</v>
      </c>
      <c r="V282">
        <f t="shared" ref="V282:V345" si="275">EXP(U282)</f>
        <v>0</v>
      </c>
      <c r="W282">
        <f t="shared" ref="W282:W345" si="276">IFERROR(T282-LN(N282),0)</f>
        <v>0</v>
      </c>
      <c r="X282">
        <f t="shared" si="253"/>
        <v>2.3719024534602937</v>
      </c>
      <c r="Y282">
        <f t="shared" si="254"/>
        <v>7.8539816339744828</v>
      </c>
      <c r="Z282">
        <f t="shared" si="255"/>
        <v>-2.3719024534602937</v>
      </c>
      <c r="AA282">
        <f t="shared" ref="AA282:AA345" si="277">Z282*TAN(PI()/2-X282)</f>
        <v>2.447613459473029</v>
      </c>
      <c r="AB282">
        <f t="shared" si="256"/>
        <v>10.301595093447512</v>
      </c>
      <c r="AC282">
        <f t="shared" ref="AC282:AC345" si="278">LN(Z282/$AA$6)</f>
        <v>0.41210965082683298</v>
      </c>
      <c r="AD282">
        <f t="shared" si="257"/>
        <v>0.36253091874986931</v>
      </c>
      <c r="AE282" s="9">
        <f t="shared" ref="AE282:AE345" si="279">AB282+AC282+AD282</f>
        <v>11.076235663024214</v>
      </c>
      <c r="AF282">
        <f t="shared" ref="AF282:AF345" si="280">IFERROR(EXP(AE282)*EXP(-EXP(AE282)),0)</f>
        <v>0</v>
      </c>
      <c r="AH282">
        <f t="shared" si="258"/>
        <v>7.8539816339744828</v>
      </c>
      <c r="AI282">
        <f t="shared" si="259"/>
        <v>2.4476134594730294</v>
      </c>
      <c r="AJ282">
        <f t="shared" si="260"/>
        <v>0.41210965082683515</v>
      </c>
      <c r="AK282">
        <f t="shared" si="261"/>
        <v>0.36253091874986931</v>
      </c>
      <c r="AL282" s="9">
        <f t="shared" ref="AL282:AL345" si="281">SUM(AH282:AK282)</f>
        <v>11.076235663024216</v>
      </c>
      <c r="AM282" t="e">
        <f t="shared" si="262"/>
        <v>#N/A</v>
      </c>
      <c r="AN282" t="e">
        <f t="shared" ref="AN282:AN345" si="282">AM282/AL282</f>
        <v>#N/A</v>
      </c>
      <c r="AO282">
        <f t="shared" si="263"/>
        <v>0</v>
      </c>
      <c r="AP282">
        <f t="shared" si="264"/>
        <v>0</v>
      </c>
      <c r="AQ282">
        <f t="shared" si="265"/>
        <v>2.1649348980190553E-15</v>
      </c>
      <c r="AR282">
        <f t="shared" ref="AR282:AR345" si="283">AP282/AI282</f>
        <v>0</v>
      </c>
      <c r="AS282">
        <f t="shared" si="266"/>
        <v>0</v>
      </c>
      <c r="AT282">
        <f t="shared" ref="AT282:AT345" si="284">AS282/AL282</f>
        <v>0</v>
      </c>
      <c r="AU282">
        <f t="shared" ref="AU282:AU345" si="285">IFERROR(EXP(AL282)*EXP(-EXP(AL282)),0)</f>
        <v>0</v>
      </c>
      <c r="AV282">
        <f t="shared" si="267"/>
        <v>2.3719024534602936E-20</v>
      </c>
      <c r="AW282" t="b">
        <f t="shared" ref="AW282:AW345" si="286">(ABS(_xlfn.COT(C282)*SIN(AV282))&lt;0.00000001)</f>
        <v>1</v>
      </c>
      <c r="AX282">
        <f t="shared" si="268"/>
        <v>7.8539816339744828</v>
      </c>
      <c r="AY282">
        <f t="shared" si="269"/>
        <v>2.4476134594730281</v>
      </c>
      <c r="AZ282">
        <f t="shared" si="270"/>
        <v>0.41210965082683298</v>
      </c>
      <c r="BA282">
        <f t="shared" si="271"/>
        <v>0.36253091874986915</v>
      </c>
      <c r="BB282">
        <f t="shared" si="272"/>
        <v>-1.2337005501361696E-20</v>
      </c>
      <c r="BD282" s="15">
        <f t="shared" ref="BD282:BD345" si="287">SUM(AX282:BB282)</f>
        <v>11.076235663024212</v>
      </c>
      <c r="BE282" s="10">
        <f t="shared" ref="BE282:BE345" si="288">BD282-AL282</f>
        <v>0</v>
      </c>
      <c r="BF282">
        <f t="shared" ref="BF282:BF345" si="289">BD282-AE282</f>
        <v>0</v>
      </c>
      <c r="BG282">
        <f t="shared" ref="BG282:BG345" si="290">AX282-Y282</f>
        <v>0</v>
      </c>
      <c r="BH282">
        <f t="shared" ref="BH282:BH345" si="291">AY282-AA282</f>
        <v>0</v>
      </c>
      <c r="BI282">
        <f t="shared" ref="BI282:BI345" si="292">AZ282-AC282</f>
        <v>0</v>
      </c>
    </row>
    <row r="283" spans="1:61" x14ac:dyDescent="0.3">
      <c r="A283">
        <f t="shared" si="239"/>
        <v>0.246</v>
      </c>
      <c r="B283">
        <f t="shared" si="240"/>
        <v>0.77283179278308911</v>
      </c>
      <c r="C283">
        <f t="shared" si="241"/>
        <v>2.3687608608067041</v>
      </c>
      <c r="D283">
        <f t="shared" si="242"/>
        <v>2.3687608608067041</v>
      </c>
      <c r="E283">
        <f t="shared" si="247"/>
        <v>0.69816541899347262</v>
      </c>
      <c r="F283">
        <f t="shared" si="248"/>
        <v>0.69816541899347262</v>
      </c>
      <c r="G283">
        <f t="shared" si="243"/>
        <v>0.77283179278308911</v>
      </c>
      <c r="H283">
        <f t="shared" si="244"/>
        <v>0.69816541899347262</v>
      </c>
      <c r="I283">
        <f t="shared" si="245"/>
        <v>0.69816541899347262</v>
      </c>
      <c r="J283">
        <f t="shared" si="235"/>
        <v>9.118466126342665E+19</v>
      </c>
      <c r="K283">
        <f t="shared" si="236"/>
        <v>9.118466126342665E+19</v>
      </c>
      <c r="L283">
        <f t="shared" si="249"/>
        <v>0</v>
      </c>
      <c r="M283">
        <f t="shared" si="246"/>
        <v>2.368760860806704E-20</v>
      </c>
      <c r="N283" s="9">
        <f t="shared" si="237"/>
        <v>0</v>
      </c>
      <c r="O283">
        <f t="shared" si="238"/>
        <v>0</v>
      </c>
      <c r="Q283">
        <f t="shared" si="250"/>
        <v>45.959418368926912</v>
      </c>
      <c r="R283">
        <f t="shared" si="251"/>
        <v>-710542.73576010019</v>
      </c>
      <c r="S283">
        <f t="shared" si="273"/>
        <v>-45.189334885005692</v>
      </c>
      <c r="T283" s="9" t="e">
        <f t="shared" si="252"/>
        <v>#N/A</v>
      </c>
      <c r="U283">
        <f t="shared" si="274"/>
        <v>-1.0000000000000001E+300</v>
      </c>
      <c r="V283">
        <f t="shared" si="275"/>
        <v>0</v>
      </c>
      <c r="W283">
        <f t="shared" si="276"/>
        <v>0</v>
      </c>
      <c r="X283">
        <f t="shared" si="253"/>
        <v>2.3687608608067041</v>
      </c>
      <c r="Y283">
        <f t="shared" si="254"/>
        <v>7.8539816339744828</v>
      </c>
      <c r="Z283">
        <f t="shared" si="255"/>
        <v>-2.3687608608067041</v>
      </c>
      <c r="AA283">
        <f t="shared" si="277"/>
        <v>2.429055168975037</v>
      </c>
      <c r="AB283">
        <f t="shared" si="256"/>
        <v>10.283036802949519</v>
      </c>
      <c r="AC283">
        <f t="shared" si="278"/>
        <v>0.41078426958576436</v>
      </c>
      <c r="AD283">
        <f t="shared" si="257"/>
        <v>0.35929921433545448</v>
      </c>
      <c r="AE283" s="9">
        <f t="shared" si="279"/>
        <v>11.053120286870739</v>
      </c>
      <c r="AF283">
        <f t="shared" si="280"/>
        <v>0</v>
      </c>
      <c r="AH283">
        <f t="shared" si="258"/>
        <v>7.8539816339744828</v>
      </c>
      <c r="AI283">
        <f t="shared" si="259"/>
        <v>2.4290551689750361</v>
      </c>
      <c r="AJ283">
        <f t="shared" si="260"/>
        <v>0.41078426958576841</v>
      </c>
      <c r="AK283">
        <f t="shared" si="261"/>
        <v>0.35929921433545448</v>
      </c>
      <c r="AL283" s="9">
        <f t="shared" si="281"/>
        <v>11.053120286870742</v>
      </c>
      <c r="AM283" t="e">
        <f t="shared" si="262"/>
        <v>#N/A</v>
      </c>
      <c r="AN283" t="e">
        <f t="shared" si="282"/>
        <v>#N/A</v>
      </c>
      <c r="AO283">
        <f t="shared" si="263"/>
        <v>0</v>
      </c>
      <c r="AP283">
        <f t="shared" si="264"/>
        <v>0</v>
      </c>
      <c r="AQ283">
        <f t="shared" si="265"/>
        <v>4.0523140398818214E-15</v>
      </c>
      <c r="AR283">
        <f t="shared" si="283"/>
        <v>0</v>
      </c>
      <c r="AS283">
        <f t="shared" si="266"/>
        <v>0</v>
      </c>
      <c r="AT283">
        <f t="shared" si="284"/>
        <v>0</v>
      </c>
      <c r="AU283">
        <f t="shared" si="285"/>
        <v>0</v>
      </c>
      <c r="AV283">
        <f t="shared" si="267"/>
        <v>2.368760860806704E-20</v>
      </c>
      <c r="AW283" t="b">
        <f t="shared" si="286"/>
        <v>1</v>
      </c>
      <c r="AX283">
        <f t="shared" si="268"/>
        <v>7.8539816339744828</v>
      </c>
      <c r="AY283">
        <f t="shared" si="269"/>
        <v>2.4290551689750366</v>
      </c>
      <c r="AZ283">
        <f t="shared" si="270"/>
        <v>0.41078426958576447</v>
      </c>
      <c r="BA283">
        <f t="shared" si="271"/>
        <v>0.35929921433545448</v>
      </c>
      <c r="BB283">
        <f t="shared" si="272"/>
        <v>-1.2337005501361696E-20</v>
      </c>
      <c r="BD283" s="15">
        <f t="shared" si="287"/>
        <v>11.053120286870739</v>
      </c>
      <c r="BE283" s="10">
        <f t="shared" si="288"/>
        <v>0</v>
      </c>
      <c r="BF283">
        <f t="shared" si="289"/>
        <v>0</v>
      </c>
      <c r="BG283">
        <f t="shared" si="290"/>
        <v>0</v>
      </c>
      <c r="BH283">
        <f t="shared" si="291"/>
        <v>0</v>
      </c>
      <c r="BI283">
        <f t="shared" si="292"/>
        <v>0</v>
      </c>
    </row>
    <row r="284" spans="1:61" x14ac:dyDescent="0.3">
      <c r="A284">
        <f t="shared" si="239"/>
        <v>0.247</v>
      </c>
      <c r="B284">
        <f t="shared" si="240"/>
        <v>0.77597338543667893</v>
      </c>
      <c r="C284">
        <f t="shared" si="241"/>
        <v>2.3656192681531141</v>
      </c>
      <c r="D284">
        <f t="shared" si="242"/>
        <v>2.3656192681531141</v>
      </c>
      <c r="E284">
        <f t="shared" si="247"/>
        <v>0.70041115078380634</v>
      </c>
      <c r="F284">
        <f t="shared" si="248"/>
        <v>0.70041115078380656</v>
      </c>
      <c r="G284">
        <f t="shared" si="243"/>
        <v>0.77597338543667893</v>
      </c>
      <c r="H284">
        <f t="shared" si="244"/>
        <v>0.70041115078380634</v>
      </c>
      <c r="I284">
        <f t="shared" si="245"/>
        <v>0.70041115078380656</v>
      </c>
      <c r="J284">
        <f t="shared" si="235"/>
        <v>9.0892295426073936E+19</v>
      </c>
      <c r="K284">
        <f t="shared" si="236"/>
        <v>9.0892295426073936E+19</v>
      </c>
      <c r="L284">
        <f t="shared" si="249"/>
        <v>1</v>
      </c>
      <c r="M284">
        <f t="shared" si="246"/>
        <v>2.365619268153114E-20</v>
      </c>
      <c r="N284" s="9">
        <f t="shared" si="237"/>
        <v>2.365619268153114E-20</v>
      </c>
      <c r="O284">
        <f t="shared" si="238"/>
        <v>2.365619268153114E-20</v>
      </c>
      <c r="Q284">
        <f t="shared" si="250"/>
        <v>45.956206912694959</v>
      </c>
      <c r="R284">
        <f t="shared" si="251"/>
        <v>0</v>
      </c>
      <c r="S284">
        <f t="shared" si="273"/>
        <v>-45.190662025213754</v>
      </c>
      <c r="T284" s="9" t="e">
        <f t="shared" si="252"/>
        <v>#N/A</v>
      </c>
      <c r="U284">
        <f t="shared" si="274"/>
        <v>-1.0000000000000001E+300</v>
      </c>
      <c r="V284">
        <f t="shared" si="275"/>
        <v>0</v>
      </c>
      <c r="W284">
        <f t="shared" si="276"/>
        <v>0</v>
      </c>
      <c r="X284">
        <f t="shared" si="253"/>
        <v>2.3656192681531141</v>
      </c>
      <c r="Y284">
        <f t="shared" si="254"/>
        <v>7.8539816339744828</v>
      </c>
      <c r="Z284">
        <f t="shared" si="255"/>
        <v>-2.3656192681531141</v>
      </c>
      <c r="AA284">
        <f t="shared" si="277"/>
        <v>2.4106357440191668</v>
      </c>
      <c r="AB284">
        <f t="shared" si="256"/>
        <v>10.26461737799365</v>
      </c>
      <c r="AC284">
        <f t="shared" si="278"/>
        <v>0.40945712937770185</v>
      </c>
      <c r="AD284">
        <f t="shared" si="257"/>
        <v>0.35608775810350174</v>
      </c>
      <c r="AE284" s="9">
        <f t="shared" si="279"/>
        <v>11.030162265474853</v>
      </c>
      <c r="AF284">
        <f t="shared" si="280"/>
        <v>0</v>
      </c>
      <c r="AH284">
        <f t="shared" si="258"/>
        <v>7.8539816339744828</v>
      </c>
      <c r="AI284">
        <f t="shared" si="259"/>
        <v>2.4106357440191677</v>
      </c>
      <c r="AJ284">
        <f t="shared" si="260"/>
        <v>0.40945712937770651</v>
      </c>
      <c r="AK284">
        <f t="shared" si="261"/>
        <v>0.35608775810350174</v>
      </c>
      <c r="AL284" s="9">
        <f t="shared" si="281"/>
        <v>11.030162265474859</v>
      </c>
      <c r="AM284" t="e">
        <f t="shared" si="262"/>
        <v>#N/A</v>
      </c>
      <c r="AN284" t="e">
        <f t="shared" si="282"/>
        <v>#N/A</v>
      </c>
      <c r="AO284">
        <f t="shared" si="263"/>
        <v>0</v>
      </c>
      <c r="AP284">
        <f t="shared" si="264"/>
        <v>0</v>
      </c>
      <c r="AQ284">
        <f t="shared" si="265"/>
        <v>4.6629367034256575E-15</v>
      </c>
      <c r="AR284">
        <f t="shared" si="283"/>
        <v>0</v>
      </c>
      <c r="AS284">
        <f t="shared" si="266"/>
        <v>0</v>
      </c>
      <c r="AT284">
        <f t="shared" si="284"/>
        <v>0</v>
      </c>
      <c r="AU284">
        <f t="shared" si="285"/>
        <v>0</v>
      </c>
      <c r="AV284">
        <f t="shared" si="267"/>
        <v>2.365619268153114E-20</v>
      </c>
      <c r="AW284" t="b">
        <f t="shared" si="286"/>
        <v>1</v>
      </c>
      <c r="AX284">
        <f t="shared" si="268"/>
        <v>7.8539816339744828</v>
      </c>
      <c r="AY284">
        <f t="shared" si="269"/>
        <v>2.4106357440191668</v>
      </c>
      <c r="AZ284">
        <f t="shared" si="270"/>
        <v>0.40945712937770185</v>
      </c>
      <c r="BA284">
        <f t="shared" si="271"/>
        <v>0.35608775810350146</v>
      </c>
      <c r="BB284">
        <f t="shared" si="272"/>
        <v>-1.2337005501361696E-20</v>
      </c>
      <c r="BD284" s="15">
        <f t="shared" si="287"/>
        <v>11.030162265474853</v>
      </c>
      <c r="BE284" s="10">
        <f t="shared" si="288"/>
        <v>0</v>
      </c>
      <c r="BF284">
        <f t="shared" si="289"/>
        <v>0</v>
      </c>
      <c r="BG284">
        <f t="shared" si="290"/>
        <v>0</v>
      </c>
      <c r="BH284">
        <f t="shared" si="291"/>
        <v>0</v>
      </c>
      <c r="BI284">
        <f t="shared" si="292"/>
        <v>0</v>
      </c>
    </row>
    <row r="285" spans="1:61" x14ac:dyDescent="0.3">
      <c r="A285">
        <f t="shared" si="239"/>
        <v>0.248</v>
      </c>
      <c r="B285">
        <f t="shared" si="240"/>
        <v>0.77911497809026864</v>
      </c>
      <c r="C285">
        <f t="shared" si="241"/>
        <v>2.3624776754995245</v>
      </c>
      <c r="D285">
        <f t="shared" si="242"/>
        <v>2.3624776754995245</v>
      </c>
      <c r="E285">
        <f t="shared" si="247"/>
        <v>0.70264996979884919</v>
      </c>
      <c r="F285">
        <f t="shared" si="248"/>
        <v>0.70264996979884919</v>
      </c>
      <c r="G285">
        <f t="shared" si="243"/>
        <v>0.77911497809026864</v>
      </c>
      <c r="H285">
        <f t="shared" si="244"/>
        <v>0.70264996979884919</v>
      </c>
      <c r="I285">
        <f t="shared" si="245"/>
        <v>0.70264996979884919</v>
      </c>
      <c r="J285">
        <f t="shared" si="235"/>
        <v>9.0602689778785518E+19</v>
      </c>
      <c r="K285">
        <f t="shared" si="236"/>
        <v>9.0602689778785518E+19</v>
      </c>
      <c r="L285">
        <f t="shared" si="249"/>
        <v>1</v>
      </c>
      <c r="M285">
        <f t="shared" si="246"/>
        <v>2.3624776754995243E-20</v>
      </c>
      <c r="N285" s="9">
        <f t="shared" si="237"/>
        <v>2.3624776754995243E-20</v>
      </c>
      <c r="O285">
        <f t="shared" si="238"/>
        <v>2.3624776754995243E-20</v>
      </c>
      <c r="Q285">
        <f t="shared" si="250"/>
        <v>45.953015575008628</v>
      </c>
      <c r="R285">
        <f t="shared" si="251"/>
        <v>0</v>
      </c>
      <c r="S285">
        <f t="shared" si="273"/>
        <v>-45.191990929063813</v>
      </c>
      <c r="T285" s="9" t="e">
        <f t="shared" si="252"/>
        <v>#N/A</v>
      </c>
      <c r="U285">
        <f t="shared" si="274"/>
        <v>-1.0000000000000001E+300</v>
      </c>
      <c r="V285">
        <f t="shared" si="275"/>
        <v>0</v>
      </c>
      <c r="W285">
        <f t="shared" si="276"/>
        <v>0</v>
      </c>
      <c r="X285">
        <f t="shared" si="253"/>
        <v>2.3624776754995245</v>
      </c>
      <c r="Y285">
        <f t="shared" si="254"/>
        <v>7.8539816339744828</v>
      </c>
      <c r="Z285">
        <f t="shared" si="255"/>
        <v>-2.3624776754995245</v>
      </c>
      <c r="AA285">
        <f t="shared" si="277"/>
        <v>2.3923535543730208</v>
      </c>
      <c r="AB285">
        <f t="shared" si="256"/>
        <v>10.246335188347503</v>
      </c>
      <c r="AC285">
        <f t="shared" si="278"/>
        <v>0.4081282255276481</v>
      </c>
      <c r="AD285">
        <f t="shared" si="257"/>
        <v>0.35289642041716834</v>
      </c>
      <c r="AE285" s="9">
        <f t="shared" si="279"/>
        <v>11.00735983429232</v>
      </c>
      <c r="AF285">
        <f t="shared" si="280"/>
        <v>0</v>
      </c>
      <c r="AH285">
        <f t="shared" si="258"/>
        <v>7.8539816339744828</v>
      </c>
      <c r="AI285">
        <f t="shared" si="259"/>
        <v>2.3923535543730208</v>
      </c>
      <c r="AJ285">
        <f t="shared" si="260"/>
        <v>0.40812822552764771</v>
      </c>
      <c r="AK285">
        <f t="shared" si="261"/>
        <v>0.35289642041716834</v>
      </c>
      <c r="AL285" s="9">
        <f t="shared" si="281"/>
        <v>11.00735983429232</v>
      </c>
      <c r="AM285" t="e">
        <f t="shared" si="262"/>
        <v>#N/A</v>
      </c>
      <c r="AN285" t="e">
        <f t="shared" si="282"/>
        <v>#N/A</v>
      </c>
      <c r="AO285">
        <f t="shared" si="263"/>
        <v>0</v>
      </c>
      <c r="AP285">
        <f t="shared" si="264"/>
        <v>0</v>
      </c>
      <c r="AQ285">
        <f t="shared" si="265"/>
        <v>0</v>
      </c>
      <c r="AR285">
        <f t="shared" si="283"/>
        <v>0</v>
      </c>
      <c r="AS285">
        <f t="shared" si="266"/>
        <v>0</v>
      </c>
      <c r="AT285">
        <f t="shared" si="284"/>
        <v>0</v>
      </c>
      <c r="AU285">
        <f t="shared" si="285"/>
        <v>0</v>
      </c>
      <c r="AV285">
        <f t="shared" si="267"/>
        <v>2.3624776754995243E-20</v>
      </c>
      <c r="AW285" t="b">
        <f t="shared" si="286"/>
        <v>1</v>
      </c>
      <c r="AX285">
        <f t="shared" si="268"/>
        <v>7.8539816339744828</v>
      </c>
      <c r="AY285">
        <f t="shared" si="269"/>
        <v>2.3923535543730199</v>
      </c>
      <c r="AZ285">
        <f t="shared" si="270"/>
        <v>0.4081282255276481</v>
      </c>
      <c r="BA285">
        <f t="shared" si="271"/>
        <v>0.35289642041716834</v>
      </c>
      <c r="BB285">
        <f t="shared" si="272"/>
        <v>-1.2337005501361696E-20</v>
      </c>
      <c r="BD285" s="15">
        <f t="shared" si="287"/>
        <v>11.00735983429232</v>
      </c>
      <c r="BE285" s="10">
        <f t="shared" si="288"/>
        <v>0</v>
      </c>
      <c r="BF285">
        <f t="shared" si="289"/>
        <v>0</v>
      </c>
      <c r="BG285">
        <f t="shared" si="290"/>
        <v>0</v>
      </c>
      <c r="BH285">
        <f t="shared" si="291"/>
        <v>0</v>
      </c>
      <c r="BI285">
        <f t="shared" si="292"/>
        <v>0</v>
      </c>
    </row>
    <row r="286" spans="1:61" x14ac:dyDescent="0.3">
      <c r="A286">
        <f t="shared" si="239"/>
        <v>0.249</v>
      </c>
      <c r="B286">
        <f t="shared" si="240"/>
        <v>0.78225657074385846</v>
      </c>
      <c r="C286">
        <f t="shared" si="241"/>
        <v>2.3593360828459344</v>
      </c>
      <c r="D286">
        <f t="shared" si="242"/>
        <v>2.3593360828459344</v>
      </c>
      <c r="E286">
        <f t="shared" si="247"/>
        <v>0.70488185394236136</v>
      </c>
      <c r="F286">
        <f t="shared" si="248"/>
        <v>0.70488185394236158</v>
      </c>
      <c r="G286">
        <f t="shared" si="243"/>
        <v>0.78225657074385846</v>
      </c>
      <c r="H286">
        <f t="shared" si="244"/>
        <v>0.70488185394236136</v>
      </c>
      <c r="I286">
        <f t="shared" si="245"/>
        <v>0.70488185394236158</v>
      </c>
      <c r="J286">
        <f t="shared" si="235"/>
        <v>9.0315812331812159E+19</v>
      </c>
      <c r="K286">
        <f t="shared" si="236"/>
        <v>9.0315812331812159E+19</v>
      </c>
      <c r="L286">
        <f t="shared" si="249"/>
        <v>1</v>
      </c>
      <c r="M286">
        <f t="shared" si="246"/>
        <v>2.3593360828459347E-20</v>
      </c>
      <c r="N286" s="9">
        <f t="shared" si="237"/>
        <v>2.3593360828459347E-20</v>
      </c>
      <c r="O286">
        <f t="shared" si="238"/>
        <v>2.3593360828459347E-20</v>
      </c>
      <c r="Q286">
        <f t="shared" si="250"/>
        <v>45.94984422786542</v>
      </c>
      <c r="R286">
        <f t="shared" si="251"/>
        <v>0</v>
      </c>
      <c r="S286">
        <f t="shared" si="273"/>
        <v>-45.193321601249515</v>
      </c>
      <c r="T286" s="9" t="e">
        <f t="shared" si="252"/>
        <v>#N/A</v>
      </c>
      <c r="U286">
        <f t="shared" si="274"/>
        <v>-1.0000000000000001E+300</v>
      </c>
      <c r="V286">
        <f t="shared" si="275"/>
        <v>0</v>
      </c>
      <c r="W286">
        <f t="shared" si="276"/>
        <v>0</v>
      </c>
      <c r="X286">
        <f t="shared" si="253"/>
        <v>2.3593360828459344</v>
      </c>
      <c r="Y286">
        <f t="shared" si="254"/>
        <v>7.8539816339744828</v>
      </c>
      <c r="Z286">
        <f t="shared" si="255"/>
        <v>-2.3593360828459344</v>
      </c>
      <c r="AA286">
        <f t="shared" si="277"/>
        <v>2.3742069959310448</v>
      </c>
      <c r="AB286">
        <f t="shared" si="256"/>
        <v>10.228188629905528</v>
      </c>
      <c r="AC286">
        <f t="shared" si="278"/>
        <v>0.40679755334194284</v>
      </c>
      <c r="AD286">
        <f t="shared" si="257"/>
        <v>0.3497250732739588</v>
      </c>
      <c r="AE286" s="9">
        <f t="shared" si="279"/>
        <v>10.984711256521429</v>
      </c>
      <c r="AF286">
        <f t="shared" si="280"/>
        <v>0</v>
      </c>
      <c r="AH286">
        <f t="shared" si="258"/>
        <v>7.8539816339744828</v>
      </c>
      <c r="AI286">
        <f t="shared" si="259"/>
        <v>2.3742069959310466</v>
      </c>
      <c r="AJ286">
        <f t="shared" si="260"/>
        <v>0.40679755334194567</v>
      </c>
      <c r="AK286">
        <f t="shared" si="261"/>
        <v>0.3497250732739588</v>
      </c>
      <c r="AL286" s="9">
        <f t="shared" si="281"/>
        <v>10.984711256521434</v>
      </c>
      <c r="AM286" t="e">
        <f t="shared" si="262"/>
        <v>#N/A</v>
      </c>
      <c r="AN286" t="e">
        <f t="shared" si="282"/>
        <v>#N/A</v>
      </c>
      <c r="AO286">
        <f t="shared" si="263"/>
        <v>0</v>
      </c>
      <c r="AP286">
        <f t="shared" si="264"/>
        <v>0</v>
      </c>
      <c r="AQ286">
        <f t="shared" si="265"/>
        <v>2.8310687127941492E-15</v>
      </c>
      <c r="AR286">
        <f t="shared" si="283"/>
        <v>0</v>
      </c>
      <c r="AS286">
        <f t="shared" si="266"/>
        <v>0</v>
      </c>
      <c r="AT286">
        <f t="shared" si="284"/>
        <v>0</v>
      </c>
      <c r="AU286">
        <f t="shared" si="285"/>
        <v>0</v>
      </c>
      <c r="AV286">
        <f t="shared" si="267"/>
        <v>2.3593360828459344E-20</v>
      </c>
      <c r="AW286" t="b">
        <f t="shared" si="286"/>
        <v>1</v>
      </c>
      <c r="AX286">
        <f t="shared" si="268"/>
        <v>7.8539816339744828</v>
      </c>
      <c r="AY286">
        <f t="shared" si="269"/>
        <v>2.3742069959310448</v>
      </c>
      <c r="AZ286">
        <f t="shared" si="270"/>
        <v>0.40679755334194301</v>
      </c>
      <c r="BA286">
        <f t="shared" si="271"/>
        <v>0.34972507327395852</v>
      </c>
      <c r="BB286">
        <f t="shared" si="272"/>
        <v>-1.2337005501361696E-20</v>
      </c>
      <c r="BD286" s="15">
        <f t="shared" si="287"/>
        <v>10.984711256521429</v>
      </c>
      <c r="BE286" s="10">
        <f t="shared" si="288"/>
        <v>0</v>
      </c>
      <c r="BF286">
        <f t="shared" si="289"/>
        <v>0</v>
      </c>
      <c r="BG286">
        <f t="shared" si="290"/>
        <v>0</v>
      </c>
      <c r="BH286">
        <f t="shared" si="291"/>
        <v>0</v>
      </c>
      <c r="BI286">
        <f t="shared" si="292"/>
        <v>0</v>
      </c>
    </row>
    <row r="287" spans="1:61" x14ac:dyDescent="0.3">
      <c r="A287">
        <f t="shared" si="239"/>
        <v>0.25</v>
      </c>
      <c r="B287">
        <f t="shared" si="240"/>
        <v>0.78539816339744828</v>
      </c>
      <c r="C287">
        <f t="shared" si="241"/>
        <v>2.3561944901923448</v>
      </c>
      <c r="D287">
        <f t="shared" si="242"/>
        <v>2.3561944901923448</v>
      </c>
      <c r="E287">
        <f t="shared" si="247"/>
        <v>0.70710678118654746</v>
      </c>
      <c r="F287">
        <f t="shared" si="248"/>
        <v>0.70710678118654757</v>
      </c>
      <c r="G287">
        <f t="shared" si="243"/>
        <v>0.78539816339744828</v>
      </c>
      <c r="H287">
        <f t="shared" si="244"/>
        <v>0.70710678118654746</v>
      </c>
      <c r="I287">
        <f t="shared" si="245"/>
        <v>0.70710678118654757</v>
      </c>
      <c r="J287">
        <f t="shared" si="235"/>
        <v>9.0031631615710626E+19</v>
      </c>
      <c r="K287">
        <f t="shared" si="236"/>
        <v>9.0031631615710626E+19</v>
      </c>
      <c r="L287">
        <f t="shared" si="249"/>
        <v>1</v>
      </c>
      <c r="M287">
        <f t="shared" si="246"/>
        <v>2.3561944901923447E-20</v>
      </c>
      <c r="N287" s="9">
        <f t="shared" si="237"/>
        <v>2.3561944901923447E-20</v>
      </c>
      <c r="O287">
        <f t="shared" si="238"/>
        <v>2.3561944901923447E-20</v>
      </c>
      <c r="Q287">
        <f t="shared" si="250"/>
        <v>45.946692744871434</v>
      </c>
      <c r="R287">
        <f t="shared" si="251"/>
        <v>0</v>
      </c>
      <c r="S287">
        <f t="shared" si="273"/>
        <v>-45.194654046483294</v>
      </c>
      <c r="T287" s="9" t="e">
        <f t="shared" si="252"/>
        <v>#N/A</v>
      </c>
      <c r="U287">
        <f t="shared" si="274"/>
        <v>-1.0000000000000001E+300</v>
      </c>
      <c r="V287">
        <f t="shared" si="275"/>
        <v>0</v>
      </c>
      <c r="W287">
        <f t="shared" si="276"/>
        <v>0</v>
      </c>
      <c r="X287">
        <f t="shared" si="253"/>
        <v>2.3561944901923448</v>
      </c>
      <c r="Y287">
        <f t="shared" si="254"/>
        <v>7.8539816339744828</v>
      </c>
      <c r="Z287">
        <f t="shared" si="255"/>
        <v>-2.3561944901923448</v>
      </c>
      <c r="AA287">
        <f t="shared" si="277"/>
        <v>2.3561944901923444</v>
      </c>
      <c r="AB287">
        <f t="shared" si="256"/>
        <v>10.210176124166827</v>
      </c>
      <c r="AC287">
        <f t="shared" si="278"/>
        <v>0.40546510810816438</v>
      </c>
      <c r="AD287">
        <f t="shared" si="257"/>
        <v>0.34657359027997275</v>
      </c>
      <c r="AE287" s="9">
        <f t="shared" si="279"/>
        <v>10.962214822554964</v>
      </c>
      <c r="AF287">
        <f t="shared" si="280"/>
        <v>0</v>
      </c>
      <c r="AH287">
        <f t="shared" si="258"/>
        <v>7.8539816339744828</v>
      </c>
      <c r="AI287">
        <f t="shared" si="259"/>
        <v>2.3561944901923448</v>
      </c>
      <c r="AJ287">
        <f t="shared" si="260"/>
        <v>0.40546510810816727</v>
      </c>
      <c r="AK287">
        <f t="shared" si="261"/>
        <v>0.34657359027997275</v>
      </c>
      <c r="AL287" s="9">
        <f t="shared" si="281"/>
        <v>10.962214822554969</v>
      </c>
      <c r="AM287" t="e">
        <f t="shared" si="262"/>
        <v>#N/A</v>
      </c>
      <c r="AN287" t="e">
        <f t="shared" si="282"/>
        <v>#N/A</v>
      </c>
      <c r="AO287">
        <f t="shared" si="263"/>
        <v>0</v>
      </c>
      <c r="AP287">
        <f t="shared" si="264"/>
        <v>0</v>
      </c>
      <c r="AQ287">
        <f t="shared" si="265"/>
        <v>2.886579864025407E-15</v>
      </c>
      <c r="AR287">
        <f t="shared" si="283"/>
        <v>0</v>
      </c>
      <c r="AS287">
        <f t="shared" si="266"/>
        <v>0</v>
      </c>
      <c r="AT287">
        <f t="shared" si="284"/>
        <v>0</v>
      </c>
      <c r="AU287">
        <f t="shared" si="285"/>
        <v>0</v>
      </c>
      <c r="AV287">
        <f t="shared" si="267"/>
        <v>2.3561944901923447E-20</v>
      </c>
      <c r="AW287" t="b">
        <f t="shared" si="286"/>
        <v>1</v>
      </c>
      <c r="AX287">
        <f t="shared" si="268"/>
        <v>7.8539816339744828</v>
      </c>
      <c r="AY287">
        <f t="shared" si="269"/>
        <v>2.3561944901923439</v>
      </c>
      <c r="AZ287">
        <f t="shared" si="270"/>
        <v>0.40546510810816438</v>
      </c>
      <c r="BA287">
        <f t="shared" si="271"/>
        <v>0.34657359027997259</v>
      </c>
      <c r="BB287">
        <f t="shared" si="272"/>
        <v>-1.2337005501361696E-20</v>
      </c>
      <c r="BD287" s="15">
        <f t="shared" si="287"/>
        <v>10.962214822554962</v>
      </c>
      <c r="BE287" s="10">
        <f t="shared" si="288"/>
        <v>0</v>
      </c>
      <c r="BF287">
        <f t="shared" si="289"/>
        <v>0</v>
      </c>
      <c r="BG287">
        <f t="shared" si="290"/>
        <v>0</v>
      </c>
      <c r="BH287">
        <f t="shared" si="291"/>
        <v>0</v>
      </c>
      <c r="BI287">
        <f t="shared" si="292"/>
        <v>0</v>
      </c>
    </row>
    <row r="288" spans="1:61" x14ac:dyDescent="0.3">
      <c r="A288">
        <f t="shared" si="239"/>
        <v>0.251</v>
      </c>
      <c r="B288">
        <f t="shared" si="240"/>
        <v>0.7885397560510381</v>
      </c>
      <c r="C288">
        <f t="shared" si="241"/>
        <v>2.3530528975387552</v>
      </c>
      <c r="D288">
        <f t="shared" si="242"/>
        <v>2.3530528975387552</v>
      </c>
      <c r="E288">
        <f t="shared" si="247"/>
        <v>0.70932472957227388</v>
      </c>
      <c r="F288">
        <f t="shared" si="248"/>
        <v>0.70932472957227377</v>
      </c>
      <c r="G288">
        <f t="shared" si="243"/>
        <v>0.7885397560510381</v>
      </c>
      <c r="H288">
        <f t="shared" si="244"/>
        <v>0.70932472957227388</v>
      </c>
      <c r="I288">
        <f t="shared" si="245"/>
        <v>0.70932472957227377</v>
      </c>
      <c r="J288">
        <f t="shared" si="235"/>
        <v>8.9750116671029658E+19</v>
      </c>
      <c r="K288">
        <f t="shared" si="236"/>
        <v>8.9750116671029658E+19</v>
      </c>
      <c r="L288">
        <f t="shared" si="249"/>
        <v>1</v>
      </c>
      <c r="M288">
        <f t="shared" si="246"/>
        <v>2.3530528975387548E-20</v>
      </c>
      <c r="N288" s="9">
        <f t="shared" si="237"/>
        <v>2.3530528975387548E-20</v>
      </c>
      <c r="O288">
        <f t="shared" si="238"/>
        <v>2.3530528975387548E-20</v>
      </c>
      <c r="Q288">
        <f t="shared" si="250"/>
        <v>45.943561001216125</v>
      </c>
      <c r="R288">
        <f t="shared" si="251"/>
        <v>-710542.73576010019</v>
      </c>
      <c r="S288">
        <f t="shared" si="273"/>
        <v>-45.195988269496432</v>
      </c>
      <c r="T288" s="9" t="e">
        <f t="shared" si="252"/>
        <v>#N/A</v>
      </c>
      <c r="U288">
        <f t="shared" si="274"/>
        <v>-1.0000000000000001E+300</v>
      </c>
      <c r="V288">
        <f t="shared" si="275"/>
        <v>0</v>
      </c>
      <c r="W288">
        <f t="shared" si="276"/>
        <v>0</v>
      </c>
      <c r="X288">
        <f t="shared" si="253"/>
        <v>2.3530528975387552</v>
      </c>
      <c r="Y288">
        <f t="shared" si="254"/>
        <v>7.8539816339744828</v>
      </c>
      <c r="Z288">
        <f t="shared" si="255"/>
        <v>-2.3530528975387552</v>
      </c>
      <c r="AA288">
        <f t="shared" si="277"/>
        <v>2.3383144837509358</v>
      </c>
      <c r="AB288">
        <f t="shared" si="256"/>
        <v>10.192296117725419</v>
      </c>
      <c r="AC288">
        <f t="shared" si="278"/>
        <v>0.40413088509502787</v>
      </c>
      <c r="AD288">
        <f t="shared" si="257"/>
        <v>0.34344184662466887</v>
      </c>
      <c r="AE288" s="9">
        <f t="shared" si="279"/>
        <v>10.939868849445118</v>
      </c>
      <c r="AF288">
        <f t="shared" si="280"/>
        <v>0</v>
      </c>
      <c r="AH288">
        <f t="shared" si="258"/>
        <v>7.8539816339744828</v>
      </c>
      <c r="AI288">
        <f t="shared" si="259"/>
        <v>2.3383144837509349</v>
      </c>
      <c r="AJ288">
        <f t="shared" si="260"/>
        <v>0.4041308850950287</v>
      </c>
      <c r="AK288">
        <f t="shared" si="261"/>
        <v>0.34344184662466887</v>
      </c>
      <c r="AL288" s="9">
        <f t="shared" si="281"/>
        <v>10.939868849445116</v>
      </c>
      <c r="AM288" t="e">
        <f t="shared" si="262"/>
        <v>#N/A</v>
      </c>
      <c r="AN288" t="e">
        <f t="shared" si="282"/>
        <v>#N/A</v>
      </c>
      <c r="AO288">
        <f t="shared" si="263"/>
        <v>0</v>
      </c>
      <c r="AP288">
        <f t="shared" si="264"/>
        <v>0</v>
      </c>
      <c r="AQ288">
        <f t="shared" si="265"/>
        <v>8.3266726846886741E-16</v>
      </c>
      <c r="AR288">
        <f t="shared" si="283"/>
        <v>0</v>
      </c>
      <c r="AS288">
        <f t="shared" si="266"/>
        <v>0</v>
      </c>
      <c r="AT288">
        <f t="shared" si="284"/>
        <v>0</v>
      </c>
      <c r="AU288">
        <f t="shared" si="285"/>
        <v>0</v>
      </c>
      <c r="AV288">
        <f t="shared" si="267"/>
        <v>2.3530528975387551E-20</v>
      </c>
      <c r="AW288" t="b">
        <f t="shared" si="286"/>
        <v>1</v>
      </c>
      <c r="AX288">
        <f t="shared" si="268"/>
        <v>7.8539816339744828</v>
      </c>
      <c r="AY288">
        <f t="shared" si="269"/>
        <v>2.3383144837509349</v>
      </c>
      <c r="AZ288">
        <f t="shared" si="270"/>
        <v>0.40413088509502787</v>
      </c>
      <c r="BA288">
        <f t="shared" si="271"/>
        <v>0.34344184662466903</v>
      </c>
      <c r="BB288">
        <f t="shared" si="272"/>
        <v>-1.2337005501361696E-20</v>
      </c>
      <c r="BD288" s="15">
        <f t="shared" si="287"/>
        <v>10.939868849445116</v>
      </c>
      <c r="BE288" s="10">
        <f t="shared" si="288"/>
        <v>0</v>
      </c>
      <c r="BF288">
        <f t="shared" si="289"/>
        <v>0</v>
      </c>
      <c r="BG288">
        <f t="shared" si="290"/>
        <v>0</v>
      </c>
      <c r="BH288">
        <f t="shared" si="291"/>
        <v>0</v>
      </c>
      <c r="BI288">
        <f t="shared" si="292"/>
        <v>0</v>
      </c>
    </row>
    <row r="289" spans="1:61" x14ac:dyDescent="0.3">
      <c r="A289">
        <f t="shared" si="239"/>
        <v>0.252</v>
      </c>
      <c r="B289">
        <f t="shared" si="240"/>
        <v>0.79168134870462792</v>
      </c>
      <c r="C289">
        <f t="shared" si="241"/>
        <v>2.3499113048851652</v>
      </c>
      <c r="D289">
        <f t="shared" si="242"/>
        <v>2.3499113048851652</v>
      </c>
      <c r="E289">
        <f t="shared" si="247"/>
        <v>0.71153567720928534</v>
      </c>
      <c r="F289">
        <f t="shared" si="248"/>
        <v>0.71153567720928546</v>
      </c>
      <c r="G289">
        <f t="shared" si="243"/>
        <v>0.79168134870462792</v>
      </c>
      <c r="H289">
        <f t="shared" si="244"/>
        <v>0.71153567720928534</v>
      </c>
      <c r="I289">
        <f t="shared" si="245"/>
        <v>0.71153567720928546</v>
      </c>
      <c r="J289">
        <f t="shared" si="235"/>
        <v>8.9471237038242185E+19</v>
      </c>
      <c r="K289">
        <f t="shared" si="236"/>
        <v>8.9471237038242185E+19</v>
      </c>
      <c r="L289" t="e">
        <f t="shared" si="249"/>
        <v>#NUM!</v>
      </c>
      <c r="M289">
        <f t="shared" si="246"/>
        <v>2.3499113048851651E-20</v>
      </c>
      <c r="N289" s="9" t="e">
        <f t="shared" si="237"/>
        <v>#NUM!</v>
      </c>
      <c r="O289" t="e">
        <f t="shared" si="238"/>
        <v>#NUM!</v>
      </c>
      <c r="Q289">
        <f t="shared" si="250"/>
        <v>45.94044887364759</v>
      </c>
      <c r="R289">
        <f t="shared" si="251"/>
        <v>-710542.73576010019</v>
      </c>
      <c r="S289">
        <f t="shared" si="273"/>
        <v>-45.197324275039172</v>
      </c>
      <c r="T289" s="9" t="e">
        <f t="shared" si="252"/>
        <v>#N/A</v>
      </c>
      <c r="U289">
        <f t="shared" si="274"/>
        <v>-1.0000000000000001E+300</v>
      </c>
      <c r="V289">
        <f t="shared" si="275"/>
        <v>0</v>
      </c>
      <c r="W289">
        <f t="shared" si="276"/>
        <v>0</v>
      </c>
      <c r="X289">
        <f t="shared" si="253"/>
        <v>2.3499113048851652</v>
      </c>
      <c r="Y289">
        <f t="shared" si="254"/>
        <v>7.8539816339744828</v>
      </c>
      <c r="Z289">
        <f t="shared" si="255"/>
        <v>-2.3499113048851652</v>
      </c>
      <c r="AA289">
        <f t="shared" si="277"/>
        <v>2.3205654477981645</v>
      </c>
      <c r="AB289">
        <f t="shared" si="256"/>
        <v>10.174547081772648</v>
      </c>
      <c r="AC289">
        <f t="shared" si="278"/>
        <v>0.40279487955228549</v>
      </c>
      <c r="AD289">
        <f t="shared" si="257"/>
        <v>0.34032971905613379</v>
      </c>
      <c r="AE289" s="9">
        <f t="shared" si="279"/>
        <v>10.917671680381067</v>
      </c>
      <c r="AF289">
        <f t="shared" si="280"/>
        <v>0</v>
      </c>
      <c r="AH289">
        <f t="shared" si="258"/>
        <v>7.8539816339744828</v>
      </c>
      <c r="AI289">
        <f t="shared" si="259"/>
        <v>2.320565447798165</v>
      </c>
      <c r="AJ289">
        <f t="shared" si="260"/>
        <v>0.40279487955228888</v>
      </c>
      <c r="AK289">
        <f t="shared" si="261"/>
        <v>0.34032971905613379</v>
      </c>
      <c r="AL289" s="9">
        <f t="shared" si="281"/>
        <v>10.917671680381071</v>
      </c>
      <c r="AM289" t="e">
        <f t="shared" si="262"/>
        <v>#N/A</v>
      </c>
      <c r="AN289" t="e">
        <f t="shared" si="282"/>
        <v>#N/A</v>
      </c>
      <c r="AO289">
        <f t="shared" si="263"/>
        <v>0</v>
      </c>
      <c r="AP289">
        <f t="shared" si="264"/>
        <v>0</v>
      </c>
      <c r="AQ289">
        <f t="shared" si="265"/>
        <v>3.3861802251067274E-15</v>
      </c>
      <c r="AR289">
        <f t="shared" si="283"/>
        <v>0</v>
      </c>
      <c r="AS289">
        <f t="shared" si="266"/>
        <v>0</v>
      </c>
      <c r="AT289">
        <f t="shared" si="284"/>
        <v>0</v>
      </c>
      <c r="AU289">
        <f t="shared" si="285"/>
        <v>0</v>
      </c>
      <c r="AV289">
        <f t="shared" si="267"/>
        <v>2.3499113048851651E-20</v>
      </c>
      <c r="AW289" t="b">
        <f t="shared" si="286"/>
        <v>1</v>
      </c>
      <c r="AX289">
        <f t="shared" si="268"/>
        <v>7.8539816339744828</v>
      </c>
      <c r="AY289">
        <f t="shared" si="269"/>
        <v>2.3205654477981641</v>
      </c>
      <c r="AZ289">
        <f t="shared" si="270"/>
        <v>0.40279487955228549</v>
      </c>
      <c r="BA289">
        <f t="shared" si="271"/>
        <v>0.34032971905613363</v>
      </c>
      <c r="BB289">
        <f t="shared" si="272"/>
        <v>-1.2337005501361696E-20</v>
      </c>
      <c r="BD289" s="15">
        <f t="shared" si="287"/>
        <v>10.917671680381067</v>
      </c>
      <c r="BE289" s="10">
        <f t="shared" si="288"/>
        <v>0</v>
      </c>
      <c r="BF289">
        <f t="shared" si="289"/>
        <v>0</v>
      </c>
      <c r="BG289">
        <f t="shared" si="290"/>
        <v>0</v>
      </c>
      <c r="BH289">
        <f t="shared" si="291"/>
        <v>0</v>
      </c>
      <c r="BI289">
        <f t="shared" si="292"/>
        <v>0</v>
      </c>
    </row>
    <row r="290" spans="1:61" x14ac:dyDescent="0.3">
      <c r="A290">
        <f t="shared" si="239"/>
        <v>0.253</v>
      </c>
      <c r="B290">
        <f t="shared" si="240"/>
        <v>0.79482294135821763</v>
      </c>
      <c r="C290">
        <f t="shared" si="241"/>
        <v>2.3467697122315756</v>
      </c>
      <c r="D290">
        <f t="shared" si="242"/>
        <v>2.3467697122315756</v>
      </c>
      <c r="E290">
        <f t="shared" si="247"/>
        <v>0.7137396022764213</v>
      </c>
      <c r="F290">
        <f t="shared" si="248"/>
        <v>0.7137396022764213</v>
      </c>
      <c r="G290">
        <f t="shared" si="243"/>
        <v>0.79482294135821763</v>
      </c>
      <c r="H290">
        <f t="shared" si="244"/>
        <v>0.7137396022764213</v>
      </c>
      <c r="I290">
        <f t="shared" si="245"/>
        <v>0.7137396022764213</v>
      </c>
      <c r="J290">
        <f t="shared" si="235"/>
        <v>8.9194962747916501E+19</v>
      </c>
      <c r="K290">
        <f t="shared" si="236"/>
        <v>8.9194962747916501E+19</v>
      </c>
      <c r="L290">
        <f t="shared" si="249"/>
        <v>1</v>
      </c>
      <c r="M290">
        <f t="shared" si="246"/>
        <v>2.3467697122315754E-20</v>
      </c>
      <c r="N290" s="9">
        <f t="shared" si="237"/>
        <v>2.3467697122315754E-20</v>
      </c>
      <c r="O290">
        <f t="shared" si="238"/>
        <v>2.3467697122315754E-20</v>
      </c>
      <c r="Q290">
        <f t="shared" si="250"/>
        <v>45.937356240448302</v>
      </c>
      <c r="R290">
        <f t="shared" si="251"/>
        <v>0</v>
      </c>
      <c r="S290">
        <f t="shared" si="273"/>
        <v>-45.198662067880832</v>
      </c>
      <c r="T290" s="9" t="e">
        <f t="shared" si="252"/>
        <v>#N/A</v>
      </c>
      <c r="U290">
        <f t="shared" si="274"/>
        <v>-1.0000000000000001E+300</v>
      </c>
      <c r="V290">
        <f t="shared" si="275"/>
        <v>0</v>
      </c>
      <c r="W290">
        <f t="shared" si="276"/>
        <v>0</v>
      </c>
      <c r="X290">
        <f t="shared" si="253"/>
        <v>2.3467697122315756</v>
      </c>
      <c r="Y290">
        <f t="shared" si="254"/>
        <v>7.8539816339744828</v>
      </c>
      <c r="Z290">
        <f t="shared" si="255"/>
        <v>-2.3467697122315756</v>
      </c>
      <c r="AA290">
        <f t="shared" si="277"/>
        <v>2.3029458776369216</v>
      </c>
      <c r="AB290">
        <f t="shared" si="256"/>
        <v>10.156927511611404</v>
      </c>
      <c r="AC290">
        <f t="shared" si="278"/>
        <v>0.40145708671062558</v>
      </c>
      <c r="AD290">
        <f t="shared" si="257"/>
        <v>0.33723708585684192</v>
      </c>
      <c r="AE290" s="9">
        <f t="shared" si="279"/>
        <v>10.89562168417887</v>
      </c>
      <c r="AF290">
        <f t="shared" si="280"/>
        <v>0</v>
      </c>
      <c r="AH290">
        <f t="shared" si="258"/>
        <v>7.8539816339744828</v>
      </c>
      <c r="AI290">
        <f t="shared" si="259"/>
        <v>2.3029458776369212</v>
      </c>
      <c r="AJ290">
        <f t="shared" si="260"/>
        <v>0.40145708671062863</v>
      </c>
      <c r="AK290">
        <f t="shared" si="261"/>
        <v>0.33723708585684192</v>
      </c>
      <c r="AL290" s="9">
        <f t="shared" si="281"/>
        <v>10.895621684178874</v>
      </c>
      <c r="AM290" t="e">
        <f t="shared" si="262"/>
        <v>#N/A</v>
      </c>
      <c r="AN290" t="e">
        <f t="shared" si="282"/>
        <v>#N/A</v>
      </c>
      <c r="AO290">
        <f t="shared" si="263"/>
        <v>0</v>
      </c>
      <c r="AP290">
        <f t="shared" si="264"/>
        <v>0</v>
      </c>
      <c r="AQ290">
        <f t="shared" si="265"/>
        <v>3.0531133177191805E-15</v>
      </c>
      <c r="AR290">
        <f t="shared" si="283"/>
        <v>0</v>
      </c>
      <c r="AS290">
        <f t="shared" si="266"/>
        <v>0</v>
      </c>
      <c r="AT290">
        <f t="shared" si="284"/>
        <v>0</v>
      </c>
      <c r="AU290">
        <f t="shared" si="285"/>
        <v>0</v>
      </c>
      <c r="AV290">
        <f t="shared" si="267"/>
        <v>2.3467697122315754E-20</v>
      </c>
      <c r="AW290" t="b">
        <f t="shared" si="286"/>
        <v>1</v>
      </c>
      <c r="AX290">
        <f t="shared" si="268"/>
        <v>7.8539816339744828</v>
      </c>
      <c r="AY290">
        <f t="shared" si="269"/>
        <v>2.3029458776369212</v>
      </c>
      <c r="AZ290">
        <f t="shared" si="270"/>
        <v>0.40145708671062569</v>
      </c>
      <c r="BA290">
        <f t="shared" si="271"/>
        <v>0.33723708585684192</v>
      </c>
      <c r="BB290">
        <f t="shared" si="272"/>
        <v>-1.2337005501361696E-20</v>
      </c>
      <c r="BD290" s="15">
        <f t="shared" si="287"/>
        <v>10.89562168417887</v>
      </c>
      <c r="BE290" s="10">
        <f t="shared" si="288"/>
        <v>0</v>
      </c>
      <c r="BF290">
        <f t="shared" si="289"/>
        <v>0</v>
      </c>
      <c r="BG290">
        <f t="shared" si="290"/>
        <v>0</v>
      </c>
      <c r="BH290">
        <f t="shared" si="291"/>
        <v>0</v>
      </c>
      <c r="BI290">
        <f t="shared" si="292"/>
        <v>0</v>
      </c>
    </row>
    <row r="291" spans="1:61" x14ac:dyDescent="0.3">
      <c r="A291">
        <f t="shared" si="239"/>
        <v>0.254</v>
      </c>
      <c r="B291">
        <f t="shared" si="240"/>
        <v>0.79796453401180745</v>
      </c>
      <c r="C291">
        <f t="shared" si="241"/>
        <v>2.3436281195779856</v>
      </c>
      <c r="D291">
        <f t="shared" si="242"/>
        <v>2.3436281195779856</v>
      </c>
      <c r="E291">
        <f t="shared" si="247"/>
        <v>0.7159364830218311</v>
      </c>
      <c r="F291">
        <f t="shared" si="248"/>
        <v>0.71593648302183133</v>
      </c>
      <c r="G291">
        <f t="shared" si="243"/>
        <v>0.79796453401180745</v>
      </c>
      <c r="H291">
        <f t="shared" si="244"/>
        <v>0.7159364830218311</v>
      </c>
      <c r="I291">
        <f t="shared" si="245"/>
        <v>0.71593648302183133</v>
      </c>
      <c r="J291">
        <f t="shared" si="235"/>
        <v>8.8921264311120314E+19</v>
      </c>
      <c r="K291">
        <f t="shared" si="236"/>
        <v>8.8921264311120314E+19</v>
      </c>
      <c r="L291">
        <f t="shared" si="249"/>
        <v>1</v>
      </c>
      <c r="M291">
        <f t="shared" si="246"/>
        <v>2.3436281195779855E-20</v>
      </c>
      <c r="N291" s="9">
        <f t="shared" si="237"/>
        <v>2.3436281195779855E-20</v>
      </c>
      <c r="O291">
        <f t="shared" si="238"/>
        <v>2.3436281195779855E-20</v>
      </c>
      <c r="Q291">
        <f t="shared" si="250"/>
        <v>45.934282981411357</v>
      </c>
      <c r="R291">
        <f t="shared" si="251"/>
        <v>0</v>
      </c>
      <c r="S291">
        <f t="shared" si="273"/>
        <v>-45.200001652809888</v>
      </c>
      <c r="T291" s="9" t="e">
        <f t="shared" si="252"/>
        <v>#N/A</v>
      </c>
      <c r="U291">
        <f t="shared" si="274"/>
        <v>-1.0000000000000001E+300</v>
      </c>
      <c r="V291">
        <f t="shared" si="275"/>
        <v>0</v>
      </c>
      <c r="W291">
        <f t="shared" si="276"/>
        <v>0</v>
      </c>
      <c r="X291">
        <f t="shared" si="253"/>
        <v>2.3436281195779856</v>
      </c>
      <c r="Y291">
        <f t="shared" si="254"/>
        <v>7.8539816339744828</v>
      </c>
      <c r="Z291">
        <f t="shared" si="255"/>
        <v>-2.3436281195779856</v>
      </c>
      <c r="AA291">
        <f t="shared" si="277"/>
        <v>2.2854542922073078</v>
      </c>
      <c r="AB291">
        <f t="shared" si="256"/>
        <v>10.13943592618179</v>
      </c>
      <c r="AC291">
        <f t="shared" si="278"/>
        <v>0.40011750178156913</v>
      </c>
      <c r="AD291">
        <f t="shared" si="257"/>
        <v>0.3341638268198972</v>
      </c>
      <c r="AE291" s="9">
        <f t="shared" si="279"/>
        <v>10.873717254783255</v>
      </c>
      <c r="AF291">
        <f t="shared" si="280"/>
        <v>0</v>
      </c>
      <c r="AH291">
        <f t="shared" si="258"/>
        <v>7.8539816339744828</v>
      </c>
      <c r="AI291">
        <f t="shared" si="259"/>
        <v>2.2854542922073082</v>
      </c>
      <c r="AJ291">
        <f t="shared" si="260"/>
        <v>0.40011750178157257</v>
      </c>
      <c r="AK291">
        <f t="shared" si="261"/>
        <v>0.3341638268198972</v>
      </c>
      <c r="AL291" s="9">
        <f t="shared" si="281"/>
        <v>10.873717254783262</v>
      </c>
      <c r="AM291" t="e">
        <f t="shared" si="262"/>
        <v>#N/A</v>
      </c>
      <c r="AN291" t="e">
        <f t="shared" si="282"/>
        <v>#N/A</v>
      </c>
      <c r="AO291">
        <f t="shared" si="263"/>
        <v>0</v>
      </c>
      <c r="AP291">
        <f t="shared" si="264"/>
        <v>0</v>
      </c>
      <c r="AQ291">
        <f t="shared" si="265"/>
        <v>3.4416913763379853E-15</v>
      </c>
      <c r="AR291">
        <f t="shared" si="283"/>
        <v>0</v>
      </c>
      <c r="AS291">
        <f t="shared" si="266"/>
        <v>0</v>
      </c>
      <c r="AT291">
        <f t="shared" si="284"/>
        <v>0</v>
      </c>
      <c r="AU291">
        <f t="shared" si="285"/>
        <v>0</v>
      </c>
      <c r="AV291">
        <f t="shared" si="267"/>
        <v>2.3436281195779855E-20</v>
      </c>
      <c r="AW291" t="b">
        <f t="shared" si="286"/>
        <v>1</v>
      </c>
      <c r="AX291">
        <f t="shared" si="268"/>
        <v>7.8539816339744828</v>
      </c>
      <c r="AY291">
        <f t="shared" si="269"/>
        <v>2.2854542922073073</v>
      </c>
      <c r="AZ291">
        <f t="shared" si="270"/>
        <v>0.40011750178156913</v>
      </c>
      <c r="BA291">
        <f t="shared" si="271"/>
        <v>0.33416382681989687</v>
      </c>
      <c r="BB291">
        <f t="shared" si="272"/>
        <v>-1.2337005501361696E-20</v>
      </c>
      <c r="BD291" s="15">
        <f t="shared" si="287"/>
        <v>10.873717254783255</v>
      </c>
      <c r="BE291" s="10">
        <f t="shared" si="288"/>
        <v>0</v>
      </c>
      <c r="BF291">
        <f t="shared" si="289"/>
        <v>0</v>
      </c>
      <c r="BG291">
        <f t="shared" si="290"/>
        <v>0</v>
      </c>
      <c r="BH291">
        <f t="shared" si="291"/>
        <v>0</v>
      </c>
      <c r="BI291">
        <f t="shared" si="292"/>
        <v>0</v>
      </c>
    </row>
    <row r="292" spans="1:61" x14ac:dyDescent="0.3">
      <c r="A292">
        <f t="shared" si="239"/>
        <v>0.255</v>
      </c>
      <c r="B292">
        <f t="shared" si="240"/>
        <v>0.80110612666539727</v>
      </c>
      <c r="C292">
        <f t="shared" si="241"/>
        <v>2.340486526924396</v>
      </c>
      <c r="D292">
        <f t="shared" si="242"/>
        <v>2.340486526924396</v>
      </c>
      <c r="E292">
        <f t="shared" si="247"/>
        <v>0.71812629776318881</v>
      </c>
      <c r="F292">
        <f t="shared" si="248"/>
        <v>0.71812629776318881</v>
      </c>
      <c r="G292">
        <f t="shared" si="243"/>
        <v>0.80110612666539727</v>
      </c>
      <c r="H292">
        <f t="shared" si="244"/>
        <v>0.71812629776318881</v>
      </c>
      <c r="I292">
        <f t="shared" si="245"/>
        <v>0.71812629776318881</v>
      </c>
      <c r="J292">
        <f t="shared" si="235"/>
        <v>8.8650112710050742E+19</v>
      </c>
      <c r="K292">
        <f t="shared" si="236"/>
        <v>8.8650112710050742E+19</v>
      </c>
      <c r="L292" t="e">
        <f t="shared" si="249"/>
        <v>#NUM!</v>
      </c>
      <c r="M292">
        <f t="shared" si="246"/>
        <v>2.3404865269243955E-20</v>
      </c>
      <c r="N292" s="9" t="e">
        <f t="shared" si="237"/>
        <v>#NUM!</v>
      </c>
      <c r="O292" t="e">
        <f t="shared" si="238"/>
        <v>#NUM!</v>
      </c>
      <c r="Q292">
        <f t="shared" si="250"/>
        <v>45.931228977817206</v>
      </c>
      <c r="R292">
        <f t="shared" si="251"/>
        <v>0</v>
      </c>
      <c r="S292">
        <f t="shared" si="273"/>
        <v>-45.201343034634093</v>
      </c>
      <c r="T292" s="9" t="e">
        <f t="shared" si="252"/>
        <v>#N/A</v>
      </c>
      <c r="U292">
        <f t="shared" si="274"/>
        <v>-1.0000000000000001E+300</v>
      </c>
      <c r="V292">
        <f t="shared" si="275"/>
        <v>0</v>
      </c>
      <c r="W292">
        <f t="shared" si="276"/>
        <v>0</v>
      </c>
      <c r="X292">
        <f t="shared" si="253"/>
        <v>2.340486526924396</v>
      </c>
      <c r="Y292">
        <f t="shared" si="254"/>
        <v>7.8539816339744828</v>
      </c>
      <c r="Z292">
        <f t="shared" si="255"/>
        <v>-2.340486526924396</v>
      </c>
      <c r="AA292">
        <f t="shared" si="277"/>
        <v>2.2680892336234963</v>
      </c>
      <c r="AB292">
        <f t="shared" si="256"/>
        <v>10.12207086759798</v>
      </c>
      <c r="AC292">
        <f t="shared" si="278"/>
        <v>0.39877611995736778</v>
      </c>
      <c r="AD292">
        <f t="shared" si="257"/>
        <v>0.33110982322574367</v>
      </c>
      <c r="AE292" s="9">
        <f t="shared" si="279"/>
        <v>10.851956810781092</v>
      </c>
      <c r="AF292">
        <f t="shared" si="280"/>
        <v>0</v>
      </c>
      <c r="AH292">
        <f t="shared" si="258"/>
        <v>7.8539816339744828</v>
      </c>
      <c r="AI292">
        <f t="shared" si="259"/>
        <v>2.2680892336234955</v>
      </c>
      <c r="AJ292">
        <f t="shared" si="260"/>
        <v>0.39877611995736828</v>
      </c>
      <c r="AK292">
        <f t="shared" si="261"/>
        <v>0.33110982322574367</v>
      </c>
      <c r="AL292" s="9">
        <f t="shared" si="281"/>
        <v>10.85195681078109</v>
      </c>
      <c r="AM292" t="e">
        <f t="shared" si="262"/>
        <v>#N/A</v>
      </c>
      <c r="AN292" t="e">
        <f t="shared" si="282"/>
        <v>#N/A</v>
      </c>
      <c r="AO292">
        <f t="shared" si="263"/>
        <v>0</v>
      </c>
      <c r="AP292">
        <f t="shared" si="264"/>
        <v>0</v>
      </c>
      <c r="AQ292">
        <f t="shared" si="265"/>
        <v>4.9960036108132044E-16</v>
      </c>
      <c r="AR292">
        <f t="shared" si="283"/>
        <v>0</v>
      </c>
      <c r="AS292">
        <f t="shared" si="266"/>
        <v>0</v>
      </c>
      <c r="AT292">
        <f t="shared" si="284"/>
        <v>0</v>
      </c>
      <c r="AU292">
        <f t="shared" si="285"/>
        <v>0</v>
      </c>
      <c r="AV292">
        <f t="shared" si="267"/>
        <v>2.3404865269243958E-20</v>
      </c>
      <c r="AW292" t="b">
        <f t="shared" si="286"/>
        <v>1</v>
      </c>
      <c r="AX292">
        <f t="shared" si="268"/>
        <v>7.8539816339744828</v>
      </c>
      <c r="AY292">
        <f t="shared" si="269"/>
        <v>2.2680892336234959</v>
      </c>
      <c r="AZ292">
        <f t="shared" si="270"/>
        <v>0.39877611995736789</v>
      </c>
      <c r="BA292">
        <f t="shared" si="271"/>
        <v>0.33110982322574367</v>
      </c>
      <c r="BB292">
        <f t="shared" si="272"/>
        <v>-1.2337005501361696E-20</v>
      </c>
      <c r="BD292" s="15">
        <f t="shared" si="287"/>
        <v>10.85195681078109</v>
      </c>
      <c r="BE292" s="10">
        <f t="shared" si="288"/>
        <v>0</v>
      </c>
      <c r="BF292">
        <f t="shared" si="289"/>
        <v>0</v>
      </c>
      <c r="BG292">
        <f t="shared" si="290"/>
        <v>0</v>
      </c>
      <c r="BH292">
        <f t="shared" si="291"/>
        <v>0</v>
      </c>
      <c r="BI292">
        <f t="shared" si="292"/>
        <v>0</v>
      </c>
    </row>
    <row r="293" spans="1:61" x14ac:dyDescent="0.3">
      <c r="A293">
        <f t="shared" si="239"/>
        <v>0.25600000000000001</v>
      </c>
      <c r="B293">
        <f t="shared" si="240"/>
        <v>0.80424771931898709</v>
      </c>
      <c r="C293">
        <f t="shared" si="241"/>
        <v>2.3373449342708059</v>
      </c>
      <c r="D293">
        <f t="shared" si="242"/>
        <v>2.3373449342708059</v>
      </c>
      <c r="E293">
        <f t="shared" si="247"/>
        <v>0.72030902488790693</v>
      </c>
      <c r="F293">
        <f t="shared" si="248"/>
        <v>0.72030902488790705</v>
      </c>
      <c r="G293">
        <f t="shared" si="243"/>
        <v>0.80424771931898709</v>
      </c>
      <c r="H293">
        <f t="shared" si="244"/>
        <v>0.72030902488790693</v>
      </c>
      <c r="I293">
        <f t="shared" si="245"/>
        <v>0.72030902488790705</v>
      </c>
      <c r="J293">
        <f t="shared" ref="J293:J356" si="293">x_m_zeta/H293</f>
        <v>8.8381479388884648E+19</v>
      </c>
      <c r="K293">
        <f t="shared" ref="K293:K356" si="294">(J293)^alpha</f>
        <v>8.8381479388884648E+19</v>
      </c>
      <c r="L293">
        <f t="shared" si="249"/>
        <v>1</v>
      </c>
      <c r="M293">
        <f t="shared" si="246"/>
        <v>2.3373449342708059E-20</v>
      </c>
      <c r="N293" s="9">
        <f t="shared" si="237"/>
        <v>2.3373449342708059E-20</v>
      </c>
      <c r="O293">
        <f t="shared" si="238"/>
        <v>2.3373449342708059E-20</v>
      </c>
      <c r="Q293">
        <f t="shared" si="250"/>
        <v>45.928194112410793</v>
      </c>
      <c r="R293">
        <f t="shared" si="251"/>
        <v>0</v>
      </c>
      <c r="S293">
        <f t="shared" si="273"/>
        <v>-45.20268621818056</v>
      </c>
      <c r="T293" s="9" t="e">
        <f t="shared" si="252"/>
        <v>#N/A</v>
      </c>
      <c r="U293">
        <f t="shared" si="274"/>
        <v>-1.0000000000000001E+300</v>
      </c>
      <c r="V293">
        <f t="shared" si="275"/>
        <v>0</v>
      </c>
      <c r="W293">
        <f t="shared" si="276"/>
        <v>0</v>
      </c>
      <c r="X293">
        <f t="shared" si="253"/>
        <v>2.3373449342708059</v>
      </c>
      <c r="Y293">
        <f t="shared" si="254"/>
        <v>7.8539816339744828</v>
      </c>
      <c r="Z293">
        <f t="shared" si="255"/>
        <v>-2.3373449342708059</v>
      </c>
      <c r="AA293">
        <f t="shared" si="277"/>
        <v>2.2508492667214077</v>
      </c>
      <c r="AB293">
        <f t="shared" si="256"/>
        <v>10.104830900695891</v>
      </c>
      <c r="AC293">
        <f t="shared" si="278"/>
        <v>0.39743293641090011</v>
      </c>
      <c r="AD293">
        <f t="shared" si="257"/>
        <v>0.32807495781933482</v>
      </c>
      <c r="AE293" s="9">
        <f t="shared" si="279"/>
        <v>10.830338794926124</v>
      </c>
      <c r="AF293">
        <f t="shared" si="280"/>
        <v>0</v>
      </c>
      <c r="AH293">
        <f t="shared" si="258"/>
        <v>7.8539816339744828</v>
      </c>
      <c r="AI293">
        <f t="shared" si="259"/>
        <v>2.2508492667214082</v>
      </c>
      <c r="AJ293">
        <f t="shared" si="260"/>
        <v>0.39743293641090105</v>
      </c>
      <c r="AK293">
        <f t="shared" si="261"/>
        <v>0.32807495781933482</v>
      </c>
      <c r="AL293" s="9">
        <f t="shared" si="281"/>
        <v>10.830338794926126</v>
      </c>
      <c r="AM293" t="e">
        <f t="shared" si="262"/>
        <v>#N/A</v>
      </c>
      <c r="AN293" t="e">
        <f t="shared" si="282"/>
        <v>#N/A</v>
      </c>
      <c r="AO293">
        <f t="shared" si="263"/>
        <v>0</v>
      </c>
      <c r="AP293">
        <f t="shared" si="264"/>
        <v>0</v>
      </c>
      <c r="AQ293">
        <f t="shared" si="265"/>
        <v>9.4368957093138306E-16</v>
      </c>
      <c r="AR293">
        <f t="shared" si="283"/>
        <v>0</v>
      </c>
      <c r="AS293">
        <f t="shared" si="266"/>
        <v>0</v>
      </c>
      <c r="AT293">
        <f t="shared" si="284"/>
        <v>0</v>
      </c>
      <c r="AU293">
        <f t="shared" si="285"/>
        <v>0</v>
      </c>
      <c r="AV293">
        <f t="shared" si="267"/>
        <v>2.3373449342708059E-20</v>
      </c>
      <c r="AW293" t="b">
        <f t="shared" si="286"/>
        <v>1</v>
      </c>
      <c r="AX293">
        <f t="shared" si="268"/>
        <v>7.8539816339744828</v>
      </c>
      <c r="AY293">
        <f t="shared" si="269"/>
        <v>2.2508492667214073</v>
      </c>
      <c r="AZ293">
        <f t="shared" si="270"/>
        <v>0.39743293641090011</v>
      </c>
      <c r="BA293">
        <f t="shared" si="271"/>
        <v>0.32807495781933471</v>
      </c>
      <c r="BB293">
        <f t="shared" si="272"/>
        <v>-1.2337005501361696E-20</v>
      </c>
      <c r="BD293" s="15">
        <f t="shared" si="287"/>
        <v>10.830338794926124</v>
      </c>
      <c r="BE293" s="10">
        <f t="shared" si="288"/>
        <v>0</v>
      </c>
      <c r="BF293">
        <f t="shared" si="289"/>
        <v>0</v>
      </c>
      <c r="BG293">
        <f t="shared" si="290"/>
        <v>0</v>
      </c>
      <c r="BH293">
        <f t="shared" si="291"/>
        <v>0</v>
      </c>
      <c r="BI293">
        <f t="shared" si="292"/>
        <v>0</v>
      </c>
    </row>
    <row r="294" spans="1:61" x14ac:dyDescent="0.3">
      <c r="A294">
        <f t="shared" si="239"/>
        <v>0.25700000000000001</v>
      </c>
      <c r="B294">
        <f t="shared" si="240"/>
        <v>0.8073893119725768</v>
      </c>
      <c r="C294">
        <f t="shared" si="241"/>
        <v>2.3342033416172163</v>
      </c>
      <c r="D294">
        <f t="shared" si="242"/>
        <v>2.3342033416172163</v>
      </c>
      <c r="E294">
        <f t="shared" si="247"/>
        <v>0.72248464285334979</v>
      </c>
      <c r="F294">
        <f t="shared" si="248"/>
        <v>0.7224846428533499</v>
      </c>
      <c r="G294">
        <f t="shared" si="243"/>
        <v>0.8073893119725768</v>
      </c>
      <c r="H294">
        <f t="shared" si="244"/>
        <v>0.72248464285334979</v>
      </c>
      <c r="I294">
        <f t="shared" si="245"/>
        <v>0.7224846428533499</v>
      </c>
      <c r="J294">
        <f t="shared" si="293"/>
        <v>8.8115336244842889E+19</v>
      </c>
      <c r="K294">
        <f t="shared" si="294"/>
        <v>8.8115336244842889E+19</v>
      </c>
      <c r="L294" t="e">
        <f t="shared" si="249"/>
        <v>#NUM!</v>
      </c>
      <c r="M294">
        <f t="shared" si="246"/>
        <v>2.3342033416172162E-20</v>
      </c>
      <c r="N294" s="9" t="e">
        <f t="shared" ref="N294:N357" si="295">L294*M294</f>
        <v>#NUM!</v>
      </c>
      <c r="O294" t="e">
        <f t="shared" ref="O294:O357" si="296">N294*EXP(-N294)</f>
        <v>#NUM!</v>
      </c>
      <c r="Q294">
        <f t="shared" si="250"/>
        <v>45.925178269379209</v>
      </c>
      <c r="R294">
        <f t="shared" si="251"/>
        <v>0</v>
      </c>
      <c r="S294">
        <f t="shared" si="273"/>
        <v>-45.204031208295895</v>
      </c>
      <c r="T294" s="9" t="e">
        <f t="shared" si="252"/>
        <v>#N/A</v>
      </c>
      <c r="U294">
        <f t="shared" si="274"/>
        <v>-1.0000000000000001E+300</v>
      </c>
      <c r="V294">
        <f t="shared" si="275"/>
        <v>0</v>
      </c>
      <c r="W294">
        <f t="shared" si="276"/>
        <v>0</v>
      </c>
      <c r="X294">
        <f t="shared" si="253"/>
        <v>2.3342033416172163</v>
      </c>
      <c r="Y294">
        <f t="shared" si="254"/>
        <v>7.8539816339744828</v>
      </c>
      <c r="Z294">
        <f t="shared" si="255"/>
        <v>-2.3342033416172163</v>
      </c>
      <c r="AA294">
        <f t="shared" si="277"/>
        <v>2.2337329786169846</v>
      </c>
      <c r="AB294">
        <f t="shared" si="256"/>
        <v>10.087714612591467</v>
      </c>
      <c r="AC294">
        <f t="shared" si="278"/>
        <v>0.39608794629556743</v>
      </c>
      <c r="AD294">
        <f t="shared" si="257"/>
        <v>0.32505911478775046</v>
      </c>
      <c r="AE294" s="9">
        <f t="shared" si="279"/>
        <v>10.808861673674786</v>
      </c>
      <c r="AF294">
        <f t="shared" si="280"/>
        <v>0</v>
      </c>
      <c r="AH294">
        <f t="shared" si="258"/>
        <v>7.8539816339744828</v>
      </c>
      <c r="AI294">
        <f t="shared" si="259"/>
        <v>2.2337329786169846</v>
      </c>
      <c r="AJ294">
        <f t="shared" si="260"/>
        <v>0.39608794629556598</v>
      </c>
      <c r="AK294">
        <f t="shared" si="261"/>
        <v>0.32505911478775046</v>
      </c>
      <c r="AL294" s="9">
        <f t="shared" si="281"/>
        <v>10.808861673674784</v>
      </c>
      <c r="AM294" t="e">
        <f t="shared" si="262"/>
        <v>#N/A</v>
      </c>
      <c r="AN294" t="e">
        <f t="shared" si="282"/>
        <v>#N/A</v>
      </c>
      <c r="AO294">
        <f t="shared" si="263"/>
        <v>0</v>
      </c>
      <c r="AP294">
        <f t="shared" si="264"/>
        <v>0</v>
      </c>
      <c r="AQ294">
        <f t="shared" si="265"/>
        <v>-1.4432899320127035E-15</v>
      </c>
      <c r="AR294">
        <f t="shared" si="283"/>
        <v>0</v>
      </c>
      <c r="AS294">
        <f t="shared" si="266"/>
        <v>0</v>
      </c>
      <c r="AT294">
        <f t="shared" si="284"/>
        <v>0</v>
      </c>
      <c r="AU294">
        <f t="shared" si="285"/>
        <v>0</v>
      </c>
      <c r="AV294">
        <f t="shared" si="267"/>
        <v>2.3342033416172162E-20</v>
      </c>
      <c r="AW294" t="b">
        <f t="shared" si="286"/>
        <v>1</v>
      </c>
      <c r="AX294">
        <f t="shared" si="268"/>
        <v>7.8539816339744828</v>
      </c>
      <c r="AY294">
        <f t="shared" si="269"/>
        <v>2.2337329786169842</v>
      </c>
      <c r="AZ294">
        <f t="shared" si="270"/>
        <v>0.39608794629556743</v>
      </c>
      <c r="BA294">
        <f t="shared" si="271"/>
        <v>0.32505911478775029</v>
      </c>
      <c r="BB294">
        <f t="shared" si="272"/>
        <v>-1.2337005501361696E-20</v>
      </c>
      <c r="BD294" s="15">
        <f t="shared" si="287"/>
        <v>10.808861673674786</v>
      </c>
      <c r="BE294" s="10">
        <f t="shared" si="288"/>
        <v>0</v>
      </c>
      <c r="BF294">
        <f t="shared" si="289"/>
        <v>0</v>
      </c>
      <c r="BG294">
        <f t="shared" si="290"/>
        <v>0</v>
      </c>
      <c r="BH294">
        <f t="shared" si="291"/>
        <v>0</v>
      </c>
      <c r="BI294">
        <f t="shared" si="292"/>
        <v>0</v>
      </c>
    </row>
    <row r="295" spans="1:61" x14ac:dyDescent="0.3">
      <c r="A295">
        <f t="shared" ref="A295:A358" si="297">ROUND(A294+1/1000,3)</f>
        <v>0.25800000000000001</v>
      </c>
      <c r="B295">
        <f t="shared" si="240"/>
        <v>0.81053090462616662</v>
      </c>
      <c r="C295">
        <f t="shared" si="241"/>
        <v>2.3310617489636263</v>
      </c>
      <c r="D295">
        <f t="shared" si="242"/>
        <v>2.3310617489636263</v>
      </c>
      <c r="E295">
        <f t="shared" si="247"/>
        <v>0.72465313018704658</v>
      </c>
      <c r="F295">
        <f t="shared" si="248"/>
        <v>0.72465313018704691</v>
      </c>
      <c r="G295">
        <f t="shared" si="243"/>
        <v>0.81053090462616662</v>
      </c>
      <c r="H295">
        <f t="shared" si="244"/>
        <v>0.72465313018704658</v>
      </c>
      <c r="I295">
        <f t="shared" si="245"/>
        <v>0.72465313018704691</v>
      </c>
      <c r="J295">
        <f t="shared" si="293"/>
        <v>8.7851655619462775E+19</v>
      </c>
      <c r="K295">
        <f t="shared" si="294"/>
        <v>8.7851655619462775E+19</v>
      </c>
      <c r="L295">
        <f t="shared" si="249"/>
        <v>1</v>
      </c>
      <c r="M295">
        <f t="shared" si="246"/>
        <v>2.3310617489636262E-20</v>
      </c>
      <c r="N295" s="9">
        <f t="shared" si="295"/>
        <v>2.3310617489636262E-20</v>
      </c>
      <c r="O295">
        <f t="shared" si="296"/>
        <v>2.3310617489636262E-20</v>
      </c>
      <c r="Q295">
        <f t="shared" si="250"/>
        <v>45.922181334329707</v>
      </c>
      <c r="R295">
        <f t="shared" si="251"/>
        <v>0</v>
      </c>
      <c r="S295">
        <f t="shared" si="273"/>
        <v>-45.205378009846271</v>
      </c>
      <c r="T295" s="9" t="e">
        <f t="shared" si="252"/>
        <v>#N/A</v>
      </c>
      <c r="U295">
        <f t="shared" si="274"/>
        <v>-1.0000000000000001E+300</v>
      </c>
      <c r="V295">
        <f t="shared" si="275"/>
        <v>0</v>
      </c>
      <c r="W295">
        <f t="shared" si="276"/>
        <v>0</v>
      </c>
      <c r="X295">
        <f t="shared" si="253"/>
        <v>2.3310617489636263</v>
      </c>
      <c r="Y295">
        <f t="shared" si="254"/>
        <v>7.8539816339744828</v>
      </c>
      <c r="Z295">
        <f t="shared" si="255"/>
        <v>-2.3310617489636263</v>
      </c>
      <c r="AA295">
        <f t="shared" si="277"/>
        <v>2.2167389782747002</v>
      </c>
      <c r="AB295">
        <f t="shared" si="256"/>
        <v>10.070720612249183</v>
      </c>
      <c r="AC295">
        <f t="shared" si="278"/>
        <v>0.39474114474518857</v>
      </c>
      <c r="AD295">
        <f t="shared" si="257"/>
        <v>0.32206217973824974</v>
      </c>
      <c r="AE295" s="9">
        <f t="shared" si="279"/>
        <v>10.787523936732621</v>
      </c>
      <c r="AF295">
        <f t="shared" si="280"/>
        <v>0</v>
      </c>
      <c r="AH295">
        <f t="shared" si="258"/>
        <v>7.8539816339744828</v>
      </c>
      <c r="AI295">
        <f t="shared" si="259"/>
        <v>2.2167389782747011</v>
      </c>
      <c r="AJ295">
        <f t="shared" si="260"/>
        <v>0.39474114474518984</v>
      </c>
      <c r="AK295">
        <f t="shared" si="261"/>
        <v>0.32206217973824974</v>
      </c>
      <c r="AL295" s="9">
        <f t="shared" si="281"/>
        <v>10.787523936732624</v>
      </c>
      <c r="AM295" t="e">
        <f t="shared" si="262"/>
        <v>#N/A</v>
      </c>
      <c r="AN295" t="e">
        <f t="shared" si="282"/>
        <v>#N/A</v>
      </c>
      <c r="AO295">
        <f t="shared" si="263"/>
        <v>0</v>
      </c>
      <c r="AP295">
        <f t="shared" si="264"/>
        <v>0</v>
      </c>
      <c r="AQ295">
        <f t="shared" si="265"/>
        <v>1.27675647831893E-15</v>
      </c>
      <c r="AR295">
        <f t="shared" si="283"/>
        <v>0</v>
      </c>
      <c r="AS295">
        <f t="shared" si="266"/>
        <v>0</v>
      </c>
      <c r="AT295">
        <f t="shared" si="284"/>
        <v>0</v>
      </c>
      <c r="AU295">
        <f t="shared" si="285"/>
        <v>0</v>
      </c>
      <c r="AV295">
        <f t="shared" si="267"/>
        <v>2.3310617489636262E-20</v>
      </c>
      <c r="AW295" t="b">
        <f t="shared" si="286"/>
        <v>1</v>
      </c>
      <c r="AX295">
        <f t="shared" si="268"/>
        <v>7.8539816339744828</v>
      </c>
      <c r="AY295">
        <f t="shared" si="269"/>
        <v>2.2167389782746998</v>
      </c>
      <c r="AZ295">
        <f t="shared" si="270"/>
        <v>0.39474114474518868</v>
      </c>
      <c r="BA295">
        <f t="shared" si="271"/>
        <v>0.32206217973824924</v>
      </c>
      <c r="BB295">
        <f t="shared" si="272"/>
        <v>-1.2337005501361696E-20</v>
      </c>
      <c r="BD295" s="15">
        <f t="shared" si="287"/>
        <v>10.787523936732621</v>
      </c>
      <c r="BE295" s="10">
        <f t="shared" si="288"/>
        <v>0</v>
      </c>
      <c r="BF295">
        <f t="shared" si="289"/>
        <v>0</v>
      </c>
      <c r="BG295">
        <f t="shared" si="290"/>
        <v>0</v>
      </c>
      <c r="BH295">
        <f t="shared" si="291"/>
        <v>0</v>
      </c>
      <c r="BI295">
        <f t="shared" si="292"/>
        <v>0</v>
      </c>
    </row>
    <row r="296" spans="1:61" x14ac:dyDescent="0.3">
      <c r="A296">
        <f t="shared" si="297"/>
        <v>0.25900000000000001</v>
      </c>
      <c r="B296">
        <f t="shared" si="240"/>
        <v>0.81367249727975643</v>
      </c>
      <c r="C296">
        <f t="shared" si="241"/>
        <v>2.3279201563100367</v>
      </c>
      <c r="D296">
        <f t="shared" si="242"/>
        <v>2.3279201563100367</v>
      </c>
      <c r="E296">
        <f t="shared" si="247"/>
        <v>0.72681446548690287</v>
      </c>
      <c r="F296">
        <f t="shared" si="248"/>
        <v>0.72681446548690287</v>
      </c>
      <c r="G296">
        <f t="shared" si="243"/>
        <v>0.81367249727975643</v>
      </c>
      <c r="H296">
        <f t="shared" si="244"/>
        <v>0.72681446548690287</v>
      </c>
      <c r="I296">
        <f t="shared" si="245"/>
        <v>0.72681446548690287</v>
      </c>
      <c r="J296">
        <f t="shared" si="293"/>
        <v>8.7590410290073305E+19</v>
      </c>
      <c r="K296">
        <f t="shared" si="294"/>
        <v>8.7590410290073305E+19</v>
      </c>
      <c r="L296">
        <f t="shared" si="249"/>
        <v>1</v>
      </c>
      <c r="M296">
        <f t="shared" si="246"/>
        <v>2.3279201563100366E-20</v>
      </c>
      <c r="N296" s="9">
        <f t="shared" si="295"/>
        <v>2.3279201563100366E-20</v>
      </c>
      <c r="O296">
        <f t="shared" si="296"/>
        <v>2.3279201563100366E-20</v>
      </c>
      <c r="Q296">
        <f t="shared" si="250"/>
        <v>45.919203194268214</v>
      </c>
      <c r="R296">
        <f t="shared" si="251"/>
        <v>0</v>
      </c>
      <c r="S296">
        <f t="shared" si="273"/>
        <v>-45.206726627717565</v>
      </c>
      <c r="T296" s="9" t="e">
        <f t="shared" si="252"/>
        <v>#N/A</v>
      </c>
      <c r="U296">
        <f t="shared" si="274"/>
        <v>-1.0000000000000001E+300</v>
      </c>
      <c r="V296">
        <f t="shared" si="275"/>
        <v>0</v>
      </c>
      <c r="W296">
        <f t="shared" si="276"/>
        <v>0</v>
      </c>
      <c r="X296">
        <f t="shared" si="253"/>
        <v>2.3279201563100367</v>
      </c>
      <c r="Y296">
        <f t="shared" si="254"/>
        <v>7.8539816339744828</v>
      </c>
      <c r="Z296">
        <f t="shared" si="255"/>
        <v>-2.3279201563100367</v>
      </c>
      <c r="AA296">
        <f t="shared" si="277"/>
        <v>2.199865896086096</v>
      </c>
      <c r="AB296">
        <f t="shared" si="256"/>
        <v>10.05384753006058</v>
      </c>
      <c r="AC296">
        <f t="shared" si="278"/>
        <v>0.39339252687389514</v>
      </c>
      <c r="AD296">
        <f t="shared" si="257"/>
        <v>0.31908403967675325</v>
      </c>
      <c r="AE296" s="9">
        <f t="shared" si="279"/>
        <v>10.766324096611228</v>
      </c>
      <c r="AF296">
        <f t="shared" si="280"/>
        <v>0</v>
      </c>
      <c r="AH296">
        <f t="shared" si="258"/>
        <v>7.8539816339744828</v>
      </c>
      <c r="AI296">
        <f t="shared" si="259"/>
        <v>2.1998658960860964</v>
      </c>
      <c r="AJ296">
        <f t="shared" si="260"/>
        <v>0.39339252687389603</v>
      </c>
      <c r="AK296">
        <f t="shared" si="261"/>
        <v>0.31908403967675325</v>
      </c>
      <c r="AL296" s="9">
        <f t="shared" si="281"/>
        <v>10.766324096611228</v>
      </c>
      <c r="AM296" t="e">
        <f t="shared" si="262"/>
        <v>#N/A</v>
      </c>
      <c r="AN296" t="e">
        <f t="shared" si="282"/>
        <v>#N/A</v>
      </c>
      <c r="AO296">
        <f t="shared" si="263"/>
        <v>0</v>
      </c>
      <c r="AP296">
        <f t="shared" si="264"/>
        <v>0</v>
      </c>
      <c r="AQ296">
        <f t="shared" si="265"/>
        <v>8.8817841970012523E-16</v>
      </c>
      <c r="AR296">
        <f t="shared" si="283"/>
        <v>0</v>
      </c>
      <c r="AS296">
        <f t="shared" si="266"/>
        <v>0</v>
      </c>
      <c r="AT296">
        <f t="shared" si="284"/>
        <v>0</v>
      </c>
      <c r="AU296">
        <f t="shared" si="285"/>
        <v>0</v>
      </c>
      <c r="AV296">
        <f t="shared" si="267"/>
        <v>2.3279201563100366E-20</v>
      </c>
      <c r="AW296" t="b">
        <f t="shared" si="286"/>
        <v>1</v>
      </c>
      <c r="AX296">
        <f t="shared" si="268"/>
        <v>7.8539816339744828</v>
      </c>
      <c r="AY296">
        <f t="shared" si="269"/>
        <v>2.199865896086096</v>
      </c>
      <c r="AZ296">
        <f t="shared" si="270"/>
        <v>0.39339252687389514</v>
      </c>
      <c r="BA296">
        <f t="shared" si="271"/>
        <v>0.31908403967675325</v>
      </c>
      <c r="BB296">
        <f t="shared" si="272"/>
        <v>-1.2337005501361696E-20</v>
      </c>
      <c r="BD296" s="15">
        <f t="shared" si="287"/>
        <v>10.766324096611228</v>
      </c>
      <c r="BE296" s="10">
        <f t="shared" si="288"/>
        <v>0</v>
      </c>
      <c r="BF296">
        <f t="shared" si="289"/>
        <v>0</v>
      </c>
      <c r="BG296">
        <f t="shared" si="290"/>
        <v>0</v>
      </c>
      <c r="BH296">
        <f t="shared" si="291"/>
        <v>0</v>
      </c>
      <c r="BI296">
        <f t="shared" si="292"/>
        <v>0</v>
      </c>
    </row>
    <row r="297" spans="1:61" x14ac:dyDescent="0.3">
      <c r="A297">
        <f t="shared" si="297"/>
        <v>0.26</v>
      </c>
      <c r="B297">
        <f t="shared" si="240"/>
        <v>0.81681408993334625</v>
      </c>
      <c r="C297">
        <f t="shared" si="241"/>
        <v>2.3247785636564471</v>
      </c>
      <c r="D297">
        <f t="shared" si="242"/>
        <v>2.3247785636564471</v>
      </c>
      <c r="E297">
        <f t="shared" si="247"/>
        <v>0.72896862742141155</v>
      </c>
      <c r="F297">
        <f t="shared" si="248"/>
        <v>0.72896862742141144</v>
      </c>
      <c r="G297">
        <f t="shared" si="243"/>
        <v>0.81681408993334625</v>
      </c>
      <c r="H297">
        <f t="shared" si="244"/>
        <v>0.72896862742141155</v>
      </c>
      <c r="I297">
        <f t="shared" si="245"/>
        <v>0.72896862742141144</v>
      </c>
      <c r="J297">
        <f t="shared" si="293"/>
        <v>8.7331573461467513E+19</v>
      </c>
      <c r="K297">
        <f t="shared" si="294"/>
        <v>8.7331573461467513E+19</v>
      </c>
      <c r="L297">
        <f t="shared" si="249"/>
        <v>1</v>
      </c>
      <c r="M297">
        <f t="shared" si="246"/>
        <v>2.3247785636564469E-20</v>
      </c>
      <c r="N297" s="9">
        <f t="shared" si="295"/>
        <v>2.3247785636564469E-20</v>
      </c>
      <c r="O297">
        <f t="shared" si="296"/>
        <v>2.3247785636564469E-20</v>
      </c>
      <c r="Q297">
        <f t="shared" si="250"/>
        <v>45.916243737578199</v>
      </c>
      <c r="R297">
        <f t="shared" si="251"/>
        <v>0</v>
      </c>
      <c r="S297">
        <f t="shared" si="273"/>
        <v>-45.208077066815434</v>
      </c>
      <c r="T297" s="9" t="e">
        <f t="shared" si="252"/>
        <v>#N/A</v>
      </c>
      <c r="U297">
        <f t="shared" si="274"/>
        <v>-1.0000000000000001E+300</v>
      </c>
      <c r="V297">
        <f t="shared" si="275"/>
        <v>0</v>
      </c>
      <c r="W297">
        <f t="shared" si="276"/>
        <v>0</v>
      </c>
      <c r="X297">
        <f t="shared" si="253"/>
        <v>2.3247785636564471</v>
      </c>
      <c r="Y297">
        <f t="shared" si="254"/>
        <v>7.8539816339744828</v>
      </c>
      <c r="Z297">
        <f t="shared" si="255"/>
        <v>-2.3247785636564471</v>
      </c>
      <c r="AA297">
        <f t="shared" si="277"/>
        <v>2.1831123834580146</v>
      </c>
      <c r="AB297">
        <f t="shared" si="256"/>
        <v>10.037094017432498</v>
      </c>
      <c r="AC297">
        <f t="shared" si="278"/>
        <v>0.39204208777602384</v>
      </c>
      <c r="AD297">
        <f t="shared" si="257"/>
        <v>0.31612458298674179</v>
      </c>
      <c r="AE297" s="9">
        <f t="shared" si="279"/>
        <v>10.745260688195264</v>
      </c>
      <c r="AF297">
        <f t="shared" si="280"/>
        <v>0</v>
      </c>
      <c r="AH297">
        <f t="shared" si="258"/>
        <v>7.8539816339744828</v>
      </c>
      <c r="AI297">
        <f t="shared" si="259"/>
        <v>2.1831123834580133</v>
      </c>
      <c r="AJ297">
        <f t="shared" si="260"/>
        <v>0.39204208777602645</v>
      </c>
      <c r="AK297">
        <f t="shared" si="261"/>
        <v>0.31612458298674179</v>
      </c>
      <c r="AL297" s="9">
        <f t="shared" si="281"/>
        <v>10.745260688195264</v>
      </c>
      <c r="AM297" t="e">
        <f t="shared" si="262"/>
        <v>#N/A</v>
      </c>
      <c r="AN297" t="e">
        <f t="shared" si="282"/>
        <v>#N/A</v>
      </c>
      <c r="AO297">
        <f t="shared" si="263"/>
        <v>0</v>
      </c>
      <c r="AP297">
        <f t="shared" si="264"/>
        <v>0</v>
      </c>
      <c r="AQ297">
        <f t="shared" si="265"/>
        <v>2.6090241078691179E-15</v>
      </c>
      <c r="AR297">
        <f t="shared" si="283"/>
        <v>0</v>
      </c>
      <c r="AS297">
        <f t="shared" si="266"/>
        <v>0</v>
      </c>
      <c r="AT297">
        <f t="shared" si="284"/>
        <v>0</v>
      </c>
      <c r="AU297">
        <f t="shared" si="285"/>
        <v>0</v>
      </c>
      <c r="AV297">
        <f t="shared" si="267"/>
        <v>2.3247785636564469E-20</v>
      </c>
      <c r="AW297" t="b">
        <f t="shared" si="286"/>
        <v>1</v>
      </c>
      <c r="AX297">
        <f t="shared" si="268"/>
        <v>7.8539816339744828</v>
      </c>
      <c r="AY297">
        <f t="shared" si="269"/>
        <v>2.1831123834580137</v>
      </c>
      <c r="AZ297">
        <f t="shared" si="270"/>
        <v>0.39204208777602384</v>
      </c>
      <c r="BA297">
        <f t="shared" si="271"/>
        <v>0.31612458298674195</v>
      </c>
      <c r="BB297">
        <f t="shared" si="272"/>
        <v>-1.2337005501361696E-20</v>
      </c>
      <c r="BD297" s="15">
        <f t="shared" si="287"/>
        <v>10.745260688195263</v>
      </c>
      <c r="BE297" s="10">
        <f t="shared" si="288"/>
        <v>0</v>
      </c>
      <c r="BF297">
        <f t="shared" si="289"/>
        <v>0</v>
      </c>
      <c r="BG297">
        <f t="shared" si="290"/>
        <v>0</v>
      </c>
      <c r="BH297">
        <f t="shared" si="291"/>
        <v>0</v>
      </c>
      <c r="BI297">
        <f t="shared" si="292"/>
        <v>0</v>
      </c>
    </row>
    <row r="298" spans="1:61" x14ac:dyDescent="0.3">
      <c r="A298">
        <f t="shared" si="297"/>
        <v>0.26100000000000001</v>
      </c>
      <c r="B298">
        <f t="shared" si="240"/>
        <v>0.81995568258693607</v>
      </c>
      <c r="C298">
        <f t="shared" si="241"/>
        <v>2.321636971002857</v>
      </c>
      <c r="D298">
        <f t="shared" si="242"/>
        <v>2.321636971002857</v>
      </c>
      <c r="E298">
        <f t="shared" si="247"/>
        <v>0.73111559472986409</v>
      </c>
      <c r="F298">
        <f t="shared" si="248"/>
        <v>0.7311155947298642</v>
      </c>
      <c r="G298">
        <f t="shared" si="243"/>
        <v>0.81995568258693607</v>
      </c>
      <c r="H298">
        <f t="shared" si="244"/>
        <v>0.73111559472986409</v>
      </c>
      <c r="I298">
        <f t="shared" si="245"/>
        <v>0.7311155947298642</v>
      </c>
      <c r="J298">
        <f t="shared" si="293"/>
        <v>8.7075118757766693E+19</v>
      </c>
      <c r="K298">
        <f t="shared" si="294"/>
        <v>8.7075118757766693E+19</v>
      </c>
      <c r="L298">
        <f t="shared" si="249"/>
        <v>1</v>
      </c>
      <c r="M298">
        <f t="shared" si="246"/>
        <v>2.321636971002857E-20</v>
      </c>
      <c r="N298" s="9">
        <f t="shared" si="295"/>
        <v>2.321636971002857E-20</v>
      </c>
      <c r="O298">
        <f t="shared" si="296"/>
        <v>2.321636971002857E-20</v>
      </c>
      <c r="Q298">
        <f t="shared" si="250"/>
        <v>45.913302854000023</v>
      </c>
      <c r="R298">
        <f t="shared" si="251"/>
        <v>0</v>
      </c>
      <c r="S298">
        <f t="shared" si="273"/>
        <v>-45.209429332065447</v>
      </c>
      <c r="T298" s="9" t="e">
        <f t="shared" si="252"/>
        <v>#N/A</v>
      </c>
      <c r="U298">
        <f t="shared" si="274"/>
        <v>-1.0000000000000001E+300</v>
      </c>
      <c r="V298">
        <f t="shared" si="275"/>
        <v>0</v>
      </c>
      <c r="W298">
        <f t="shared" si="276"/>
        <v>0</v>
      </c>
      <c r="X298">
        <f t="shared" si="253"/>
        <v>2.321636971002857</v>
      </c>
      <c r="Y298">
        <f t="shared" si="254"/>
        <v>7.8539816339744828</v>
      </c>
      <c r="Z298">
        <f t="shared" si="255"/>
        <v>-2.321636971002857</v>
      </c>
      <c r="AA298">
        <f t="shared" si="277"/>
        <v>2.1664771124103148</v>
      </c>
      <c r="AB298">
        <f t="shared" si="256"/>
        <v>10.020458746384797</v>
      </c>
      <c r="AC298">
        <f t="shared" si="278"/>
        <v>0.39068982252601003</v>
      </c>
      <c r="AD298">
        <f t="shared" si="257"/>
        <v>0.31318369940856133</v>
      </c>
      <c r="AE298" s="9">
        <f t="shared" si="279"/>
        <v>10.724332268319369</v>
      </c>
      <c r="AF298">
        <f t="shared" si="280"/>
        <v>0</v>
      </c>
      <c r="AH298">
        <f t="shared" si="258"/>
        <v>7.8539816339744828</v>
      </c>
      <c r="AI298">
        <f t="shared" si="259"/>
        <v>2.1664771124103148</v>
      </c>
      <c r="AJ298">
        <f t="shared" si="260"/>
        <v>0.39068982252601359</v>
      </c>
      <c r="AK298">
        <f t="shared" si="261"/>
        <v>0.31318369940856133</v>
      </c>
      <c r="AL298" s="9">
        <f t="shared" si="281"/>
        <v>10.724332268319372</v>
      </c>
      <c r="AM298" t="e">
        <f t="shared" si="262"/>
        <v>#N/A</v>
      </c>
      <c r="AN298" t="e">
        <f t="shared" si="282"/>
        <v>#N/A</v>
      </c>
      <c r="AO298">
        <f t="shared" si="263"/>
        <v>0</v>
      </c>
      <c r="AP298">
        <f t="shared" si="264"/>
        <v>0</v>
      </c>
      <c r="AQ298">
        <f t="shared" si="265"/>
        <v>3.5527136788005009E-15</v>
      </c>
      <c r="AR298">
        <f t="shared" si="283"/>
        <v>0</v>
      </c>
      <c r="AS298">
        <f t="shared" si="266"/>
        <v>0</v>
      </c>
      <c r="AT298">
        <f t="shared" si="284"/>
        <v>0</v>
      </c>
      <c r="AU298">
        <f t="shared" si="285"/>
        <v>0</v>
      </c>
      <c r="AV298">
        <f t="shared" si="267"/>
        <v>2.321636971002857E-20</v>
      </c>
      <c r="AW298" t="b">
        <f t="shared" si="286"/>
        <v>1</v>
      </c>
      <c r="AX298">
        <f t="shared" si="268"/>
        <v>7.8539816339744828</v>
      </c>
      <c r="AY298">
        <f t="shared" si="269"/>
        <v>2.1664771124103148</v>
      </c>
      <c r="AZ298">
        <f t="shared" si="270"/>
        <v>0.39068982252601003</v>
      </c>
      <c r="BA298">
        <f t="shared" si="271"/>
        <v>0.31318369940856117</v>
      </c>
      <c r="BB298">
        <f t="shared" si="272"/>
        <v>-1.2337005501361696E-20</v>
      </c>
      <c r="BD298" s="15">
        <f t="shared" si="287"/>
        <v>10.724332268319369</v>
      </c>
      <c r="BE298" s="10">
        <f t="shared" si="288"/>
        <v>0</v>
      </c>
      <c r="BF298">
        <f t="shared" si="289"/>
        <v>0</v>
      </c>
      <c r="BG298">
        <f t="shared" si="290"/>
        <v>0</v>
      </c>
      <c r="BH298">
        <f t="shared" si="291"/>
        <v>0</v>
      </c>
      <c r="BI298">
        <f t="shared" si="292"/>
        <v>0</v>
      </c>
    </row>
    <row r="299" spans="1:61" x14ac:dyDescent="0.3">
      <c r="A299">
        <f t="shared" si="297"/>
        <v>0.26200000000000001</v>
      </c>
      <c r="B299">
        <f t="shared" si="240"/>
        <v>0.82309727524052578</v>
      </c>
      <c r="C299">
        <f t="shared" si="241"/>
        <v>2.3184953783492674</v>
      </c>
      <c r="D299">
        <f t="shared" si="242"/>
        <v>2.3184953783492674</v>
      </c>
      <c r="E299">
        <f t="shared" si="247"/>
        <v>0.73325534622255994</v>
      </c>
      <c r="F299">
        <f t="shared" si="248"/>
        <v>0.73325534622255994</v>
      </c>
      <c r="G299">
        <f t="shared" si="243"/>
        <v>0.82309727524052578</v>
      </c>
      <c r="H299">
        <f t="shared" si="244"/>
        <v>0.73325534622255994</v>
      </c>
      <c r="I299">
        <f t="shared" si="245"/>
        <v>0.73325534622255994</v>
      </c>
      <c r="J299">
        <f t="shared" si="293"/>
        <v>8.6821020214471459E+19</v>
      </c>
      <c r="K299">
        <f t="shared" si="294"/>
        <v>8.6821020214471459E+19</v>
      </c>
      <c r="L299">
        <f t="shared" si="249"/>
        <v>1</v>
      </c>
      <c r="M299">
        <f t="shared" si="246"/>
        <v>2.3184953783492673E-20</v>
      </c>
      <c r="N299" s="9">
        <f t="shared" si="295"/>
        <v>2.3184953783492673E-20</v>
      </c>
      <c r="O299">
        <f t="shared" si="296"/>
        <v>2.3184953783492673E-20</v>
      </c>
      <c r="Q299">
        <f t="shared" si="250"/>
        <v>45.910380434610587</v>
      </c>
      <c r="R299">
        <f t="shared" si="251"/>
        <v>0</v>
      </c>
      <c r="S299">
        <f t="shared" si="273"/>
        <v>-45.21078342841318</v>
      </c>
      <c r="T299" s="9" t="e">
        <f t="shared" si="252"/>
        <v>#N/A</v>
      </c>
      <c r="U299">
        <f t="shared" si="274"/>
        <v>-1.0000000000000001E+300</v>
      </c>
      <c r="V299">
        <f t="shared" si="275"/>
        <v>0</v>
      </c>
      <c r="W299">
        <f t="shared" si="276"/>
        <v>0</v>
      </c>
      <c r="X299">
        <f t="shared" si="253"/>
        <v>2.3184953783492674</v>
      </c>
      <c r="Y299">
        <f t="shared" si="254"/>
        <v>7.8539816339744828</v>
      </c>
      <c r="Z299">
        <f t="shared" si="255"/>
        <v>-2.3184953783492674</v>
      </c>
      <c r="AA299">
        <f t="shared" si="277"/>
        <v>2.1499587751828044</v>
      </c>
      <c r="AB299">
        <f t="shared" si="256"/>
        <v>10.003940409157288</v>
      </c>
      <c r="AC299">
        <f t="shared" si="278"/>
        <v>0.38933572617828072</v>
      </c>
      <c r="AD299">
        <f t="shared" si="257"/>
        <v>0.31026128001912823</v>
      </c>
      <c r="AE299" s="9">
        <f t="shared" si="279"/>
        <v>10.703537415354697</v>
      </c>
      <c r="AF299">
        <f t="shared" si="280"/>
        <v>0</v>
      </c>
      <c r="AH299">
        <f t="shared" si="258"/>
        <v>7.8539816339744828</v>
      </c>
      <c r="AI299">
        <f t="shared" si="259"/>
        <v>2.149958775182804</v>
      </c>
      <c r="AJ299">
        <f t="shared" si="260"/>
        <v>0.38933572617828105</v>
      </c>
      <c r="AK299">
        <f t="shared" si="261"/>
        <v>0.31026128001912823</v>
      </c>
      <c r="AL299" s="9">
        <f t="shared" si="281"/>
        <v>10.703537415354697</v>
      </c>
      <c r="AM299" t="e">
        <f t="shared" si="262"/>
        <v>#N/A</v>
      </c>
      <c r="AN299" t="e">
        <f t="shared" si="282"/>
        <v>#N/A</v>
      </c>
      <c r="AO299">
        <f t="shared" si="263"/>
        <v>0</v>
      </c>
      <c r="AP299">
        <f t="shared" si="264"/>
        <v>0</v>
      </c>
      <c r="AQ299">
        <f t="shared" si="265"/>
        <v>0</v>
      </c>
      <c r="AR299">
        <f t="shared" si="283"/>
        <v>0</v>
      </c>
      <c r="AS299">
        <f t="shared" si="266"/>
        <v>0</v>
      </c>
      <c r="AT299">
        <f t="shared" si="284"/>
        <v>0</v>
      </c>
      <c r="AU299">
        <f t="shared" si="285"/>
        <v>0</v>
      </c>
      <c r="AV299">
        <f t="shared" si="267"/>
        <v>2.3184953783492673E-20</v>
      </c>
      <c r="AW299" t="b">
        <f t="shared" si="286"/>
        <v>1</v>
      </c>
      <c r="AX299">
        <f t="shared" si="268"/>
        <v>7.8539816339744828</v>
      </c>
      <c r="AY299">
        <f t="shared" si="269"/>
        <v>2.149958775182804</v>
      </c>
      <c r="AZ299">
        <f t="shared" si="270"/>
        <v>0.38933572617828088</v>
      </c>
      <c r="BA299">
        <f t="shared" si="271"/>
        <v>0.31026128001912823</v>
      </c>
      <c r="BB299">
        <f t="shared" si="272"/>
        <v>-1.2337005501361696E-20</v>
      </c>
      <c r="BD299" s="15">
        <f t="shared" si="287"/>
        <v>10.703537415354697</v>
      </c>
      <c r="BE299" s="10">
        <f t="shared" si="288"/>
        <v>0</v>
      </c>
      <c r="BF299">
        <f t="shared" si="289"/>
        <v>0</v>
      </c>
      <c r="BG299">
        <f t="shared" si="290"/>
        <v>0</v>
      </c>
      <c r="BH299">
        <f t="shared" si="291"/>
        <v>0</v>
      </c>
      <c r="BI299">
        <f t="shared" si="292"/>
        <v>0</v>
      </c>
    </row>
    <row r="300" spans="1:61" x14ac:dyDescent="0.3">
      <c r="A300">
        <f t="shared" si="297"/>
        <v>0.26300000000000001</v>
      </c>
      <c r="B300">
        <f t="shared" si="240"/>
        <v>0.8262388678941156</v>
      </c>
      <c r="C300">
        <f t="shared" si="241"/>
        <v>2.3153537856956774</v>
      </c>
      <c r="D300">
        <f t="shared" si="242"/>
        <v>2.3153537856956774</v>
      </c>
      <c r="E300">
        <f t="shared" si="247"/>
        <v>0.73538786078101581</v>
      </c>
      <c r="F300">
        <f t="shared" si="248"/>
        <v>0.73538786078101603</v>
      </c>
      <c r="G300">
        <f t="shared" si="243"/>
        <v>0.8262388678941156</v>
      </c>
      <c r="H300">
        <f t="shared" si="244"/>
        <v>0.73538786078101581</v>
      </c>
      <c r="I300">
        <f t="shared" si="245"/>
        <v>0.73538786078101603</v>
      </c>
      <c r="J300">
        <f t="shared" si="293"/>
        <v>8.6569252270694531E+19</v>
      </c>
      <c r="K300">
        <f t="shared" si="294"/>
        <v>8.6569252270694531E+19</v>
      </c>
      <c r="L300" t="e">
        <f t="shared" si="249"/>
        <v>#NUM!</v>
      </c>
      <c r="M300">
        <f t="shared" si="246"/>
        <v>2.3153537856956776E-20</v>
      </c>
      <c r="N300" s="9" t="e">
        <f t="shared" si="295"/>
        <v>#NUM!</v>
      </c>
      <c r="O300" t="e">
        <f t="shared" si="296"/>
        <v>#NUM!</v>
      </c>
      <c r="Q300">
        <f t="shared" si="250"/>
        <v>45.907476371803483</v>
      </c>
      <c r="R300">
        <f t="shared" si="251"/>
        <v>0</v>
      </c>
      <c r="S300">
        <f t="shared" si="273"/>
        <v>-45.212139360824317</v>
      </c>
      <c r="T300" s="9" t="e">
        <f t="shared" si="252"/>
        <v>#N/A</v>
      </c>
      <c r="U300">
        <f t="shared" si="274"/>
        <v>-1.0000000000000001E+300</v>
      </c>
      <c r="V300">
        <f t="shared" si="275"/>
        <v>0</v>
      </c>
      <c r="W300">
        <f t="shared" si="276"/>
        <v>0</v>
      </c>
      <c r="X300">
        <f t="shared" si="253"/>
        <v>2.3153537856956774</v>
      </c>
      <c r="Y300">
        <f t="shared" si="254"/>
        <v>7.8539816339744828</v>
      </c>
      <c r="Z300">
        <f t="shared" si="255"/>
        <v>-2.3153537856956774</v>
      </c>
      <c r="AA300">
        <f t="shared" si="277"/>
        <v>2.1335560838511105</v>
      </c>
      <c r="AB300">
        <f t="shared" si="256"/>
        <v>9.9875377178255924</v>
      </c>
      <c r="AC300">
        <f t="shared" si="278"/>
        <v>0.38797979376714486</v>
      </c>
      <c r="AD300">
        <f t="shared" si="257"/>
        <v>0.30735721721202292</v>
      </c>
      <c r="AE300" s="9">
        <f t="shared" si="279"/>
        <v>10.682874728804759</v>
      </c>
      <c r="AF300">
        <f t="shared" si="280"/>
        <v>0</v>
      </c>
      <c r="AH300">
        <f t="shared" si="258"/>
        <v>7.8539816339744828</v>
      </c>
      <c r="AI300">
        <f t="shared" si="259"/>
        <v>2.1335560838511118</v>
      </c>
      <c r="AJ300">
        <f t="shared" si="260"/>
        <v>0.38797979376714409</v>
      </c>
      <c r="AK300">
        <f t="shared" si="261"/>
        <v>0.30735721721202292</v>
      </c>
      <c r="AL300" s="9">
        <f t="shared" si="281"/>
        <v>10.682874728804761</v>
      </c>
      <c r="AM300" t="e">
        <f t="shared" si="262"/>
        <v>#N/A</v>
      </c>
      <c r="AN300" t="e">
        <f t="shared" si="282"/>
        <v>#N/A</v>
      </c>
      <c r="AO300">
        <f t="shared" si="263"/>
        <v>0</v>
      </c>
      <c r="AP300">
        <f t="shared" si="264"/>
        <v>0</v>
      </c>
      <c r="AQ300">
        <f t="shared" si="265"/>
        <v>-7.7715611723760958E-16</v>
      </c>
      <c r="AR300">
        <f t="shared" si="283"/>
        <v>0</v>
      </c>
      <c r="AS300">
        <f t="shared" si="266"/>
        <v>0</v>
      </c>
      <c r="AT300">
        <f t="shared" si="284"/>
        <v>0</v>
      </c>
      <c r="AU300">
        <f t="shared" si="285"/>
        <v>0</v>
      </c>
      <c r="AV300">
        <f t="shared" si="267"/>
        <v>2.3153537856956773E-20</v>
      </c>
      <c r="AW300" t="b">
        <f t="shared" si="286"/>
        <v>1</v>
      </c>
      <c r="AX300">
        <f t="shared" si="268"/>
        <v>7.8539816339744828</v>
      </c>
      <c r="AY300">
        <f t="shared" si="269"/>
        <v>2.1335560838511101</v>
      </c>
      <c r="AZ300">
        <f t="shared" si="270"/>
        <v>0.38797979376714486</v>
      </c>
      <c r="BA300">
        <f t="shared" si="271"/>
        <v>0.30735721721202264</v>
      </c>
      <c r="BB300">
        <f t="shared" si="272"/>
        <v>-1.2337005501361696E-20</v>
      </c>
      <c r="BD300" s="15">
        <f t="shared" si="287"/>
        <v>10.682874728804759</v>
      </c>
      <c r="BE300" s="10">
        <f t="shared" si="288"/>
        <v>0</v>
      </c>
      <c r="BF300">
        <f t="shared" si="289"/>
        <v>0</v>
      </c>
      <c r="BG300">
        <f t="shared" si="290"/>
        <v>0</v>
      </c>
      <c r="BH300">
        <f t="shared" si="291"/>
        <v>0</v>
      </c>
      <c r="BI300">
        <f t="shared" si="292"/>
        <v>0</v>
      </c>
    </row>
    <row r="301" spans="1:61" x14ac:dyDescent="0.3">
      <c r="A301">
        <f t="shared" si="297"/>
        <v>0.26400000000000001</v>
      </c>
      <c r="B301">
        <f t="shared" si="240"/>
        <v>0.82938046054770542</v>
      </c>
      <c r="C301">
        <f t="shared" si="241"/>
        <v>2.3122121930420878</v>
      </c>
      <c r="D301">
        <f t="shared" si="242"/>
        <v>2.3122121930420878</v>
      </c>
      <c r="E301">
        <f t="shared" si="247"/>
        <v>0.73751311735817393</v>
      </c>
      <c r="F301">
        <f t="shared" si="248"/>
        <v>0.73751311735817393</v>
      </c>
      <c r="G301">
        <f t="shared" si="243"/>
        <v>0.82938046054770542</v>
      </c>
      <c r="H301">
        <f t="shared" si="244"/>
        <v>0.73751311735817393</v>
      </c>
      <c r="I301">
        <f t="shared" si="245"/>
        <v>0.73751311735817393</v>
      </c>
      <c r="J301">
        <f t="shared" si="293"/>
        <v>8.6319789761570636E+19</v>
      </c>
      <c r="K301">
        <f t="shared" si="294"/>
        <v>8.6319789761570636E+19</v>
      </c>
      <c r="L301">
        <f t="shared" si="249"/>
        <v>1</v>
      </c>
      <c r="M301">
        <f t="shared" si="246"/>
        <v>2.3122121930420877E-20</v>
      </c>
      <c r="N301" s="9">
        <f t="shared" si="295"/>
        <v>2.3122121930420877E-20</v>
      </c>
      <c r="O301">
        <f t="shared" si="296"/>
        <v>2.3122121930420877E-20</v>
      </c>
      <c r="Q301">
        <f t="shared" si="250"/>
        <v>45.904590559269423</v>
      </c>
      <c r="R301">
        <f t="shared" si="251"/>
        <v>0</v>
      </c>
      <c r="S301">
        <f t="shared" si="273"/>
        <v>-45.213497134284772</v>
      </c>
      <c r="T301" s="9" t="e">
        <f t="shared" si="252"/>
        <v>#N/A</v>
      </c>
      <c r="U301">
        <f t="shared" si="274"/>
        <v>-1.0000000000000001E+300</v>
      </c>
      <c r="V301">
        <f t="shared" si="275"/>
        <v>0</v>
      </c>
      <c r="W301">
        <f t="shared" si="276"/>
        <v>0</v>
      </c>
      <c r="X301">
        <f t="shared" si="253"/>
        <v>2.3122121930420878</v>
      </c>
      <c r="Y301">
        <f t="shared" si="254"/>
        <v>7.8539816339744828</v>
      </c>
      <c r="Z301">
        <f t="shared" si="255"/>
        <v>-2.3122121930420878</v>
      </c>
      <c r="AA301">
        <f t="shared" si="277"/>
        <v>2.1172677699513178</v>
      </c>
      <c r="AB301">
        <f t="shared" si="256"/>
        <v>9.9712494039257997</v>
      </c>
      <c r="AC301">
        <f t="shared" si="278"/>
        <v>0.38662202030668447</v>
      </c>
      <c r="AD301">
        <f t="shared" si="257"/>
        <v>0.30447140467796419</v>
      </c>
      <c r="AE301" s="9">
        <f t="shared" si="279"/>
        <v>10.662342828910448</v>
      </c>
      <c r="AF301">
        <f t="shared" si="280"/>
        <v>0</v>
      </c>
      <c r="AH301">
        <f t="shared" si="258"/>
        <v>7.8539816339744828</v>
      </c>
      <c r="AI301">
        <f t="shared" si="259"/>
        <v>2.1172677699513174</v>
      </c>
      <c r="AJ301">
        <f t="shared" si="260"/>
        <v>0.3866220203066888</v>
      </c>
      <c r="AK301">
        <f t="shared" si="261"/>
        <v>0.30447140467796419</v>
      </c>
      <c r="AL301" s="9">
        <f t="shared" si="281"/>
        <v>10.662342828910452</v>
      </c>
      <c r="AM301" t="e">
        <f t="shared" si="262"/>
        <v>#N/A</v>
      </c>
      <c r="AN301" t="e">
        <f t="shared" si="282"/>
        <v>#N/A</v>
      </c>
      <c r="AO301">
        <f t="shared" si="263"/>
        <v>0</v>
      </c>
      <c r="AP301">
        <f t="shared" si="264"/>
        <v>0</v>
      </c>
      <c r="AQ301">
        <f t="shared" si="265"/>
        <v>4.3298697960381105E-15</v>
      </c>
      <c r="AR301">
        <f t="shared" si="283"/>
        <v>0</v>
      </c>
      <c r="AS301">
        <f t="shared" si="266"/>
        <v>0</v>
      </c>
      <c r="AT301">
        <f t="shared" si="284"/>
        <v>0</v>
      </c>
      <c r="AU301">
        <f t="shared" si="285"/>
        <v>0</v>
      </c>
      <c r="AV301">
        <f t="shared" si="267"/>
        <v>2.3122121930420877E-20</v>
      </c>
      <c r="AW301" t="b">
        <f t="shared" si="286"/>
        <v>1</v>
      </c>
      <c r="AX301">
        <f t="shared" si="268"/>
        <v>7.8539816339744828</v>
      </c>
      <c r="AY301">
        <f t="shared" si="269"/>
        <v>2.1172677699513174</v>
      </c>
      <c r="AZ301">
        <f t="shared" si="270"/>
        <v>0.38662202030668463</v>
      </c>
      <c r="BA301">
        <f t="shared" si="271"/>
        <v>0.30447140467796419</v>
      </c>
      <c r="BB301">
        <f t="shared" si="272"/>
        <v>-1.2337005501361696E-20</v>
      </c>
      <c r="BD301" s="15">
        <f t="shared" si="287"/>
        <v>10.662342828910448</v>
      </c>
      <c r="BE301" s="10">
        <f t="shared" si="288"/>
        <v>0</v>
      </c>
      <c r="BF301">
        <f t="shared" si="289"/>
        <v>0</v>
      </c>
      <c r="BG301">
        <f t="shared" si="290"/>
        <v>0</v>
      </c>
      <c r="BH301">
        <f t="shared" si="291"/>
        <v>0</v>
      </c>
      <c r="BI301">
        <f t="shared" si="292"/>
        <v>0</v>
      </c>
    </row>
    <row r="302" spans="1:61" x14ac:dyDescent="0.3">
      <c r="A302">
        <f t="shared" si="297"/>
        <v>0.26500000000000001</v>
      </c>
      <c r="B302">
        <f t="shared" si="240"/>
        <v>0.83252205320129524</v>
      </c>
      <c r="C302">
        <f t="shared" si="241"/>
        <v>2.3090706003884978</v>
      </c>
      <c r="D302">
        <f t="shared" si="242"/>
        <v>2.3090706003884978</v>
      </c>
      <c r="E302">
        <f t="shared" si="247"/>
        <v>0.73963109497860968</v>
      </c>
      <c r="F302">
        <f t="shared" si="248"/>
        <v>0.7396310949786099</v>
      </c>
      <c r="G302">
        <f t="shared" si="243"/>
        <v>0.83252205320129524</v>
      </c>
      <c r="H302">
        <f t="shared" si="244"/>
        <v>0.73963109497860968</v>
      </c>
      <c r="I302">
        <f t="shared" si="245"/>
        <v>0.7396310949786099</v>
      </c>
      <c r="J302">
        <f t="shared" si="293"/>
        <v>8.6072607910838665E+19</v>
      </c>
      <c r="K302">
        <f t="shared" si="294"/>
        <v>8.6072607910838665E+19</v>
      </c>
      <c r="L302">
        <f t="shared" si="249"/>
        <v>1</v>
      </c>
      <c r="M302">
        <f t="shared" si="246"/>
        <v>2.3090706003884977E-20</v>
      </c>
      <c r="N302" s="9">
        <f t="shared" si="295"/>
        <v>2.3090706003884977E-20</v>
      </c>
      <c r="O302">
        <f t="shared" si="296"/>
        <v>2.3090706003884977E-20</v>
      </c>
      <c r="Q302">
        <f t="shared" si="250"/>
        <v>45.901722891977116</v>
      </c>
      <c r="R302">
        <f t="shared" si="251"/>
        <v>0</v>
      </c>
      <c r="S302">
        <f t="shared" si="273"/>
        <v>-45.214856753800817</v>
      </c>
      <c r="T302" s="9" t="e">
        <f t="shared" si="252"/>
        <v>#N/A</v>
      </c>
      <c r="U302">
        <f t="shared" si="274"/>
        <v>-1.0000000000000001E+300</v>
      </c>
      <c r="V302">
        <f t="shared" si="275"/>
        <v>0</v>
      </c>
      <c r="W302">
        <f t="shared" si="276"/>
        <v>0</v>
      </c>
      <c r="X302">
        <f t="shared" si="253"/>
        <v>2.3090706003884978</v>
      </c>
      <c r="Y302">
        <f t="shared" si="254"/>
        <v>7.8539816339744828</v>
      </c>
      <c r="Z302">
        <f t="shared" si="255"/>
        <v>-2.3090706003884978</v>
      </c>
      <c r="AA302">
        <f t="shared" si="277"/>
        <v>2.1010925841130659</v>
      </c>
      <c r="AB302">
        <f t="shared" si="256"/>
        <v>9.9550742180875496</v>
      </c>
      <c r="AC302">
        <f t="shared" si="278"/>
        <v>0.38526240079064489</v>
      </c>
      <c r="AD302">
        <f t="shared" si="257"/>
        <v>0.30160373738565532</v>
      </c>
      <c r="AE302" s="9">
        <f t="shared" si="279"/>
        <v>10.641940356263849</v>
      </c>
      <c r="AF302">
        <f t="shared" si="280"/>
        <v>0</v>
      </c>
      <c r="AH302">
        <f t="shared" si="258"/>
        <v>7.8539816339744828</v>
      </c>
      <c r="AI302">
        <f t="shared" si="259"/>
        <v>2.1010925841130668</v>
      </c>
      <c r="AJ302">
        <f t="shared" si="260"/>
        <v>0.38526240079064422</v>
      </c>
      <c r="AK302">
        <f t="shared" si="261"/>
        <v>0.30160373738565532</v>
      </c>
      <c r="AL302" s="9">
        <f t="shared" si="281"/>
        <v>10.641940356263849</v>
      </c>
      <c r="AM302" t="e">
        <f t="shared" si="262"/>
        <v>#N/A</v>
      </c>
      <c r="AN302" t="e">
        <f t="shared" si="282"/>
        <v>#N/A</v>
      </c>
      <c r="AO302">
        <f t="shared" si="263"/>
        <v>0</v>
      </c>
      <c r="AP302">
        <f t="shared" si="264"/>
        <v>0</v>
      </c>
      <c r="AQ302">
        <f t="shared" si="265"/>
        <v>-6.6613381477509392E-16</v>
      </c>
      <c r="AR302">
        <f t="shared" si="283"/>
        <v>0</v>
      </c>
      <c r="AS302">
        <f t="shared" si="266"/>
        <v>0</v>
      </c>
      <c r="AT302">
        <f t="shared" si="284"/>
        <v>0</v>
      </c>
      <c r="AU302">
        <f t="shared" si="285"/>
        <v>0</v>
      </c>
      <c r="AV302">
        <f t="shared" si="267"/>
        <v>2.3090706003884977E-20</v>
      </c>
      <c r="AW302" t="b">
        <f t="shared" si="286"/>
        <v>1</v>
      </c>
      <c r="AX302">
        <f t="shared" si="268"/>
        <v>7.8539816339744828</v>
      </c>
      <c r="AY302">
        <f t="shared" si="269"/>
        <v>2.1010925841130654</v>
      </c>
      <c r="AZ302">
        <f t="shared" si="270"/>
        <v>0.38526240079064489</v>
      </c>
      <c r="BA302">
        <f t="shared" si="271"/>
        <v>0.30160373738565505</v>
      </c>
      <c r="BB302">
        <f t="shared" si="272"/>
        <v>-1.2337005501361696E-20</v>
      </c>
      <c r="BD302" s="15">
        <f t="shared" si="287"/>
        <v>10.641940356263847</v>
      </c>
      <c r="BE302" s="10">
        <f t="shared" si="288"/>
        <v>0</v>
      </c>
      <c r="BF302">
        <f t="shared" si="289"/>
        <v>0</v>
      </c>
      <c r="BG302">
        <f t="shared" si="290"/>
        <v>0</v>
      </c>
      <c r="BH302">
        <f t="shared" si="291"/>
        <v>0</v>
      </c>
      <c r="BI302">
        <f t="shared" si="292"/>
        <v>0</v>
      </c>
    </row>
    <row r="303" spans="1:61" x14ac:dyDescent="0.3">
      <c r="A303">
        <f t="shared" si="297"/>
        <v>0.26600000000000001</v>
      </c>
      <c r="B303">
        <f t="shared" si="240"/>
        <v>0.83566364585488506</v>
      </c>
      <c r="C303">
        <f t="shared" si="241"/>
        <v>2.3059290077349082</v>
      </c>
      <c r="D303">
        <f t="shared" si="242"/>
        <v>2.3059290077349082</v>
      </c>
      <c r="E303">
        <f t="shared" si="247"/>
        <v>0.7417417727387392</v>
      </c>
      <c r="F303">
        <f t="shared" si="248"/>
        <v>0.7417417727387392</v>
      </c>
      <c r="G303">
        <f t="shared" si="243"/>
        <v>0.83566364585488506</v>
      </c>
      <c r="H303">
        <f t="shared" si="244"/>
        <v>0.7417417727387392</v>
      </c>
      <c r="I303">
        <f t="shared" si="245"/>
        <v>0.7417417727387392</v>
      </c>
      <c r="J303">
        <f t="shared" si="293"/>
        <v>8.5827682323591545E+19</v>
      </c>
      <c r="K303">
        <f t="shared" si="294"/>
        <v>8.5827682323591545E+19</v>
      </c>
      <c r="L303">
        <f t="shared" si="249"/>
        <v>1</v>
      </c>
      <c r="M303">
        <f t="shared" si="246"/>
        <v>2.3059290077349077E-20</v>
      </c>
      <c r="N303" s="9">
        <f t="shared" si="295"/>
        <v>2.3059290077349077E-20</v>
      </c>
      <c r="O303">
        <f t="shared" si="296"/>
        <v>2.3059290077349077E-20</v>
      </c>
      <c r="Q303">
        <f t="shared" si="250"/>
        <v>45.898873266154453</v>
      </c>
      <c r="R303">
        <f t="shared" si="251"/>
        <v>0</v>
      </c>
      <c r="S303">
        <f t="shared" si="273"/>
        <v>-45.216218224399135</v>
      </c>
      <c r="T303" s="9" t="e">
        <f t="shared" si="252"/>
        <v>#N/A</v>
      </c>
      <c r="U303">
        <f t="shared" si="274"/>
        <v>-1.0000000000000001E+300</v>
      </c>
      <c r="V303">
        <f t="shared" si="275"/>
        <v>0</v>
      </c>
      <c r="W303">
        <f t="shared" si="276"/>
        <v>0</v>
      </c>
      <c r="X303">
        <f t="shared" si="253"/>
        <v>2.3059290077349082</v>
      </c>
      <c r="Y303">
        <f t="shared" si="254"/>
        <v>7.8539816339744828</v>
      </c>
      <c r="Z303">
        <f t="shared" si="255"/>
        <v>-2.3059290077349082</v>
      </c>
      <c r="AA303">
        <f t="shared" si="277"/>
        <v>2.0850292957009584</v>
      </c>
      <c r="AB303">
        <f t="shared" si="256"/>
        <v>9.9390109296754403</v>
      </c>
      <c r="AC303">
        <f t="shared" si="278"/>
        <v>0.3839009301923238</v>
      </c>
      <c r="AD303">
        <f t="shared" si="257"/>
        <v>0.2987541115629932</v>
      </c>
      <c r="AE303" s="9">
        <f t="shared" si="279"/>
        <v>10.621665971430756</v>
      </c>
      <c r="AF303">
        <f t="shared" si="280"/>
        <v>0</v>
      </c>
      <c r="AH303">
        <f t="shared" si="258"/>
        <v>7.8539816339744828</v>
      </c>
      <c r="AI303">
        <f t="shared" si="259"/>
        <v>2.0850292957009575</v>
      </c>
      <c r="AJ303">
        <f t="shared" si="260"/>
        <v>0.38390093019232552</v>
      </c>
      <c r="AK303">
        <f t="shared" si="261"/>
        <v>0.2987541115629932</v>
      </c>
      <c r="AL303" s="9">
        <f t="shared" si="281"/>
        <v>10.621665971430758</v>
      </c>
      <c r="AM303" t="e">
        <f t="shared" si="262"/>
        <v>#N/A</v>
      </c>
      <c r="AN303" t="e">
        <f t="shared" si="282"/>
        <v>#N/A</v>
      </c>
      <c r="AO303">
        <f t="shared" si="263"/>
        <v>0</v>
      </c>
      <c r="AP303">
        <f t="shared" si="264"/>
        <v>0</v>
      </c>
      <c r="AQ303">
        <f t="shared" si="265"/>
        <v>1.7208456881689926E-15</v>
      </c>
      <c r="AR303">
        <f t="shared" si="283"/>
        <v>0</v>
      </c>
      <c r="AS303">
        <f t="shared" si="266"/>
        <v>0</v>
      </c>
      <c r="AT303">
        <f t="shared" si="284"/>
        <v>0</v>
      </c>
      <c r="AU303">
        <f t="shared" si="285"/>
        <v>0</v>
      </c>
      <c r="AV303">
        <f t="shared" si="267"/>
        <v>2.3059290077349081E-20</v>
      </c>
      <c r="AW303" t="b">
        <f t="shared" si="286"/>
        <v>1</v>
      </c>
      <c r="AX303">
        <f t="shared" si="268"/>
        <v>7.8539816339744828</v>
      </c>
      <c r="AY303">
        <f t="shared" si="269"/>
        <v>2.085029295700958</v>
      </c>
      <c r="AZ303">
        <f t="shared" si="270"/>
        <v>0.3839009301923238</v>
      </c>
      <c r="BA303">
        <f t="shared" si="271"/>
        <v>0.2987541115629932</v>
      </c>
      <c r="BB303">
        <f t="shared" si="272"/>
        <v>-1.2337005501361696E-20</v>
      </c>
      <c r="BD303" s="15">
        <f t="shared" si="287"/>
        <v>10.621665971430756</v>
      </c>
      <c r="BE303" s="10">
        <f t="shared" si="288"/>
        <v>0</v>
      </c>
      <c r="BF303">
        <f t="shared" si="289"/>
        <v>0</v>
      </c>
      <c r="BG303">
        <f t="shared" si="290"/>
        <v>0</v>
      </c>
      <c r="BH303">
        <f t="shared" si="291"/>
        <v>0</v>
      </c>
      <c r="BI303">
        <f t="shared" si="292"/>
        <v>0</v>
      </c>
    </row>
    <row r="304" spans="1:61" x14ac:dyDescent="0.3">
      <c r="A304">
        <f t="shared" si="297"/>
        <v>0.26700000000000002</v>
      </c>
      <c r="B304">
        <f t="shared" si="240"/>
        <v>0.83880523850847477</v>
      </c>
      <c r="C304">
        <f t="shared" si="241"/>
        <v>2.3027874150813181</v>
      </c>
      <c r="D304">
        <f t="shared" si="242"/>
        <v>2.3027874150813181</v>
      </c>
      <c r="E304">
        <f t="shared" si="247"/>
        <v>0.743845129807025</v>
      </c>
      <c r="F304">
        <f t="shared" si="248"/>
        <v>0.74384512980702522</v>
      </c>
      <c r="G304">
        <f t="shared" si="243"/>
        <v>0.83880523850847477</v>
      </c>
      <c r="H304">
        <f t="shared" si="244"/>
        <v>0.743845129807025</v>
      </c>
      <c r="I304">
        <f t="shared" si="245"/>
        <v>0.74384512980702522</v>
      </c>
      <c r="J304">
        <f t="shared" si="293"/>
        <v>8.5584988979189662E+19</v>
      </c>
      <c r="K304">
        <f t="shared" si="294"/>
        <v>8.5584988979189662E+19</v>
      </c>
      <c r="L304">
        <f t="shared" si="249"/>
        <v>0</v>
      </c>
      <c r="M304">
        <f t="shared" si="246"/>
        <v>2.3027874150813184E-20</v>
      </c>
      <c r="N304" s="9">
        <f t="shared" si="295"/>
        <v>0</v>
      </c>
      <c r="O304">
        <f t="shared" si="296"/>
        <v>0</v>
      </c>
      <c r="Q304">
        <f t="shared" si="250"/>
        <v>45.89604157927009</v>
      </c>
      <c r="R304">
        <f t="shared" si="251"/>
        <v>-710542.73576010019</v>
      </c>
      <c r="S304">
        <f t="shared" si="273"/>
        <v>-45.217581551126997</v>
      </c>
      <c r="T304" s="9" t="e">
        <f t="shared" si="252"/>
        <v>#N/A</v>
      </c>
      <c r="U304">
        <f t="shared" si="274"/>
        <v>-1.0000000000000001E+300</v>
      </c>
      <c r="V304">
        <f t="shared" si="275"/>
        <v>0</v>
      </c>
      <c r="W304">
        <f t="shared" si="276"/>
        <v>0</v>
      </c>
      <c r="X304">
        <f t="shared" si="253"/>
        <v>2.3027874150813181</v>
      </c>
      <c r="Y304">
        <f t="shared" si="254"/>
        <v>7.8539816339744828</v>
      </c>
      <c r="Z304">
        <f t="shared" si="255"/>
        <v>-2.3027874150813181</v>
      </c>
      <c r="AA304">
        <f t="shared" si="277"/>
        <v>2.0690766924639923</v>
      </c>
      <c r="AB304">
        <f t="shared" si="256"/>
        <v>9.9230583264384755</v>
      </c>
      <c r="AC304">
        <f t="shared" si="278"/>
        <v>0.38253760346445959</v>
      </c>
      <c r="AD304">
        <f t="shared" si="257"/>
        <v>0.29592242467863356</v>
      </c>
      <c r="AE304" s="9">
        <f t="shared" si="279"/>
        <v>10.601518354581568</v>
      </c>
      <c r="AF304">
        <f t="shared" si="280"/>
        <v>0</v>
      </c>
      <c r="AH304">
        <f t="shared" si="258"/>
        <v>7.8539816339744828</v>
      </c>
      <c r="AI304">
        <f t="shared" si="259"/>
        <v>2.0690766924639936</v>
      </c>
      <c r="AJ304">
        <f t="shared" si="260"/>
        <v>0.38253760346446342</v>
      </c>
      <c r="AK304">
        <f t="shared" si="261"/>
        <v>0.29592242467863356</v>
      </c>
      <c r="AL304" s="9">
        <f t="shared" si="281"/>
        <v>10.601518354581572</v>
      </c>
      <c r="AM304" t="e">
        <f t="shared" si="262"/>
        <v>#N/A</v>
      </c>
      <c r="AN304" t="e">
        <f t="shared" si="282"/>
        <v>#N/A</v>
      </c>
      <c r="AO304">
        <f t="shared" si="263"/>
        <v>0</v>
      </c>
      <c r="AP304">
        <f t="shared" si="264"/>
        <v>0</v>
      </c>
      <c r="AQ304">
        <f t="shared" si="265"/>
        <v>3.8302694349567901E-15</v>
      </c>
      <c r="AR304">
        <f t="shared" si="283"/>
        <v>0</v>
      </c>
      <c r="AS304">
        <f t="shared" si="266"/>
        <v>0</v>
      </c>
      <c r="AT304">
        <f t="shared" si="284"/>
        <v>0</v>
      </c>
      <c r="AU304">
        <f t="shared" si="285"/>
        <v>0</v>
      </c>
      <c r="AV304">
        <f t="shared" si="267"/>
        <v>2.3027874150813181E-20</v>
      </c>
      <c r="AW304" t="b">
        <f t="shared" si="286"/>
        <v>1</v>
      </c>
      <c r="AX304">
        <f t="shared" si="268"/>
        <v>7.8539816339744828</v>
      </c>
      <c r="AY304">
        <f t="shared" si="269"/>
        <v>2.0690766924639918</v>
      </c>
      <c r="AZ304">
        <f t="shared" si="270"/>
        <v>0.38253760346445975</v>
      </c>
      <c r="BA304">
        <f t="shared" si="271"/>
        <v>0.29592242467863322</v>
      </c>
      <c r="BB304">
        <f t="shared" si="272"/>
        <v>-1.2337005501361696E-20</v>
      </c>
      <c r="BD304" s="15">
        <f t="shared" si="287"/>
        <v>10.601518354581568</v>
      </c>
      <c r="BE304" s="10">
        <f t="shared" si="288"/>
        <v>0</v>
      </c>
      <c r="BF304">
        <f t="shared" si="289"/>
        <v>0</v>
      </c>
      <c r="BG304">
        <f t="shared" si="290"/>
        <v>0</v>
      </c>
      <c r="BH304">
        <f t="shared" si="291"/>
        <v>0</v>
      </c>
      <c r="BI304">
        <f t="shared" si="292"/>
        <v>0</v>
      </c>
    </row>
    <row r="305" spans="1:61" x14ac:dyDescent="0.3">
      <c r="A305">
        <f t="shared" si="297"/>
        <v>0.26800000000000002</v>
      </c>
      <c r="B305">
        <f t="shared" si="240"/>
        <v>0.84194683116206459</v>
      </c>
      <c r="C305">
        <f t="shared" si="241"/>
        <v>2.2996458224277285</v>
      </c>
      <c r="D305">
        <f t="shared" si="242"/>
        <v>2.2996458224277285</v>
      </c>
      <c r="E305">
        <f t="shared" si="247"/>
        <v>0.74594114542418211</v>
      </c>
      <c r="F305">
        <f t="shared" si="248"/>
        <v>0.74594114542418222</v>
      </c>
      <c r="G305">
        <f t="shared" si="243"/>
        <v>0.84194683116206459</v>
      </c>
      <c r="H305">
        <f t="shared" si="244"/>
        <v>0.74594114542418211</v>
      </c>
      <c r="I305">
        <f t="shared" si="245"/>
        <v>0.74594114542418222</v>
      </c>
      <c r="J305">
        <f t="shared" si="293"/>
        <v>8.5344504224333316E+19</v>
      </c>
      <c r="K305">
        <f t="shared" si="294"/>
        <v>8.5344504224333316E+19</v>
      </c>
      <c r="L305">
        <f t="shared" si="249"/>
        <v>1</v>
      </c>
      <c r="M305">
        <f t="shared" si="246"/>
        <v>2.2996458224277284E-20</v>
      </c>
      <c r="N305" s="9">
        <f t="shared" si="295"/>
        <v>2.2996458224277284E-20</v>
      </c>
      <c r="O305">
        <f t="shared" si="296"/>
        <v>2.2996458224277284E-20</v>
      </c>
      <c r="Q305">
        <f t="shared" si="250"/>
        <v>45.893227730015361</v>
      </c>
      <c r="R305">
        <f t="shared" si="251"/>
        <v>0</v>
      </c>
      <c r="S305">
        <f t="shared" si="273"/>
        <v>-45.218946739052342</v>
      </c>
      <c r="T305" s="9" t="e">
        <f t="shared" si="252"/>
        <v>#N/A</v>
      </c>
      <c r="U305">
        <f t="shared" si="274"/>
        <v>-1.0000000000000001E+300</v>
      </c>
      <c r="V305">
        <f t="shared" si="275"/>
        <v>0</v>
      </c>
      <c r="W305">
        <f t="shared" si="276"/>
        <v>0</v>
      </c>
      <c r="X305">
        <f t="shared" si="253"/>
        <v>2.2996458224277285</v>
      </c>
      <c r="Y305">
        <f t="shared" si="254"/>
        <v>7.8539816339744828</v>
      </c>
      <c r="Z305">
        <f t="shared" si="255"/>
        <v>-2.2996458224277285</v>
      </c>
      <c r="AA305">
        <f t="shared" si="277"/>
        <v>2.0532335801928738</v>
      </c>
      <c r="AB305">
        <f t="shared" si="256"/>
        <v>9.9072152141673566</v>
      </c>
      <c r="AC305">
        <f t="shared" si="278"/>
        <v>0.38117241553911979</v>
      </c>
      <c r="AD305">
        <f t="shared" si="257"/>
        <v>0.29310857542390262</v>
      </c>
      <c r="AE305" s="9">
        <f t="shared" si="279"/>
        <v>10.581496205130378</v>
      </c>
      <c r="AF305">
        <f t="shared" si="280"/>
        <v>0</v>
      </c>
      <c r="AH305">
        <f t="shared" si="258"/>
        <v>7.8539816339744828</v>
      </c>
      <c r="AI305">
        <f t="shared" si="259"/>
        <v>2.0532335801928743</v>
      </c>
      <c r="AJ305">
        <f t="shared" si="260"/>
        <v>0.38117241553911896</v>
      </c>
      <c r="AK305">
        <f t="shared" si="261"/>
        <v>0.29310857542390262</v>
      </c>
      <c r="AL305" s="9">
        <f t="shared" si="281"/>
        <v>10.581496205130378</v>
      </c>
      <c r="AM305" t="e">
        <f t="shared" si="262"/>
        <v>#N/A</v>
      </c>
      <c r="AN305" t="e">
        <f t="shared" si="282"/>
        <v>#N/A</v>
      </c>
      <c r="AO305">
        <f t="shared" si="263"/>
        <v>0</v>
      </c>
      <c r="AP305">
        <f t="shared" si="264"/>
        <v>0</v>
      </c>
      <c r="AQ305">
        <f t="shared" si="265"/>
        <v>-8.3266726846886741E-16</v>
      </c>
      <c r="AR305">
        <f t="shared" si="283"/>
        <v>0</v>
      </c>
      <c r="AS305">
        <f t="shared" si="266"/>
        <v>0</v>
      </c>
      <c r="AT305">
        <f t="shared" si="284"/>
        <v>0</v>
      </c>
      <c r="AU305">
        <f t="shared" si="285"/>
        <v>0</v>
      </c>
      <c r="AV305">
        <f t="shared" si="267"/>
        <v>2.2996458224277284E-20</v>
      </c>
      <c r="AW305" t="b">
        <f t="shared" si="286"/>
        <v>1</v>
      </c>
      <c r="AX305">
        <f t="shared" si="268"/>
        <v>7.8539816339744828</v>
      </c>
      <c r="AY305">
        <f t="shared" si="269"/>
        <v>2.0532335801928734</v>
      </c>
      <c r="AZ305">
        <f t="shared" si="270"/>
        <v>0.38117241553911979</v>
      </c>
      <c r="BA305">
        <f t="shared" si="271"/>
        <v>0.29310857542390251</v>
      </c>
      <c r="BB305">
        <f t="shared" si="272"/>
        <v>-1.2337005501361696E-20</v>
      </c>
      <c r="BD305" s="15">
        <f t="shared" si="287"/>
        <v>10.581496205130378</v>
      </c>
      <c r="BE305" s="10">
        <f t="shared" si="288"/>
        <v>0</v>
      </c>
      <c r="BF305">
        <f t="shared" si="289"/>
        <v>0</v>
      </c>
      <c r="BG305">
        <f t="shared" si="290"/>
        <v>0</v>
      </c>
      <c r="BH305">
        <f t="shared" si="291"/>
        <v>0</v>
      </c>
      <c r="BI305">
        <f t="shared" si="292"/>
        <v>0</v>
      </c>
    </row>
    <row r="306" spans="1:61" x14ac:dyDescent="0.3">
      <c r="A306">
        <f t="shared" si="297"/>
        <v>0.26900000000000002</v>
      </c>
      <c r="B306">
        <f t="shared" si="240"/>
        <v>0.84508842381565441</v>
      </c>
      <c r="C306">
        <f t="shared" si="241"/>
        <v>2.2965042297741389</v>
      </c>
      <c r="D306">
        <f t="shared" si="242"/>
        <v>2.2965042297741389</v>
      </c>
      <c r="E306">
        <f t="shared" si="247"/>
        <v>0.7480297989033825</v>
      </c>
      <c r="F306">
        <f t="shared" si="248"/>
        <v>0.7480297989033825</v>
      </c>
      <c r="G306">
        <f t="shared" si="243"/>
        <v>0.84508842381565441</v>
      </c>
      <c r="H306">
        <f t="shared" si="244"/>
        <v>0.7480297989033825</v>
      </c>
      <c r="I306">
        <f t="shared" si="245"/>
        <v>0.7480297989033825</v>
      </c>
      <c r="J306">
        <f t="shared" si="293"/>
        <v>8.5106204766290182E+19</v>
      </c>
      <c r="K306">
        <f t="shared" si="294"/>
        <v>8.5106204766290182E+19</v>
      </c>
      <c r="L306">
        <f t="shared" si="249"/>
        <v>1</v>
      </c>
      <c r="M306">
        <f t="shared" si="246"/>
        <v>2.2965042297741385E-20</v>
      </c>
      <c r="N306" s="9">
        <f t="shared" si="295"/>
        <v>2.2965042297741385E-20</v>
      </c>
      <c r="O306">
        <f t="shared" si="296"/>
        <v>2.2965042297741385E-20</v>
      </c>
      <c r="Q306">
        <f t="shared" si="250"/>
        <v>45.890431618286506</v>
      </c>
      <c r="R306">
        <f t="shared" si="251"/>
        <v>-710542.73576010019</v>
      </c>
      <c r="S306">
        <f t="shared" si="273"/>
        <v>-45.22031379326387</v>
      </c>
      <c r="T306" s="9" t="e">
        <f t="shared" si="252"/>
        <v>#N/A</v>
      </c>
      <c r="U306">
        <f t="shared" si="274"/>
        <v>-1.0000000000000001E+300</v>
      </c>
      <c r="V306">
        <f t="shared" si="275"/>
        <v>0</v>
      </c>
      <c r="W306">
        <f t="shared" si="276"/>
        <v>0</v>
      </c>
      <c r="X306">
        <f t="shared" si="253"/>
        <v>2.2965042297741389</v>
      </c>
      <c r="Y306">
        <f t="shared" si="254"/>
        <v>7.8539816339744828</v>
      </c>
      <c r="Z306">
        <f t="shared" si="255"/>
        <v>-2.2965042297741389</v>
      </c>
      <c r="AA306">
        <f t="shared" si="277"/>
        <v>2.0374987823849402</v>
      </c>
      <c r="AB306">
        <f t="shared" si="256"/>
        <v>9.891480416359423</v>
      </c>
      <c r="AC306">
        <f t="shared" si="278"/>
        <v>0.37980536132758691</v>
      </c>
      <c r="AD306">
        <f t="shared" si="257"/>
        <v>0.29031246369504976</v>
      </c>
      <c r="AE306" s="9">
        <f t="shared" si="279"/>
        <v>10.561598241382061</v>
      </c>
      <c r="AF306">
        <f t="shared" si="280"/>
        <v>0</v>
      </c>
      <c r="AH306">
        <f t="shared" si="258"/>
        <v>7.8539816339744828</v>
      </c>
      <c r="AI306">
        <f t="shared" si="259"/>
        <v>2.0374987823849389</v>
      </c>
      <c r="AJ306">
        <f t="shared" si="260"/>
        <v>0.37980536132759113</v>
      </c>
      <c r="AK306">
        <f t="shared" si="261"/>
        <v>0.29031246369504976</v>
      </c>
      <c r="AL306" s="9">
        <f t="shared" si="281"/>
        <v>10.561598241382063</v>
      </c>
      <c r="AM306" t="e">
        <f t="shared" si="262"/>
        <v>#N/A</v>
      </c>
      <c r="AN306" t="e">
        <f t="shared" si="282"/>
        <v>#N/A</v>
      </c>
      <c r="AO306">
        <f t="shared" si="263"/>
        <v>0</v>
      </c>
      <c r="AP306">
        <f t="shared" si="264"/>
        <v>0</v>
      </c>
      <c r="AQ306">
        <f t="shared" si="265"/>
        <v>4.2188474935755949E-15</v>
      </c>
      <c r="AR306">
        <f t="shared" si="283"/>
        <v>0</v>
      </c>
      <c r="AS306">
        <f t="shared" si="266"/>
        <v>0</v>
      </c>
      <c r="AT306">
        <f t="shared" si="284"/>
        <v>0</v>
      </c>
      <c r="AU306">
        <f t="shared" si="285"/>
        <v>0</v>
      </c>
      <c r="AV306">
        <f t="shared" si="267"/>
        <v>2.2965042297741388E-20</v>
      </c>
      <c r="AW306" t="b">
        <f t="shared" si="286"/>
        <v>1</v>
      </c>
      <c r="AX306">
        <f t="shared" si="268"/>
        <v>7.8539816339744828</v>
      </c>
      <c r="AY306">
        <f t="shared" si="269"/>
        <v>2.0374987823849393</v>
      </c>
      <c r="AZ306">
        <f t="shared" si="270"/>
        <v>0.37980536132758691</v>
      </c>
      <c r="BA306">
        <f t="shared" si="271"/>
        <v>0.29031246369504976</v>
      </c>
      <c r="BB306">
        <f t="shared" si="272"/>
        <v>-1.2337005501361696E-20</v>
      </c>
      <c r="BD306" s="15">
        <f t="shared" si="287"/>
        <v>10.561598241382059</v>
      </c>
      <c r="BE306" s="10">
        <f t="shared" si="288"/>
        <v>0</v>
      </c>
      <c r="BF306">
        <f t="shared" si="289"/>
        <v>0</v>
      </c>
      <c r="BG306">
        <f t="shared" si="290"/>
        <v>0</v>
      </c>
      <c r="BH306">
        <f t="shared" si="291"/>
        <v>0</v>
      </c>
      <c r="BI306">
        <f t="shared" si="292"/>
        <v>0</v>
      </c>
    </row>
    <row r="307" spans="1:61" x14ac:dyDescent="0.3">
      <c r="A307">
        <f t="shared" si="297"/>
        <v>0.27</v>
      </c>
      <c r="B307">
        <f t="shared" si="240"/>
        <v>0.84823001646924423</v>
      </c>
      <c r="C307">
        <f t="shared" si="241"/>
        <v>2.2933626371205489</v>
      </c>
      <c r="D307">
        <f t="shared" si="242"/>
        <v>2.2933626371205489</v>
      </c>
      <c r="E307">
        <f t="shared" si="247"/>
        <v>0.75011106963045959</v>
      </c>
      <c r="F307">
        <f t="shared" si="248"/>
        <v>0.7501110696304597</v>
      </c>
      <c r="G307">
        <f t="shared" si="243"/>
        <v>0.84823001646924423</v>
      </c>
      <c r="H307">
        <f t="shared" si="244"/>
        <v>0.75011106963045959</v>
      </c>
      <c r="I307">
        <f t="shared" si="245"/>
        <v>0.7501110696304597</v>
      </c>
      <c r="J307">
        <f t="shared" si="293"/>
        <v>8.4870067666273829E+19</v>
      </c>
      <c r="K307">
        <f t="shared" si="294"/>
        <v>8.4870067666273829E+19</v>
      </c>
      <c r="L307" t="e">
        <f t="shared" si="249"/>
        <v>#NUM!</v>
      </c>
      <c r="M307">
        <f t="shared" si="246"/>
        <v>2.2933626371205488E-20</v>
      </c>
      <c r="N307" s="9" t="e">
        <f t="shared" si="295"/>
        <v>#NUM!</v>
      </c>
      <c r="O307" t="e">
        <f t="shared" si="296"/>
        <v>#NUM!</v>
      </c>
      <c r="Q307">
        <f t="shared" si="250"/>
        <v>45.887653145167292</v>
      </c>
      <c r="R307">
        <f t="shared" si="251"/>
        <v>0</v>
      </c>
      <c r="S307">
        <f t="shared" si="273"/>
        <v>-45.221682718871214</v>
      </c>
      <c r="T307" s="9" t="e">
        <f t="shared" si="252"/>
        <v>#N/A</v>
      </c>
      <c r="U307">
        <f t="shared" si="274"/>
        <v>-1.0000000000000001E+300</v>
      </c>
      <c r="V307">
        <f t="shared" si="275"/>
        <v>0</v>
      </c>
      <c r="W307">
        <f t="shared" si="276"/>
        <v>0</v>
      </c>
      <c r="X307">
        <f t="shared" si="253"/>
        <v>2.2933626371205489</v>
      </c>
      <c r="Y307">
        <f t="shared" si="254"/>
        <v>7.8539816339744828</v>
      </c>
      <c r="Z307">
        <f t="shared" si="255"/>
        <v>-2.2933626371205489</v>
      </c>
      <c r="AA307">
        <f t="shared" si="277"/>
        <v>2.0218711399165494</v>
      </c>
      <c r="AB307">
        <f t="shared" si="256"/>
        <v>9.8758527738910331</v>
      </c>
      <c r="AC307">
        <f t="shared" si="278"/>
        <v>0.37843643572024505</v>
      </c>
      <c r="AD307">
        <f t="shared" si="257"/>
        <v>0.28753399057583034</v>
      </c>
      <c r="AE307" s="9">
        <f t="shared" si="279"/>
        <v>10.541823200187109</v>
      </c>
      <c r="AF307">
        <f t="shared" si="280"/>
        <v>0</v>
      </c>
      <c r="AH307">
        <f t="shared" si="258"/>
        <v>7.8539816339744828</v>
      </c>
      <c r="AI307">
        <f t="shared" si="259"/>
        <v>2.021871139916549</v>
      </c>
      <c r="AJ307">
        <f t="shared" si="260"/>
        <v>0.37843643572024632</v>
      </c>
      <c r="AK307">
        <f t="shared" si="261"/>
        <v>0.28753399057583034</v>
      </c>
      <c r="AL307" s="9">
        <f t="shared" si="281"/>
        <v>10.541823200187109</v>
      </c>
      <c r="AM307" t="e">
        <f t="shared" si="262"/>
        <v>#N/A</v>
      </c>
      <c r="AN307" t="e">
        <f t="shared" si="282"/>
        <v>#N/A</v>
      </c>
      <c r="AO307">
        <f t="shared" si="263"/>
        <v>0</v>
      </c>
      <c r="AP307">
        <f t="shared" si="264"/>
        <v>0</v>
      </c>
      <c r="AQ307">
        <f t="shared" si="265"/>
        <v>1.27675647831893E-15</v>
      </c>
      <c r="AR307">
        <f t="shared" si="283"/>
        <v>0</v>
      </c>
      <c r="AS307">
        <f t="shared" si="266"/>
        <v>0</v>
      </c>
      <c r="AT307">
        <f t="shared" si="284"/>
        <v>0</v>
      </c>
      <c r="AU307">
        <f t="shared" si="285"/>
        <v>0</v>
      </c>
      <c r="AV307">
        <f t="shared" si="267"/>
        <v>2.2933626371205488E-20</v>
      </c>
      <c r="AW307" t="b">
        <f t="shared" si="286"/>
        <v>1</v>
      </c>
      <c r="AX307">
        <f t="shared" si="268"/>
        <v>7.8539816339744828</v>
      </c>
      <c r="AY307">
        <f t="shared" si="269"/>
        <v>2.0218711399165485</v>
      </c>
      <c r="AZ307">
        <f t="shared" si="270"/>
        <v>0.37843643572024505</v>
      </c>
      <c r="BA307">
        <f t="shared" si="271"/>
        <v>0.28753399057583018</v>
      </c>
      <c r="BB307">
        <f t="shared" si="272"/>
        <v>-1.2337005501361696E-20</v>
      </c>
      <c r="BD307" s="15">
        <f t="shared" si="287"/>
        <v>10.541823200187107</v>
      </c>
      <c r="BE307" s="10">
        <f t="shared" si="288"/>
        <v>0</v>
      </c>
      <c r="BF307">
        <f t="shared" si="289"/>
        <v>0</v>
      </c>
      <c r="BG307">
        <f t="shared" si="290"/>
        <v>0</v>
      </c>
      <c r="BH307">
        <f t="shared" si="291"/>
        <v>0</v>
      </c>
      <c r="BI307">
        <f t="shared" si="292"/>
        <v>0</v>
      </c>
    </row>
    <row r="308" spans="1:61" x14ac:dyDescent="0.3">
      <c r="A308">
        <f t="shared" si="297"/>
        <v>0.27100000000000002</v>
      </c>
      <c r="B308">
        <f t="shared" si="240"/>
        <v>0.85137160912283394</v>
      </c>
      <c r="C308">
        <f t="shared" si="241"/>
        <v>2.2902210444669593</v>
      </c>
      <c r="D308">
        <f t="shared" si="242"/>
        <v>2.2902210444669593</v>
      </c>
      <c r="E308">
        <f t="shared" si="247"/>
        <v>0.75218493706411138</v>
      </c>
      <c r="F308">
        <f t="shared" si="248"/>
        <v>0.75218493706411138</v>
      </c>
      <c r="G308">
        <f t="shared" si="243"/>
        <v>0.85137160912283394</v>
      </c>
      <c r="H308">
        <f t="shared" si="244"/>
        <v>0.75218493706411138</v>
      </c>
      <c r="I308">
        <f t="shared" si="245"/>
        <v>0.75218493706411138</v>
      </c>
      <c r="J308">
        <f t="shared" si="293"/>
        <v>8.4636070332969206E+19</v>
      </c>
      <c r="K308">
        <f t="shared" si="294"/>
        <v>8.4636070332969206E+19</v>
      </c>
      <c r="L308" t="e">
        <f t="shared" si="249"/>
        <v>#NUM!</v>
      </c>
      <c r="M308">
        <f t="shared" si="246"/>
        <v>2.2902210444669591E-20</v>
      </c>
      <c r="N308" s="9" t="e">
        <f t="shared" si="295"/>
        <v>#NUM!</v>
      </c>
      <c r="O308" t="e">
        <f t="shared" si="296"/>
        <v>#NUM!</v>
      </c>
      <c r="Q308">
        <f t="shared" si="250"/>
        <v>45.884892212911872</v>
      </c>
      <c r="R308">
        <f t="shared" si="251"/>
        <v>-710542.73576010019</v>
      </c>
      <c r="S308">
        <f t="shared" si="273"/>
        <v>-45.223053521004992</v>
      </c>
      <c r="T308" s="9" t="e">
        <f t="shared" si="252"/>
        <v>#N/A</v>
      </c>
      <c r="U308">
        <f t="shared" si="274"/>
        <v>-1.0000000000000001E+300</v>
      </c>
      <c r="V308">
        <f t="shared" si="275"/>
        <v>0</v>
      </c>
      <c r="W308">
        <f t="shared" si="276"/>
        <v>0</v>
      </c>
      <c r="X308">
        <f t="shared" si="253"/>
        <v>2.2902210444669593</v>
      </c>
      <c r="Y308">
        <f t="shared" si="254"/>
        <v>7.8539816339744828</v>
      </c>
      <c r="Z308">
        <f t="shared" si="255"/>
        <v>-2.2902210444669593</v>
      </c>
      <c r="AA308">
        <f t="shared" si="277"/>
        <v>2.0063495107227234</v>
      </c>
      <c r="AB308">
        <f t="shared" si="256"/>
        <v>9.8603311446972057</v>
      </c>
      <c r="AC308">
        <f t="shared" si="278"/>
        <v>0.37706563358646639</v>
      </c>
      <c r="AD308">
        <f t="shared" si="257"/>
        <v>0.28477305832041527</v>
      </c>
      <c r="AE308" s="9">
        <f t="shared" si="279"/>
        <v>10.522169836604087</v>
      </c>
      <c r="AF308">
        <f t="shared" si="280"/>
        <v>0</v>
      </c>
      <c r="AH308">
        <f t="shared" si="258"/>
        <v>7.8539816339744828</v>
      </c>
      <c r="AI308">
        <f t="shared" si="259"/>
        <v>2.0063495107227234</v>
      </c>
      <c r="AJ308">
        <f t="shared" si="260"/>
        <v>0.37706563358646861</v>
      </c>
      <c r="AK308">
        <f t="shared" si="261"/>
        <v>0.28477305832041527</v>
      </c>
      <c r="AL308" s="9">
        <f t="shared" si="281"/>
        <v>10.522169836604089</v>
      </c>
      <c r="AM308" t="e">
        <f t="shared" si="262"/>
        <v>#N/A</v>
      </c>
      <c r="AN308" t="e">
        <f t="shared" si="282"/>
        <v>#N/A</v>
      </c>
      <c r="AO308">
        <f t="shared" si="263"/>
        <v>0</v>
      </c>
      <c r="AP308">
        <f t="shared" si="264"/>
        <v>0</v>
      </c>
      <c r="AQ308">
        <f t="shared" si="265"/>
        <v>2.2204460492503131E-15</v>
      </c>
      <c r="AR308">
        <f t="shared" si="283"/>
        <v>0</v>
      </c>
      <c r="AS308">
        <f t="shared" si="266"/>
        <v>0</v>
      </c>
      <c r="AT308">
        <f t="shared" si="284"/>
        <v>0</v>
      </c>
      <c r="AU308">
        <f t="shared" si="285"/>
        <v>0</v>
      </c>
      <c r="AV308">
        <f t="shared" si="267"/>
        <v>2.2902210444669591E-20</v>
      </c>
      <c r="AW308" t="b">
        <f t="shared" si="286"/>
        <v>1</v>
      </c>
      <c r="AX308">
        <f t="shared" si="268"/>
        <v>7.8539816339744828</v>
      </c>
      <c r="AY308">
        <f t="shared" si="269"/>
        <v>2.0063495107227229</v>
      </c>
      <c r="AZ308">
        <f t="shared" si="270"/>
        <v>0.37706563358646655</v>
      </c>
      <c r="BA308">
        <f t="shared" si="271"/>
        <v>0.28477305832041527</v>
      </c>
      <c r="BB308">
        <f t="shared" si="272"/>
        <v>-1.2337005501361696E-20</v>
      </c>
      <c r="BD308" s="15">
        <f t="shared" si="287"/>
        <v>10.522169836604087</v>
      </c>
      <c r="BE308" s="10">
        <f t="shared" si="288"/>
        <v>0</v>
      </c>
      <c r="BF308">
        <f t="shared" si="289"/>
        <v>0</v>
      </c>
      <c r="BG308">
        <f t="shared" si="290"/>
        <v>0</v>
      </c>
      <c r="BH308">
        <f t="shared" si="291"/>
        <v>0</v>
      </c>
      <c r="BI308">
        <f t="shared" si="292"/>
        <v>0</v>
      </c>
    </row>
    <row r="309" spans="1:61" x14ac:dyDescent="0.3">
      <c r="A309">
        <f t="shared" si="297"/>
        <v>0.27200000000000002</v>
      </c>
      <c r="B309">
        <f t="shared" si="240"/>
        <v>0.85451320177642376</v>
      </c>
      <c r="C309">
        <f t="shared" si="241"/>
        <v>2.2870794518133692</v>
      </c>
      <c r="D309">
        <f t="shared" si="242"/>
        <v>2.2870794518133692</v>
      </c>
      <c r="E309">
        <f t="shared" si="247"/>
        <v>0.75425138073610376</v>
      </c>
      <c r="F309">
        <f t="shared" si="248"/>
        <v>0.75425138073610398</v>
      </c>
      <c r="G309">
        <f t="shared" si="243"/>
        <v>0.85451320177642376</v>
      </c>
      <c r="H309">
        <f t="shared" si="244"/>
        <v>0.75425138073610376</v>
      </c>
      <c r="I309">
        <f t="shared" si="245"/>
        <v>0.75425138073610398</v>
      </c>
      <c r="J309">
        <f t="shared" si="293"/>
        <v>8.4404190516201505E+19</v>
      </c>
      <c r="K309">
        <f t="shared" si="294"/>
        <v>8.4404190516201505E+19</v>
      </c>
      <c r="L309">
        <f t="shared" si="249"/>
        <v>1</v>
      </c>
      <c r="M309">
        <f t="shared" si="246"/>
        <v>2.2870794518133692E-20</v>
      </c>
      <c r="N309" s="9">
        <f t="shared" si="295"/>
        <v>2.2870794518133692E-20</v>
      </c>
      <c r="O309">
        <f t="shared" si="296"/>
        <v>2.2870794518133692E-20</v>
      </c>
      <c r="Q309">
        <f t="shared" si="250"/>
        <v>45.882148724928072</v>
      </c>
      <c r="R309">
        <f t="shared" si="251"/>
        <v>-710542.73576010019</v>
      </c>
      <c r="S309">
        <f t="shared" si="273"/>
        <v>-45.224426204816965</v>
      </c>
      <c r="T309" s="9" t="e">
        <f t="shared" si="252"/>
        <v>#N/A</v>
      </c>
      <c r="U309">
        <f t="shared" si="274"/>
        <v>-1.0000000000000001E+300</v>
      </c>
      <c r="V309">
        <f t="shared" si="275"/>
        <v>0</v>
      </c>
      <c r="W309">
        <f t="shared" si="276"/>
        <v>0</v>
      </c>
      <c r="X309">
        <f t="shared" si="253"/>
        <v>2.2870794518133692</v>
      </c>
      <c r="Y309">
        <f t="shared" si="254"/>
        <v>7.8539816339744828</v>
      </c>
      <c r="Z309">
        <f t="shared" si="255"/>
        <v>-2.2870794518133692</v>
      </c>
      <c r="AA309">
        <f t="shared" si="277"/>
        <v>1.9909327694838352</v>
      </c>
      <c r="AB309">
        <f t="shared" si="256"/>
        <v>9.8449144034583185</v>
      </c>
      <c r="AC309">
        <f t="shared" si="278"/>
        <v>0.37569294977449419</v>
      </c>
      <c r="AD309">
        <f t="shared" si="257"/>
        <v>0.28202957033661596</v>
      </c>
      <c r="AE309" s="9">
        <f t="shared" si="279"/>
        <v>10.50263692356943</v>
      </c>
      <c r="AF309">
        <f t="shared" si="280"/>
        <v>0</v>
      </c>
      <c r="AH309">
        <f t="shared" si="258"/>
        <v>7.8539816339744828</v>
      </c>
      <c r="AI309">
        <f t="shared" si="259"/>
        <v>1.9909327694838357</v>
      </c>
      <c r="AJ309">
        <f t="shared" si="260"/>
        <v>0.3756929497744963</v>
      </c>
      <c r="AK309">
        <f t="shared" si="261"/>
        <v>0.28202957033661596</v>
      </c>
      <c r="AL309" s="9">
        <f t="shared" si="281"/>
        <v>10.502636923569431</v>
      </c>
      <c r="AM309" t="e">
        <f t="shared" si="262"/>
        <v>#N/A</v>
      </c>
      <c r="AN309" t="e">
        <f t="shared" si="282"/>
        <v>#N/A</v>
      </c>
      <c r="AO309">
        <f t="shared" si="263"/>
        <v>0</v>
      </c>
      <c r="AP309">
        <f t="shared" si="264"/>
        <v>0</v>
      </c>
      <c r="AQ309">
        <f t="shared" si="265"/>
        <v>2.1094237467877974E-15</v>
      </c>
      <c r="AR309">
        <f t="shared" si="283"/>
        <v>0</v>
      </c>
      <c r="AS309">
        <f t="shared" si="266"/>
        <v>0</v>
      </c>
      <c r="AT309">
        <f t="shared" si="284"/>
        <v>0</v>
      </c>
      <c r="AU309">
        <f t="shared" si="285"/>
        <v>0</v>
      </c>
      <c r="AV309">
        <f t="shared" si="267"/>
        <v>2.2870794518133692E-20</v>
      </c>
      <c r="AW309" t="b">
        <f t="shared" si="286"/>
        <v>1</v>
      </c>
      <c r="AX309">
        <f t="shared" si="268"/>
        <v>7.8539816339744828</v>
      </c>
      <c r="AY309">
        <f t="shared" si="269"/>
        <v>1.9909327694838348</v>
      </c>
      <c r="AZ309">
        <f t="shared" si="270"/>
        <v>0.37569294977449419</v>
      </c>
      <c r="BA309">
        <f t="shared" si="271"/>
        <v>0.28202957033661563</v>
      </c>
      <c r="BB309">
        <f t="shared" si="272"/>
        <v>-1.2337005501361696E-20</v>
      </c>
      <c r="BD309" s="15">
        <f t="shared" si="287"/>
        <v>10.502636923569428</v>
      </c>
      <c r="BE309" s="10">
        <f t="shared" si="288"/>
        <v>0</v>
      </c>
      <c r="BF309">
        <f t="shared" si="289"/>
        <v>0</v>
      </c>
      <c r="BG309">
        <f t="shared" si="290"/>
        <v>0</v>
      </c>
      <c r="BH309">
        <f t="shared" si="291"/>
        <v>0</v>
      </c>
      <c r="BI309">
        <f t="shared" si="292"/>
        <v>0</v>
      </c>
    </row>
    <row r="310" spans="1:61" x14ac:dyDescent="0.3">
      <c r="A310">
        <f t="shared" si="297"/>
        <v>0.27300000000000002</v>
      </c>
      <c r="B310">
        <f t="shared" si="240"/>
        <v>0.85765479443001358</v>
      </c>
      <c r="C310">
        <f t="shared" si="241"/>
        <v>2.2839378591597796</v>
      </c>
      <c r="D310">
        <f t="shared" si="242"/>
        <v>2.2839378591597796</v>
      </c>
      <c r="E310">
        <f t="shared" si="247"/>
        <v>0.75631038025147201</v>
      </c>
      <c r="F310">
        <f t="shared" si="248"/>
        <v>0.75631038025147201</v>
      </c>
      <c r="G310">
        <f t="shared" si="243"/>
        <v>0.85765479443001358</v>
      </c>
      <c r="H310">
        <f t="shared" si="244"/>
        <v>0.75631038025147201</v>
      </c>
      <c r="I310">
        <f t="shared" si="245"/>
        <v>0.75631038025147201</v>
      </c>
      <c r="J310">
        <f t="shared" si="293"/>
        <v>8.4174406300744729E+19</v>
      </c>
      <c r="K310">
        <f t="shared" si="294"/>
        <v>8.4174406300744729E+19</v>
      </c>
      <c r="L310" t="e">
        <f t="shared" si="249"/>
        <v>#NUM!</v>
      </c>
      <c r="M310">
        <f t="shared" si="246"/>
        <v>2.2839378591597792E-20</v>
      </c>
      <c r="N310" s="9" t="e">
        <f t="shared" si="295"/>
        <v>#NUM!</v>
      </c>
      <c r="O310" t="e">
        <f t="shared" si="296"/>
        <v>#NUM!</v>
      </c>
      <c r="Q310">
        <f t="shared" si="250"/>
        <v>45.879422585760878</v>
      </c>
      <c r="R310">
        <f t="shared" si="251"/>
        <v>-710542.73576010019</v>
      </c>
      <c r="S310">
        <f t="shared" si="273"/>
        <v>-45.225800775480131</v>
      </c>
      <c r="T310" s="9" t="e">
        <f t="shared" si="252"/>
        <v>#N/A</v>
      </c>
      <c r="U310">
        <f t="shared" si="274"/>
        <v>-1.0000000000000001E+300</v>
      </c>
      <c r="V310">
        <f t="shared" si="275"/>
        <v>0</v>
      </c>
      <c r="W310">
        <f t="shared" si="276"/>
        <v>0</v>
      </c>
      <c r="X310">
        <f t="shared" si="253"/>
        <v>2.2839378591597796</v>
      </c>
      <c r="Y310">
        <f t="shared" si="254"/>
        <v>7.8539816339744828</v>
      </c>
      <c r="Z310">
        <f t="shared" si="255"/>
        <v>-2.2839378591597796</v>
      </c>
      <c r="AA310">
        <f t="shared" si="277"/>
        <v>1.9756198073192133</v>
      </c>
      <c r="AB310">
        <f t="shared" si="256"/>
        <v>9.829601441293697</v>
      </c>
      <c r="AC310">
        <f t="shared" si="278"/>
        <v>0.37431837911132759</v>
      </c>
      <c r="AD310">
        <f t="shared" si="257"/>
        <v>0.27930343116942208</v>
      </c>
      <c r="AE310" s="9">
        <f t="shared" si="279"/>
        <v>10.483223251574447</v>
      </c>
      <c r="AF310">
        <f t="shared" si="280"/>
        <v>0</v>
      </c>
      <c r="AH310">
        <f t="shared" si="258"/>
        <v>7.8539816339744828</v>
      </c>
      <c r="AI310">
        <f t="shared" si="259"/>
        <v>1.9756198073192131</v>
      </c>
      <c r="AJ310">
        <f t="shared" si="260"/>
        <v>0.37431837911132959</v>
      </c>
      <c r="AK310">
        <f t="shared" si="261"/>
        <v>0.27930343116942208</v>
      </c>
      <c r="AL310" s="9">
        <f t="shared" si="281"/>
        <v>10.483223251574447</v>
      </c>
      <c r="AM310" t="e">
        <f t="shared" si="262"/>
        <v>#N/A</v>
      </c>
      <c r="AN310" t="e">
        <f t="shared" si="282"/>
        <v>#N/A</v>
      </c>
      <c r="AO310">
        <f t="shared" si="263"/>
        <v>0</v>
      </c>
      <c r="AP310">
        <f t="shared" si="264"/>
        <v>0</v>
      </c>
      <c r="AQ310">
        <f t="shared" si="265"/>
        <v>1.9984014443252818E-15</v>
      </c>
      <c r="AR310">
        <f t="shared" si="283"/>
        <v>0</v>
      </c>
      <c r="AS310">
        <f t="shared" si="266"/>
        <v>0</v>
      </c>
      <c r="AT310">
        <f t="shared" si="284"/>
        <v>0</v>
      </c>
      <c r="AU310">
        <f t="shared" si="285"/>
        <v>0</v>
      </c>
      <c r="AV310">
        <f t="shared" si="267"/>
        <v>2.2839378591597795E-20</v>
      </c>
      <c r="AW310" t="b">
        <f t="shared" si="286"/>
        <v>1</v>
      </c>
      <c r="AX310">
        <f t="shared" si="268"/>
        <v>7.8539816339744828</v>
      </c>
      <c r="AY310">
        <f t="shared" si="269"/>
        <v>1.9756198073192131</v>
      </c>
      <c r="AZ310">
        <f t="shared" si="270"/>
        <v>0.37431837911132776</v>
      </c>
      <c r="BA310">
        <f t="shared" si="271"/>
        <v>0.27930343116942208</v>
      </c>
      <c r="BB310">
        <f t="shared" si="272"/>
        <v>-1.2337005501361696E-20</v>
      </c>
      <c r="BD310" s="15">
        <f t="shared" si="287"/>
        <v>10.483223251574445</v>
      </c>
      <c r="BE310" s="10">
        <f t="shared" si="288"/>
        <v>0</v>
      </c>
      <c r="BF310">
        <f t="shared" si="289"/>
        <v>0</v>
      </c>
      <c r="BG310">
        <f t="shared" si="290"/>
        <v>0</v>
      </c>
      <c r="BH310">
        <f t="shared" si="291"/>
        <v>0</v>
      </c>
      <c r="BI310">
        <f t="shared" si="292"/>
        <v>0</v>
      </c>
    </row>
    <row r="311" spans="1:61" x14ac:dyDescent="0.3">
      <c r="A311">
        <f t="shared" si="297"/>
        <v>0.27400000000000002</v>
      </c>
      <c r="B311">
        <f t="shared" si="240"/>
        <v>0.8607963870836034</v>
      </c>
      <c r="C311">
        <f t="shared" si="241"/>
        <v>2.2807962665061896</v>
      </c>
      <c r="D311">
        <f t="shared" si="242"/>
        <v>2.2807962665061896</v>
      </c>
      <c r="E311">
        <f t="shared" si="247"/>
        <v>0.75836191528872188</v>
      </c>
      <c r="F311">
        <f t="shared" si="248"/>
        <v>0.75836191528872199</v>
      </c>
      <c r="G311">
        <f t="shared" si="243"/>
        <v>0.8607963870836034</v>
      </c>
      <c r="H311">
        <f t="shared" si="244"/>
        <v>0.75836191528872188</v>
      </c>
      <c r="I311">
        <f t="shared" si="245"/>
        <v>0.75836191528872199</v>
      </c>
      <c r="J311">
        <f t="shared" si="293"/>
        <v>8.3946696100266181E+19</v>
      </c>
      <c r="K311">
        <f t="shared" si="294"/>
        <v>8.3946696100266181E+19</v>
      </c>
      <c r="L311">
        <f t="shared" si="249"/>
        <v>1</v>
      </c>
      <c r="M311">
        <f t="shared" si="246"/>
        <v>2.2807962665061896E-20</v>
      </c>
      <c r="N311" s="9">
        <f t="shared" si="295"/>
        <v>2.2807962665061896E-20</v>
      </c>
      <c r="O311">
        <f t="shared" si="296"/>
        <v>2.2807962665061896E-20</v>
      </c>
      <c r="Q311">
        <f t="shared" si="250"/>
        <v>45.876713701076298</v>
      </c>
      <c r="R311">
        <f t="shared" si="251"/>
        <v>-710542.73576010019</v>
      </c>
      <c r="S311">
        <f t="shared" si="273"/>
        <v>-45.227177238188858</v>
      </c>
      <c r="T311" s="9" t="e">
        <f t="shared" si="252"/>
        <v>#N/A</v>
      </c>
      <c r="U311">
        <f t="shared" si="274"/>
        <v>-1.0000000000000001E+300</v>
      </c>
      <c r="V311">
        <f t="shared" si="275"/>
        <v>0</v>
      </c>
      <c r="W311">
        <f t="shared" si="276"/>
        <v>0</v>
      </c>
      <c r="X311">
        <f t="shared" si="253"/>
        <v>2.2807962665061896</v>
      </c>
      <c r="Y311">
        <f t="shared" si="254"/>
        <v>7.8539816339744828</v>
      </c>
      <c r="Z311">
        <f t="shared" si="255"/>
        <v>-2.2807962665061896</v>
      </c>
      <c r="AA311">
        <f t="shared" si="277"/>
        <v>1.9604095314874188</v>
      </c>
      <c r="AB311">
        <f t="shared" si="256"/>
        <v>9.8143911654619025</v>
      </c>
      <c r="AC311">
        <f t="shared" si="278"/>
        <v>0.37294191640260432</v>
      </c>
      <c r="AD311">
        <f t="shared" si="257"/>
        <v>0.27659454648484239</v>
      </c>
      <c r="AE311" s="9">
        <f t="shared" si="279"/>
        <v>10.463927628349349</v>
      </c>
      <c r="AF311">
        <f t="shared" si="280"/>
        <v>0</v>
      </c>
      <c r="AH311">
        <f t="shared" si="258"/>
        <v>7.8539816339744828</v>
      </c>
      <c r="AI311">
        <f t="shared" si="259"/>
        <v>1.9604095314874197</v>
      </c>
      <c r="AJ311">
        <f t="shared" si="260"/>
        <v>0.37294191640260266</v>
      </c>
      <c r="AK311">
        <f t="shared" si="261"/>
        <v>0.27659454648484239</v>
      </c>
      <c r="AL311" s="9">
        <f t="shared" si="281"/>
        <v>10.463927628349348</v>
      </c>
      <c r="AM311" t="e">
        <f t="shared" si="262"/>
        <v>#N/A</v>
      </c>
      <c r="AN311" t="e">
        <f t="shared" si="282"/>
        <v>#N/A</v>
      </c>
      <c r="AO311">
        <f t="shared" si="263"/>
        <v>0</v>
      </c>
      <c r="AP311">
        <f t="shared" si="264"/>
        <v>0</v>
      </c>
      <c r="AQ311">
        <f t="shared" si="265"/>
        <v>-1.6653345369377348E-15</v>
      </c>
      <c r="AR311">
        <f t="shared" si="283"/>
        <v>0</v>
      </c>
      <c r="AS311">
        <f t="shared" si="266"/>
        <v>0</v>
      </c>
      <c r="AT311">
        <f t="shared" si="284"/>
        <v>0</v>
      </c>
      <c r="AU311">
        <f t="shared" si="285"/>
        <v>0</v>
      </c>
      <c r="AV311">
        <f t="shared" si="267"/>
        <v>2.2807962665061896E-20</v>
      </c>
      <c r="AW311" t="b">
        <f t="shared" si="286"/>
        <v>1</v>
      </c>
      <c r="AX311">
        <f t="shared" si="268"/>
        <v>7.8539816339744828</v>
      </c>
      <c r="AY311">
        <f t="shared" si="269"/>
        <v>1.9604095314874186</v>
      </c>
      <c r="AZ311">
        <f t="shared" si="270"/>
        <v>0.37294191640260432</v>
      </c>
      <c r="BA311">
        <f t="shared" si="271"/>
        <v>0.27659454648484222</v>
      </c>
      <c r="BB311">
        <f t="shared" si="272"/>
        <v>-1.2337005501361696E-20</v>
      </c>
      <c r="BD311" s="15">
        <f t="shared" si="287"/>
        <v>10.463927628349348</v>
      </c>
      <c r="BE311" s="10">
        <f t="shared" si="288"/>
        <v>0</v>
      </c>
      <c r="BF311">
        <f t="shared" si="289"/>
        <v>0</v>
      </c>
      <c r="BG311">
        <f t="shared" si="290"/>
        <v>0</v>
      </c>
      <c r="BH311">
        <f t="shared" si="291"/>
        <v>0</v>
      </c>
      <c r="BI311">
        <f t="shared" si="292"/>
        <v>0</v>
      </c>
    </row>
    <row r="312" spans="1:61" x14ac:dyDescent="0.3">
      <c r="A312">
        <f t="shared" si="297"/>
        <v>0.27500000000000002</v>
      </c>
      <c r="B312">
        <f t="shared" si="240"/>
        <v>0.86393797973719322</v>
      </c>
      <c r="C312">
        <f t="shared" si="241"/>
        <v>2.2776546738526</v>
      </c>
      <c r="D312">
        <f t="shared" si="242"/>
        <v>2.2776546738526</v>
      </c>
      <c r="E312">
        <f t="shared" si="247"/>
        <v>0.76040596560003104</v>
      </c>
      <c r="F312">
        <f t="shared" si="248"/>
        <v>0.76040596560003104</v>
      </c>
      <c r="G312">
        <f t="shared" si="243"/>
        <v>0.86393797973719322</v>
      </c>
      <c r="H312">
        <f t="shared" si="244"/>
        <v>0.76040596560003104</v>
      </c>
      <c r="I312">
        <f t="shared" si="245"/>
        <v>0.76040596560003104</v>
      </c>
      <c r="J312">
        <f t="shared" si="293"/>
        <v>8.3721038651403682E+19</v>
      </c>
      <c r="K312">
        <f t="shared" si="294"/>
        <v>8.3721038651403682E+19</v>
      </c>
      <c r="L312">
        <f t="shared" si="249"/>
        <v>1</v>
      </c>
      <c r="M312">
        <f t="shared" si="246"/>
        <v>2.2776546738525999E-20</v>
      </c>
      <c r="N312" s="9">
        <f t="shared" si="295"/>
        <v>2.2776546738525999E-20</v>
      </c>
      <c r="O312">
        <f t="shared" si="296"/>
        <v>2.2776546738525999E-20</v>
      </c>
      <c r="Q312">
        <f t="shared" si="250"/>
        <v>45.874021977645498</v>
      </c>
      <c r="R312">
        <f t="shared" si="251"/>
        <v>-710542.73576010019</v>
      </c>
      <c r="S312">
        <f t="shared" si="273"/>
        <v>-45.228555598158977</v>
      </c>
      <c r="T312" s="9" t="e">
        <f t="shared" si="252"/>
        <v>#N/A</v>
      </c>
      <c r="U312">
        <f t="shared" si="274"/>
        <v>-1.0000000000000001E+300</v>
      </c>
      <c r="V312">
        <f t="shared" si="275"/>
        <v>0</v>
      </c>
      <c r="W312">
        <f t="shared" si="276"/>
        <v>0</v>
      </c>
      <c r="X312">
        <f t="shared" si="253"/>
        <v>2.2776546738526</v>
      </c>
      <c r="Y312">
        <f t="shared" si="254"/>
        <v>7.8539816339744828</v>
      </c>
      <c r="Z312">
        <f t="shared" si="255"/>
        <v>-2.2776546738526</v>
      </c>
      <c r="AA312">
        <f t="shared" si="277"/>
        <v>1.9453008650930972</v>
      </c>
      <c r="AB312">
        <f t="shared" si="256"/>
        <v>9.79928249906758</v>
      </c>
      <c r="AC312">
        <f t="shared" si="278"/>
        <v>0.37156355643248301</v>
      </c>
      <c r="AD312">
        <f t="shared" si="257"/>
        <v>0.27390282305404118</v>
      </c>
      <c r="AE312" s="9">
        <f t="shared" si="279"/>
        <v>10.444748878554103</v>
      </c>
      <c r="AF312">
        <f t="shared" si="280"/>
        <v>0</v>
      </c>
      <c r="AH312">
        <f t="shared" si="258"/>
        <v>7.8539816339744828</v>
      </c>
      <c r="AI312">
        <f t="shared" si="259"/>
        <v>1.9453008650930967</v>
      </c>
      <c r="AJ312">
        <f t="shared" si="260"/>
        <v>0.37156355643248418</v>
      </c>
      <c r="AK312">
        <f t="shared" si="261"/>
        <v>0.27390282305404118</v>
      </c>
      <c r="AL312" s="9">
        <f t="shared" si="281"/>
        <v>10.444748878554105</v>
      </c>
      <c r="AM312" t="e">
        <f t="shared" si="262"/>
        <v>#N/A</v>
      </c>
      <c r="AN312" t="e">
        <f t="shared" si="282"/>
        <v>#N/A</v>
      </c>
      <c r="AO312">
        <f t="shared" si="263"/>
        <v>0</v>
      </c>
      <c r="AP312">
        <f t="shared" si="264"/>
        <v>0</v>
      </c>
      <c r="AQ312">
        <f t="shared" si="265"/>
        <v>1.1657341758564144E-15</v>
      </c>
      <c r="AR312">
        <f t="shared" si="283"/>
        <v>0</v>
      </c>
      <c r="AS312">
        <f t="shared" si="266"/>
        <v>0</v>
      </c>
      <c r="AT312">
        <f t="shared" si="284"/>
        <v>0</v>
      </c>
      <c r="AU312">
        <f t="shared" si="285"/>
        <v>0</v>
      </c>
      <c r="AV312">
        <f t="shared" si="267"/>
        <v>2.2776546738525999E-20</v>
      </c>
      <c r="AW312" t="b">
        <f t="shared" si="286"/>
        <v>1</v>
      </c>
      <c r="AX312">
        <f t="shared" si="268"/>
        <v>7.8539816339744828</v>
      </c>
      <c r="AY312">
        <f t="shared" si="269"/>
        <v>1.9453008650930965</v>
      </c>
      <c r="AZ312">
        <f t="shared" si="270"/>
        <v>0.37156355643248318</v>
      </c>
      <c r="BA312">
        <f t="shared" si="271"/>
        <v>0.27390282305404118</v>
      </c>
      <c r="BB312">
        <f t="shared" si="272"/>
        <v>-1.2337005501361696E-20</v>
      </c>
      <c r="BD312" s="15">
        <f t="shared" si="287"/>
        <v>10.444748878554103</v>
      </c>
      <c r="BE312" s="10">
        <f t="shared" si="288"/>
        <v>0</v>
      </c>
      <c r="BF312">
        <f t="shared" si="289"/>
        <v>0</v>
      </c>
      <c r="BG312">
        <f t="shared" si="290"/>
        <v>0</v>
      </c>
      <c r="BH312">
        <f t="shared" si="291"/>
        <v>0</v>
      </c>
      <c r="BI312">
        <f t="shared" si="292"/>
        <v>0</v>
      </c>
    </row>
    <row r="313" spans="1:61" x14ac:dyDescent="0.3">
      <c r="A313">
        <f t="shared" si="297"/>
        <v>0.27600000000000002</v>
      </c>
      <c r="B313">
        <f t="shared" si="240"/>
        <v>0.86707957239078293</v>
      </c>
      <c r="C313">
        <f t="shared" si="241"/>
        <v>2.27451308119901</v>
      </c>
      <c r="D313">
        <f t="shared" si="242"/>
        <v>2.27451308119901</v>
      </c>
      <c r="E313">
        <f t="shared" si="247"/>
        <v>0.76244251101144789</v>
      </c>
      <c r="F313">
        <f t="shared" si="248"/>
        <v>0.76244251101144811</v>
      </c>
      <c r="G313">
        <f t="shared" si="243"/>
        <v>0.86707957239078293</v>
      </c>
      <c r="H313">
        <f t="shared" si="244"/>
        <v>0.76244251101144789</v>
      </c>
      <c r="I313">
        <f t="shared" si="245"/>
        <v>0.76244251101144811</v>
      </c>
      <c r="J313">
        <f t="shared" si="293"/>
        <v>8.3497413007972057E+19</v>
      </c>
      <c r="K313">
        <f t="shared" si="294"/>
        <v>8.3497413007972057E+19</v>
      </c>
      <c r="L313" t="e">
        <f t="shared" si="249"/>
        <v>#NUM!</v>
      </c>
      <c r="M313">
        <f t="shared" si="246"/>
        <v>2.2745130811990099E-20</v>
      </c>
      <c r="N313" s="9" t="e">
        <f t="shared" si="295"/>
        <v>#NUM!</v>
      </c>
      <c r="O313" t="e">
        <f t="shared" si="296"/>
        <v>#NUM!</v>
      </c>
      <c r="Q313">
        <f t="shared" si="250"/>
        <v>45.871347323329225</v>
      </c>
      <c r="R313">
        <f t="shared" si="251"/>
        <v>-710542.73576010019</v>
      </c>
      <c r="S313">
        <f t="shared" si="273"/>
        <v>-45.229935860627933</v>
      </c>
      <c r="T313" s="9" t="e">
        <f t="shared" si="252"/>
        <v>#N/A</v>
      </c>
      <c r="U313">
        <f t="shared" si="274"/>
        <v>-1.0000000000000001E+300</v>
      </c>
      <c r="V313">
        <f t="shared" si="275"/>
        <v>0</v>
      </c>
      <c r="W313">
        <f t="shared" si="276"/>
        <v>0</v>
      </c>
      <c r="X313">
        <f t="shared" si="253"/>
        <v>2.27451308119901</v>
      </c>
      <c r="Y313">
        <f t="shared" si="254"/>
        <v>7.8539816339744828</v>
      </c>
      <c r="Z313">
        <f t="shared" si="255"/>
        <v>-2.27451308119901</v>
      </c>
      <c r="AA313">
        <f t="shared" si="277"/>
        <v>1.9302927468001667</v>
      </c>
      <c r="AB313">
        <f t="shared" si="256"/>
        <v>9.7842743807746491</v>
      </c>
      <c r="AC313">
        <f t="shared" si="278"/>
        <v>0.37018329396352445</v>
      </c>
      <c r="AD313">
        <f t="shared" si="257"/>
        <v>0.27122816873776845</v>
      </c>
      <c r="AE313" s="9">
        <f t="shared" si="279"/>
        <v>10.425685843475943</v>
      </c>
      <c r="AF313">
        <f t="shared" si="280"/>
        <v>0</v>
      </c>
      <c r="AH313">
        <f t="shared" si="258"/>
        <v>7.8539816339744828</v>
      </c>
      <c r="AI313">
        <f t="shared" si="259"/>
        <v>1.9302927468001678</v>
      </c>
      <c r="AJ313">
        <f t="shared" si="260"/>
        <v>0.37018329396352812</v>
      </c>
      <c r="AK313">
        <f t="shared" si="261"/>
        <v>0.27122816873776845</v>
      </c>
      <c r="AL313" s="9">
        <f t="shared" si="281"/>
        <v>10.425685843475947</v>
      </c>
      <c r="AM313" t="e">
        <f t="shared" si="262"/>
        <v>#N/A</v>
      </c>
      <c r="AN313" t="e">
        <f t="shared" si="282"/>
        <v>#N/A</v>
      </c>
      <c r="AO313">
        <f t="shared" si="263"/>
        <v>0</v>
      </c>
      <c r="AP313">
        <f t="shared" si="264"/>
        <v>0</v>
      </c>
      <c r="AQ313">
        <f t="shared" si="265"/>
        <v>3.6637359812630166E-15</v>
      </c>
      <c r="AR313">
        <f t="shared" si="283"/>
        <v>0</v>
      </c>
      <c r="AS313">
        <f t="shared" si="266"/>
        <v>0</v>
      </c>
      <c r="AT313">
        <f t="shared" si="284"/>
        <v>0</v>
      </c>
      <c r="AU313">
        <f t="shared" si="285"/>
        <v>0</v>
      </c>
      <c r="AV313">
        <f t="shared" si="267"/>
        <v>2.2745130811990099E-20</v>
      </c>
      <c r="AW313" t="b">
        <f t="shared" si="286"/>
        <v>1</v>
      </c>
      <c r="AX313">
        <f t="shared" si="268"/>
        <v>7.8539816339744828</v>
      </c>
      <c r="AY313">
        <f t="shared" si="269"/>
        <v>1.9302927468001663</v>
      </c>
      <c r="AZ313">
        <f t="shared" si="270"/>
        <v>0.37018329396352462</v>
      </c>
      <c r="BA313">
        <f t="shared" si="271"/>
        <v>0.27122816873776817</v>
      </c>
      <c r="BB313">
        <f t="shared" si="272"/>
        <v>-1.2337005501361696E-20</v>
      </c>
      <c r="BD313" s="15">
        <f t="shared" si="287"/>
        <v>10.425685843475941</v>
      </c>
      <c r="BE313" s="10">
        <f t="shared" si="288"/>
        <v>0</v>
      </c>
      <c r="BF313">
        <f t="shared" si="289"/>
        <v>0</v>
      </c>
      <c r="BG313">
        <f t="shared" si="290"/>
        <v>0</v>
      </c>
      <c r="BH313">
        <f t="shared" si="291"/>
        <v>0</v>
      </c>
      <c r="BI313">
        <f t="shared" si="292"/>
        <v>0</v>
      </c>
    </row>
    <row r="314" spans="1:61" x14ac:dyDescent="0.3">
      <c r="A314">
        <f t="shared" si="297"/>
        <v>0.27700000000000002</v>
      </c>
      <c r="B314">
        <f t="shared" si="240"/>
        <v>0.87022116504437275</v>
      </c>
      <c r="C314">
        <f t="shared" si="241"/>
        <v>2.2713714885454204</v>
      </c>
      <c r="D314">
        <f t="shared" si="242"/>
        <v>2.2713714885454204</v>
      </c>
      <c r="E314">
        <f t="shared" si="247"/>
        <v>0.76447153142309165</v>
      </c>
      <c r="F314">
        <f t="shared" si="248"/>
        <v>0.76447153142309165</v>
      </c>
      <c r="G314">
        <f t="shared" si="243"/>
        <v>0.87022116504437275</v>
      </c>
      <c r="H314">
        <f t="shared" si="244"/>
        <v>0.76447153142309165</v>
      </c>
      <c r="I314">
        <f t="shared" si="245"/>
        <v>0.76447153142309165</v>
      </c>
      <c r="J314">
        <f t="shared" si="293"/>
        <v>8.3275798535295418E+19</v>
      </c>
      <c r="K314">
        <f t="shared" si="294"/>
        <v>8.3275798535295418E+19</v>
      </c>
      <c r="L314">
        <f t="shared" si="249"/>
        <v>1</v>
      </c>
      <c r="M314">
        <f t="shared" si="246"/>
        <v>2.2713714885454203E-20</v>
      </c>
      <c r="N314" s="9">
        <f t="shared" si="295"/>
        <v>2.2713714885454203E-20</v>
      </c>
      <c r="O314">
        <f t="shared" si="296"/>
        <v>2.2713714885454203E-20</v>
      </c>
      <c r="Q314">
        <f t="shared" si="250"/>
        <v>45.868689647062531</v>
      </c>
      <c r="R314">
        <f t="shared" si="251"/>
        <v>0</v>
      </c>
      <c r="S314">
        <f t="shared" si="273"/>
        <v>-45.231318030854887</v>
      </c>
      <c r="T314" s="9" t="e">
        <f t="shared" si="252"/>
        <v>#N/A</v>
      </c>
      <c r="U314">
        <f t="shared" si="274"/>
        <v>-1.0000000000000001E+300</v>
      </c>
      <c r="V314">
        <f t="shared" si="275"/>
        <v>0</v>
      </c>
      <c r="W314">
        <f t="shared" si="276"/>
        <v>0</v>
      </c>
      <c r="X314">
        <f t="shared" si="253"/>
        <v>2.2713714885454204</v>
      </c>
      <c r="Y314">
        <f t="shared" si="254"/>
        <v>7.8539816339744828</v>
      </c>
      <c r="Z314">
        <f t="shared" si="255"/>
        <v>-2.2713714885454204</v>
      </c>
      <c r="AA314">
        <f t="shared" si="277"/>
        <v>1.9153841305512544</v>
      </c>
      <c r="AB314">
        <f t="shared" si="256"/>
        <v>9.7693657645257375</v>
      </c>
      <c r="AC314">
        <f t="shared" si="278"/>
        <v>0.36880112373657292</v>
      </c>
      <c r="AD314">
        <f t="shared" si="257"/>
        <v>0.26857049247107145</v>
      </c>
      <c r="AE314" s="9">
        <f t="shared" si="279"/>
        <v>10.406737380733382</v>
      </c>
      <c r="AF314">
        <f t="shared" si="280"/>
        <v>0</v>
      </c>
      <c r="AH314">
        <f t="shared" si="258"/>
        <v>7.8539816339744828</v>
      </c>
      <c r="AI314">
        <f t="shared" si="259"/>
        <v>1.9153841305512544</v>
      </c>
      <c r="AJ314">
        <f t="shared" si="260"/>
        <v>0.36880112373657425</v>
      </c>
      <c r="AK314">
        <f t="shared" si="261"/>
        <v>0.26857049247107145</v>
      </c>
      <c r="AL314" s="9">
        <f t="shared" si="281"/>
        <v>10.406737380733382</v>
      </c>
      <c r="AM314" t="e">
        <f t="shared" si="262"/>
        <v>#N/A</v>
      </c>
      <c r="AN314" t="e">
        <f t="shared" si="282"/>
        <v>#N/A</v>
      </c>
      <c r="AO314">
        <f t="shared" si="263"/>
        <v>0</v>
      </c>
      <c r="AP314">
        <f t="shared" si="264"/>
        <v>0</v>
      </c>
      <c r="AQ314">
        <f t="shared" si="265"/>
        <v>1.3322676295501878E-15</v>
      </c>
      <c r="AR314">
        <f t="shared" si="283"/>
        <v>0</v>
      </c>
      <c r="AS314">
        <f t="shared" si="266"/>
        <v>0</v>
      </c>
      <c r="AT314">
        <f t="shared" si="284"/>
        <v>0</v>
      </c>
      <c r="AU314">
        <f t="shared" si="285"/>
        <v>0</v>
      </c>
      <c r="AV314">
        <f t="shared" si="267"/>
        <v>2.2713714885454203E-20</v>
      </c>
      <c r="AW314" t="b">
        <f t="shared" si="286"/>
        <v>1</v>
      </c>
      <c r="AX314">
        <f t="shared" si="268"/>
        <v>7.8539816339744828</v>
      </c>
      <c r="AY314">
        <f t="shared" si="269"/>
        <v>1.9153841305512538</v>
      </c>
      <c r="AZ314">
        <f t="shared" si="270"/>
        <v>0.36880112373657292</v>
      </c>
      <c r="BA314">
        <f t="shared" si="271"/>
        <v>0.26857049247107145</v>
      </c>
      <c r="BB314">
        <f t="shared" si="272"/>
        <v>-1.2337005501361696E-20</v>
      </c>
      <c r="BD314" s="15">
        <f t="shared" si="287"/>
        <v>10.406737380733382</v>
      </c>
      <c r="BE314" s="10">
        <f t="shared" si="288"/>
        <v>0</v>
      </c>
      <c r="BF314">
        <f t="shared" si="289"/>
        <v>0</v>
      </c>
      <c r="BG314">
        <f t="shared" si="290"/>
        <v>0</v>
      </c>
      <c r="BH314">
        <f t="shared" si="291"/>
        <v>0</v>
      </c>
      <c r="BI314">
        <f t="shared" si="292"/>
        <v>0</v>
      </c>
    </row>
    <row r="315" spans="1:61" x14ac:dyDescent="0.3">
      <c r="A315">
        <f t="shared" si="297"/>
        <v>0.27800000000000002</v>
      </c>
      <c r="B315">
        <f t="shared" si="240"/>
        <v>0.87336275769796257</v>
      </c>
      <c r="C315">
        <f t="shared" si="241"/>
        <v>2.2682298958918308</v>
      </c>
      <c r="D315">
        <f t="shared" si="242"/>
        <v>2.2682298958918308</v>
      </c>
      <c r="E315">
        <f t="shared" si="247"/>
        <v>0.76649300680934984</v>
      </c>
      <c r="F315">
        <f t="shared" si="248"/>
        <v>0.76649300680934984</v>
      </c>
      <c r="G315">
        <f t="shared" si="243"/>
        <v>0.87336275769796257</v>
      </c>
      <c r="H315">
        <f t="shared" si="244"/>
        <v>0.76649300680934984</v>
      </c>
      <c r="I315">
        <f t="shared" si="245"/>
        <v>0.76649300680934984</v>
      </c>
      <c r="J315">
        <f t="shared" si="293"/>
        <v>8.3056174904662655E+19</v>
      </c>
      <c r="K315">
        <f t="shared" si="294"/>
        <v>8.3056174904662655E+19</v>
      </c>
      <c r="L315">
        <f t="shared" si="249"/>
        <v>1</v>
      </c>
      <c r="M315">
        <f t="shared" si="246"/>
        <v>2.2682298958918306E-20</v>
      </c>
      <c r="N315" s="9">
        <f t="shared" si="295"/>
        <v>2.2682298958918306E-20</v>
      </c>
      <c r="O315">
        <f t="shared" si="296"/>
        <v>2.2682298958918306E-20</v>
      </c>
      <c r="Q315">
        <f t="shared" si="250"/>
        <v>45.866048858839747</v>
      </c>
      <c r="R315">
        <f t="shared" si="251"/>
        <v>0</v>
      </c>
      <c r="S315">
        <f t="shared" si="273"/>
        <v>-45.232702114120826</v>
      </c>
      <c r="T315" s="9" t="e">
        <f t="shared" si="252"/>
        <v>#N/A</v>
      </c>
      <c r="U315">
        <f t="shared" si="274"/>
        <v>-1.0000000000000001E+300</v>
      </c>
      <c r="V315">
        <f t="shared" si="275"/>
        <v>0</v>
      </c>
      <c r="W315">
        <f t="shared" si="276"/>
        <v>0</v>
      </c>
      <c r="X315">
        <f t="shared" si="253"/>
        <v>2.2682298958918308</v>
      </c>
      <c r="Y315">
        <f t="shared" si="254"/>
        <v>7.8539816339744828</v>
      </c>
      <c r="Z315">
        <f t="shared" si="255"/>
        <v>-2.2682298958918308</v>
      </c>
      <c r="AA315">
        <f t="shared" si="277"/>
        <v>1.9005739852931511</v>
      </c>
      <c r="AB315">
        <f t="shared" si="256"/>
        <v>9.7545556192676344</v>
      </c>
      <c r="AC315">
        <f t="shared" si="278"/>
        <v>0.36741704047063461</v>
      </c>
      <c r="AD315">
        <f t="shared" si="257"/>
        <v>0.26592970424828738</v>
      </c>
      <c r="AE315" s="9">
        <f t="shared" si="279"/>
        <v>10.387902363986557</v>
      </c>
      <c r="AF315">
        <f t="shared" si="280"/>
        <v>0</v>
      </c>
      <c r="AH315">
        <f t="shared" si="258"/>
        <v>7.8539816339744828</v>
      </c>
      <c r="AI315">
        <f t="shared" si="259"/>
        <v>1.9005739852931502</v>
      </c>
      <c r="AJ315">
        <f t="shared" si="260"/>
        <v>0.3674170404706345</v>
      </c>
      <c r="AK315">
        <f t="shared" si="261"/>
        <v>0.26592970424828738</v>
      </c>
      <c r="AL315" s="9">
        <f t="shared" si="281"/>
        <v>10.387902363986555</v>
      </c>
      <c r="AM315" t="e">
        <f t="shared" si="262"/>
        <v>#N/A</v>
      </c>
      <c r="AN315" t="e">
        <f t="shared" si="282"/>
        <v>#N/A</v>
      </c>
      <c r="AO315">
        <f t="shared" si="263"/>
        <v>0</v>
      </c>
      <c r="AP315">
        <f t="shared" si="264"/>
        <v>0</v>
      </c>
      <c r="AQ315">
        <f t="shared" si="265"/>
        <v>0</v>
      </c>
      <c r="AR315">
        <f t="shared" si="283"/>
        <v>0</v>
      </c>
      <c r="AS315">
        <f t="shared" si="266"/>
        <v>0</v>
      </c>
      <c r="AT315">
        <f t="shared" si="284"/>
        <v>0</v>
      </c>
      <c r="AU315">
        <f t="shared" si="285"/>
        <v>0</v>
      </c>
      <c r="AV315">
        <f t="shared" si="267"/>
        <v>2.2682298958918306E-20</v>
      </c>
      <c r="AW315" t="b">
        <f t="shared" si="286"/>
        <v>1</v>
      </c>
      <c r="AX315">
        <f t="shared" si="268"/>
        <v>7.8539816339744828</v>
      </c>
      <c r="AY315">
        <f t="shared" si="269"/>
        <v>1.9005739852931507</v>
      </c>
      <c r="AZ315">
        <f t="shared" si="270"/>
        <v>0.36741704047063461</v>
      </c>
      <c r="BA315">
        <f t="shared" si="271"/>
        <v>0.26592970424828738</v>
      </c>
      <c r="BB315">
        <f t="shared" si="272"/>
        <v>-1.2337005501361696E-20</v>
      </c>
      <c r="BD315" s="15">
        <f t="shared" si="287"/>
        <v>10.387902363986557</v>
      </c>
      <c r="BE315" s="10">
        <f t="shared" si="288"/>
        <v>0</v>
      </c>
      <c r="BF315">
        <f t="shared" si="289"/>
        <v>0</v>
      </c>
      <c r="BG315">
        <f t="shared" si="290"/>
        <v>0</v>
      </c>
      <c r="BH315">
        <f t="shared" si="291"/>
        <v>0</v>
      </c>
      <c r="BI315">
        <f t="shared" si="292"/>
        <v>0</v>
      </c>
    </row>
    <row r="316" spans="1:61" x14ac:dyDescent="0.3">
      <c r="A316">
        <f t="shared" si="297"/>
        <v>0.27900000000000003</v>
      </c>
      <c r="B316">
        <f t="shared" si="240"/>
        <v>0.87650435035155239</v>
      </c>
      <c r="C316">
        <f t="shared" si="241"/>
        <v>2.2650883032382407</v>
      </c>
      <c r="D316">
        <f t="shared" si="242"/>
        <v>2.2650883032382407</v>
      </c>
      <c r="E316">
        <f t="shared" si="247"/>
        <v>0.76850691721907671</v>
      </c>
      <c r="F316">
        <f t="shared" si="248"/>
        <v>0.76850691721907671</v>
      </c>
      <c r="G316">
        <f t="shared" si="243"/>
        <v>0.87650435035155239</v>
      </c>
      <c r="H316">
        <f t="shared" si="244"/>
        <v>0.76850691721907671</v>
      </c>
      <c r="I316">
        <f t="shared" si="245"/>
        <v>0.76850691721907671</v>
      </c>
      <c r="J316">
        <f t="shared" si="293"/>
        <v>8.2838522087902233E+19</v>
      </c>
      <c r="K316">
        <f t="shared" si="294"/>
        <v>8.2838522087902233E+19</v>
      </c>
      <c r="L316">
        <f t="shared" si="249"/>
        <v>1</v>
      </c>
      <c r="M316">
        <f t="shared" si="246"/>
        <v>2.2650883032382407E-20</v>
      </c>
      <c r="N316" s="9">
        <f t="shared" si="295"/>
        <v>2.2650883032382407E-20</v>
      </c>
      <c r="O316">
        <f t="shared" si="296"/>
        <v>2.2650883032382407E-20</v>
      </c>
      <c r="Q316">
        <f t="shared" si="250"/>
        <v>45.863424869699763</v>
      </c>
      <c r="R316">
        <f t="shared" si="251"/>
        <v>-710542.73576010019</v>
      </c>
      <c r="S316">
        <f t="shared" si="273"/>
        <v>-45.234088115728703</v>
      </c>
      <c r="T316" s="9" t="e">
        <f t="shared" si="252"/>
        <v>#N/A</v>
      </c>
      <c r="U316">
        <f t="shared" si="274"/>
        <v>-1.0000000000000001E+300</v>
      </c>
      <c r="V316">
        <f t="shared" si="275"/>
        <v>0</v>
      </c>
      <c r="W316">
        <f t="shared" si="276"/>
        <v>0</v>
      </c>
      <c r="X316">
        <f t="shared" si="253"/>
        <v>2.2650883032382407</v>
      </c>
      <c r="Y316">
        <f t="shared" si="254"/>
        <v>7.8539816339744828</v>
      </c>
      <c r="Z316">
        <f t="shared" si="255"/>
        <v>-2.2650883032382407</v>
      </c>
      <c r="AA316">
        <f t="shared" si="277"/>
        <v>1.8858612947081941</v>
      </c>
      <c r="AB316">
        <f t="shared" si="256"/>
        <v>9.7398429286826769</v>
      </c>
      <c r="AC316">
        <f t="shared" si="278"/>
        <v>0.36603103886275729</v>
      </c>
      <c r="AD316">
        <f t="shared" si="257"/>
        <v>0.26330571510830603</v>
      </c>
      <c r="AE316" s="9">
        <f t="shared" si="279"/>
        <v>10.369179682653741</v>
      </c>
      <c r="AF316">
        <f t="shared" si="280"/>
        <v>0</v>
      </c>
      <c r="AH316">
        <f t="shared" si="258"/>
        <v>7.8539816339744828</v>
      </c>
      <c r="AI316">
        <f t="shared" si="259"/>
        <v>1.8858612947081945</v>
      </c>
      <c r="AJ316">
        <f t="shared" si="260"/>
        <v>0.3660310388627579</v>
      </c>
      <c r="AK316">
        <f t="shared" si="261"/>
        <v>0.26330571510830603</v>
      </c>
      <c r="AL316" s="9">
        <f t="shared" si="281"/>
        <v>10.369179682653741</v>
      </c>
      <c r="AM316" t="e">
        <f t="shared" si="262"/>
        <v>#N/A</v>
      </c>
      <c r="AN316" t="e">
        <f t="shared" si="282"/>
        <v>#N/A</v>
      </c>
      <c r="AO316">
        <f t="shared" si="263"/>
        <v>0</v>
      </c>
      <c r="AP316">
        <f t="shared" si="264"/>
        <v>0</v>
      </c>
      <c r="AQ316">
        <f t="shared" si="265"/>
        <v>6.106226635438361E-16</v>
      </c>
      <c r="AR316">
        <f t="shared" si="283"/>
        <v>0</v>
      </c>
      <c r="AS316">
        <f t="shared" si="266"/>
        <v>0</v>
      </c>
      <c r="AT316">
        <f t="shared" si="284"/>
        <v>0</v>
      </c>
      <c r="AU316">
        <f t="shared" si="285"/>
        <v>0</v>
      </c>
      <c r="AV316">
        <f t="shared" si="267"/>
        <v>2.2650883032382407E-20</v>
      </c>
      <c r="AW316" t="b">
        <f t="shared" si="286"/>
        <v>1</v>
      </c>
      <c r="AX316">
        <f t="shared" si="268"/>
        <v>7.8539816339744828</v>
      </c>
      <c r="AY316">
        <f t="shared" si="269"/>
        <v>1.8858612947081943</v>
      </c>
      <c r="AZ316">
        <f t="shared" si="270"/>
        <v>0.36603103886275729</v>
      </c>
      <c r="BA316">
        <f t="shared" si="271"/>
        <v>0.26330571510830603</v>
      </c>
      <c r="BB316">
        <f t="shared" si="272"/>
        <v>-1.2337005501361696E-20</v>
      </c>
      <c r="BD316" s="15">
        <f t="shared" si="287"/>
        <v>10.369179682653741</v>
      </c>
      <c r="BE316" s="10">
        <f t="shared" si="288"/>
        <v>0</v>
      </c>
      <c r="BF316">
        <f t="shared" si="289"/>
        <v>0</v>
      </c>
      <c r="BG316">
        <f t="shared" si="290"/>
        <v>0</v>
      </c>
      <c r="BH316">
        <f t="shared" si="291"/>
        <v>0</v>
      </c>
      <c r="BI316">
        <f t="shared" si="292"/>
        <v>0</v>
      </c>
    </row>
    <row r="317" spans="1:61" x14ac:dyDescent="0.3">
      <c r="A317">
        <f t="shared" si="297"/>
        <v>0.28000000000000003</v>
      </c>
      <c r="B317">
        <f t="shared" si="240"/>
        <v>0.87964594300514221</v>
      </c>
      <c r="C317">
        <f t="shared" si="241"/>
        <v>2.2619467105846507</v>
      </c>
      <c r="D317">
        <f t="shared" si="242"/>
        <v>2.2619467105846507</v>
      </c>
      <c r="E317">
        <f t="shared" si="247"/>
        <v>0.77051324277578925</v>
      </c>
      <c r="F317">
        <f t="shared" si="248"/>
        <v>0.77051324277578948</v>
      </c>
      <c r="G317">
        <f t="shared" si="243"/>
        <v>0.87964594300514221</v>
      </c>
      <c r="H317">
        <f t="shared" si="244"/>
        <v>0.77051324277578925</v>
      </c>
      <c r="I317">
        <f t="shared" si="245"/>
        <v>0.77051324277578948</v>
      </c>
      <c r="J317">
        <f t="shared" si="293"/>
        <v>8.262282035207417E+19</v>
      </c>
      <c r="K317">
        <f t="shared" si="294"/>
        <v>8.262282035207417E+19</v>
      </c>
      <c r="L317">
        <f t="shared" si="249"/>
        <v>1</v>
      </c>
      <c r="M317">
        <f t="shared" si="246"/>
        <v>2.2619467105846507E-20</v>
      </c>
      <c r="N317" s="9">
        <f t="shared" si="295"/>
        <v>2.2619467105846507E-20</v>
      </c>
      <c r="O317">
        <f t="shared" si="296"/>
        <v>2.2619467105846507E-20</v>
      </c>
      <c r="Q317">
        <f t="shared" si="250"/>
        <v>45.860817591711559</v>
      </c>
      <c r="R317">
        <f t="shared" si="251"/>
        <v>0</v>
      </c>
      <c r="S317">
        <f t="shared" si="273"/>
        <v>-45.235476041003551</v>
      </c>
      <c r="T317" s="9" t="e">
        <f t="shared" si="252"/>
        <v>#N/A</v>
      </c>
      <c r="U317">
        <f t="shared" si="274"/>
        <v>-1.0000000000000001E+300</v>
      </c>
      <c r="V317">
        <f t="shared" si="275"/>
        <v>0</v>
      </c>
      <c r="W317">
        <f t="shared" si="276"/>
        <v>0</v>
      </c>
      <c r="X317">
        <f t="shared" si="253"/>
        <v>2.2619467105846507</v>
      </c>
      <c r="Y317">
        <f t="shared" si="254"/>
        <v>7.8539816339744828</v>
      </c>
      <c r="Z317">
        <f t="shared" si="255"/>
        <v>-2.2619467105846507</v>
      </c>
      <c r="AA317">
        <f t="shared" si="277"/>
        <v>1.8712450569514028</v>
      </c>
      <c r="AB317">
        <f t="shared" si="256"/>
        <v>9.7252266909258864</v>
      </c>
      <c r="AC317">
        <f t="shared" si="278"/>
        <v>0.36464311358790907</v>
      </c>
      <c r="AD317">
        <f t="shared" si="257"/>
        <v>0.26069843712010143</v>
      </c>
      <c r="AE317" s="9">
        <f t="shared" si="279"/>
        <v>10.350568241633898</v>
      </c>
      <c r="AF317">
        <f t="shared" si="280"/>
        <v>0</v>
      </c>
      <c r="AH317">
        <f t="shared" si="258"/>
        <v>7.8539816339744828</v>
      </c>
      <c r="AI317">
        <f t="shared" si="259"/>
        <v>1.8712450569514039</v>
      </c>
      <c r="AJ317">
        <f t="shared" si="260"/>
        <v>0.3646431135879098</v>
      </c>
      <c r="AK317">
        <f t="shared" si="261"/>
        <v>0.26069843712010143</v>
      </c>
      <c r="AL317" s="9">
        <f t="shared" si="281"/>
        <v>10.350568241633898</v>
      </c>
      <c r="AM317" t="e">
        <f t="shared" si="262"/>
        <v>#N/A</v>
      </c>
      <c r="AN317" t="e">
        <f t="shared" si="282"/>
        <v>#N/A</v>
      </c>
      <c r="AO317">
        <f t="shared" si="263"/>
        <v>0</v>
      </c>
      <c r="AP317">
        <f t="shared" si="264"/>
        <v>0</v>
      </c>
      <c r="AQ317">
        <f t="shared" si="265"/>
        <v>7.2164496600635175E-16</v>
      </c>
      <c r="AR317">
        <f t="shared" si="283"/>
        <v>0</v>
      </c>
      <c r="AS317">
        <f t="shared" si="266"/>
        <v>0</v>
      </c>
      <c r="AT317">
        <f t="shared" si="284"/>
        <v>0</v>
      </c>
      <c r="AU317">
        <f t="shared" si="285"/>
        <v>0</v>
      </c>
      <c r="AV317">
        <f t="shared" si="267"/>
        <v>2.2619467105846507E-20</v>
      </c>
      <c r="AW317" t="b">
        <f t="shared" si="286"/>
        <v>1</v>
      </c>
      <c r="AX317">
        <f t="shared" si="268"/>
        <v>7.8539816339744828</v>
      </c>
      <c r="AY317">
        <f t="shared" si="269"/>
        <v>1.8712450569514023</v>
      </c>
      <c r="AZ317">
        <f t="shared" si="270"/>
        <v>0.36464311358790924</v>
      </c>
      <c r="BA317">
        <f t="shared" si="271"/>
        <v>0.26069843712010116</v>
      </c>
      <c r="BB317">
        <f t="shared" si="272"/>
        <v>-1.2337005501361696E-20</v>
      </c>
      <c r="BD317" s="15">
        <f t="shared" si="287"/>
        <v>10.350568241633896</v>
      </c>
      <c r="BE317" s="10">
        <f t="shared" si="288"/>
        <v>0</v>
      </c>
      <c r="BF317">
        <f t="shared" si="289"/>
        <v>0</v>
      </c>
      <c r="BG317">
        <f t="shared" si="290"/>
        <v>0</v>
      </c>
      <c r="BH317">
        <f t="shared" si="291"/>
        <v>0</v>
      </c>
      <c r="BI317">
        <f t="shared" si="292"/>
        <v>0</v>
      </c>
    </row>
    <row r="318" spans="1:61" x14ac:dyDescent="0.3">
      <c r="A318">
        <f t="shared" si="297"/>
        <v>0.28100000000000003</v>
      </c>
      <c r="B318">
        <f t="shared" si="240"/>
        <v>0.88278753565873191</v>
      </c>
      <c r="C318">
        <f t="shared" si="241"/>
        <v>2.2588051179310611</v>
      </c>
      <c r="D318">
        <f t="shared" si="242"/>
        <v>2.2588051179310611</v>
      </c>
      <c r="E318">
        <f t="shared" si="247"/>
        <v>0.77251196367786445</v>
      </c>
      <c r="F318">
        <f t="shared" si="248"/>
        <v>0.77251196367786457</v>
      </c>
      <c r="G318">
        <f t="shared" si="243"/>
        <v>0.88278753565873191</v>
      </c>
      <c r="H318">
        <f t="shared" si="244"/>
        <v>0.77251196367786445</v>
      </c>
      <c r="I318">
        <f t="shared" si="245"/>
        <v>0.77251196367786457</v>
      </c>
      <c r="J318">
        <f t="shared" si="293"/>
        <v>8.2409050254275445E+19</v>
      </c>
      <c r="K318">
        <f t="shared" si="294"/>
        <v>8.2409050254275445E+19</v>
      </c>
      <c r="L318">
        <f t="shared" si="249"/>
        <v>1</v>
      </c>
      <c r="M318">
        <f t="shared" si="246"/>
        <v>2.258805117931061E-20</v>
      </c>
      <c r="N318" s="9">
        <f t="shared" si="295"/>
        <v>2.258805117931061E-20</v>
      </c>
      <c r="O318">
        <f t="shared" si="296"/>
        <v>2.258805117931061E-20</v>
      </c>
      <c r="Q318">
        <f t="shared" si="250"/>
        <v>45.858226937959984</v>
      </c>
      <c r="R318">
        <f t="shared" si="251"/>
        <v>0</v>
      </c>
      <c r="S318">
        <f t="shared" si="273"/>
        <v>-45.236865895292603</v>
      </c>
      <c r="T318" s="9" t="e">
        <f t="shared" si="252"/>
        <v>#N/A</v>
      </c>
      <c r="U318">
        <f t="shared" si="274"/>
        <v>-1.0000000000000001E+300</v>
      </c>
      <c r="V318">
        <f t="shared" si="275"/>
        <v>0</v>
      </c>
      <c r="W318">
        <f t="shared" si="276"/>
        <v>0</v>
      </c>
      <c r="X318">
        <f t="shared" si="253"/>
        <v>2.2588051179310611</v>
      </c>
      <c r="Y318">
        <f t="shared" si="254"/>
        <v>7.8539816339744828</v>
      </c>
      <c r="Z318">
        <f t="shared" si="255"/>
        <v>-2.2588051179310611</v>
      </c>
      <c r="AA318">
        <f t="shared" si="277"/>
        <v>1.8567242843932144</v>
      </c>
      <c r="AB318">
        <f t="shared" si="256"/>
        <v>9.7107059183676974</v>
      </c>
      <c r="AC318">
        <f t="shared" si="278"/>
        <v>0.36325325929885488</v>
      </c>
      <c r="AD318">
        <f t="shared" si="257"/>
        <v>0.25810778336852142</v>
      </c>
      <c r="AE318" s="9">
        <f t="shared" si="279"/>
        <v>10.332066961035073</v>
      </c>
      <c r="AF318">
        <f t="shared" si="280"/>
        <v>0</v>
      </c>
      <c r="AH318">
        <f t="shared" si="258"/>
        <v>7.8539816339744828</v>
      </c>
      <c r="AI318">
        <f t="shared" si="259"/>
        <v>1.8567242843932148</v>
      </c>
      <c r="AJ318">
        <f t="shared" si="260"/>
        <v>0.36325325929885821</v>
      </c>
      <c r="AK318">
        <f t="shared" si="261"/>
        <v>0.25810778336852142</v>
      </c>
      <c r="AL318" s="9">
        <f t="shared" si="281"/>
        <v>10.332066961035077</v>
      </c>
      <c r="AM318" t="e">
        <f t="shared" si="262"/>
        <v>#N/A</v>
      </c>
      <c r="AN318" t="e">
        <f t="shared" si="282"/>
        <v>#N/A</v>
      </c>
      <c r="AO318">
        <f t="shared" si="263"/>
        <v>0</v>
      </c>
      <c r="AP318">
        <f t="shared" si="264"/>
        <v>0</v>
      </c>
      <c r="AQ318">
        <f t="shared" si="265"/>
        <v>3.3306690738754696E-15</v>
      </c>
      <c r="AR318">
        <f t="shared" si="283"/>
        <v>0</v>
      </c>
      <c r="AS318">
        <f t="shared" si="266"/>
        <v>0</v>
      </c>
      <c r="AT318">
        <f t="shared" si="284"/>
        <v>0</v>
      </c>
      <c r="AU318">
        <f t="shared" si="285"/>
        <v>0</v>
      </c>
      <c r="AV318">
        <f t="shared" si="267"/>
        <v>2.258805117931061E-20</v>
      </c>
      <c r="AW318" t="b">
        <f t="shared" si="286"/>
        <v>1</v>
      </c>
      <c r="AX318">
        <f t="shared" si="268"/>
        <v>7.8539816339744828</v>
      </c>
      <c r="AY318">
        <f t="shared" si="269"/>
        <v>1.8567242843932144</v>
      </c>
      <c r="AZ318">
        <f t="shared" si="270"/>
        <v>0.36325325929885488</v>
      </c>
      <c r="BA318">
        <f t="shared" si="271"/>
        <v>0.2581077833685213</v>
      </c>
      <c r="BB318">
        <f t="shared" si="272"/>
        <v>-1.2337005501361696E-20</v>
      </c>
      <c r="BD318" s="15">
        <f t="shared" si="287"/>
        <v>10.332066961035073</v>
      </c>
      <c r="BE318" s="10">
        <f t="shared" si="288"/>
        <v>0</v>
      </c>
      <c r="BF318">
        <f t="shared" si="289"/>
        <v>0</v>
      </c>
      <c r="BG318">
        <f t="shared" si="290"/>
        <v>0</v>
      </c>
      <c r="BH318">
        <f t="shared" si="291"/>
        <v>0</v>
      </c>
      <c r="BI318">
        <f t="shared" si="292"/>
        <v>0</v>
      </c>
    </row>
    <row r="319" spans="1:61" x14ac:dyDescent="0.3">
      <c r="A319">
        <f t="shared" si="297"/>
        <v>0.28199999999999997</v>
      </c>
      <c r="B319">
        <f t="shared" si="240"/>
        <v>0.88592912831232162</v>
      </c>
      <c r="C319">
        <f t="shared" si="241"/>
        <v>2.2556635252774715</v>
      </c>
      <c r="D319">
        <f t="shared" si="242"/>
        <v>2.2556635252774715</v>
      </c>
      <c r="E319">
        <f t="shared" si="247"/>
        <v>0.77450306019873383</v>
      </c>
      <c r="F319">
        <f t="shared" si="248"/>
        <v>0.77450306019873383</v>
      </c>
      <c r="G319">
        <f t="shared" si="243"/>
        <v>0.88592912831232162</v>
      </c>
      <c r="H319">
        <f t="shared" si="244"/>
        <v>0.77450306019873383</v>
      </c>
      <c r="I319">
        <f t="shared" si="245"/>
        <v>0.77450306019873383</v>
      </c>
      <c r="J319">
        <f t="shared" si="293"/>
        <v>8.2197192636556886E+19</v>
      </c>
      <c r="K319">
        <f t="shared" si="294"/>
        <v>8.2197192636556886E+19</v>
      </c>
      <c r="L319">
        <f t="shared" si="249"/>
        <v>1</v>
      </c>
      <c r="M319">
        <f t="shared" si="246"/>
        <v>2.2556635252774714E-20</v>
      </c>
      <c r="N319" s="9">
        <f t="shared" si="295"/>
        <v>2.2556635252774714E-20</v>
      </c>
      <c r="O319">
        <f t="shared" si="296"/>
        <v>2.2556635252774714E-20</v>
      </c>
      <c r="Q319">
        <f t="shared" si="250"/>
        <v>45.855652822531795</v>
      </c>
      <c r="R319">
        <f t="shared" si="251"/>
        <v>0</v>
      </c>
      <c r="S319">
        <f t="shared" si="273"/>
        <v>-45.238257683965429</v>
      </c>
      <c r="T319" s="9" t="e">
        <f t="shared" si="252"/>
        <v>#N/A</v>
      </c>
      <c r="U319">
        <f t="shared" si="274"/>
        <v>-1.0000000000000001E+300</v>
      </c>
      <c r="V319">
        <f t="shared" si="275"/>
        <v>0</v>
      </c>
      <c r="W319">
        <f t="shared" si="276"/>
        <v>0</v>
      </c>
      <c r="X319">
        <f t="shared" si="253"/>
        <v>2.2556635252774715</v>
      </c>
      <c r="Y319">
        <f t="shared" si="254"/>
        <v>7.8539816339744828</v>
      </c>
      <c r="Z319">
        <f t="shared" si="255"/>
        <v>-2.2556635252774715</v>
      </c>
      <c r="AA319">
        <f t="shared" si="277"/>
        <v>1.8422980033676979</v>
      </c>
      <c r="AB319">
        <f t="shared" si="256"/>
        <v>9.6962796373421813</v>
      </c>
      <c r="AC319">
        <f t="shared" si="278"/>
        <v>0.36186147062603241</v>
      </c>
      <c r="AD319">
        <f t="shared" si="257"/>
        <v>0.25553366794033561</v>
      </c>
      <c r="AE319" s="9">
        <f t="shared" si="279"/>
        <v>10.313674775908549</v>
      </c>
      <c r="AF319">
        <f t="shared" si="280"/>
        <v>0</v>
      </c>
      <c r="AH319">
        <f t="shared" si="258"/>
        <v>7.8539816339744828</v>
      </c>
      <c r="AI319">
        <f t="shared" si="259"/>
        <v>1.8422980033676979</v>
      </c>
      <c r="AJ319">
        <f t="shared" si="260"/>
        <v>0.36186147062603169</v>
      </c>
      <c r="AK319">
        <f t="shared" si="261"/>
        <v>0.25553366794033561</v>
      </c>
      <c r="AL319" s="9">
        <f t="shared" si="281"/>
        <v>10.313674775908549</v>
      </c>
      <c r="AM319" t="e">
        <f t="shared" si="262"/>
        <v>#N/A</v>
      </c>
      <c r="AN319" t="e">
        <f t="shared" si="282"/>
        <v>#N/A</v>
      </c>
      <c r="AO319">
        <f t="shared" si="263"/>
        <v>0</v>
      </c>
      <c r="AP319">
        <f t="shared" si="264"/>
        <v>0</v>
      </c>
      <c r="AQ319">
        <f t="shared" si="265"/>
        <v>-7.2164496600635175E-16</v>
      </c>
      <c r="AR319">
        <f t="shared" si="283"/>
        <v>0</v>
      </c>
      <c r="AS319">
        <f t="shared" si="266"/>
        <v>0</v>
      </c>
      <c r="AT319">
        <f t="shared" si="284"/>
        <v>0</v>
      </c>
      <c r="AU319">
        <f t="shared" si="285"/>
        <v>0</v>
      </c>
      <c r="AV319">
        <f t="shared" si="267"/>
        <v>2.2556635252774714E-20</v>
      </c>
      <c r="AW319" t="b">
        <f t="shared" si="286"/>
        <v>1</v>
      </c>
      <c r="AX319">
        <f t="shared" si="268"/>
        <v>7.8539816339744828</v>
      </c>
      <c r="AY319">
        <f t="shared" si="269"/>
        <v>1.8422980033676974</v>
      </c>
      <c r="AZ319">
        <f t="shared" si="270"/>
        <v>0.36186147062603258</v>
      </c>
      <c r="BA319">
        <f t="shared" si="271"/>
        <v>0.25553366794033561</v>
      </c>
      <c r="BB319">
        <f t="shared" si="272"/>
        <v>-1.2337005501361696E-20</v>
      </c>
      <c r="BD319" s="15">
        <f t="shared" si="287"/>
        <v>10.313674775908547</v>
      </c>
      <c r="BE319" s="10">
        <f t="shared" si="288"/>
        <v>0</v>
      </c>
      <c r="BF319">
        <f t="shared" si="289"/>
        <v>0</v>
      </c>
      <c r="BG319">
        <f t="shared" si="290"/>
        <v>0</v>
      </c>
      <c r="BH319">
        <f t="shared" si="291"/>
        <v>0</v>
      </c>
      <c r="BI319">
        <f t="shared" si="292"/>
        <v>0</v>
      </c>
    </row>
    <row r="320" spans="1:61" x14ac:dyDescent="0.3">
      <c r="A320">
        <f t="shared" si="297"/>
        <v>0.28299999999999997</v>
      </c>
      <c r="B320">
        <f t="shared" si="240"/>
        <v>0.88907072096591133</v>
      </c>
      <c r="C320">
        <f t="shared" si="241"/>
        <v>2.2525219326238819</v>
      </c>
      <c r="D320">
        <f t="shared" si="242"/>
        <v>2.2525219326238819</v>
      </c>
      <c r="E320">
        <f t="shared" si="247"/>
        <v>0.77648651268707847</v>
      </c>
      <c r="F320">
        <f t="shared" si="248"/>
        <v>0.77648651268707847</v>
      </c>
      <c r="G320">
        <f t="shared" si="243"/>
        <v>0.88907072096591133</v>
      </c>
      <c r="H320">
        <f t="shared" si="244"/>
        <v>0.77648651268707847</v>
      </c>
      <c r="I320">
        <f t="shared" si="245"/>
        <v>0.77648651268707847</v>
      </c>
      <c r="J320">
        <f t="shared" si="293"/>
        <v>8.1987228620947997E+19</v>
      </c>
      <c r="K320">
        <f t="shared" si="294"/>
        <v>8.1987228620947997E+19</v>
      </c>
      <c r="L320">
        <f t="shared" si="249"/>
        <v>1</v>
      </c>
      <c r="M320">
        <f t="shared" si="246"/>
        <v>2.2525219326238817E-20</v>
      </c>
      <c r="N320" s="9">
        <f t="shared" si="295"/>
        <v>2.2525219326238817E-20</v>
      </c>
      <c r="O320">
        <f t="shared" si="296"/>
        <v>2.2525219326238817E-20</v>
      </c>
      <c r="Q320">
        <f t="shared" si="250"/>
        <v>45.853095160501987</v>
      </c>
      <c r="R320">
        <f t="shared" si="251"/>
        <v>-710542.73576010019</v>
      </c>
      <c r="S320">
        <f t="shared" si="273"/>
        <v>-45.239651412414027</v>
      </c>
      <c r="T320" s="9" t="e">
        <f t="shared" si="252"/>
        <v>#N/A</v>
      </c>
      <c r="U320">
        <f t="shared" si="274"/>
        <v>-1.0000000000000001E+300</v>
      </c>
      <c r="V320">
        <f t="shared" si="275"/>
        <v>0</v>
      </c>
      <c r="W320">
        <f t="shared" si="276"/>
        <v>0</v>
      </c>
      <c r="X320">
        <f t="shared" si="253"/>
        <v>2.2525219326238819</v>
      </c>
      <c r="Y320">
        <f t="shared" si="254"/>
        <v>7.8539816339744828</v>
      </c>
      <c r="Z320">
        <f t="shared" si="255"/>
        <v>-2.2525219326238819</v>
      </c>
      <c r="AA320">
        <f t="shared" si="277"/>
        <v>1.8279652539261115</v>
      </c>
      <c r="AB320">
        <f t="shared" si="256"/>
        <v>9.6819468879005939</v>
      </c>
      <c r="AC320">
        <f t="shared" si="278"/>
        <v>0.36046774217742872</v>
      </c>
      <c r="AD320">
        <f t="shared" si="257"/>
        <v>0.25297600591053104</v>
      </c>
      <c r="AE320" s="9">
        <f t="shared" si="279"/>
        <v>10.295390635988554</v>
      </c>
      <c r="AF320">
        <f t="shared" si="280"/>
        <v>0</v>
      </c>
      <c r="AH320">
        <f t="shared" si="258"/>
        <v>7.8539816339744828</v>
      </c>
      <c r="AI320">
        <f t="shared" si="259"/>
        <v>1.8279652539261111</v>
      </c>
      <c r="AJ320">
        <f t="shared" si="260"/>
        <v>0.36046774217743405</v>
      </c>
      <c r="AK320">
        <f t="shared" si="261"/>
        <v>0.25297600591053104</v>
      </c>
      <c r="AL320" s="9">
        <f t="shared" si="281"/>
        <v>10.295390635988559</v>
      </c>
      <c r="AM320" t="e">
        <f t="shared" si="262"/>
        <v>#N/A</v>
      </c>
      <c r="AN320" t="e">
        <f t="shared" si="282"/>
        <v>#N/A</v>
      </c>
      <c r="AO320">
        <f t="shared" si="263"/>
        <v>0</v>
      </c>
      <c r="AP320">
        <f t="shared" si="264"/>
        <v>0</v>
      </c>
      <c r="AQ320">
        <f t="shared" si="265"/>
        <v>5.3290705182007514E-15</v>
      </c>
      <c r="AR320">
        <f t="shared" si="283"/>
        <v>0</v>
      </c>
      <c r="AS320">
        <f t="shared" si="266"/>
        <v>0</v>
      </c>
      <c r="AT320">
        <f t="shared" si="284"/>
        <v>0</v>
      </c>
      <c r="AU320">
        <f t="shared" si="285"/>
        <v>0</v>
      </c>
      <c r="AV320">
        <f t="shared" si="267"/>
        <v>2.2525219326238817E-20</v>
      </c>
      <c r="AW320" t="b">
        <f t="shared" si="286"/>
        <v>1</v>
      </c>
      <c r="AX320">
        <f t="shared" si="268"/>
        <v>7.8539816339744828</v>
      </c>
      <c r="AY320">
        <f t="shared" si="269"/>
        <v>1.8279652539261109</v>
      </c>
      <c r="AZ320">
        <f t="shared" si="270"/>
        <v>0.36046774217742872</v>
      </c>
      <c r="BA320">
        <f t="shared" si="271"/>
        <v>0.25297600591053104</v>
      </c>
      <c r="BB320">
        <f t="shared" si="272"/>
        <v>-1.2337005501361696E-20</v>
      </c>
      <c r="BD320" s="15">
        <f t="shared" si="287"/>
        <v>10.295390635988554</v>
      </c>
      <c r="BE320" s="10">
        <f t="shared" si="288"/>
        <v>0</v>
      </c>
      <c r="BF320">
        <f t="shared" si="289"/>
        <v>0</v>
      </c>
      <c r="BG320">
        <f t="shared" si="290"/>
        <v>0</v>
      </c>
      <c r="BH320">
        <f t="shared" si="291"/>
        <v>0</v>
      </c>
      <c r="BI320">
        <f t="shared" si="292"/>
        <v>0</v>
      </c>
    </row>
    <row r="321" spans="1:61" x14ac:dyDescent="0.3">
      <c r="A321">
        <f t="shared" si="297"/>
        <v>0.28399999999999997</v>
      </c>
      <c r="B321">
        <f t="shared" si="240"/>
        <v>0.89221231361950115</v>
      </c>
      <c r="C321">
        <f t="shared" si="241"/>
        <v>2.2493803399702919</v>
      </c>
      <c r="D321">
        <f t="shared" si="242"/>
        <v>2.2493803399702919</v>
      </c>
      <c r="E321">
        <f t="shared" si="247"/>
        <v>0.77846230156702334</v>
      </c>
      <c r="F321">
        <f t="shared" si="248"/>
        <v>0.77846230156702345</v>
      </c>
      <c r="G321">
        <f t="shared" si="243"/>
        <v>0.89221231361950115</v>
      </c>
      <c r="H321">
        <f t="shared" si="244"/>
        <v>0.77846230156702334</v>
      </c>
      <c r="I321">
        <f t="shared" si="245"/>
        <v>0.77846230156702345</v>
      </c>
      <c r="J321">
        <f t="shared" si="293"/>
        <v>8.1779139604587561E+19</v>
      </c>
      <c r="K321">
        <f t="shared" si="294"/>
        <v>8.1779139604587561E+19</v>
      </c>
      <c r="L321">
        <f t="shared" si="249"/>
        <v>1</v>
      </c>
      <c r="M321">
        <f t="shared" si="246"/>
        <v>2.2493803399702921E-20</v>
      </c>
      <c r="N321" s="9">
        <f t="shared" si="295"/>
        <v>2.2493803399702921E-20</v>
      </c>
      <c r="O321">
        <f t="shared" si="296"/>
        <v>2.2493803399702921E-20</v>
      </c>
      <c r="Q321">
        <f t="shared" si="250"/>
        <v>45.850553867920311</v>
      </c>
      <c r="R321">
        <f t="shared" si="251"/>
        <v>0</v>
      </c>
      <c r="S321">
        <f t="shared" si="273"/>
        <v>-45.241047086053008</v>
      </c>
      <c r="T321" s="9" t="e">
        <f t="shared" si="252"/>
        <v>#N/A</v>
      </c>
      <c r="U321">
        <f t="shared" si="274"/>
        <v>-1.0000000000000001E+300</v>
      </c>
      <c r="V321">
        <f t="shared" si="275"/>
        <v>0</v>
      </c>
      <c r="W321">
        <f t="shared" si="276"/>
        <v>0</v>
      </c>
      <c r="X321">
        <f t="shared" si="253"/>
        <v>2.2493803399702919</v>
      </c>
      <c r="Y321">
        <f t="shared" si="254"/>
        <v>7.8539816339744828</v>
      </c>
      <c r="Z321">
        <f t="shared" si="255"/>
        <v>-2.2493803399702919</v>
      </c>
      <c r="AA321">
        <f t="shared" si="277"/>
        <v>1.8137250895956571</v>
      </c>
      <c r="AB321">
        <f t="shared" si="256"/>
        <v>9.6677067235701397</v>
      </c>
      <c r="AC321">
        <f t="shared" si="278"/>
        <v>0.3590720685384538</v>
      </c>
      <c r="AD321">
        <f t="shared" si="257"/>
        <v>0.25043471332885353</v>
      </c>
      <c r="AE321" s="9">
        <f t="shared" si="279"/>
        <v>10.277213505437448</v>
      </c>
      <c r="AF321">
        <f t="shared" si="280"/>
        <v>0</v>
      </c>
      <c r="AH321">
        <f t="shared" si="258"/>
        <v>7.8539816339744828</v>
      </c>
      <c r="AI321">
        <f t="shared" si="259"/>
        <v>1.8137250895956578</v>
      </c>
      <c r="AJ321">
        <f t="shared" si="260"/>
        <v>0.35907206853845253</v>
      </c>
      <c r="AK321">
        <f t="shared" si="261"/>
        <v>0.25043471332885353</v>
      </c>
      <c r="AL321" s="9">
        <f t="shared" si="281"/>
        <v>10.277213505437448</v>
      </c>
      <c r="AM321" t="e">
        <f t="shared" si="262"/>
        <v>#N/A</v>
      </c>
      <c r="AN321" t="e">
        <f t="shared" si="282"/>
        <v>#N/A</v>
      </c>
      <c r="AO321">
        <f t="shared" si="263"/>
        <v>0</v>
      </c>
      <c r="AP321">
        <f t="shared" si="264"/>
        <v>0</v>
      </c>
      <c r="AQ321">
        <f t="shared" si="265"/>
        <v>-1.27675647831893E-15</v>
      </c>
      <c r="AR321">
        <f t="shared" si="283"/>
        <v>0</v>
      </c>
      <c r="AS321">
        <f t="shared" si="266"/>
        <v>0</v>
      </c>
      <c r="AT321">
        <f t="shared" si="284"/>
        <v>0</v>
      </c>
      <c r="AU321">
        <f t="shared" si="285"/>
        <v>0</v>
      </c>
      <c r="AV321">
        <f t="shared" si="267"/>
        <v>2.2493803399702918E-20</v>
      </c>
      <c r="AW321" t="b">
        <f t="shared" si="286"/>
        <v>1</v>
      </c>
      <c r="AX321">
        <f t="shared" si="268"/>
        <v>7.8539816339744828</v>
      </c>
      <c r="AY321">
        <f t="shared" si="269"/>
        <v>1.8137250895956569</v>
      </c>
      <c r="AZ321">
        <f t="shared" si="270"/>
        <v>0.35907206853845397</v>
      </c>
      <c r="BA321">
        <f t="shared" si="271"/>
        <v>0.25043471332885336</v>
      </c>
      <c r="BB321">
        <f t="shared" si="272"/>
        <v>-1.2337005501361696E-20</v>
      </c>
      <c r="BD321" s="15">
        <f t="shared" si="287"/>
        <v>10.277213505437448</v>
      </c>
      <c r="BE321" s="10">
        <f t="shared" si="288"/>
        <v>0</v>
      </c>
      <c r="BF321">
        <f t="shared" si="289"/>
        <v>0</v>
      </c>
      <c r="BG321">
        <f t="shared" si="290"/>
        <v>0</v>
      </c>
      <c r="BH321">
        <f t="shared" si="291"/>
        <v>0</v>
      </c>
      <c r="BI321">
        <f t="shared" si="292"/>
        <v>0</v>
      </c>
    </row>
    <row r="322" spans="1:61" x14ac:dyDescent="0.3">
      <c r="A322">
        <f t="shared" si="297"/>
        <v>0.28499999999999998</v>
      </c>
      <c r="B322">
        <f t="shared" si="240"/>
        <v>0.89535390627309097</v>
      </c>
      <c r="C322">
        <f t="shared" si="241"/>
        <v>2.2462387473167023</v>
      </c>
      <c r="D322">
        <f t="shared" si="242"/>
        <v>2.2462387473167023</v>
      </c>
      <c r="E322">
        <f t="shared" si="247"/>
        <v>0.78043040733832969</v>
      </c>
      <c r="F322">
        <f t="shared" si="248"/>
        <v>0.78043040733832969</v>
      </c>
      <c r="G322">
        <f t="shared" si="243"/>
        <v>0.89535390627309097</v>
      </c>
      <c r="H322">
        <f t="shared" si="244"/>
        <v>0.78043040733832969</v>
      </c>
      <c r="I322">
        <f t="shared" si="245"/>
        <v>0.78043040733832969</v>
      </c>
      <c r="J322">
        <f t="shared" si="293"/>
        <v>8.1572907254957343E+19</v>
      </c>
      <c r="K322">
        <f t="shared" si="294"/>
        <v>8.1572907254957343E+19</v>
      </c>
      <c r="L322" t="e">
        <f t="shared" si="249"/>
        <v>#NUM!</v>
      </c>
      <c r="M322">
        <f t="shared" si="246"/>
        <v>2.2462387473167021E-20</v>
      </c>
      <c r="N322" s="9" t="e">
        <f t="shared" si="295"/>
        <v>#NUM!</v>
      </c>
      <c r="O322" t="e">
        <f t="shared" si="296"/>
        <v>#NUM!</v>
      </c>
      <c r="Q322">
        <f t="shared" si="250"/>
        <v>45.848028861798049</v>
      </c>
      <c r="R322">
        <f t="shared" si="251"/>
        <v>0</v>
      </c>
      <c r="S322">
        <f t="shared" si="273"/>
        <v>-45.242444710319646</v>
      </c>
      <c r="T322" s="9" t="e">
        <f t="shared" si="252"/>
        <v>#N/A</v>
      </c>
      <c r="U322">
        <f t="shared" si="274"/>
        <v>-1.0000000000000001E+300</v>
      </c>
      <c r="V322">
        <f t="shared" si="275"/>
        <v>0</v>
      </c>
      <c r="W322">
        <f t="shared" si="276"/>
        <v>0</v>
      </c>
      <c r="X322">
        <f t="shared" si="253"/>
        <v>2.2462387473167023</v>
      </c>
      <c r="Y322">
        <f t="shared" si="254"/>
        <v>7.8539816339744828</v>
      </c>
      <c r="Z322">
        <f t="shared" si="255"/>
        <v>-2.2462387473167023</v>
      </c>
      <c r="AA322">
        <f t="shared" si="277"/>
        <v>1.7995765771433248</v>
      </c>
      <c r="AB322">
        <f t="shared" si="256"/>
        <v>9.653558211117808</v>
      </c>
      <c r="AC322">
        <f t="shared" si="278"/>
        <v>0.35767444427181605</v>
      </c>
      <c r="AD322">
        <f t="shared" si="257"/>
        <v>0.24790970720658867</v>
      </c>
      <c r="AE322" s="9">
        <f t="shared" si="279"/>
        <v>10.259142362596211</v>
      </c>
      <c r="AF322">
        <f t="shared" si="280"/>
        <v>0</v>
      </c>
      <c r="AH322">
        <f t="shared" si="258"/>
        <v>7.8539816339744828</v>
      </c>
      <c r="AI322">
        <f t="shared" si="259"/>
        <v>1.799576577143325</v>
      </c>
      <c r="AJ322">
        <f t="shared" si="260"/>
        <v>0.35767444427181516</v>
      </c>
      <c r="AK322">
        <f t="shared" si="261"/>
        <v>0.24790970720658867</v>
      </c>
      <c r="AL322" s="9">
        <f t="shared" si="281"/>
        <v>10.259142362596211</v>
      </c>
      <c r="AM322" t="e">
        <f t="shared" si="262"/>
        <v>#N/A</v>
      </c>
      <c r="AN322" t="e">
        <f t="shared" si="282"/>
        <v>#N/A</v>
      </c>
      <c r="AO322">
        <f t="shared" si="263"/>
        <v>0</v>
      </c>
      <c r="AP322">
        <f t="shared" si="264"/>
        <v>0</v>
      </c>
      <c r="AQ322">
        <f t="shared" si="265"/>
        <v>-8.8817841970012523E-16</v>
      </c>
      <c r="AR322">
        <f t="shared" si="283"/>
        <v>0</v>
      </c>
      <c r="AS322">
        <f t="shared" si="266"/>
        <v>0</v>
      </c>
      <c r="AT322">
        <f t="shared" si="284"/>
        <v>0</v>
      </c>
      <c r="AU322">
        <f t="shared" si="285"/>
        <v>0</v>
      </c>
      <c r="AV322">
        <f t="shared" si="267"/>
        <v>2.2462387473167021E-20</v>
      </c>
      <c r="AW322" t="b">
        <f t="shared" si="286"/>
        <v>1</v>
      </c>
      <c r="AX322">
        <f t="shared" si="268"/>
        <v>7.8539816339744828</v>
      </c>
      <c r="AY322">
        <f t="shared" si="269"/>
        <v>1.7995765771433245</v>
      </c>
      <c r="AZ322">
        <f t="shared" si="270"/>
        <v>0.35767444427181605</v>
      </c>
      <c r="BA322">
        <f t="shared" si="271"/>
        <v>0.24790970720658867</v>
      </c>
      <c r="BB322">
        <f t="shared" si="272"/>
        <v>-1.2337005501361696E-20</v>
      </c>
      <c r="BD322" s="15">
        <f t="shared" si="287"/>
        <v>10.259142362596211</v>
      </c>
      <c r="BE322" s="10">
        <f t="shared" si="288"/>
        <v>0</v>
      </c>
      <c r="BF322">
        <f t="shared" si="289"/>
        <v>0</v>
      </c>
      <c r="BG322">
        <f t="shared" si="290"/>
        <v>0</v>
      </c>
      <c r="BH322">
        <f t="shared" si="291"/>
        <v>0</v>
      </c>
      <c r="BI322">
        <f t="shared" si="292"/>
        <v>0</v>
      </c>
    </row>
    <row r="323" spans="1:61" x14ac:dyDescent="0.3">
      <c r="A323">
        <f t="shared" si="297"/>
        <v>0.28599999999999998</v>
      </c>
      <c r="B323">
        <f t="shared" si="240"/>
        <v>0.89849549892668079</v>
      </c>
      <c r="C323">
        <f t="shared" si="241"/>
        <v>2.2430971546631122</v>
      </c>
      <c r="D323">
        <f t="shared" si="242"/>
        <v>2.2430971546631122</v>
      </c>
      <c r="E323">
        <f t="shared" si="247"/>
        <v>0.7823908105765881</v>
      </c>
      <c r="F323">
        <f t="shared" si="248"/>
        <v>0.78239081057658821</v>
      </c>
      <c r="G323">
        <f t="shared" si="243"/>
        <v>0.89849549892668079</v>
      </c>
      <c r="H323">
        <f t="shared" si="244"/>
        <v>0.7823908105765881</v>
      </c>
      <c r="I323">
        <f t="shared" si="245"/>
        <v>0.78239081057658821</v>
      </c>
      <c r="J323">
        <f t="shared" si="293"/>
        <v>8.1368513505216184E+19</v>
      </c>
      <c r="K323">
        <f t="shared" si="294"/>
        <v>8.1368513505216184E+19</v>
      </c>
      <c r="L323">
        <f t="shared" si="249"/>
        <v>1</v>
      </c>
      <c r="M323">
        <f t="shared" si="246"/>
        <v>2.2430971546631121E-20</v>
      </c>
      <c r="N323" s="9">
        <f t="shared" si="295"/>
        <v>2.2430971546631121E-20</v>
      </c>
      <c r="O323">
        <f t="shared" si="296"/>
        <v>2.2430971546631121E-20</v>
      </c>
      <c r="Q323">
        <f t="shared" si="250"/>
        <v>45.845520060095033</v>
      </c>
      <c r="R323">
        <f t="shared" si="251"/>
        <v>-710542.73576010019</v>
      </c>
      <c r="S323">
        <f t="shared" si="273"/>
        <v>-45.243844290674069</v>
      </c>
      <c r="T323" s="9" t="e">
        <f t="shared" si="252"/>
        <v>#N/A</v>
      </c>
      <c r="U323">
        <f t="shared" si="274"/>
        <v>-1.0000000000000001E+300</v>
      </c>
      <c r="V323">
        <f t="shared" si="275"/>
        <v>0</v>
      </c>
      <c r="W323">
        <f t="shared" si="276"/>
        <v>0</v>
      </c>
      <c r="X323">
        <f t="shared" si="253"/>
        <v>2.2430971546631122</v>
      </c>
      <c r="Y323">
        <f t="shared" si="254"/>
        <v>7.8539816339744828</v>
      </c>
      <c r="Z323">
        <f t="shared" si="255"/>
        <v>-2.2430971546631122</v>
      </c>
      <c r="AA323">
        <f t="shared" si="277"/>
        <v>1.7855187963446693</v>
      </c>
      <c r="AB323">
        <f t="shared" si="256"/>
        <v>9.6395004303191527</v>
      </c>
      <c r="AC323">
        <f t="shared" si="278"/>
        <v>0.3562748639173926</v>
      </c>
      <c r="AD323">
        <f t="shared" si="257"/>
        <v>0.24540090550357702</v>
      </c>
      <c r="AE323" s="9">
        <f t="shared" si="279"/>
        <v>10.241176199740121</v>
      </c>
      <c r="AF323">
        <f t="shared" si="280"/>
        <v>0</v>
      </c>
      <c r="AH323">
        <f t="shared" si="258"/>
        <v>7.8539816339744828</v>
      </c>
      <c r="AI323">
        <f t="shared" si="259"/>
        <v>1.7855187963446697</v>
      </c>
      <c r="AJ323">
        <f t="shared" si="260"/>
        <v>0.35627486391739183</v>
      </c>
      <c r="AK323">
        <f t="shared" si="261"/>
        <v>0.24540090550357702</v>
      </c>
      <c r="AL323" s="9">
        <f t="shared" si="281"/>
        <v>10.241176199740121</v>
      </c>
      <c r="AM323" t="e">
        <f t="shared" si="262"/>
        <v>#N/A</v>
      </c>
      <c r="AN323" t="e">
        <f t="shared" si="282"/>
        <v>#N/A</v>
      </c>
      <c r="AO323">
        <f t="shared" si="263"/>
        <v>0</v>
      </c>
      <c r="AP323">
        <f t="shared" si="264"/>
        <v>0</v>
      </c>
      <c r="AQ323">
        <f t="shared" si="265"/>
        <v>-7.7715611723760958E-16</v>
      </c>
      <c r="AR323">
        <f t="shared" si="283"/>
        <v>0</v>
      </c>
      <c r="AS323">
        <f t="shared" si="266"/>
        <v>0</v>
      </c>
      <c r="AT323">
        <f t="shared" si="284"/>
        <v>0</v>
      </c>
      <c r="AU323">
        <f t="shared" si="285"/>
        <v>0</v>
      </c>
      <c r="AV323">
        <f t="shared" si="267"/>
        <v>2.2430971546631121E-20</v>
      </c>
      <c r="AW323" t="b">
        <f t="shared" si="286"/>
        <v>1</v>
      </c>
      <c r="AX323">
        <f t="shared" si="268"/>
        <v>7.8539816339744828</v>
      </c>
      <c r="AY323">
        <f t="shared" si="269"/>
        <v>1.7855187963446693</v>
      </c>
      <c r="AZ323">
        <f t="shared" si="270"/>
        <v>0.3562748639173926</v>
      </c>
      <c r="BA323">
        <f t="shared" si="271"/>
        <v>0.24540090550357688</v>
      </c>
      <c r="BB323">
        <f t="shared" si="272"/>
        <v>-1.2337005501361696E-20</v>
      </c>
      <c r="BD323" s="15">
        <f t="shared" si="287"/>
        <v>10.241176199740121</v>
      </c>
      <c r="BE323" s="10">
        <f t="shared" si="288"/>
        <v>0</v>
      </c>
      <c r="BF323">
        <f t="shared" si="289"/>
        <v>0</v>
      </c>
      <c r="BG323">
        <f t="shared" si="290"/>
        <v>0</v>
      </c>
      <c r="BH323">
        <f t="shared" si="291"/>
        <v>0</v>
      </c>
      <c r="BI323">
        <f t="shared" si="292"/>
        <v>0</v>
      </c>
    </row>
    <row r="324" spans="1:61" x14ac:dyDescent="0.3">
      <c r="A324">
        <f t="shared" si="297"/>
        <v>0.28699999999999998</v>
      </c>
      <c r="B324">
        <f t="shared" si="240"/>
        <v>0.9016370915802705</v>
      </c>
      <c r="C324">
        <f t="shared" si="241"/>
        <v>2.2399555620095226</v>
      </c>
      <c r="D324">
        <f t="shared" si="242"/>
        <v>2.2399555620095226</v>
      </c>
      <c r="E324">
        <f t="shared" si="247"/>
        <v>0.78434349193340991</v>
      </c>
      <c r="F324">
        <f t="shared" si="248"/>
        <v>0.78434349193341002</v>
      </c>
      <c r="G324">
        <f t="shared" si="243"/>
        <v>0.9016370915802705</v>
      </c>
      <c r="H324">
        <f t="shared" si="244"/>
        <v>0.78434349193340991</v>
      </c>
      <c r="I324">
        <f t="shared" si="245"/>
        <v>0.78434349193341002</v>
      </c>
      <c r="J324">
        <f t="shared" si="293"/>
        <v>8.1165940549632295E+19</v>
      </c>
      <c r="K324">
        <f t="shared" si="294"/>
        <v>8.1165940549632295E+19</v>
      </c>
      <c r="L324">
        <f t="shared" si="249"/>
        <v>1</v>
      </c>
      <c r="M324">
        <f t="shared" si="246"/>
        <v>2.2399555620095225E-20</v>
      </c>
      <c r="N324" s="9">
        <f t="shared" si="295"/>
        <v>2.2399555620095225E-20</v>
      </c>
      <c r="O324">
        <f t="shared" si="296"/>
        <v>2.2399555620095225E-20</v>
      </c>
      <c r="Q324">
        <f t="shared" si="250"/>
        <v>45.843027381706918</v>
      </c>
      <c r="R324">
        <f t="shared" si="251"/>
        <v>0</v>
      </c>
      <c r="S324">
        <f t="shared" si="273"/>
        <v>-45.245245832599352</v>
      </c>
      <c r="T324" s="9" t="e">
        <f t="shared" si="252"/>
        <v>#N/A</v>
      </c>
      <c r="U324">
        <f t="shared" si="274"/>
        <v>-1.0000000000000001E+300</v>
      </c>
      <c r="V324">
        <f t="shared" si="275"/>
        <v>0</v>
      </c>
      <c r="W324">
        <f t="shared" si="276"/>
        <v>0</v>
      </c>
      <c r="X324">
        <f t="shared" si="253"/>
        <v>2.2399555620095226</v>
      </c>
      <c r="Y324">
        <f t="shared" si="254"/>
        <v>7.8539816339744828</v>
      </c>
      <c r="Z324">
        <f t="shared" si="255"/>
        <v>-2.2399555620095226</v>
      </c>
      <c r="AA324">
        <f t="shared" si="277"/>
        <v>1.7715508397574482</v>
      </c>
      <c r="AB324">
        <f t="shared" si="256"/>
        <v>9.6255324737319317</v>
      </c>
      <c r="AC324">
        <f t="shared" si="278"/>
        <v>0.35487332199210431</v>
      </c>
      <c r="AD324">
        <f t="shared" si="257"/>
        <v>0.24290822711545892</v>
      </c>
      <c r="AE324" s="9">
        <f t="shared" si="279"/>
        <v>10.223314022839494</v>
      </c>
      <c r="AF324">
        <f t="shared" si="280"/>
        <v>0</v>
      </c>
      <c r="AH324">
        <f t="shared" si="258"/>
        <v>7.8539816339744828</v>
      </c>
      <c r="AI324">
        <f t="shared" si="259"/>
        <v>1.7715508397574482</v>
      </c>
      <c r="AJ324">
        <f t="shared" si="260"/>
        <v>0.35487332199210897</v>
      </c>
      <c r="AK324">
        <f t="shared" si="261"/>
        <v>0.24290822711545892</v>
      </c>
      <c r="AL324" s="9">
        <f t="shared" si="281"/>
        <v>10.223314022839499</v>
      </c>
      <c r="AM324" t="e">
        <f t="shared" si="262"/>
        <v>#N/A</v>
      </c>
      <c r="AN324" t="e">
        <f t="shared" si="282"/>
        <v>#N/A</v>
      </c>
      <c r="AO324">
        <f t="shared" si="263"/>
        <v>0</v>
      </c>
      <c r="AP324">
        <f t="shared" si="264"/>
        <v>0</v>
      </c>
      <c r="AQ324">
        <f t="shared" si="265"/>
        <v>4.6629367034256575E-15</v>
      </c>
      <c r="AR324">
        <f t="shared" si="283"/>
        <v>0</v>
      </c>
      <c r="AS324">
        <f t="shared" si="266"/>
        <v>0</v>
      </c>
      <c r="AT324">
        <f t="shared" si="284"/>
        <v>0</v>
      </c>
      <c r="AU324">
        <f t="shared" si="285"/>
        <v>0</v>
      </c>
      <c r="AV324">
        <f t="shared" si="267"/>
        <v>2.2399555620095225E-20</v>
      </c>
      <c r="AW324" t="b">
        <f t="shared" si="286"/>
        <v>1</v>
      </c>
      <c r="AX324">
        <f t="shared" si="268"/>
        <v>7.8539816339744828</v>
      </c>
      <c r="AY324">
        <f t="shared" si="269"/>
        <v>1.771550839757448</v>
      </c>
      <c r="AZ324">
        <f t="shared" si="270"/>
        <v>0.35487332199210431</v>
      </c>
      <c r="BA324">
        <f t="shared" si="271"/>
        <v>0.24290822711545879</v>
      </c>
      <c r="BB324">
        <f t="shared" si="272"/>
        <v>-1.2337005501361696E-20</v>
      </c>
      <c r="BD324" s="15">
        <f t="shared" si="287"/>
        <v>10.223314022839492</v>
      </c>
      <c r="BE324" s="10">
        <f t="shared" si="288"/>
        <v>0</v>
      </c>
      <c r="BF324">
        <f t="shared" si="289"/>
        <v>0</v>
      </c>
      <c r="BG324">
        <f t="shared" si="290"/>
        <v>0</v>
      </c>
      <c r="BH324">
        <f t="shared" si="291"/>
        <v>0</v>
      </c>
      <c r="BI324">
        <f t="shared" si="292"/>
        <v>0</v>
      </c>
    </row>
    <row r="325" spans="1:61" x14ac:dyDescent="0.3">
      <c r="A325">
        <f t="shared" si="297"/>
        <v>0.28799999999999998</v>
      </c>
      <c r="B325">
        <f t="shared" si="240"/>
        <v>0.90477868423386032</v>
      </c>
      <c r="C325">
        <f t="shared" si="241"/>
        <v>2.236813969355933</v>
      </c>
      <c r="D325">
        <f t="shared" si="242"/>
        <v>2.236813969355933</v>
      </c>
      <c r="E325">
        <f t="shared" si="247"/>
        <v>0.78628843213661881</v>
      </c>
      <c r="F325">
        <f t="shared" si="248"/>
        <v>0.78628843213661881</v>
      </c>
      <c r="G325">
        <f t="shared" si="243"/>
        <v>0.90477868423386032</v>
      </c>
      <c r="H325">
        <f t="shared" si="244"/>
        <v>0.78628843213661881</v>
      </c>
      <c r="I325">
        <f t="shared" si="245"/>
        <v>0.78628843213661881</v>
      </c>
      <c r="J325">
        <f t="shared" si="293"/>
        <v>8.096517083911109E+19</v>
      </c>
      <c r="K325">
        <f t="shared" si="294"/>
        <v>8.096517083911109E+19</v>
      </c>
      <c r="L325">
        <f t="shared" si="249"/>
        <v>1</v>
      </c>
      <c r="M325">
        <f t="shared" si="246"/>
        <v>2.2368139693559328E-20</v>
      </c>
      <c r="N325" s="9">
        <f t="shared" si="295"/>
        <v>2.2368139693559328E-20</v>
      </c>
      <c r="O325">
        <f t="shared" si="296"/>
        <v>2.2368139693559328E-20</v>
      </c>
      <c r="Q325">
        <f t="shared" si="250"/>
        <v>45.8405507464526</v>
      </c>
      <c r="R325">
        <f t="shared" si="251"/>
        <v>-710542.73576010019</v>
      </c>
      <c r="S325">
        <f t="shared" si="273"/>
        <v>-45.246649341601675</v>
      </c>
      <c r="T325" s="9" t="e">
        <f t="shared" si="252"/>
        <v>#N/A</v>
      </c>
      <c r="U325">
        <f t="shared" si="274"/>
        <v>-1.0000000000000001E+300</v>
      </c>
      <c r="V325">
        <f t="shared" si="275"/>
        <v>0</v>
      </c>
      <c r="W325">
        <f t="shared" si="276"/>
        <v>0</v>
      </c>
      <c r="X325">
        <f t="shared" si="253"/>
        <v>2.236813969355933</v>
      </c>
      <c r="Y325">
        <f t="shared" si="254"/>
        <v>7.8539816339744828</v>
      </c>
      <c r="Z325">
        <f t="shared" si="255"/>
        <v>-2.236813969355933</v>
      </c>
      <c r="AA325">
        <f t="shared" si="277"/>
        <v>1.7576718124999473</v>
      </c>
      <c r="AB325">
        <f t="shared" si="256"/>
        <v>9.6116534464744294</v>
      </c>
      <c r="AC325">
        <f t="shared" si="278"/>
        <v>0.35346981298978414</v>
      </c>
      <c r="AD325">
        <f t="shared" si="257"/>
        <v>0.24043159186114374</v>
      </c>
      <c r="AE325" s="9">
        <f t="shared" si="279"/>
        <v>10.205554851325358</v>
      </c>
      <c r="AF325">
        <f t="shared" si="280"/>
        <v>0</v>
      </c>
      <c r="AH325">
        <f t="shared" si="258"/>
        <v>7.8539816339744828</v>
      </c>
      <c r="AI325">
        <f t="shared" si="259"/>
        <v>1.7576718124999462</v>
      </c>
      <c r="AJ325">
        <f t="shared" si="260"/>
        <v>0.35346981298978619</v>
      </c>
      <c r="AK325">
        <f t="shared" si="261"/>
        <v>0.24043159186114374</v>
      </c>
      <c r="AL325" s="9">
        <f t="shared" si="281"/>
        <v>10.20555485132536</v>
      </c>
      <c r="AM325" t="e">
        <f t="shared" si="262"/>
        <v>#N/A</v>
      </c>
      <c r="AN325" t="e">
        <f t="shared" si="282"/>
        <v>#N/A</v>
      </c>
      <c r="AO325">
        <f t="shared" si="263"/>
        <v>0</v>
      </c>
      <c r="AP325">
        <f t="shared" si="264"/>
        <v>0</v>
      </c>
      <c r="AQ325">
        <f t="shared" si="265"/>
        <v>2.0539125955565396E-15</v>
      </c>
      <c r="AR325">
        <f t="shared" si="283"/>
        <v>0</v>
      </c>
      <c r="AS325">
        <f t="shared" si="266"/>
        <v>0</v>
      </c>
      <c r="AT325">
        <f t="shared" si="284"/>
        <v>0</v>
      </c>
      <c r="AU325">
        <f t="shared" si="285"/>
        <v>0</v>
      </c>
      <c r="AV325">
        <f t="shared" si="267"/>
        <v>2.2368139693559328E-20</v>
      </c>
      <c r="AW325" t="b">
        <f t="shared" si="286"/>
        <v>1</v>
      </c>
      <c r="AX325">
        <f t="shared" si="268"/>
        <v>7.8539816339744828</v>
      </c>
      <c r="AY325">
        <f t="shared" si="269"/>
        <v>1.7576718124999466</v>
      </c>
      <c r="AZ325">
        <f t="shared" si="270"/>
        <v>0.35346981298978414</v>
      </c>
      <c r="BA325">
        <f t="shared" si="271"/>
        <v>0.24043159186114374</v>
      </c>
      <c r="BB325">
        <f t="shared" si="272"/>
        <v>-1.2337005501361696E-20</v>
      </c>
      <c r="BD325" s="15">
        <f t="shared" si="287"/>
        <v>10.205554851325358</v>
      </c>
      <c r="BE325" s="10">
        <f t="shared" si="288"/>
        <v>0</v>
      </c>
      <c r="BF325">
        <f t="shared" si="289"/>
        <v>0</v>
      </c>
      <c r="BG325">
        <f t="shared" si="290"/>
        <v>0</v>
      </c>
      <c r="BH325">
        <f t="shared" si="291"/>
        <v>0</v>
      </c>
      <c r="BI325">
        <f t="shared" si="292"/>
        <v>0</v>
      </c>
    </row>
    <row r="326" spans="1:61" x14ac:dyDescent="0.3">
      <c r="A326">
        <f t="shared" si="297"/>
        <v>0.28899999999999998</v>
      </c>
      <c r="B326">
        <f t="shared" si="240"/>
        <v>0.90792027688745014</v>
      </c>
      <c r="C326">
        <f t="shared" si="241"/>
        <v>2.233672376702343</v>
      </c>
      <c r="D326">
        <f t="shared" si="242"/>
        <v>2.233672376702343</v>
      </c>
      <c r="E326">
        <f t="shared" si="247"/>
        <v>0.78822561199043994</v>
      </c>
      <c r="F326">
        <f t="shared" si="248"/>
        <v>0.78822561199044006</v>
      </c>
      <c r="G326">
        <f t="shared" si="243"/>
        <v>0.90792027688745014</v>
      </c>
      <c r="H326">
        <f t="shared" si="244"/>
        <v>0.78822561199043994</v>
      </c>
      <c r="I326">
        <f t="shared" si="245"/>
        <v>0.78822561199044006</v>
      </c>
      <c r="J326">
        <f t="shared" si="293"/>
        <v>8.0766187076816617E+19</v>
      </c>
      <c r="K326">
        <f t="shared" si="294"/>
        <v>8.0766187076816617E+19</v>
      </c>
      <c r="L326">
        <f t="shared" si="249"/>
        <v>1</v>
      </c>
      <c r="M326">
        <f t="shared" si="246"/>
        <v>2.2336723767023428E-20</v>
      </c>
      <c r="N326" s="9">
        <f t="shared" si="295"/>
        <v>2.2336723767023428E-20</v>
      </c>
      <c r="O326">
        <f t="shared" si="296"/>
        <v>2.2336723767023428E-20</v>
      </c>
      <c r="Q326">
        <f t="shared" si="250"/>
        <v>45.838090075061963</v>
      </c>
      <c r="R326">
        <f t="shared" si="251"/>
        <v>0</v>
      </c>
      <c r="S326">
        <f t="shared" si="273"/>
        <v>-45.24805482321041</v>
      </c>
      <c r="T326" s="9" t="e">
        <f t="shared" si="252"/>
        <v>#N/A</v>
      </c>
      <c r="U326">
        <f t="shared" si="274"/>
        <v>-1.0000000000000001E+300</v>
      </c>
      <c r="V326">
        <f t="shared" si="275"/>
        <v>0</v>
      </c>
      <c r="W326">
        <f t="shared" si="276"/>
        <v>0</v>
      </c>
      <c r="X326">
        <f t="shared" si="253"/>
        <v>2.233672376702343</v>
      </c>
      <c r="Y326">
        <f t="shared" si="254"/>
        <v>7.8539816339744828</v>
      </c>
      <c r="Z326">
        <f t="shared" si="255"/>
        <v>-2.233672376702343</v>
      </c>
      <c r="AA326">
        <f t="shared" si="277"/>
        <v>1.7438808320339247</v>
      </c>
      <c r="AB326">
        <f t="shared" si="256"/>
        <v>9.597862466008408</v>
      </c>
      <c r="AC326">
        <f t="shared" si="278"/>
        <v>0.35206433138104926</v>
      </c>
      <c r="AD326">
        <f t="shared" si="257"/>
        <v>0.2379709204705012</v>
      </c>
      <c r="AE326" s="9">
        <f t="shared" si="279"/>
        <v>10.187897717859958</v>
      </c>
      <c r="AF326">
        <f t="shared" si="280"/>
        <v>0</v>
      </c>
      <c r="AH326">
        <f t="shared" si="258"/>
        <v>7.8539816339744828</v>
      </c>
      <c r="AI326">
        <f t="shared" si="259"/>
        <v>1.7438808320339243</v>
      </c>
      <c r="AJ326">
        <f t="shared" si="260"/>
        <v>0.35206433138105098</v>
      </c>
      <c r="AK326">
        <f t="shared" si="261"/>
        <v>0.2379709204705012</v>
      </c>
      <c r="AL326" s="9">
        <f t="shared" si="281"/>
        <v>10.187897717859959</v>
      </c>
      <c r="AM326" t="e">
        <f t="shared" si="262"/>
        <v>#N/A</v>
      </c>
      <c r="AN326" t="e">
        <f t="shared" si="282"/>
        <v>#N/A</v>
      </c>
      <c r="AO326">
        <f t="shared" si="263"/>
        <v>0</v>
      </c>
      <c r="AP326">
        <f t="shared" si="264"/>
        <v>0</v>
      </c>
      <c r="AQ326">
        <f t="shared" si="265"/>
        <v>1.7208456881689926E-15</v>
      </c>
      <c r="AR326">
        <f t="shared" si="283"/>
        <v>0</v>
      </c>
      <c r="AS326">
        <f t="shared" si="266"/>
        <v>0</v>
      </c>
      <c r="AT326">
        <f t="shared" si="284"/>
        <v>0</v>
      </c>
      <c r="AU326">
        <f t="shared" si="285"/>
        <v>0</v>
      </c>
      <c r="AV326">
        <f t="shared" si="267"/>
        <v>2.2336723767023428E-20</v>
      </c>
      <c r="AW326" t="b">
        <f t="shared" si="286"/>
        <v>1</v>
      </c>
      <c r="AX326">
        <f t="shared" si="268"/>
        <v>7.8539816339744828</v>
      </c>
      <c r="AY326">
        <f t="shared" si="269"/>
        <v>1.7438808320339243</v>
      </c>
      <c r="AZ326">
        <f t="shared" si="270"/>
        <v>0.35206433138104926</v>
      </c>
      <c r="BA326">
        <f t="shared" si="271"/>
        <v>0.23797092047050106</v>
      </c>
      <c r="BB326">
        <f t="shared" si="272"/>
        <v>-1.2337005501361696E-20</v>
      </c>
      <c r="BD326" s="15">
        <f t="shared" si="287"/>
        <v>10.187897717859958</v>
      </c>
      <c r="BE326" s="10">
        <f t="shared" si="288"/>
        <v>0</v>
      </c>
      <c r="BF326">
        <f t="shared" si="289"/>
        <v>0</v>
      </c>
      <c r="BG326">
        <f t="shared" si="290"/>
        <v>0</v>
      </c>
      <c r="BH326">
        <f t="shared" si="291"/>
        <v>0</v>
      </c>
      <c r="BI326">
        <f t="shared" si="292"/>
        <v>0</v>
      </c>
    </row>
    <row r="327" spans="1:61" x14ac:dyDescent="0.3">
      <c r="A327">
        <f t="shared" si="297"/>
        <v>0.28999999999999998</v>
      </c>
      <c r="B327">
        <f t="shared" si="240"/>
        <v>0.91106186954103996</v>
      </c>
      <c r="C327">
        <f t="shared" si="241"/>
        <v>2.2305307840487529</v>
      </c>
      <c r="D327">
        <f t="shared" si="242"/>
        <v>2.2305307840487529</v>
      </c>
      <c r="E327">
        <f t="shared" si="247"/>
        <v>0.7901550123756903</v>
      </c>
      <c r="F327">
        <f t="shared" si="248"/>
        <v>0.79015501237569052</v>
      </c>
      <c r="G327">
        <f t="shared" si="243"/>
        <v>0.91106186954103996</v>
      </c>
      <c r="H327">
        <f t="shared" si="244"/>
        <v>0.7901550123756903</v>
      </c>
      <c r="I327">
        <f t="shared" si="245"/>
        <v>0.79015501237569052</v>
      </c>
      <c r="J327">
        <f t="shared" si="293"/>
        <v>8.0568972213883978E+19</v>
      </c>
      <c r="K327">
        <f t="shared" si="294"/>
        <v>8.0568972213883978E+19</v>
      </c>
      <c r="L327">
        <f t="shared" si="249"/>
        <v>1</v>
      </c>
      <c r="M327">
        <f t="shared" si="246"/>
        <v>2.2305307840487529E-20</v>
      </c>
      <c r="N327" s="9">
        <f t="shared" si="295"/>
        <v>2.2305307840487529E-20</v>
      </c>
      <c r="O327">
        <f t="shared" si="296"/>
        <v>2.2305307840487529E-20</v>
      </c>
      <c r="Q327">
        <f t="shared" si="250"/>
        <v>45.835645289163722</v>
      </c>
      <c r="R327">
        <f t="shared" si="251"/>
        <v>-710542.73576010019</v>
      </c>
      <c r="S327">
        <f t="shared" si="273"/>
        <v>-45.249462282978293</v>
      </c>
      <c r="T327" s="9" t="e">
        <f t="shared" si="252"/>
        <v>#N/A</v>
      </c>
      <c r="U327">
        <f t="shared" si="274"/>
        <v>-1.0000000000000001E+300</v>
      </c>
      <c r="V327">
        <f t="shared" si="275"/>
        <v>0</v>
      </c>
      <c r="W327">
        <f t="shared" si="276"/>
        <v>0</v>
      </c>
      <c r="X327">
        <f t="shared" si="253"/>
        <v>2.2305307840487529</v>
      </c>
      <c r="Y327">
        <f t="shared" si="254"/>
        <v>7.8539816339744828</v>
      </c>
      <c r="Z327">
        <f t="shared" si="255"/>
        <v>-2.2305307840487529</v>
      </c>
      <c r="AA327">
        <f t="shared" si="277"/>
        <v>1.7301770279520461</v>
      </c>
      <c r="AB327">
        <f t="shared" si="256"/>
        <v>9.5841586619265282</v>
      </c>
      <c r="AC327">
        <f t="shared" si="278"/>
        <v>0.35065687161316933</v>
      </c>
      <c r="AD327">
        <f t="shared" si="257"/>
        <v>0.23552613457226612</v>
      </c>
      <c r="AE327" s="9">
        <f t="shared" si="279"/>
        <v>10.170341668111964</v>
      </c>
      <c r="AF327">
        <f t="shared" si="280"/>
        <v>0</v>
      </c>
      <c r="AH327">
        <f t="shared" si="258"/>
        <v>7.8539816339744828</v>
      </c>
      <c r="AI327">
        <f t="shared" si="259"/>
        <v>1.7301770279520474</v>
      </c>
      <c r="AJ327">
        <f t="shared" si="260"/>
        <v>0.35065687161316816</v>
      </c>
      <c r="AK327">
        <f t="shared" si="261"/>
        <v>0.23552613457226612</v>
      </c>
      <c r="AL327" s="9">
        <f t="shared" si="281"/>
        <v>10.170341668111964</v>
      </c>
      <c r="AM327" t="e">
        <f t="shared" si="262"/>
        <v>#N/A</v>
      </c>
      <c r="AN327" t="e">
        <f t="shared" si="282"/>
        <v>#N/A</v>
      </c>
      <c r="AO327">
        <f t="shared" si="263"/>
        <v>0</v>
      </c>
      <c r="AP327">
        <f t="shared" si="264"/>
        <v>0</v>
      </c>
      <c r="AQ327">
        <f t="shared" si="265"/>
        <v>-1.1657341758564144E-15</v>
      </c>
      <c r="AR327">
        <f t="shared" si="283"/>
        <v>0</v>
      </c>
      <c r="AS327">
        <f t="shared" si="266"/>
        <v>0</v>
      </c>
      <c r="AT327">
        <f t="shared" si="284"/>
        <v>0</v>
      </c>
      <c r="AU327">
        <f t="shared" si="285"/>
        <v>0</v>
      </c>
      <c r="AV327">
        <f t="shared" si="267"/>
        <v>2.2305307840487529E-20</v>
      </c>
      <c r="AW327" t="b">
        <f t="shared" si="286"/>
        <v>1</v>
      </c>
      <c r="AX327">
        <f t="shared" si="268"/>
        <v>7.8539816339744828</v>
      </c>
      <c r="AY327">
        <f t="shared" si="269"/>
        <v>1.7301770279520456</v>
      </c>
      <c r="AZ327">
        <f t="shared" si="270"/>
        <v>0.35065687161316933</v>
      </c>
      <c r="BA327">
        <f t="shared" si="271"/>
        <v>0.23552613457226582</v>
      </c>
      <c r="BB327">
        <f t="shared" si="272"/>
        <v>-1.2337005501361696E-20</v>
      </c>
      <c r="BD327" s="15">
        <f t="shared" si="287"/>
        <v>10.170341668111964</v>
      </c>
      <c r="BE327" s="10">
        <f t="shared" si="288"/>
        <v>0</v>
      </c>
      <c r="BF327">
        <f t="shared" si="289"/>
        <v>0</v>
      </c>
      <c r="BG327">
        <f t="shared" si="290"/>
        <v>0</v>
      </c>
      <c r="BH327">
        <f t="shared" si="291"/>
        <v>0</v>
      </c>
      <c r="BI327">
        <f t="shared" si="292"/>
        <v>0</v>
      </c>
    </row>
    <row r="328" spans="1:61" x14ac:dyDescent="0.3">
      <c r="A328">
        <f t="shared" si="297"/>
        <v>0.29099999999999998</v>
      </c>
      <c r="B328">
        <f t="shared" si="240"/>
        <v>0.91420346219462978</v>
      </c>
      <c r="C328">
        <f t="shared" si="241"/>
        <v>2.2273891913951633</v>
      </c>
      <c r="D328">
        <f t="shared" si="242"/>
        <v>2.2273891913951633</v>
      </c>
      <c r="E328">
        <f t="shared" si="247"/>
        <v>0.792076614249967</v>
      </c>
      <c r="F328">
        <f t="shared" si="248"/>
        <v>0.79207661424996711</v>
      </c>
      <c r="G328">
        <f t="shared" si="243"/>
        <v>0.91420346219462978</v>
      </c>
      <c r="H328">
        <f t="shared" si="244"/>
        <v>0.792076614249967</v>
      </c>
      <c r="I328">
        <f t="shared" si="245"/>
        <v>0.79207661424996711</v>
      </c>
      <c r="J328">
        <f t="shared" si="293"/>
        <v>8.037350944522068E+19</v>
      </c>
      <c r="K328">
        <f t="shared" si="294"/>
        <v>8.037350944522068E+19</v>
      </c>
      <c r="L328">
        <f t="shared" si="249"/>
        <v>1</v>
      </c>
      <c r="M328">
        <f t="shared" si="246"/>
        <v>2.2273891913951632E-20</v>
      </c>
      <c r="N328" s="9">
        <f t="shared" si="295"/>
        <v>2.2273891913951632E-20</v>
      </c>
      <c r="O328">
        <f t="shared" si="296"/>
        <v>2.2273891913951632E-20</v>
      </c>
      <c r="Q328">
        <f t="shared" si="250"/>
        <v>45.833216311273617</v>
      </c>
      <c r="R328">
        <f t="shared" si="251"/>
        <v>0</v>
      </c>
      <c r="S328">
        <f t="shared" si="273"/>
        <v>-45.25087172648152</v>
      </c>
      <c r="T328" s="9" t="e">
        <f t="shared" si="252"/>
        <v>#N/A</v>
      </c>
      <c r="U328">
        <f t="shared" si="274"/>
        <v>-1.0000000000000001E+300</v>
      </c>
      <c r="V328">
        <f t="shared" si="275"/>
        <v>0</v>
      </c>
      <c r="W328">
        <f t="shared" si="276"/>
        <v>0</v>
      </c>
      <c r="X328">
        <f t="shared" si="253"/>
        <v>2.2273891913951633</v>
      </c>
      <c r="Y328">
        <f t="shared" si="254"/>
        <v>7.8539816339744828</v>
      </c>
      <c r="Z328">
        <f t="shared" si="255"/>
        <v>-2.2273891913951633</v>
      </c>
      <c r="AA328">
        <f t="shared" si="277"/>
        <v>1.7165595417696919</v>
      </c>
      <c r="AB328">
        <f t="shared" si="256"/>
        <v>9.5705411757441752</v>
      </c>
      <c r="AC328">
        <f t="shared" si="278"/>
        <v>0.3492474281099357</v>
      </c>
      <c r="AD328">
        <f t="shared" si="257"/>
        <v>0.23309715668215572</v>
      </c>
      <c r="AE328" s="9">
        <f t="shared" si="279"/>
        <v>10.152885760536266</v>
      </c>
      <c r="AF328">
        <f t="shared" si="280"/>
        <v>0</v>
      </c>
      <c r="AH328">
        <f t="shared" si="258"/>
        <v>7.8539816339744828</v>
      </c>
      <c r="AI328">
        <f t="shared" si="259"/>
        <v>1.7165595417696922</v>
      </c>
      <c r="AJ328">
        <f t="shared" si="260"/>
        <v>0.34924742810994047</v>
      </c>
      <c r="AK328">
        <f t="shared" si="261"/>
        <v>0.23309715668215572</v>
      </c>
      <c r="AL328" s="9">
        <f t="shared" si="281"/>
        <v>10.152885760536272</v>
      </c>
      <c r="AM328" t="e">
        <f t="shared" si="262"/>
        <v>#N/A</v>
      </c>
      <c r="AN328" t="e">
        <f t="shared" si="282"/>
        <v>#N/A</v>
      </c>
      <c r="AO328">
        <f t="shared" si="263"/>
        <v>0</v>
      </c>
      <c r="AP328">
        <f t="shared" si="264"/>
        <v>0</v>
      </c>
      <c r="AQ328">
        <f t="shared" si="265"/>
        <v>4.7739590058881731E-15</v>
      </c>
      <c r="AR328">
        <f t="shared" si="283"/>
        <v>0</v>
      </c>
      <c r="AS328">
        <f t="shared" si="266"/>
        <v>0</v>
      </c>
      <c r="AT328">
        <f t="shared" si="284"/>
        <v>0</v>
      </c>
      <c r="AU328">
        <f t="shared" si="285"/>
        <v>0</v>
      </c>
      <c r="AV328">
        <f t="shared" si="267"/>
        <v>2.2273891913951632E-20</v>
      </c>
      <c r="AW328" t="b">
        <f t="shared" si="286"/>
        <v>1</v>
      </c>
      <c r="AX328">
        <f t="shared" si="268"/>
        <v>7.8539816339744828</v>
      </c>
      <c r="AY328">
        <f t="shared" si="269"/>
        <v>1.7165595417696913</v>
      </c>
      <c r="AZ328">
        <f t="shared" si="270"/>
        <v>0.34924742810993586</v>
      </c>
      <c r="BA328">
        <f t="shared" si="271"/>
        <v>0.23309715668215558</v>
      </c>
      <c r="BB328">
        <f t="shared" si="272"/>
        <v>-1.2337005501361696E-20</v>
      </c>
      <c r="BD328" s="15">
        <f t="shared" si="287"/>
        <v>10.152885760536265</v>
      </c>
      <c r="BE328" s="10">
        <f t="shared" si="288"/>
        <v>0</v>
      </c>
      <c r="BF328">
        <f t="shared" si="289"/>
        <v>0</v>
      </c>
      <c r="BG328">
        <f t="shared" si="290"/>
        <v>0</v>
      </c>
      <c r="BH328">
        <f t="shared" si="291"/>
        <v>0</v>
      </c>
      <c r="BI328">
        <f t="shared" si="292"/>
        <v>0</v>
      </c>
    </row>
    <row r="329" spans="1:61" x14ac:dyDescent="0.3">
      <c r="A329">
        <f t="shared" si="297"/>
        <v>0.29199999999999998</v>
      </c>
      <c r="B329">
        <f t="shared" si="240"/>
        <v>0.91734505484821949</v>
      </c>
      <c r="C329">
        <f t="shared" si="241"/>
        <v>2.2242475987415737</v>
      </c>
      <c r="D329">
        <f t="shared" si="242"/>
        <v>2.2242475987415737</v>
      </c>
      <c r="E329">
        <f t="shared" si="247"/>
        <v>0.79399039864783527</v>
      </c>
      <c r="F329">
        <f t="shared" si="248"/>
        <v>0.79399039864783527</v>
      </c>
      <c r="G329">
        <f t="shared" si="243"/>
        <v>0.91734505484821949</v>
      </c>
      <c r="H329">
        <f t="shared" si="244"/>
        <v>0.79399039864783527</v>
      </c>
      <c r="I329">
        <f t="shared" si="245"/>
        <v>0.79399039864783527</v>
      </c>
      <c r="J329">
        <f t="shared" si="293"/>
        <v>8.0179782205394944E+19</v>
      </c>
      <c r="K329">
        <f t="shared" si="294"/>
        <v>8.0179782205394944E+19</v>
      </c>
      <c r="L329">
        <f t="shared" si="249"/>
        <v>1</v>
      </c>
      <c r="M329">
        <f t="shared" si="246"/>
        <v>2.2242475987415736E-20</v>
      </c>
      <c r="N329" s="9">
        <f t="shared" si="295"/>
        <v>2.2242475987415736E-20</v>
      </c>
      <c r="O329">
        <f t="shared" si="296"/>
        <v>2.2242475987415736E-20</v>
      </c>
      <c r="Q329">
        <f t="shared" si="250"/>
        <v>45.83080306478265</v>
      </c>
      <c r="R329">
        <f t="shared" si="251"/>
        <v>-710542.73576010019</v>
      </c>
      <c r="S329">
        <f t="shared" si="273"/>
        <v>-45.25228315931993</v>
      </c>
      <c r="T329" s="9" t="e">
        <f t="shared" si="252"/>
        <v>#N/A</v>
      </c>
      <c r="U329">
        <f t="shared" si="274"/>
        <v>-1.0000000000000001E+300</v>
      </c>
      <c r="V329">
        <f t="shared" si="275"/>
        <v>0</v>
      </c>
      <c r="W329">
        <f t="shared" si="276"/>
        <v>0</v>
      </c>
      <c r="X329">
        <f t="shared" si="253"/>
        <v>2.2242475987415737</v>
      </c>
      <c r="Y329">
        <f t="shared" si="254"/>
        <v>7.8539816339744828</v>
      </c>
      <c r="Z329">
        <f t="shared" si="255"/>
        <v>-2.2242475987415737</v>
      </c>
      <c r="AA329">
        <f t="shared" si="277"/>
        <v>1.7030275267210413</v>
      </c>
      <c r="AB329">
        <f t="shared" si="256"/>
        <v>9.5570091606955234</v>
      </c>
      <c r="AC329">
        <f t="shared" si="278"/>
        <v>0.34783599527152814</v>
      </c>
      <c r="AD329">
        <f t="shared" si="257"/>
        <v>0.23068391019119378</v>
      </c>
      <c r="AE329" s="9">
        <f t="shared" si="279"/>
        <v>10.135529066158245</v>
      </c>
      <c r="AF329">
        <f t="shared" si="280"/>
        <v>0</v>
      </c>
      <c r="AH329">
        <f t="shared" si="258"/>
        <v>7.8539816339744828</v>
      </c>
      <c r="AI329">
        <f t="shared" si="259"/>
        <v>1.7030275267210413</v>
      </c>
      <c r="AJ329">
        <f t="shared" si="260"/>
        <v>0.34783599527153086</v>
      </c>
      <c r="AK329">
        <f t="shared" si="261"/>
        <v>0.23068391019119378</v>
      </c>
      <c r="AL329" s="9">
        <f t="shared" si="281"/>
        <v>10.135529066158249</v>
      </c>
      <c r="AM329" t="e">
        <f t="shared" si="262"/>
        <v>#N/A</v>
      </c>
      <c r="AN329" t="e">
        <f t="shared" si="282"/>
        <v>#N/A</v>
      </c>
      <c r="AO329">
        <f t="shared" si="263"/>
        <v>0</v>
      </c>
      <c r="AP329">
        <f t="shared" si="264"/>
        <v>0</v>
      </c>
      <c r="AQ329">
        <f t="shared" si="265"/>
        <v>2.7200464103316335E-15</v>
      </c>
      <c r="AR329">
        <f t="shared" si="283"/>
        <v>0</v>
      </c>
      <c r="AS329">
        <f t="shared" si="266"/>
        <v>0</v>
      </c>
      <c r="AT329">
        <f t="shared" si="284"/>
        <v>0</v>
      </c>
      <c r="AU329">
        <f t="shared" si="285"/>
        <v>0</v>
      </c>
      <c r="AV329">
        <f t="shared" si="267"/>
        <v>2.2242475987415736E-20</v>
      </c>
      <c r="AW329" t="b">
        <f t="shared" si="286"/>
        <v>1</v>
      </c>
      <c r="AX329">
        <f t="shared" si="268"/>
        <v>7.8539816339744828</v>
      </c>
      <c r="AY329">
        <f t="shared" si="269"/>
        <v>1.7030275267210411</v>
      </c>
      <c r="AZ329">
        <f t="shared" si="270"/>
        <v>0.34783599527152814</v>
      </c>
      <c r="BA329">
        <f t="shared" si="271"/>
        <v>0.23068391019119378</v>
      </c>
      <c r="BB329">
        <f t="shared" si="272"/>
        <v>-1.2337005501361696E-20</v>
      </c>
      <c r="BD329" s="15">
        <f t="shared" si="287"/>
        <v>10.135529066158245</v>
      </c>
      <c r="BE329" s="10">
        <f t="shared" si="288"/>
        <v>0</v>
      </c>
      <c r="BF329">
        <f t="shared" si="289"/>
        <v>0</v>
      </c>
      <c r="BG329">
        <f t="shared" si="290"/>
        <v>0</v>
      </c>
      <c r="BH329">
        <f t="shared" si="291"/>
        <v>0</v>
      </c>
      <c r="BI329">
        <f t="shared" si="292"/>
        <v>0</v>
      </c>
    </row>
    <row r="330" spans="1:61" x14ac:dyDescent="0.3">
      <c r="A330">
        <f t="shared" si="297"/>
        <v>0.29299999999999998</v>
      </c>
      <c r="B330">
        <f t="shared" si="240"/>
        <v>0.92048664750180931</v>
      </c>
      <c r="C330">
        <f t="shared" si="241"/>
        <v>2.2211060060879837</v>
      </c>
      <c r="D330">
        <f t="shared" si="242"/>
        <v>2.2211060060879837</v>
      </c>
      <c r="E330">
        <f t="shared" si="247"/>
        <v>0.79589634668101583</v>
      </c>
      <c r="F330">
        <f t="shared" si="248"/>
        <v>0.79589634668101594</v>
      </c>
      <c r="G330">
        <f t="shared" si="243"/>
        <v>0.92048664750180931</v>
      </c>
      <c r="H330">
        <f t="shared" si="244"/>
        <v>0.79589634668101583</v>
      </c>
      <c r="I330">
        <f t="shared" si="245"/>
        <v>0.79589634668101594</v>
      </c>
      <c r="J330">
        <f t="shared" si="293"/>
        <v>7.9987774164608614E+19</v>
      </c>
      <c r="K330">
        <f t="shared" si="294"/>
        <v>7.9987774164608614E+19</v>
      </c>
      <c r="L330">
        <f t="shared" si="249"/>
        <v>1</v>
      </c>
      <c r="M330">
        <f t="shared" si="246"/>
        <v>2.2211060060879836E-20</v>
      </c>
      <c r="N330" s="9">
        <f t="shared" si="295"/>
        <v>2.2211060060879836E-20</v>
      </c>
      <c r="O330">
        <f t="shared" si="296"/>
        <v>2.2211060060879836E-20</v>
      </c>
      <c r="Q330">
        <f t="shared" si="250"/>
        <v>45.828405473945693</v>
      </c>
      <c r="R330">
        <f t="shared" si="251"/>
        <v>-710542.73576010019</v>
      </c>
      <c r="S330">
        <f t="shared" si="273"/>
        <v>-45.253696587117076</v>
      </c>
      <c r="T330" s="9" t="e">
        <f t="shared" si="252"/>
        <v>#N/A</v>
      </c>
      <c r="U330">
        <f t="shared" si="274"/>
        <v>-1.0000000000000001E+300</v>
      </c>
      <c r="V330">
        <f t="shared" si="275"/>
        <v>0</v>
      </c>
      <c r="W330">
        <f t="shared" si="276"/>
        <v>0</v>
      </c>
      <c r="X330">
        <f t="shared" si="253"/>
        <v>2.2211060060879837</v>
      </c>
      <c r="Y330">
        <f t="shared" si="254"/>
        <v>7.8539816339744828</v>
      </c>
      <c r="Z330">
        <f t="shared" si="255"/>
        <v>-2.2211060060879837</v>
      </c>
      <c r="AA330">
        <f t="shared" si="277"/>
        <v>1.6895801475593422</v>
      </c>
      <c r="AB330">
        <f t="shared" si="256"/>
        <v>9.5435617815338247</v>
      </c>
      <c r="AC330">
        <f t="shared" si="278"/>
        <v>0.34642256747438094</v>
      </c>
      <c r="AD330">
        <f t="shared" si="257"/>
        <v>0.22828631935423699</v>
      </c>
      <c r="AE330" s="9">
        <f t="shared" si="279"/>
        <v>10.118270668362442</v>
      </c>
      <c r="AF330">
        <f t="shared" si="280"/>
        <v>0</v>
      </c>
      <c r="AH330">
        <f t="shared" si="258"/>
        <v>7.8539816339744828</v>
      </c>
      <c r="AI330">
        <f t="shared" si="259"/>
        <v>1.6895801475593424</v>
      </c>
      <c r="AJ330">
        <f t="shared" si="260"/>
        <v>0.34642256747438438</v>
      </c>
      <c r="AK330">
        <f t="shared" si="261"/>
        <v>0.22828631935423699</v>
      </c>
      <c r="AL330" s="9">
        <f t="shared" si="281"/>
        <v>10.118270668362445</v>
      </c>
      <c r="AM330" t="e">
        <f t="shared" si="262"/>
        <v>#N/A</v>
      </c>
      <c r="AN330" t="e">
        <f t="shared" si="282"/>
        <v>#N/A</v>
      </c>
      <c r="AO330">
        <f t="shared" si="263"/>
        <v>0</v>
      </c>
      <c r="AP330">
        <f t="shared" si="264"/>
        <v>0</v>
      </c>
      <c r="AQ330">
        <f t="shared" si="265"/>
        <v>3.4416913763379853E-15</v>
      </c>
      <c r="AR330">
        <f t="shared" si="283"/>
        <v>0</v>
      </c>
      <c r="AS330">
        <f t="shared" si="266"/>
        <v>0</v>
      </c>
      <c r="AT330">
        <f t="shared" si="284"/>
        <v>0</v>
      </c>
      <c r="AU330">
        <f t="shared" si="285"/>
        <v>0</v>
      </c>
      <c r="AV330">
        <f t="shared" si="267"/>
        <v>2.2211060060879836E-20</v>
      </c>
      <c r="AW330" t="b">
        <f t="shared" si="286"/>
        <v>1</v>
      </c>
      <c r="AX330">
        <f t="shared" si="268"/>
        <v>7.8539816339744828</v>
      </c>
      <c r="AY330">
        <f t="shared" si="269"/>
        <v>1.6895801475593415</v>
      </c>
      <c r="AZ330">
        <f t="shared" si="270"/>
        <v>0.3464225674743811</v>
      </c>
      <c r="BA330">
        <f t="shared" si="271"/>
        <v>0.22828631935423685</v>
      </c>
      <c r="BB330">
        <f t="shared" si="272"/>
        <v>-1.2337005501361696E-20</v>
      </c>
      <c r="BD330" s="15">
        <f t="shared" si="287"/>
        <v>10.118270668362442</v>
      </c>
      <c r="BE330" s="10">
        <f t="shared" si="288"/>
        <v>0</v>
      </c>
      <c r="BF330">
        <f t="shared" si="289"/>
        <v>0</v>
      </c>
      <c r="BG330">
        <f t="shared" si="290"/>
        <v>0</v>
      </c>
      <c r="BH330">
        <f t="shared" si="291"/>
        <v>0</v>
      </c>
      <c r="BI330">
        <f t="shared" si="292"/>
        <v>0</v>
      </c>
    </row>
    <row r="331" spans="1:61" x14ac:dyDescent="0.3">
      <c r="A331">
        <f t="shared" si="297"/>
        <v>0.29399999999999998</v>
      </c>
      <c r="B331">
        <f t="shared" si="240"/>
        <v>0.92362824015539913</v>
      </c>
      <c r="C331">
        <f t="shared" si="241"/>
        <v>2.2179644134343941</v>
      </c>
      <c r="D331">
        <f t="shared" si="242"/>
        <v>2.2179644134343941</v>
      </c>
      <c r="E331">
        <f t="shared" si="247"/>
        <v>0.79779443953857099</v>
      </c>
      <c r="F331">
        <f t="shared" si="248"/>
        <v>0.79779443953857099</v>
      </c>
      <c r="G331">
        <f t="shared" si="243"/>
        <v>0.92362824015539913</v>
      </c>
      <c r="H331">
        <f t="shared" si="244"/>
        <v>0.79779443953857099</v>
      </c>
      <c r="I331">
        <f t="shared" si="245"/>
        <v>0.79779443953857099</v>
      </c>
      <c r="J331">
        <f t="shared" si="293"/>
        <v>7.9797469224752939E+19</v>
      </c>
      <c r="K331">
        <f t="shared" si="294"/>
        <v>7.9797469224752939E+19</v>
      </c>
      <c r="L331">
        <f t="shared" si="249"/>
        <v>0</v>
      </c>
      <c r="M331">
        <f t="shared" si="246"/>
        <v>2.2179644134343939E-20</v>
      </c>
      <c r="N331" s="9">
        <f t="shared" si="295"/>
        <v>0</v>
      </c>
      <c r="O331">
        <f t="shared" si="296"/>
        <v>0</v>
      </c>
      <c r="Q331">
        <f t="shared" si="250"/>
        <v>45.826023463870158</v>
      </c>
      <c r="R331">
        <f t="shared" si="251"/>
        <v>-710542.73576010019</v>
      </c>
      <c r="S331">
        <f t="shared" si="273"/>
        <v>-45.25511201552041</v>
      </c>
      <c r="T331" s="9" t="e">
        <f t="shared" si="252"/>
        <v>#N/A</v>
      </c>
      <c r="U331">
        <f t="shared" si="274"/>
        <v>-1.0000000000000001E+300</v>
      </c>
      <c r="V331">
        <f t="shared" si="275"/>
        <v>0</v>
      </c>
      <c r="W331">
        <f t="shared" si="276"/>
        <v>0</v>
      </c>
      <c r="X331">
        <f t="shared" si="253"/>
        <v>2.2179644134343941</v>
      </c>
      <c r="Y331">
        <f t="shared" si="254"/>
        <v>7.8539816339744828</v>
      </c>
      <c r="Z331">
        <f t="shared" si="255"/>
        <v>-2.2179644134343941</v>
      </c>
      <c r="AA331">
        <f t="shared" si="277"/>
        <v>1.6762165803612532</v>
      </c>
      <c r="AB331">
        <f t="shared" si="256"/>
        <v>9.5301982143357353</v>
      </c>
      <c r="AC331">
        <f t="shared" si="278"/>
        <v>0.34500713907105046</v>
      </c>
      <c r="AD331">
        <f t="shared" si="257"/>
        <v>0.2259043092787007</v>
      </c>
      <c r="AE331" s="9">
        <f t="shared" si="279"/>
        <v>10.101109662685486</v>
      </c>
      <c r="AF331">
        <f t="shared" si="280"/>
        <v>0</v>
      </c>
      <c r="AH331">
        <f t="shared" si="258"/>
        <v>7.8539816339744828</v>
      </c>
      <c r="AI331">
        <f t="shared" si="259"/>
        <v>1.676216580361253</v>
      </c>
      <c r="AJ331">
        <f t="shared" si="260"/>
        <v>0.34500713907105052</v>
      </c>
      <c r="AK331">
        <f t="shared" si="261"/>
        <v>0.2259043092787007</v>
      </c>
      <c r="AL331" s="9">
        <f t="shared" si="281"/>
        <v>10.101109662685486</v>
      </c>
      <c r="AM331" t="e">
        <f t="shared" si="262"/>
        <v>#N/A</v>
      </c>
      <c r="AN331" t="e">
        <f t="shared" si="282"/>
        <v>#N/A</v>
      </c>
      <c r="AO331">
        <f t="shared" si="263"/>
        <v>0</v>
      </c>
      <c r="AP331">
        <f t="shared" si="264"/>
        <v>0</v>
      </c>
      <c r="AQ331">
        <f t="shared" si="265"/>
        <v>0</v>
      </c>
      <c r="AR331">
        <f t="shared" si="283"/>
        <v>0</v>
      </c>
      <c r="AS331">
        <f t="shared" si="266"/>
        <v>0</v>
      </c>
      <c r="AT331">
        <f t="shared" si="284"/>
        <v>0</v>
      </c>
      <c r="AU331">
        <f t="shared" si="285"/>
        <v>0</v>
      </c>
      <c r="AV331">
        <f t="shared" si="267"/>
        <v>2.2179644134343939E-20</v>
      </c>
      <c r="AW331" t="b">
        <f t="shared" si="286"/>
        <v>1</v>
      </c>
      <c r="AX331">
        <f t="shared" si="268"/>
        <v>7.8539816339744828</v>
      </c>
      <c r="AY331">
        <f t="shared" si="269"/>
        <v>1.676216580361253</v>
      </c>
      <c r="AZ331">
        <f t="shared" si="270"/>
        <v>0.34500713907105046</v>
      </c>
      <c r="BA331">
        <f t="shared" si="271"/>
        <v>0.2259043092787007</v>
      </c>
      <c r="BB331">
        <f t="shared" si="272"/>
        <v>-1.2337005501361696E-20</v>
      </c>
      <c r="BD331" s="15">
        <f t="shared" si="287"/>
        <v>10.101109662685486</v>
      </c>
      <c r="BE331" s="10">
        <f t="shared" si="288"/>
        <v>0</v>
      </c>
      <c r="BF331">
        <f t="shared" si="289"/>
        <v>0</v>
      </c>
      <c r="BG331">
        <f t="shared" si="290"/>
        <v>0</v>
      </c>
      <c r="BH331">
        <f t="shared" si="291"/>
        <v>0</v>
      </c>
      <c r="BI331">
        <f t="shared" si="292"/>
        <v>0</v>
      </c>
    </row>
    <row r="332" spans="1:61" x14ac:dyDescent="0.3">
      <c r="A332">
        <f t="shared" si="297"/>
        <v>0.29499999999999998</v>
      </c>
      <c r="B332">
        <f t="shared" si="240"/>
        <v>0.92676983280898895</v>
      </c>
      <c r="C332">
        <f t="shared" si="241"/>
        <v>2.2148228207808041</v>
      </c>
      <c r="D332">
        <f t="shared" si="242"/>
        <v>2.2148228207808041</v>
      </c>
      <c r="E332">
        <f t="shared" si="247"/>
        <v>0.79968465848709047</v>
      </c>
      <c r="F332">
        <f t="shared" si="248"/>
        <v>0.79968465848709069</v>
      </c>
      <c r="G332">
        <f t="shared" si="243"/>
        <v>0.92676983280898895</v>
      </c>
      <c r="H332">
        <f t="shared" si="244"/>
        <v>0.79968465848709047</v>
      </c>
      <c r="I332">
        <f t="shared" si="245"/>
        <v>0.79968465848709069</v>
      </c>
      <c r="J332">
        <f t="shared" si="293"/>
        <v>7.9608851515545059E+19</v>
      </c>
      <c r="K332">
        <f t="shared" si="294"/>
        <v>7.9608851515545059E+19</v>
      </c>
      <c r="L332">
        <f t="shared" si="249"/>
        <v>1</v>
      </c>
      <c r="M332">
        <f t="shared" si="246"/>
        <v>2.2148228207808043E-20</v>
      </c>
      <c r="N332" s="9">
        <f t="shared" si="295"/>
        <v>2.2148228207808043E-20</v>
      </c>
      <c r="O332">
        <f t="shared" si="296"/>
        <v>2.2148228207808043E-20</v>
      </c>
      <c r="Q332">
        <f t="shared" si="250"/>
        <v>45.823656960504941</v>
      </c>
      <c r="R332">
        <f t="shared" si="251"/>
        <v>0</v>
      </c>
      <c r="S332">
        <f t="shared" si="273"/>
        <v>-45.256529450201384</v>
      </c>
      <c r="T332" s="9" t="e">
        <f t="shared" si="252"/>
        <v>#N/A</v>
      </c>
      <c r="U332">
        <f t="shared" si="274"/>
        <v>-1.0000000000000001E+300</v>
      </c>
      <c r="V332">
        <f t="shared" si="275"/>
        <v>0</v>
      </c>
      <c r="W332">
        <f t="shared" si="276"/>
        <v>0</v>
      </c>
      <c r="X332">
        <f t="shared" si="253"/>
        <v>2.2148228207808041</v>
      </c>
      <c r="Y332">
        <f t="shared" si="254"/>
        <v>7.8539816339744828</v>
      </c>
      <c r="Z332">
        <f t="shared" si="255"/>
        <v>-2.2148228207808041</v>
      </c>
      <c r="AA332">
        <f t="shared" si="277"/>
        <v>1.662936012335152</v>
      </c>
      <c r="AB332">
        <f t="shared" si="256"/>
        <v>9.5169176463096345</v>
      </c>
      <c r="AC332">
        <f t="shared" si="278"/>
        <v>0.34358970439007686</v>
      </c>
      <c r="AD332">
        <f t="shared" si="257"/>
        <v>0.22353780591347858</v>
      </c>
      <c r="AE332" s="9">
        <f t="shared" si="279"/>
        <v>10.08404515661319</v>
      </c>
      <c r="AF332">
        <f t="shared" si="280"/>
        <v>0</v>
      </c>
      <c r="AH332">
        <f t="shared" si="258"/>
        <v>7.8539816339744828</v>
      </c>
      <c r="AI332">
        <f t="shared" si="259"/>
        <v>1.6629360123351526</v>
      </c>
      <c r="AJ332">
        <f t="shared" si="260"/>
        <v>0.34358970439007663</v>
      </c>
      <c r="AK332">
        <f t="shared" si="261"/>
        <v>0.22353780591347858</v>
      </c>
      <c r="AL332" s="9">
        <f t="shared" si="281"/>
        <v>10.084045156613191</v>
      </c>
      <c r="AM332" t="e">
        <f t="shared" si="262"/>
        <v>#N/A</v>
      </c>
      <c r="AN332" t="e">
        <f t="shared" si="282"/>
        <v>#N/A</v>
      </c>
      <c r="AO332">
        <f t="shared" si="263"/>
        <v>0</v>
      </c>
      <c r="AP332">
        <f t="shared" si="264"/>
        <v>0</v>
      </c>
      <c r="AQ332">
        <f t="shared" si="265"/>
        <v>0</v>
      </c>
      <c r="AR332">
        <f t="shared" si="283"/>
        <v>0</v>
      </c>
      <c r="AS332">
        <f t="shared" si="266"/>
        <v>0</v>
      </c>
      <c r="AT332">
        <f t="shared" si="284"/>
        <v>0</v>
      </c>
      <c r="AU332">
        <f t="shared" si="285"/>
        <v>0</v>
      </c>
      <c r="AV332">
        <f t="shared" si="267"/>
        <v>2.214822820780804E-20</v>
      </c>
      <c r="AW332" t="b">
        <f t="shared" si="286"/>
        <v>1</v>
      </c>
      <c r="AX332">
        <f t="shared" si="268"/>
        <v>7.8539816339744828</v>
      </c>
      <c r="AY332">
        <f t="shared" si="269"/>
        <v>1.6629360123351518</v>
      </c>
      <c r="AZ332">
        <f t="shared" si="270"/>
        <v>0.34358970439007702</v>
      </c>
      <c r="BA332">
        <f t="shared" si="271"/>
        <v>0.2235378059134783</v>
      </c>
      <c r="BB332">
        <f t="shared" si="272"/>
        <v>-1.2337005501361696E-20</v>
      </c>
      <c r="BD332" s="15">
        <f t="shared" si="287"/>
        <v>10.08404515661319</v>
      </c>
      <c r="BE332" s="10">
        <f t="shared" si="288"/>
        <v>0</v>
      </c>
      <c r="BF332">
        <f t="shared" si="289"/>
        <v>0</v>
      </c>
      <c r="BG332">
        <f t="shared" si="290"/>
        <v>0</v>
      </c>
      <c r="BH332">
        <f t="shared" si="291"/>
        <v>0</v>
      </c>
      <c r="BI332">
        <f t="shared" si="292"/>
        <v>0</v>
      </c>
    </row>
    <row r="333" spans="1:61" x14ac:dyDescent="0.3">
      <c r="A333">
        <f t="shared" si="297"/>
        <v>0.29599999999999999</v>
      </c>
      <c r="B333">
        <f t="shared" si="240"/>
        <v>0.92991142546257877</v>
      </c>
      <c r="C333">
        <f t="shared" si="241"/>
        <v>2.2116812281272145</v>
      </c>
      <c r="D333">
        <f t="shared" si="242"/>
        <v>2.2116812281272145</v>
      </c>
      <c r="E333">
        <f t="shared" si="247"/>
        <v>0.80156698487087652</v>
      </c>
      <c r="F333">
        <f t="shared" si="248"/>
        <v>0.80156698487087652</v>
      </c>
      <c r="G333">
        <f t="shared" si="243"/>
        <v>0.92991142546257877</v>
      </c>
      <c r="H333">
        <f t="shared" si="244"/>
        <v>0.80156698487087652</v>
      </c>
      <c r="I333">
        <f t="shared" si="245"/>
        <v>0.80156698487087652</v>
      </c>
      <c r="J333">
        <f t="shared" si="293"/>
        <v>7.9421905390743323E+19</v>
      </c>
      <c r="K333">
        <f t="shared" si="294"/>
        <v>7.9421905390743323E+19</v>
      </c>
      <c r="L333">
        <f t="shared" si="249"/>
        <v>1</v>
      </c>
      <c r="M333">
        <f t="shared" si="246"/>
        <v>2.2116812281272143E-20</v>
      </c>
      <c r="N333" s="9">
        <f t="shared" si="295"/>
        <v>2.2116812281272143E-20</v>
      </c>
      <c r="O333">
        <f t="shared" si="296"/>
        <v>2.2116812281272143E-20</v>
      </c>
      <c r="Q333">
        <f t="shared" si="250"/>
        <v>45.82130589062951</v>
      </c>
      <c r="R333">
        <f t="shared" si="251"/>
        <v>-710542.73576010019</v>
      </c>
      <c r="S333">
        <f t="shared" si="273"/>
        <v>-45.257948896855609</v>
      </c>
      <c r="T333" s="9" t="e">
        <f t="shared" si="252"/>
        <v>#N/A</v>
      </c>
      <c r="U333">
        <f t="shared" si="274"/>
        <v>-1.0000000000000001E+300</v>
      </c>
      <c r="V333">
        <f t="shared" si="275"/>
        <v>0</v>
      </c>
      <c r="W333">
        <f t="shared" si="276"/>
        <v>0</v>
      </c>
      <c r="X333">
        <f t="shared" si="253"/>
        <v>2.2116812281272145</v>
      </c>
      <c r="Y333">
        <f t="shared" si="254"/>
        <v>7.8539816339744828</v>
      </c>
      <c r="Z333">
        <f t="shared" si="255"/>
        <v>-2.2116812281272145</v>
      </c>
      <c r="AA333">
        <f t="shared" si="277"/>
        <v>1.6497376416333498</v>
      </c>
      <c r="AB333">
        <f t="shared" si="256"/>
        <v>9.5037192756078319</v>
      </c>
      <c r="AC333">
        <f t="shared" si="278"/>
        <v>0.34217025773585075</v>
      </c>
      <c r="AD333">
        <f t="shared" si="257"/>
        <v>0.22118673603805317</v>
      </c>
      <c r="AE333" s="9">
        <f t="shared" si="279"/>
        <v>10.067076269381737</v>
      </c>
      <c r="AF333">
        <f t="shared" si="280"/>
        <v>0</v>
      </c>
      <c r="AH333">
        <f t="shared" si="258"/>
        <v>7.8539816339744828</v>
      </c>
      <c r="AI333">
        <f t="shared" si="259"/>
        <v>1.6497376416333493</v>
      </c>
      <c r="AJ333">
        <f t="shared" si="260"/>
        <v>0.34217025773585164</v>
      </c>
      <c r="AK333">
        <f t="shared" si="261"/>
        <v>0.22118673603805317</v>
      </c>
      <c r="AL333" s="9">
        <f t="shared" si="281"/>
        <v>10.067076269381737</v>
      </c>
      <c r="AM333" t="e">
        <f t="shared" si="262"/>
        <v>#N/A</v>
      </c>
      <c r="AN333" t="e">
        <f t="shared" si="282"/>
        <v>#N/A</v>
      </c>
      <c r="AO333">
        <f t="shared" si="263"/>
        <v>0</v>
      </c>
      <c r="AP333">
        <f t="shared" si="264"/>
        <v>0</v>
      </c>
      <c r="AQ333">
        <f t="shared" si="265"/>
        <v>8.8817841970012523E-16</v>
      </c>
      <c r="AR333">
        <f t="shared" si="283"/>
        <v>0</v>
      </c>
      <c r="AS333">
        <f t="shared" si="266"/>
        <v>0</v>
      </c>
      <c r="AT333">
        <f t="shared" si="284"/>
        <v>0</v>
      </c>
      <c r="AU333">
        <f t="shared" si="285"/>
        <v>0</v>
      </c>
      <c r="AV333">
        <f t="shared" si="267"/>
        <v>2.2116812281272143E-20</v>
      </c>
      <c r="AW333" t="b">
        <f t="shared" si="286"/>
        <v>1</v>
      </c>
      <c r="AX333">
        <f t="shared" si="268"/>
        <v>7.8539816339744828</v>
      </c>
      <c r="AY333">
        <f t="shared" si="269"/>
        <v>1.6497376416333493</v>
      </c>
      <c r="AZ333">
        <f t="shared" si="270"/>
        <v>0.34217025773585075</v>
      </c>
      <c r="BA333">
        <f t="shared" si="271"/>
        <v>0.22118673603805317</v>
      </c>
      <c r="BB333">
        <f t="shared" si="272"/>
        <v>-1.2337005501361696E-20</v>
      </c>
      <c r="BD333" s="15">
        <f t="shared" si="287"/>
        <v>10.067076269381737</v>
      </c>
      <c r="BE333" s="10">
        <f t="shared" si="288"/>
        <v>0</v>
      </c>
      <c r="BF333">
        <f t="shared" si="289"/>
        <v>0</v>
      </c>
      <c r="BG333">
        <f t="shared" si="290"/>
        <v>0</v>
      </c>
      <c r="BH333">
        <f t="shared" si="291"/>
        <v>0</v>
      </c>
      <c r="BI333">
        <f t="shared" si="292"/>
        <v>0</v>
      </c>
    </row>
    <row r="334" spans="1:61" x14ac:dyDescent="0.3">
      <c r="A334">
        <f t="shared" si="297"/>
        <v>0.29699999999999999</v>
      </c>
      <c r="B334">
        <f t="shared" si="240"/>
        <v>0.93305301811616848</v>
      </c>
      <c r="C334">
        <f t="shared" si="241"/>
        <v>2.2085396354736249</v>
      </c>
      <c r="D334">
        <f t="shared" si="242"/>
        <v>2.2085396354736249</v>
      </c>
      <c r="E334">
        <f t="shared" si="247"/>
        <v>0.8034414001121275</v>
      </c>
      <c r="F334">
        <f t="shared" si="248"/>
        <v>0.8034414001121275</v>
      </c>
      <c r="G334">
        <f t="shared" si="243"/>
        <v>0.93305301811616848</v>
      </c>
      <c r="H334">
        <f t="shared" si="244"/>
        <v>0.8034414001121275</v>
      </c>
      <c r="I334">
        <f t="shared" si="245"/>
        <v>0.8034414001121275</v>
      </c>
      <c r="J334">
        <f t="shared" si="293"/>
        <v>7.9236615424439845E+19</v>
      </c>
      <c r="K334">
        <f t="shared" si="294"/>
        <v>7.9236615424439845E+19</v>
      </c>
      <c r="L334">
        <f t="shared" si="249"/>
        <v>1</v>
      </c>
      <c r="M334">
        <f t="shared" si="246"/>
        <v>2.2085396354736244E-20</v>
      </c>
      <c r="N334" s="9">
        <f t="shared" si="295"/>
        <v>2.2085396354736244E-20</v>
      </c>
      <c r="O334">
        <f t="shared" si="296"/>
        <v>2.2085396354736244E-20</v>
      </c>
      <c r="Q334">
        <f t="shared" si="250"/>
        <v>45.818970181843255</v>
      </c>
      <c r="R334">
        <f t="shared" si="251"/>
        <v>0</v>
      </c>
      <c r="S334">
        <f t="shared" si="273"/>
        <v>-45.259370361202983</v>
      </c>
      <c r="T334" s="9" t="e">
        <f t="shared" si="252"/>
        <v>#N/A</v>
      </c>
      <c r="U334">
        <f t="shared" si="274"/>
        <v>-1.0000000000000001E+300</v>
      </c>
      <c r="V334">
        <f t="shared" si="275"/>
        <v>0</v>
      </c>
      <c r="W334">
        <f t="shared" si="276"/>
        <v>0</v>
      </c>
      <c r="X334">
        <f t="shared" si="253"/>
        <v>2.2085396354736249</v>
      </c>
      <c r="Y334">
        <f t="shared" si="254"/>
        <v>7.8539816339744828</v>
      </c>
      <c r="Z334">
        <f t="shared" si="255"/>
        <v>-2.2085396354736249</v>
      </c>
      <c r="AA334">
        <f t="shared" si="277"/>
        <v>1.6366206771680769</v>
      </c>
      <c r="AB334">
        <f t="shared" si="256"/>
        <v>9.4906023111425597</v>
      </c>
      <c r="AC334">
        <f t="shared" si="278"/>
        <v>0.34074879338847325</v>
      </c>
      <c r="AD334">
        <f t="shared" si="257"/>
        <v>0.21885102725179365</v>
      </c>
      <c r="AE334" s="9">
        <f t="shared" si="279"/>
        <v>10.050202131782827</v>
      </c>
      <c r="AF334">
        <f t="shared" si="280"/>
        <v>0</v>
      </c>
      <c r="AH334">
        <f t="shared" si="258"/>
        <v>7.8539816339744828</v>
      </c>
      <c r="AI334">
        <f t="shared" si="259"/>
        <v>1.636620677168076</v>
      </c>
      <c r="AJ334">
        <f t="shared" si="260"/>
        <v>0.34074879338847808</v>
      </c>
      <c r="AK334">
        <f t="shared" si="261"/>
        <v>0.21885102725179365</v>
      </c>
      <c r="AL334" s="9">
        <f t="shared" si="281"/>
        <v>10.050202131782832</v>
      </c>
      <c r="AM334" t="e">
        <f t="shared" si="262"/>
        <v>#N/A</v>
      </c>
      <c r="AN334" t="e">
        <f t="shared" si="282"/>
        <v>#N/A</v>
      </c>
      <c r="AO334">
        <f t="shared" si="263"/>
        <v>0</v>
      </c>
      <c r="AP334">
        <f t="shared" si="264"/>
        <v>0</v>
      </c>
      <c r="AQ334">
        <f t="shared" si="265"/>
        <v>4.829470157119431E-15</v>
      </c>
      <c r="AR334">
        <f t="shared" si="283"/>
        <v>0</v>
      </c>
      <c r="AS334">
        <f t="shared" si="266"/>
        <v>0</v>
      </c>
      <c r="AT334">
        <f t="shared" si="284"/>
        <v>0</v>
      </c>
      <c r="AU334">
        <f t="shared" si="285"/>
        <v>0</v>
      </c>
      <c r="AV334">
        <f t="shared" si="267"/>
        <v>2.2085396354736247E-20</v>
      </c>
      <c r="AW334" t="b">
        <f t="shared" si="286"/>
        <v>1</v>
      </c>
      <c r="AX334">
        <f t="shared" si="268"/>
        <v>7.8539816339744828</v>
      </c>
      <c r="AY334">
        <f t="shared" si="269"/>
        <v>1.6366206771680765</v>
      </c>
      <c r="AZ334">
        <f t="shared" si="270"/>
        <v>0.34074879338847325</v>
      </c>
      <c r="BA334">
        <f t="shared" si="271"/>
        <v>0.21885102725179365</v>
      </c>
      <c r="BB334">
        <f t="shared" si="272"/>
        <v>-1.2337005501361696E-20</v>
      </c>
      <c r="BD334" s="15">
        <f t="shared" si="287"/>
        <v>10.050202131782827</v>
      </c>
      <c r="BE334" s="10">
        <f t="shared" si="288"/>
        <v>0</v>
      </c>
      <c r="BF334">
        <f t="shared" si="289"/>
        <v>0</v>
      </c>
      <c r="BG334">
        <f t="shared" si="290"/>
        <v>0</v>
      </c>
      <c r="BH334">
        <f t="shared" si="291"/>
        <v>0</v>
      </c>
      <c r="BI334">
        <f t="shared" si="292"/>
        <v>0</v>
      </c>
    </row>
    <row r="335" spans="1:61" x14ac:dyDescent="0.3">
      <c r="A335">
        <f t="shared" si="297"/>
        <v>0.29799999999999999</v>
      </c>
      <c r="B335">
        <f t="shared" si="240"/>
        <v>0.9361946107697583</v>
      </c>
      <c r="C335">
        <f t="shared" si="241"/>
        <v>2.2053980428200348</v>
      </c>
      <c r="D335">
        <f t="shared" si="242"/>
        <v>2.2053980428200348</v>
      </c>
      <c r="E335">
        <f t="shared" si="247"/>
        <v>0.80530788571112188</v>
      </c>
      <c r="F335">
        <f t="shared" si="248"/>
        <v>0.805307885711122</v>
      </c>
      <c r="G335">
        <f t="shared" si="243"/>
        <v>0.9361946107697583</v>
      </c>
      <c r="H335">
        <f t="shared" si="244"/>
        <v>0.80530788571112188</v>
      </c>
      <c r="I335">
        <f t="shared" si="245"/>
        <v>0.805307885711122</v>
      </c>
      <c r="J335">
        <f t="shared" si="293"/>
        <v>7.9052966407427949E+19</v>
      </c>
      <c r="K335">
        <f t="shared" si="294"/>
        <v>7.9052966407427949E+19</v>
      </c>
      <c r="L335" t="e">
        <f t="shared" si="249"/>
        <v>#NUM!</v>
      </c>
      <c r="M335">
        <f t="shared" si="246"/>
        <v>2.2053980428200347E-20</v>
      </c>
      <c r="N335" s="9" t="e">
        <f t="shared" si="295"/>
        <v>#NUM!</v>
      </c>
      <c r="O335" t="e">
        <f t="shared" si="296"/>
        <v>#NUM!</v>
      </c>
      <c r="Q335">
        <f t="shared" si="250"/>
        <v>45.816649762554896</v>
      </c>
      <c r="R335">
        <f t="shared" si="251"/>
        <v>0</v>
      </c>
      <c r="S335">
        <f t="shared" si="273"/>
        <v>-45.260793848987838</v>
      </c>
      <c r="T335" s="9" t="e">
        <f t="shared" si="252"/>
        <v>#N/A</v>
      </c>
      <c r="U335">
        <f t="shared" si="274"/>
        <v>-1.0000000000000001E+300</v>
      </c>
      <c r="V335">
        <f t="shared" si="275"/>
        <v>0</v>
      </c>
      <c r="W335">
        <f t="shared" si="276"/>
        <v>0</v>
      </c>
      <c r="X335">
        <f t="shared" si="253"/>
        <v>2.2053980428200348</v>
      </c>
      <c r="Y335">
        <f t="shared" si="254"/>
        <v>7.8539816339744828</v>
      </c>
      <c r="Z335">
        <f t="shared" si="255"/>
        <v>-2.2053980428200348</v>
      </c>
      <c r="AA335">
        <f t="shared" si="277"/>
        <v>1.6235843384311865</v>
      </c>
      <c r="AB335">
        <f t="shared" si="256"/>
        <v>9.4775659724056691</v>
      </c>
      <c r="AC335">
        <f t="shared" si="278"/>
        <v>0.33932530560361945</v>
      </c>
      <c r="AD335">
        <f t="shared" si="257"/>
        <v>0.21653060796343598</v>
      </c>
      <c r="AE335" s="9">
        <f t="shared" si="279"/>
        <v>10.033421885972725</v>
      </c>
      <c r="AF335">
        <f t="shared" si="280"/>
        <v>0</v>
      </c>
      <c r="AH335">
        <f t="shared" si="258"/>
        <v>7.8539816339744828</v>
      </c>
      <c r="AI335">
        <f t="shared" si="259"/>
        <v>1.623584338431187</v>
      </c>
      <c r="AJ335">
        <f t="shared" si="260"/>
        <v>0.33932530560362295</v>
      </c>
      <c r="AK335">
        <f t="shared" si="261"/>
        <v>0.21653060796343598</v>
      </c>
      <c r="AL335" s="9">
        <f t="shared" si="281"/>
        <v>10.033421885972729</v>
      </c>
      <c r="AM335" t="e">
        <f t="shared" si="262"/>
        <v>#N/A</v>
      </c>
      <c r="AN335" t="e">
        <f t="shared" si="282"/>
        <v>#N/A</v>
      </c>
      <c r="AO335">
        <f t="shared" si="263"/>
        <v>0</v>
      </c>
      <c r="AP335">
        <f t="shared" si="264"/>
        <v>0</v>
      </c>
      <c r="AQ335">
        <f t="shared" si="265"/>
        <v>3.4972025275692431E-15</v>
      </c>
      <c r="AR335">
        <f t="shared" si="283"/>
        <v>0</v>
      </c>
      <c r="AS335">
        <f t="shared" si="266"/>
        <v>0</v>
      </c>
      <c r="AT335">
        <f t="shared" si="284"/>
        <v>0</v>
      </c>
      <c r="AU335">
        <f t="shared" si="285"/>
        <v>0</v>
      </c>
      <c r="AV335">
        <f t="shared" si="267"/>
        <v>2.2053980428200347E-20</v>
      </c>
      <c r="AW335" t="b">
        <f t="shared" si="286"/>
        <v>1</v>
      </c>
      <c r="AX335">
        <f t="shared" si="268"/>
        <v>7.8539816339744828</v>
      </c>
      <c r="AY335">
        <f t="shared" si="269"/>
        <v>1.6235843384311863</v>
      </c>
      <c r="AZ335">
        <f t="shared" si="270"/>
        <v>0.33932530560361945</v>
      </c>
      <c r="BA335">
        <f t="shared" si="271"/>
        <v>0.21653060796343584</v>
      </c>
      <c r="BB335">
        <f t="shared" si="272"/>
        <v>-1.2337005501361696E-20</v>
      </c>
      <c r="BD335" s="15">
        <f t="shared" si="287"/>
        <v>10.033421885972725</v>
      </c>
      <c r="BE335" s="10">
        <f t="shared" si="288"/>
        <v>0</v>
      </c>
      <c r="BF335">
        <f t="shared" si="289"/>
        <v>0</v>
      </c>
      <c r="BG335">
        <f t="shared" si="290"/>
        <v>0</v>
      </c>
      <c r="BH335">
        <f t="shared" si="291"/>
        <v>0</v>
      </c>
      <c r="BI335">
        <f t="shared" si="292"/>
        <v>0</v>
      </c>
    </row>
    <row r="336" spans="1:61" x14ac:dyDescent="0.3">
      <c r="A336">
        <f t="shared" si="297"/>
        <v>0.29899999999999999</v>
      </c>
      <c r="B336">
        <f t="shared" si="240"/>
        <v>0.93933620342334812</v>
      </c>
      <c r="C336">
        <f t="shared" si="241"/>
        <v>2.2022564501664448</v>
      </c>
      <c r="D336">
        <f t="shared" si="242"/>
        <v>2.2022564501664448</v>
      </c>
      <c r="E336">
        <f t="shared" si="247"/>
        <v>0.8071664232464002</v>
      </c>
      <c r="F336">
        <f t="shared" si="248"/>
        <v>0.80716642324640042</v>
      </c>
      <c r="G336">
        <f t="shared" si="243"/>
        <v>0.93933620342334812</v>
      </c>
      <c r="H336">
        <f t="shared" si="244"/>
        <v>0.8071664232464002</v>
      </c>
      <c r="I336">
        <f t="shared" si="245"/>
        <v>0.80716642324640042</v>
      </c>
      <c r="J336">
        <f t="shared" si="293"/>
        <v>7.8870943343643427E+19</v>
      </c>
      <c r="K336">
        <f t="shared" si="294"/>
        <v>7.8870943343643427E+19</v>
      </c>
      <c r="L336">
        <f t="shared" si="249"/>
        <v>1</v>
      </c>
      <c r="M336">
        <f t="shared" si="246"/>
        <v>2.202256450166445E-20</v>
      </c>
      <c r="N336" s="9">
        <f t="shared" si="295"/>
        <v>2.202256450166445E-20</v>
      </c>
      <c r="O336">
        <f t="shared" si="296"/>
        <v>2.202256450166445E-20</v>
      </c>
      <c r="Q336">
        <f t="shared" si="250"/>
        <v>45.814344561972206</v>
      </c>
      <c r="R336">
        <f t="shared" si="251"/>
        <v>0</v>
      </c>
      <c r="S336">
        <f t="shared" si="273"/>
        <v>-45.262219365979064</v>
      </c>
      <c r="T336" s="9" t="e">
        <f t="shared" si="252"/>
        <v>#N/A</v>
      </c>
      <c r="U336">
        <f t="shared" si="274"/>
        <v>-1.0000000000000001E+300</v>
      </c>
      <c r="V336">
        <f t="shared" si="275"/>
        <v>0</v>
      </c>
      <c r="W336">
        <f t="shared" si="276"/>
        <v>0</v>
      </c>
      <c r="X336">
        <f t="shared" si="253"/>
        <v>2.2022564501664448</v>
      </c>
      <c r="Y336">
        <f t="shared" si="254"/>
        <v>7.8539816339744828</v>
      </c>
      <c r="Z336">
        <f t="shared" si="255"/>
        <v>-2.2022564501664448</v>
      </c>
      <c r="AA336">
        <f t="shared" si="277"/>
        <v>1.6106278553174773</v>
      </c>
      <c r="AB336">
        <f t="shared" si="256"/>
        <v>9.4646094892919592</v>
      </c>
      <c r="AC336">
        <f t="shared" si="278"/>
        <v>0.33789978861239828</v>
      </c>
      <c r="AD336">
        <f t="shared" si="257"/>
        <v>0.21422540738074344</v>
      </c>
      <c r="AE336" s="9">
        <f t="shared" si="279"/>
        <v>10.016734685285101</v>
      </c>
      <c r="AF336">
        <f t="shared" si="280"/>
        <v>0</v>
      </c>
      <c r="AH336">
        <f t="shared" si="258"/>
        <v>7.8539816339744828</v>
      </c>
      <c r="AI336">
        <f t="shared" si="259"/>
        <v>1.610627855317478</v>
      </c>
      <c r="AJ336">
        <f t="shared" si="260"/>
        <v>0.33789978861239689</v>
      </c>
      <c r="AK336">
        <f t="shared" si="261"/>
        <v>0.21422540738074344</v>
      </c>
      <c r="AL336" s="9">
        <f t="shared" si="281"/>
        <v>10.016734685285101</v>
      </c>
      <c r="AM336" t="e">
        <f t="shared" si="262"/>
        <v>#N/A</v>
      </c>
      <c r="AN336" t="e">
        <f t="shared" si="282"/>
        <v>#N/A</v>
      </c>
      <c r="AO336">
        <f t="shared" si="263"/>
        <v>0</v>
      </c>
      <c r="AP336">
        <f t="shared" si="264"/>
        <v>0</v>
      </c>
      <c r="AQ336">
        <f t="shared" si="265"/>
        <v>-1.3877787807814457E-15</v>
      </c>
      <c r="AR336">
        <f t="shared" si="283"/>
        <v>0</v>
      </c>
      <c r="AS336">
        <f t="shared" si="266"/>
        <v>0</v>
      </c>
      <c r="AT336">
        <f t="shared" si="284"/>
        <v>0</v>
      </c>
      <c r="AU336">
        <f t="shared" si="285"/>
        <v>0</v>
      </c>
      <c r="AV336">
        <f t="shared" si="267"/>
        <v>2.2022564501664447E-20</v>
      </c>
      <c r="AW336" t="b">
        <f t="shared" si="286"/>
        <v>1</v>
      </c>
      <c r="AX336">
        <f t="shared" si="268"/>
        <v>7.8539816339744828</v>
      </c>
      <c r="AY336">
        <f t="shared" si="269"/>
        <v>1.6106278553174771</v>
      </c>
      <c r="AZ336">
        <f t="shared" si="270"/>
        <v>0.33789978861239828</v>
      </c>
      <c r="BA336">
        <f t="shared" si="271"/>
        <v>0.21422540738074317</v>
      </c>
      <c r="BB336">
        <f t="shared" si="272"/>
        <v>-1.2337005501361696E-20</v>
      </c>
      <c r="BD336" s="15">
        <f t="shared" si="287"/>
        <v>10.016734685285101</v>
      </c>
      <c r="BE336" s="10">
        <f t="shared" si="288"/>
        <v>0</v>
      </c>
      <c r="BF336">
        <f t="shared" si="289"/>
        <v>0</v>
      </c>
      <c r="BG336">
        <f t="shared" si="290"/>
        <v>0</v>
      </c>
      <c r="BH336">
        <f t="shared" si="291"/>
        <v>0</v>
      </c>
      <c r="BI336">
        <f t="shared" si="292"/>
        <v>0</v>
      </c>
    </row>
    <row r="337" spans="1:61" x14ac:dyDescent="0.3">
      <c r="A337">
        <f t="shared" si="297"/>
        <v>0.3</v>
      </c>
      <c r="B337">
        <f t="shared" si="240"/>
        <v>0.94247779607693793</v>
      </c>
      <c r="C337">
        <f t="shared" si="241"/>
        <v>2.1991148575128552</v>
      </c>
      <c r="D337">
        <f t="shared" si="242"/>
        <v>2.1991148575128552</v>
      </c>
      <c r="E337">
        <f t="shared" si="247"/>
        <v>0.80901699437494745</v>
      </c>
      <c r="F337">
        <f t="shared" si="248"/>
        <v>0.80901699437494745</v>
      </c>
      <c r="G337">
        <f t="shared" si="243"/>
        <v>0.94247779607693793</v>
      </c>
      <c r="H337">
        <f t="shared" si="244"/>
        <v>0.80901699437494745</v>
      </c>
      <c r="I337">
        <f t="shared" si="245"/>
        <v>0.80901699437494745</v>
      </c>
      <c r="J337">
        <f t="shared" si="293"/>
        <v>7.8690531446677291E+19</v>
      </c>
      <c r="K337">
        <f t="shared" si="294"/>
        <v>7.8690531446677291E+19</v>
      </c>
      <c r="L337" t="e">
        <f t="shared" si="249"/>
        <v>#NUM!</v>
      </c>
      <c r="M337">
        <f t="shared" si="246"/>
        <v>2.1991148575128551E-20</v>
      </c>
      <c r="N337" s="9" t="e">
        <f t="shared" si="295"/>
        <v>#NUM!</v>
      </c>
      <c r="O337" t="e">
        <f t="shared" si="296"/>
        <v>#NUM!</v>
      </c>
      <c r="Q337">
        <f t="shared" si="250"/>
        <v>45.812054510091798</v>
      </c>
      <c r="R337">
        <f t="shared" si="251"/>
        <v>-710542.73576010019</v>
      </c>
      <c r="S337">
        <f t="shared" si="273"/>
        <v>-45.263646917970249</v>
      </c>
      <c r="T337" s="9" t="e">
        <f t="shared" si="252"/>
        <v>#N/A</v>
      </c>
      <c r="U337">
        <f t="shared" si="274"/>
        <v>-1.0000000000000001E+300</v>
      </c>
      <c r="V337">
        <f t="shared" si="275"/>
        <v>0</v>
      </c>
      <c r="W337">
        <f t="shared" si="276"/>
        <v>0</v>
      </c>
      <c r="X337">
        <f t="shared" si="253"/>
        <v>2.1991148575128552</v>
      </c>
      <c r="Y337">
        <f t="shared" si="254"/>
        <v>7.8539816339744828</v>
      </c>
      <c r="Z337">
        <f t="shared" si="255"/>
        <v>-2.1991148575128552</v>
      </c>
      <c r="AA337">
        <f t="shared" si="277"/>
        <v>1.5977504679515389</v>
      </c>
      <c r="AB337">
        <f t="shared" si="256"/>
        <v>9.4517321019260212</v>
      </c>
      <c r="AC337">
        <f t="shared" si="278"/>
        <v>0.33647223662121289</v>
      </c>
      <c r="AD337">
        <f t="shared" si="257"/>
        <v>0.21193535550034182</v>
      </c>
      <c r="AE337" s="9">
        <f t="shared" si="279"/>
        <v>10.000139694047576</v>
      </c>
      <c r="AF337">
        <f t="shared" si="280"/>
        <v>0</v>
      </c>
      <c r="AH337">
        <f t="shared" si="258"/>
        <v>7.8539816339744828</v>
      </c>
      <c r="AI337">
        <f t="shared" si="259"/>
        <v>1.5977504679515389</v>
      </c>
      <c r="AJ337">
        <f t="shared" si="260"/>
        <v>0.33647223662121206</v>
      </c>
      <c r="AK337">
        <f t="shared" si="261"/>
        <v>0.21193535550034182</v>
      </c>
      <c r="AL337" s="9">
        <f t="shared" si="281"/>
        <v>10.000139694047576</v>
      </c>
      <c r="AM337" t="e">
        <f t="shared" si="262"/>
        <v>#N/A</v>
      </c>
      <c r="AN337" t="e">
        <f t="shared" si="282"/>
        <v>#N/A</v>
      </c>
      <c r="AO337">
        <f t="shared" si="263"/>
        <v>0</v>
      </c>
      <c r="AP337">
        <f t="shared" si="264"/>
        <v>0</v>
      </c>
      <c r="AQ337">
        <f t="shared" si="265"/>
        <v>-8.3266726846886741E-16</v>
      </c>
      <c r="AR337">
        <f t="shared" si="283"/>
        <v>0</v>
      </c>
      <c r="AS337">
        <f t="shared" si="266"/>
        <v>0</v>
      </c>
      <c r="AT337">
        <f t="shared" si="284"/>
        <v>0</v>
      </c>
      <c r="AU337">
        <f t="shared" si="285"/>
        <v>0</v>
      </c>
      <c r="AV337">
        <f t="shared" si="267"/>
        <v>2.1991148575128551E-20</v>
      </c>
      <c r="AW337" t="b">
        <f t="shared" si="286"/>
        <v>1</v>
      </c>
      <c r="AX337">
        <f t="shared" si="268"/>
        <v>7.8539816339744828</v>
      </c>
      <c r="AY337">
        <f t="shared" si="269"/>
        <v>1.5977504679515384</v>
      </c>
      <c r="AZ337">
        <f t="shared" si="270"/>
        <v>0.33647223662121301</v>
      </c>
      <c r="BA337">
        <f t="shared" si="271"/>
        <v>0.21193535550034182</v>
      </c>
      <c r="BB337">
        <f t="shared" si="272"/>
        <v>-1.2337005501361696E-20</v>
      </c>
      <c r="BD337" s="15">
        <f t="shared" si="287"/>
        <v>10.000139694047578</v>
      </c>
      <c r="BE337" s="10">
        <f t="shared" si="288"/>
        <v>0</v>
      </c>
      <c r="BF337">
        <f t="shared" si="289"/>
        <v>0</v>
      </c>
      <c r="BG337">
        <f t="shared" si="290"/>
        <v>0</v>
      </c>
      <c r="BH337">
        <f t="shared" si="291"/>
        <v>0</v>
      </c>
      <c r="BI337">
        <f t="shared" si="292"/>
        <v>0</v>
      </c>
    </row>
    <row r="338" spans="1:61" x14ac:dyDescent="0.3">
      <c r="A338">
        <f t="shared" si="297"/>
        <v>0.30099999999999999</v>
      </c>
      <c r="B338">
        <f t="shared" si="240"/>
        <v>0.94561938873052764</v>
      </c>
      <c r="C338">
        <f t="shared" si="241"/>
        <v>2.1959732648592656</v>
      </c>
      <c r="D338">
        <f t="shared" si="242"/>
        <v>2.1959732648592656</v>
      </c>
      <c r="E338">
        <f t="shared" si="247"/>
        <v>0.81085958083237342</v>
      </c>
      <c r="F338">
        <f t="shared" si="248"/>
        <v>0.81085958083237342</v>
      </c>
      <c r="G338">
        <f t="shared" si="243"/>
        <v>0.94561938873052764</v>
      </c>
      <c r="H338">
        <f t="shared" si="244"/>
        <v>0.81085958083237342</v>
      </c>
      <c r="I338">
        <f t="shared" si="245"/>
        <v>0.81085958083237342</v>
      </c>
      <c r="J338">
        <f t="shared" si="293"/>
        <v>7.8511716136358756E+19</v>
      </c>
      <c r="K338">
        <f t="shared" si="294"/>
        <v>7.8511716136358756E+19</v>
      </c>
      <c r="L338" t="e">
        <f t="shared" si="249"/>
        <v>#NUM!</v>
      </c>
      <c r="M338">
        <f t="shared" si="246"/>
        <v>2.1959732648592654E-20</v>
      </c>
      <c r="N338" s="9" t="e">
        <f t="shared" si="295"/>
        <v>#NUM!</v>
      </c>
      <c r="O338" t="e">
        <f t="shared" si="296"/>
        <v>#NUM!</v>
      </c>
      <c r="Q338">
        <f t="shared" si="250"/>
        <v>45.809779537689188</v>
      </c>
      <c r="R338">
        <f t="shared" si="251"/>
        <v>0</v>
      </c>
      <c r="S338">
        <f t="shared" si="273"/>
        <v>-45.265076510779842</v>
      </c>
      <c r="T338" s="9" t="e">
        <f t="shared" si="252"/>
        <v>#N/A</v>
      </c>
      <c r="U338">
        <f t="shared" si="274"/>
        <v>-1.0000000000000001E+300</v>
      </c>
      <c r="V338">
        <f t="shared" si="275"/>
        <v>0</v>
      </c>
      <c r="W338">
        <f t="shared" si="276"/>
        <v>0</v>
      </c>
      <c r="X338">
        <f t="shared" si="253"/>
        <v>2.1959732648592656</v>
      </c>
      <c r="Y338">
        <f t="shared" si="254"/>
        <v>7.8539816339744828</v>
      </c>
      <c r="Z338">
        <f t="shared" si="255"/>
        <v>-2.1959732648592656</v>
      </c>
      <c r="AA338">
        <f t="shared" si="277"/>
        <v>1.5849514265180498</v>
      </c>
      <c r="AB338">
        <f t="shared" si="256"/>
        <v>9.4389330604925323</v>
      </c>
      <c r="AC338">
        <f t="shared" si="278"/>
        <v>0.33504264381161863</v>
      </c>
      <c r="AD338">
        <f t="shared" si="257"/>
        <v>0.20966038309772878</v>
      </c>
      <c r="AE338" s="9">
        <f t="shared" si="279"/>
        <v>9.9836360874018801</v>
      </c>
      <c r="AF338">
        <f t="shared" si="280"/>
        <v>0</v>
      </c>
      <c r="AH338">
        <f t="shared" si="258"/>
        <v>7.8539816339744828</v>
      </c>
      <c r="AI338">
        <f t="shared" si="259"/>
        <v>1.5849514265180495</v>
      </c>
      <c r="AJ338">
        <f t="shared" si="260"/>
        <v>0.33504264381161875</v>
      </c>
      <c r="AK338">
        <f t="shared" si="261"/>
        <v>0.20966038309772878</v>
      </c>
      <c r="AL338" s="9">
        <f t="shared" si="281"/>
        <v>9.9836360874018801</v>
      </c>
      <c r="AM338" t="e">
        <f t="shared" si="262"/>
        <v>#N/A</v>
      </c>
      <c r="AN338" t="e">
        <f t="shared" si="282"/>
        <v>#N/A</v>
      </c>
      <c r="AO338">
        <f t="shared" si="263"/>
        <v>0</v>
      </c>
      <c r="AP338">
        <f t="shared" si="264"/>
        <v>0</v>
      </c>
      <c r="AQ338">
        <f t="shared" si="265"/>
        <v>0</v>
      </c>
      <c r="AR338">
        <f t="shared" si="283"/>
        <v>0</v>
      </c>
      <c r="AS338">
        <f t="shared" si="266"/>
        <v>0</v>
      </c>
      <c r="AT338">
        <f t="shared" si="284"/>
        <v>0</v>
      </c>
      <c r="AU338">
        <f t="shared" si="285"/>
        <v>0</v>
      </c>
      <c r="AV338">
        <f t="shared" si="267"/>
        <v>2.1959732648592654E-20</v>
      </c>
      <c r="AW338" t="b">
        <f t="shared" si="286"/>
        <v>1</v>
      </c>
      <c r="AX338">
        <f t="shared" si="268"/>
        <v>7.8539816339744828</v>
      </c>
      <c r="AY338">
        <f t="shared" si="269"/>
        <v>1.5849514265180495</v>
      </c>
      <c r="AZ338">
        <f t="shared" si="270"/>
        <v>0.33504264381161863</v>
      </c>
      <c r="BA338">
        <f t="shared" si="271"/>
        <v>0.20966038309772878</v>
      </c>
      <c r="BB338">
        <f t="shared" si="272"/>
        <v>-1.2337005501361696E-20</v>
      </c>
      <c r="BD338" s="15">
        <f t="shared" si="287"/>
        <v>9.9836360874018801</v>
      </c>
      <c r="BE338" s="10">
        <f t="shared" si="288"/>
        <v>0</v>
      </c>
      <c r="BF338">
        <f t="shared" si="289"/>
        <v>0</v>
      </c>
      <c r="BG338">
        <f t="shared" si="290"/>
        <v>0</v>
      </c>
      <c r="BH338">
        <f t="shared" si="291"/>
        <v>0</v>
      </c>
      <c r="BI338">
        <f t="shared" si="292"/>
        <v>0</v>
      </c>
    </row>
    <row r="339" spans="1:61" x14ac:dyDescent="0.3">
      <c r="A339">
        <f t="shared" si="297"/>
        <v>0.30199999999999999</v>
      </c>
      <c r="B339">
        <f t="shared" si="240"/>
        <v>0.94876098138411746</v>
      </c>
      <c r="C339">
        <f t="shared" si="241"/>
        <v>2.1928316722056755</v>
      </c>
      <c r="D339">
        <f t="shared" si="242"/>
        <v>2.1928316722056755</v>
      </c>
      <c r="E339">
        <f t="shared" si="247"/>
        <v>0.81269416443309395</v>
      </c>
      <c r="F339">
        <f t="shared" si="248"/>
        <v>0.81269416443309406</v>
      </c>
      <c r="G339">
        <f t="shared" si="243"/>
        <v>0.94876098138411746</v>
      </c>
      <c r="H339">
        <f t="shared" si="244"/>
        <v>0.81269416443309395</v>
      </c>
      <c r="I339">
        <f t="shared" si="245"/>
        <v>0.81269416443309406</v>
      </c>
      <c r="J339">
        <f t="shared" si="293"/>
        <v>7.8334483035406598E+19</v>
      </c>
      <c r="K339">
        <f t="shared" si="294"/>
        <v>7.8334483035406598E+19</v>
      </c>
      <c r="L339">
        <f t="shared" si="249"/>
        <v>1</v>
      </c>
      <c r="M339">
        <f t="shared" si="246"/>
        <v>2.1928316722056758E-20</v>
      </c>
      <c r="N339" s="9">
        <f t="shared" si="295"/>
        <v>2.1928316722056758E-20</v>
      </c>
      <c r="O339">
        <f t="shared" si="296"/>
        <v>2.1928316722056758E-20</v>
      </c>
      <c r="Q339">
        <f t="shared" si="250"/>
        <v>45.807519576308906</v>
      </c>
      <c r="R339">
        <f t="shared" si="251"/>
        <v>-710542.73576010019</v>
      </c>
      <c r="S339">
        <f t="shared" si="273"/>
        <v>-45.266508150251276</v>
      </c>
      <c r="T339" s="9" t="e">
        <f t="shared" si="252"/>
        <v>#N/A</v>
      </c>
      <c r="U339">
        <f t="shared" si="274"/>
        <v>-1.0000000000000001E+300</v>
      </c>
      <c r="V339">
        <f t="shared" si="275"/>
        <v>0</v>
      </c>
      <c r="W339">
        <f t="shared" si="276"/>
        <v>0</v>
      </c>
      <c r="X339">
        <f t="shared" si="253"/>
        <v>2.1928316722056755</v>
      </c>
      <c r="Y339">
        <f t="shared" si="254"/>
        <v>7.8539816339744828</v>
      </c>
      <c r="Z339">
        <f t="shared" si="255"/>
        <v>-2.1928316722056755</v>
      </c>
      <c r="AA339">
        <f t="shared" si="277"/>
        <v>1.572229991095454</v>
      </c>
      <c r="AB339">
        <f t="shared" si="256"/>
        <v>9.4262116250699375</v>
      </c>
      <c r="AC339">
        <f t="shared" si="278"/>
        <v>0.33361100434018065</v>
      </c>
      <c r="AD339">
        <f t="shared" si="257"/>
        <v>0.20740042171744971</v>
      </c>
      <c r="AE339" s="9">
        <f t="shared" si="279"/>
        <v>9.9672230511275686</v>
      </c>
      <c r="AF339">
        <f t="shared" si="280"/>
        <v>0</v>
      </c>
      <c r="AH339">
        <f t="shared" si="258"/>
        <v>7.8539816339744828</v>
      </c>
      <c r="AI339">
        <f t="shared" si="259"/>
        <v>1.5722299910954545</v>
      </c>
      <c r="AJ339">
        <f t="shared" si="260"/>
        <v>0.33361100434018454</v>
      </c>
      <c r="AK339">
        <f t="shared" si="261"/>
        <v>0.20740042171744971</v>
      </c>
      <c r="AL339" s="9">
        <f t="shared" si="281"/>
        <v>9.9672230511275721</v>
      </c>
      <c r="AM339" t="e">
        <f t="shared" si="262"/>
        <v>#N/A</v>
      </c>
      <c r="AN339" t="e">
        <f t="shared" si="282"/>
        <v>#N/A</v>
      </c>
      <c r="AO339">
        <f t="shared" si="263"/>
        <v>0</v>
      </c>
      <c r="AP339">
        <f t="shared" si="264"/>
        <v>0</v>
      </c>
      <c r="AQ339">
        <f t="shared" si="265"/>
        <v>3.8857805861880479E-15</v>
      </c>
      <c r="AR339">
        <f t="shared" si="283"/>
        <v>0</v>
      </c>
      <c r="AS339">
        <f t="shared" si="266"/>
        <v>0</v>
      </c>
      <c r="AT339">
        <f t="shared" si="284"/>
        <v>0</v>
      </c>
      <c r="AU339">
        <f t="shared" si="285"/>
        <v>0</v>
      </c>
      <c r="AV339">
        <f t="shared" si="267"/>
        <v>2.1928316722056755E-20</v>
      </c>
      <c r="AW339" t="b">
        <f t="shared" si="286"/>
        <v>1</v>
      </c>
      <c r="AX339">
        <f t="shared" si="268"/>
        <v>7.8539816339744828</v>
      </c>
      <c r="AY339">
        <f t="shared" si="269"/>
        <v>1.5722299910954536</v>
      </c>
      <c r="AZ339">
        <f t="shared" si="270"/>
        <v>0.33361100434018082</v>
      </c>
      <c r="BA339">
        <f t="shared" si="271"/>
        <v>0.20740042171744957</v>
      </c>
      <c r="BB339">
        <f t="shared" si="272"/>
        <v>-1.2337005501361696E-20</v>
      </c>
      <c r="BD339" s="15">
        <f t="shared" si="287"/>
        <v>9.9672230511275668</v>
      </c>
      <c r="BE339" s="10">
        <f t="shared" si="288"/>
        <v>0</v>
      </c>
      <c r="BF339">
        <f t="shared" si="289"/>
        <v>0</v>
      </c>
      <c r="BG339">
        <f t="shared" si="290"/>
        <v>0</v>
      </c>
      <c r="BH339">
        <f t="shared" si="291"/>
        <v>0</v>
      </c>
      <c r="BI339">
        <f t="shared" si="292"/>
        <v>0</v>
      </c>
    </row>
    <row r="340" spans="1:61" x14ac:dyDescent="0.3">
      <c r="A340">
        <f t="shared" si="297"/>
        <v>0.30299999999999999</v>
      </c>
      <c r="B340">
        <f t="shared" si="240"/>
        <v>0.95190257403770728</v>
      </c>
      <c r="C340">
        <f t="shared" si="241"/>
        <v>2.1896900795520859</v>
      </c>
      <c r="D340">
        <f t="shared" si="242"/>
        <v>2.1896900795520859</v>
      </c>
      <c r="E340">
        <f t="shared" si="247"/>
        <v>0.81452072707050938</v>
      </c>
      <c r="F340">
        <f t="shared" si="248"/>
        <v>0.81452072707050938</v>
      </c>
      <c r="G340">
        <f t="shared" si="243"/>
        <v>0.95190257403770728</v>
      </c>
      <c r="H340">
        <f t="shared" si="244"/>
        <v>0.81452072707050938</v>
      </c>
      <c r="I340">
        <f t="shared" si="245"/>
        <v>0.81452072707050938</v>
      </c>
      <c r="J340">
        <f t="shared" si="293"/>
        <v>7.8158817966147617E+19</v>
      </c>
      <c r="K340">
        <f t="shared" si="294"/>
        <v>7.8158817966147617E+19</v>
      </c>
      <c r="L340" t="e">
        <f t="shared" si="249"/>
        <v>#NUM!</v>
      </c>
      <c r="M340">
        <f t="shared" si="246"/>
        <v>2.1896900795520858E-20</v>
      </c>
      <c r="N340" s="9" t="e">
        <f t="shared" si="295"/>
        <v>#NUM!</v>
      </c>
      <c r="O340" t="e">
        <f t="shared" si="296"/>
        <v>#NUM!</v>
      </c>
      <c r="Q340">
        <f t="shared" si="250"/>
        <v>45.805274558254901</v>
      </c>
      <c r="R340">
        <f t="shared" si="251"/>
        <v>0</v>
      </c>
      <c r="S340">
        <f t="shared" si="273"/>
        <v>-45.26794184225313</v>
      </c>
      <c r="T340" s="9" t="e">
        <f t="shared" si="252"/>
        <v>#N/A</v>
      </c>
      <c r="U340">
        <f t="shared" si="274"/>
        <v>-1.0000000000000001E+300</v>
      </c>
      <c r="V340">
        <f t="shared" si="275"/>
        <v>0</v>
      </c>
      <c r="W340">
        <f t="shared" si="276"/>
        <v>0</v>
      </c>
      <c r="X340">
        <f t="shared" si="253"/>
        <v>2.1896900795520859</v>
      </c>
      <c r="Y340">
        <f t="shared" si="254"/>
        <v>7.8539816339744828</v>
      </c>
      <c r="Z340">
        <f t="shared" si="255"/>
        <v>-2.1896900795520859</v>
      </c>
      <c r="AA340">
        <f t="shared" si="277"/>
        <v>1.5595854314929294</v>
      </c>
      <c r="AB340">
        <f t="shared" si="256"/>
        <v>9.4135670654674115</v>
      </c>
      <c r="AC340">
        <f t="shared" si="278"/>
        <v>0.33217731233833225</v>
      </c>
      <c r="AD340">
        <f t="shared" si="257"/>
        <v>0.20515540366344209</v>
      </c>
      <c r="AE340" s="9">
        <f t="shared" si="279"/>
        <v>9.950899781469186</v>
      </c>
      <c r="AF340">
        <f t="shared" si="280"/>
        <v>0</v>
      </c>
      <c r="AH340">
        <f t="shared" si="258"/>
        <v>7.8539816339744828</v>
      </c>
      <c r="AI340">
        <f t="shared" si="259"/>
        <v>1.5595854314929289</v>
      </c>
      <c r="AJ340">
        <f t="shared" si="260"/>
        <v>0.33217731233833092</v>
      </c>
      <c r="AK340">
        <f t="shared" si="261"/>
        <v>0.20515540366344209</v>
      </c>
      <c r="AL340" s="9">
        <f t="shared" si="281"/>
        <v>9.9508997814691842</v>
      </c>
      <c r="AM340" t="e">
        <f t="shared" si="262"/>
        <v>#N/A</v>
      </c>
      <c r="AN340" t="e">
        <f t="shared" si="282"/>
        <v>#N/A</v>
      </c>
      <c r="AO340">
        <f t="shared" si="263"/>
        <v>0</v>
      </c>
      <c r="AP340">
        <f t="shared" si="264"/>
        <v>0</v>
      </c>
      <c r="AQ340">
        <f t="shared" si="265"/>
        <v>-1.3322676295501878E-15</v>
      </c>
      <c r="AR340">
        <f t="shared" si="283"/>
        <v>0</v>
      </c>
      <c r="AS340">
        <f t="shared" si="266"/>
        <v>0</v>
      </c>
      <c r="AT340">
        <f t="shared" si="284"/>
        <v>0</v>
      </c>
      <c r="AU340">
        <f t="shared" si="285"/>
        <v>0</v>
      </c>
      <c r="AV340">
        <f t="shared" si="267"/>
        <v>2.1896900795520858E-20</v>
      </c>
      <c r="AW340" t="b">
        <f t="shared" si="286"/>
        <v>1</v>
      </c>
      <c r="AX340">
        <f t="shared" si="268"/>
        <v>7.8539816339744828</v>
      </c>
      <c r="AY340">
        <f t="shared" si="269"/>
        <v>1.5595854314929289</v>
      </c>
      <c r="AZ340">
        <f t="shared" si="270"/>
        <v>0.33217731233833225</v>
      </c>
      <c r="BA340">
        <f t="shared" si="271"/>
        <v>0.20515540366344209</v>
      </c>
      <c r="BB340">
        <f t="shared" si="272"/>
        <v>-1.2337005501361696E-20</v>
      </c>
      <c r="BD340" s="15">
        <f t="shared" si="287"/>
        <v>9.950899781469186</v>
      </c>
      <c r="BE340" s="10">
        <f t="shared" si="288"/>
        <v>0</v>
      </c>
      <c r="BF340">
        <f t="shared" si="289"/>
        <v>0</v>
      </c>
      <c r="BG340">
        <f t="shared" si="290"/>
        <v>0</v>
      </c>
      <c r="BH340">
        <f t="shared" si="291"/>
        <v>0</v>
      </c>
      <c r="BI340">
        <f t="shared" si="292"/>
        <v>0</v>
      </c>
    </row>
    <row r="341" spans="1:61" x14ac:dyDescent="0.3">
      <c r="A341">
        <f t="shared" si="297"/>
        <v>0.30399999999999999</v>
      </c>
      <c r="B341">
        <f t="shared" si="240"/>
        <v>0.9550441666912971</v>
      </c>
      <c r="C341">
        <f t="shared" si="241"/>
        <v>2.1865484868984959</v>
      </c>
      <c r="D341">
        <f t="shared" si="242"/>
        <v>2.1865484868984959</v>
      </c>
      <c r="E341">
        <f t="shared" si="247"/>
        <v>0.81633925071718394</v>
      </c>
      <c r="F341">
        <f t="shared" si="248"/>
        <v>0.81633925071718405</v>
      </c>
      <c r="G341">
        <f t="shared" si="243"/>
        <v>0.9550441666912971</v>
      </c>
      <c r="H341">
        <f t="shared" si="244"/>
        <v>0.81633925071718394</v>
      </c>
      <c r="I341">
        <f t="shared" si="245"/>
        <v>0.81633925071718405</v>
      </c>
      <c r="J341">
        <f t="shared" si="293"/>
        <v>7.7984706947300114E+19</v>
      </c>
      <c r="K341">
        <f t="shared" si="294"/>
        <v>7.7984706947300114E+19</v>
      </c>
      <c r="L341">
        <f t="shared" si="249"/>
        <v>1</v>
      </c>
      <c r="M341">
        <f t="shared" si="246"/>
        <v>2.1865484868984958E-20</v>
      </c>
      <c r="N341" s="9">
        <f t="shared" si="295"/>
        <v>2.1865484868984958E-20</v>
      </c>
      <c r="O341">
        <f t="shared" si="296"/>
        <v>2.1865484868984958E-20</v>
      </c>
      <c r="Q341">
        <f t="shared" si="250"/>
        <v>45.803044416581002</v>
      </c>
      <c r="R341">
        <f t="shared" si="251"/>
        <v>0</v>
      </c>
      <c r="S341">
        <f t="shared" si="273"/>
        <v>-45.269377592679234</v>
      </c>
      <c r="T341" s="9" t="e">
        <f t="shared" si="252"/>
        <v>#N/A</v>
      </c>
      <c r="U341">
        <f t="shared" si="274"/>
        <v>-1.0000000000000001E+300</v>
      </c>
      <c r="V341">
        <f t="shared" si="275"/>
        <v>0</v>
      </c>
      <c r="W341">
        <f t="shared" si="276"/>
        <v>0</v>
      </c>
      <c r="X341">
        <f t="shared" si="253"/>
        <v>2.1865484868984959</v>
      </c>
      <c r="Y341">
        <f t="shared" si="254"/>
        <v>7.8539816339744828</v>
      </c>
      <c r="Z341">
        <f t="shared" si="255"/>
        <v>-2.1865484868984959</v>
      </c>
      <c r="AA341">
        <f t="shared" si="277"/>
        <v>1.5470170270905592</v>
      </c>
      <c r="AB341">
        <f t="shared" si="256"/>
        <v>9.4009986610650422</v>
      </c>
      <c r="AC341">
        <f t="shared" si="278"/>
        <v>0.33074156191222781</v>
      </c>
      <c r="AD341">
        <f t="shared" si="257"/>
        <v>0.20292526198954008</v>
      </c>
      <c r="AE341" s="9">
        <f t="shared" si="279"/>
        <v>9.9346654849668106</v>
      </c>
      <c r="AF341">
        <f t="shared" si="280"/>
        <v>0</v>
      </c>
      <c r="AH341">
        <f t="shared" si="258"/>
        <v>7.8539816339744828</v>
      </c>
      <c r="AI341">
        <f t="shared" si="259"/>
        <v>1.5470170270905601</v>
      </c>
      <c r="AJ341">
        <f t="shared" si="260"/>
        <v>0.3307415619122267</v>
      </c>
      <c r="AK341">
        <f t="shared" si="261"/>
        <v>0.20292526198954008</v>
      </c>
      <c r="AL341" s="9">
        <f t="shared" si="281"/>
        <v>9.9346654849668088</v>
      </c>
      <c r="AM341" t="e">
        <f t="shared" si="262"/>
        <v>#N/A</v>
      </c>
      <c r="AN341" t="e">
        <f t="shared" si="282"/>
        <v>#N/A</v>
      </c>
      <c r="AO341">
        <f t="shared" si="263"/>
        <v>0</v>
      </c>
      <c r="AP341">
        <f t="shared" si="264"/>
        <v>0</v>
      </c>
      <c r="AQ341">
        <f t="shared" si="265"/>
        <v>-1.1102230246251565E-15</v>
      </c>
      <c r="AR341">
        <f t="shared" si="283"/>
        <v>0</v>
      </c>
      <c r="AS341">
        <f t="shared" si="266"/>
        <v>0</v>
      </c>
      <c r="AT341">
        <f t="shared" si="284"/>
        <v>0</v>
      </c>
      <c r="AU341">
        <f t="shared" si="285"/>
        <v>0</v>
      </c>
      <c r="AV341">
        <f t="shared" si="267"/>
        <v>2.1865484868984958E-20</v>
      </c>
      <c r="AW341" t="b">
        <f t="shared" si="286"/>
        <v>1</v>
      </c>
      <c r="AX341">
        <f t="shared" si="268"/>
        <v>7.8539816339744828</v>
      </c>
      <c r="AY341">
        <f t="shared" si="269"/>
        <v>1.5470170270905592</v>
      </c>
      <c r="AZ341">
        <f t="shared" si="270"/>
        <v>0.33074156191222798</v>
      </c>
      <c r="BA341">
        <f t="shared" si="271"/>
        <v>0.20292526198953995</v>
      </c>
      <c r="BB341">
        <f t="shared" si="272"/>
        <v>-1.2337005501361696E-20</v>
      </c>
      <c r="BD341" s="15">
        <f t="shared" si="287"/>
        <v>9.9346654849668106</v>
      </c>
      <c r="BE341" s="10">
        <f t="shared" si="288"/>
        <v>0</v>
      </c>
      <c r="BF341">
        <f t="shared" si="289"/>
        <v>0</v>
      </c>
      <c r="BG341">
        <f t="shared" si="290"/>
        <v>0</v>
      </c>
      <c r="BH341">
        <f t="shared" si="291"/>
        <v>0</v>
      </c>
      <c r="BI341">
        <f t="shared" si="292"/>
        <v>0</v>
      </c>
    </row>
    <row r="342" spans="1:61" x14ac:dyDescent="0.3">
      <c r="A342">
        <f t="shared" si="297"/>
        <v>0.30499999999999999</v>
      </c>
      <c r="B342">
        <f t="shared" si="240"/>
        <v>0.95818575934488692</v>
      </c>
      <c r="C342">
        <f t="shared" si="241"/>
        <v>2.1834068942449063</v>
      </c>
      <c r="D342">
        <f t="shared" si="242"/>
        <v>2.1834068942449063</v>
      </c>
      <c r="E342">
        <f t="shared" si="247"/>
        <v>0.8181497174250234</v>
      </c>
      <c r="F342">
        <f t="shared" si="248"/>
        <v>0.8181497174250234</v>
      </c>
      <c r="G342">
        <f t="shared" si="243"/>
        <v>0.95818575934488692</v>
      </c>
      <c r="H342">
        <f t="shared" si="244"/>
        <v>0.8181497174250234</v>
      </c>
      <c r="I342">
        <f t="shared" si="245"/>
        <v>0.8181497174250234</v>
      </c>
      <c r="J342">
        <f t="shared" si="293"/>
        <v>7.7812136190821614E+19</v>
      </c>
      <c r="K342">
        <f t="shared" si="294"/>
        <v>7.7812136190821614E+19</v>
      </c>
      <c r="L342">
        <f t="shared" si="249"/>
        <v>1</v>
      </c>
      <c r="M342">
        <f t="shared" si="246"/>
        <v>2.1834068942449062E-20</v>
      </c>
      <c r="N342" s="9">
        <f t="shared" si="295"/>
        <v>2.1834068942449062E-20</v>
      </c>
      <c r="O342">
        <f t="shared" si="296"/>
        <v>2.1834068942449062E-20</v>
      </c>
      <c r="Q342">
        <f t="shared" si="250"/>
        <v>45.800829085081595</v>
      </c>
      <c r="R342">
        <f t="shared" si="251"/>
        <v>-710542.73576010019</v>
      </c>
      <c r="S342">
        <f t="shared" si="273"/>
        <v>-45.270815407448858</v>
      </c>
      <c r="T342" s="9" t="e">
        <f t="shared" si="252"/>
        <v>#N/A</v>
      </c>
      <c r="U342">
        <f t="shared" si="274"/>
        <v>-1.0000000000000001E+300</v>
      </c>
      <c r="V342">
        <f t="shared" si="275"/>
        <v>0</v>
      </c>
      <c r="W342">
        <f t="shared" si="276"/>
        <v>0</v>
      </c>
      <c r="X342">
        <f t="shared" si="253"/>
        <v>2.1834068942449063</v>
      </c>
      <c r="Y342">
        <f t="shared" si="254"/>
        <v>7.8539816339744828</v>
      </c>
      <c r="Z342">
        <f t="shared" si="255"/>
        <v>-2.1834068942449063</v>
      </c>
      <c r="AA342">
        <f t="shared" si="277"/>
        <v>1.5345240666826703</v>
      </c>
      <c r="AB342">
        <f t="shared" si="256"/>
        <v>9.3885057006571522</v>
      </c>
      <c r="AC342">
        <f t="shared" si="278"/>
        <v>0.32930374714260047</v>
      </c>
      <c r="AD342">
        <f t="shared" si="257"/>
        <v>0.20070993049013952</v>
      </c>
      <c r="AE342" s="9">
        <f t="shared" si="279"/>
        <v>9.9185193782898917</v>
      </c>
      <c r="AF342">
        <f t="shared" si="280"/>
        <v>0</v>
      </c>
      <c r="AH342">
        <f t="shared" si="258"/>
        <v>7.8539816339744828</v>
      </c>
      <c r="AI342">
        <f t="shared" si="259"/>
        <v>1.5345240666826701</v>
      </c>
      <c r="AJ342">
        <f t="shared" si="260"/>
        <v>0.32930374714260324</v>
      </c>
      <c r="AK342">
        <f t="shared" si="261"/>
        <v>0.20070993049013952</v>
      </c>
      <c r="AL342" s="9">
        <f t="shared" si="281"/>
        <v>9.9185193782898953</v>
      </c>
      <c r="AM342" t="e">
        <f t="shared" si="262"/>
        <v>#N/A</v>
      </c>
      <c r="AN342" t="e">
        <f t="shared" si="282"/>
        <v>#N/A</v>
      </c>
      <c r="AO342">
        <f t="shared" si="263"/>
        <v>0</v>
      </c>
      <c r="AP342">
        <f t="shared" si="264"/>
        <v>0</v>
      </c>
      <c r="AQ342">
        <f t="shared" si="265"/>
        <v>2.7755575615628914E-15</v>
      </c>
      <c r="AR342">
        <f t="shared" si="283"/>
        <v>0</v>
      </c>
      <c r="AS342">
        <f t="shared" si="266"/>
        <v>0</v>
      </c>
      <c r="AT342">
        <f t="shared" si="284"/>
        <v>0</v>
      </c>
      <c r="AU342">
        <f t="shared" si="285"/>
        <v>0</v>
      </c>
      <c r="AV342">
        <f t="shared" si="267"/>
        <v>2.1834068942449062E-20</v>
      </c>
      <c r="AW342" t="b">
        <f t="shared" si="286"/>
        <v>1</v>
      </c>
      <c r="AX342">
        <f t="shared" si="268"/>
        <v>7.8539816339744828</v>
      </c>
      <c r="AY342">
        <f t="shared" si="269"/>
        <v>1.5345240666826701</v>
      </c>
      <c r="AZ342">
        <f t="shared" si="270"/>
        <v>0.32930374714260047</v>
      </c>
      <c r="BA342">
        <f t="shared" si="271"/>
        <v>0.20070993049013952</v>
      </c>
      <c r="BB342">
        <f t="shared" si="272"/>
        <v>-1.2337005501361696E-20</v>
      </c>
      <c r="BD342" s="15">
        <f t="shared" si="287"/>
        <v>9.9185193782898917</v>
      </c>
      <c r="BE342" s="10">
        <f t="shared" si="288"/>
        <v>0</v>
      </c>
      <c r="BF342">
        <f t="shared" si="289"/>
        <v>0</v>
      </c>
      <c r="BG342">
        <f t="shared" si="290"/>
        <v>0</v>
      </c>
      <c r="BH342">
        <f t="shared" si="291"/>
        <v>0</v>
      </c>
      <c r="BI342">
        <f t="shared" si="292"/>
        <v>0</v>
      </c>
    </row>
    <row r="343" spans="1:61" x14ac:dyDescent="0.3">
      <c r="A343">
        <f t="shared" si="297"/>
        <v>0.30599999999999999</v>
      </c>
      <c r="B343">
        <f t="shared" si="240"/>
        <v>0.96132735199847663</v>
      </c>
      <c r="C343">
        <f t="shared" si="241"/>
        <v>2.1802653015913167</v>
      </c>
      <c r="D343">
        <f t="shared" si="242"/>
        <v>2.1802653015913167</v>
      </c>
      <c r="E343">
        <f t="shared" si="247"/>
        <v>0.81995210932545226</v>
      </c>
      <c r="F343">
        <f t="shared" si="248"/>
        <v>0.81995210932545226</v>
      </c>
      <c r="G343">
        <f t="shared" si="243"/>
        <v>0.96132735199847663</v>
      </c>
      <c r="H343">
        <f t="shared" si="244"/>
        <v>0.81995210932545226</v>
      </c>
      <c r="I343">
        <f t="shared" si="245"/>
        <v>0.81995210932545226</v>
      </c>
      <c r="J343">
        <f t="shared" si="293"/>
        <v>7.7641092098818753E+19</v>
      </c>
      <c r="K343">
        <f t="shared" si="294"/>
        <v>7.7641092098818753E+19</v>
      </c>
      <c r="L343">
        <f t="shared" si="249"/>
        <v>1</v>
      </c>
      <c r="M343">
        <f t="shared" si="246"/>
        <v>2.1802653015913165E-20</v>
      </c>
      <c r="N343" s="9">
        <f t="shared" si="295"/>
        <v>2.1802653015913165E-20</v>
      </c>
      <c r="O343">
        <f t="shared" si="296"/>
        <v>2.1802653015913165E-20</v>
      </c>
      <c r="Q343">
        <f t="shared" si="250"/>
        <v>45.798628498282476</v>
      </c>
      <c r="R343">
        <f t="shared" si="251"/>
        <v>-710542.73576010019</v>
      </c>
      <c r="S343">
        <f t="shared" si="273"/>
        <v>-45.272255292506848</v>
      </c>
      <c r="T343" s="9" t="e">
        <f t="shared" si="252"/>
        <v>#N/A</v>
      </c>
      <c r="U343">
        <f t="shared" si="274"/>
        <v>-1.0000000000000001E+300</v>
      </c>
      <c r="V343">
        <f t="shared" si="275"/>
        <v>0</v>
      </c>
      <c r="W343">
        <f t="shared" si="276"/>
        <v>0</v>
      </c>
      <c r="X343">
        <f t="shared" si="253"/>
        <v>2.1802653015913167</v>
      </c>
      <c r="Y343">
        <f t="shared" si="254"/>
        <v>7.8539816339744828</v>
      </c>
      <c r="Z343">
        <f t="shared" si="255"/>
        <v>-2.1802653015913167</v>
      </c>
      <c r="AA343">
        <f t="shared" si="277"/>
        <v>1.5221058483242185</v>
      </c>
      <c r="AB343">
        <f t="shared" si="256"/>
        <v>9.3760874822987006</v>
      </c>
      <c r="AC343">
        <f t="shared" si="278"/>
        <v>0.32786386208461282</v>
      </c>
      <c r="AD343">
        <f t="shared" si="257"/>
        <v>0.19850934369101872</v>
      </c>
      <c r="AE343" s="9">
        <f t="shared" si="279"/>
        <v>9.9024606880743313</v>
      </c>
      <c r="AF343">
        <f t="shared" si="280"/>
        <v>0</v>
      </c>
      <c r="AH343">
        <f t="shared" si="258"/>
        <v>7.8539816339744828</v>
      </c>
      <c r="AI343">
        <f t="shared" si="259"/>
        <v>1.5221058483242171</v>
      </c>
      <c r="AJ343">
        <f t="shared" si="260"/>
        <v>0.32786386208461238</v>
      </c>
      <c r="AK343">
        <f t="shared" si="261"/>
        <v>0.19850934369101872</v>
      </c>
      <c r="AL343" s="9">
        <f t="shared" si="281"/>
        <v>9.9024606880743313</v>
      </c>
      <c r="AM343" t="e">
        <f t="shared" si="262"/>
        <v>#N/A</v>
      </c>
      <c r="AN343" t="e">
        <f t="shared" si="282"/>
        <v>#N/A</v>
      </c>
      <c r="AO343">
        <f t="shared" si="263"/>
        <v>0</v>
      </c>
      <c r="AP343">
        <f t="shared" si="264"/>
        <v>0</v>
      </c>
      <c r="AQ343">
        <f t="shared" si="265"/>
        <v>-4.4408920985006262E-16</v>
      </c>
      <c r="AR343">
        <f t="shared" si="283"/>
        <v>0</v>
      </c>
      <c r="AS343">
        <f t="shared" si="266"/>
        <v>0</v>
      </c>
      <c r="AT343">
        <f t="shared" si="284"/>
        <v>0</v>
      </c>
      <c r="AU343">
        <f t="shared" si="285"/>
        <v>0</v>
      </c>
      <c r="AV343">
        <f t="shared" si="267"/>
        <v>2.1802653015913165E-20</v>
      </c>
      <c r="AW343" t="b">
        <f t="shared" si="286"/>
        <v>1</v>
      </c>
      <c r="AX343">
        <f t="shared" si="268"/>
        <v>7.8539816339744828</v>
      </c>
      <c r="AY343">
        <f t="shared" si="269"/>
        <v>1.522105848324218</v>
      </c>
      <c r="AZ343">
        <f t="shared" si="270"/>
        <v>0.32786386208461282</v>
      </c>
      <c r="BA343">
        <f t="shared" si="271"/>
        <v>0.19850934369101872</v>
      </c>
      <c r="BB343">
        <f t="shared" si="272"/>
        <v>-1.2337005501361696E-20</v>
      </c>
      <c r="BD343" s="15">
        <f t="shared" si="287"/>
        <v>9.9024606880743313</v>
      </c>
      <c r="BE343" s="10">
        <f t="shared" si="288"/>
        <v>0</v>
      </c>
      <c r="BF343">
        <f t="shared" si="289"/>
        <v>0</v>
      </c>
      <c r="BG343">
        <f t="shared" si="290"/>
        <v>0</v>
      </c>
      <c r="BH343">
        <f t="shared" si="291"/>
        <v>0</v>
      </c>
      <c r="BI343">
        <f t="shared" si="292"/>
        <v>0</v>
      </c>
    </row>
    <row r="344" spans="1:61" x14ac:dyDescent="0.3">
      <c r="A344">
        <f t="shared" si="297"/>
        <v>0.307</v>
      </c>
      <c r="B344">
        <f t="shared" ref="B344:B407" si="298">th_max*A344</f>
        <v>0.96446894465206645</v>
      </c>
      <c r="C344">
        <f t="shared" ref="C344:C407" si="299">th_max-B344</f>
        <v>2.1771237089377267</v>
      </c>
      <c r="D344">
        <f t="shared" ref="D344:D407" si="300">IF(use_th_l,B344,C344)</f>
        <v>2.1771237089377267</v>
      </c>
      <c r="E344">
        <f t="shared" si="247"/>
        <v>0.82174640862959025</v>
      </c>
      <c r="F344">
        <f t="shared" si="248"/>
        <v>0.82174640862959025</v>
      </c>
      <c r="G344">
        <f t="shared" ref="G344:G407" si="301">alpha*B344</f>
        <v>0.96446894465206645</v>
      </c>
      <c r="H344">
        <f t="shared" ref="H344:H407" si="302">SIN(G344)</f>
        <v>0.82174640862959025</v>
      </c>
      <c r="I344">
        <f t="shared" ref="I344:I407" si="303">SIN(alpha*C344+add_r)</f>
        <v>0.82174640862959025</v>
      </c>
      <c r="J344">
        <f t="shared" si="293"/>
        <v>7.7471561260518228E+19</v>
      </c>
      <c r="K344">
        <f t="shared" si="294"/>
        <v>7.7471561260518228E+19</v>
      </c>
      <c r="L344">
        <f t="shared" si="249"/>
        <v>1</v>
      </c>
      <c r="M344">
        <f t="shared" ref="M344:M407" si="304">-SIN((alpha_m_1)*B344+add_l)</f>
        <v>2.1771237089377266E-20</v>
      </c>
      <c r="N344" s="9">
        <f t="shared" si="295"/>
        <v>2.1771237089377266E-20</v>
      </c>
      <c r="O344">
        <f t="shared" si="296"/>
        <v>2.1771237089377266E-20</v>
      </c>
      <c r="Q344">
        <f t="shared" si="250"/>
        <v>45.79644259143177</v>
      </c>
      <c r="R344">
        <f t="shared" si="251"/>
        <v>0</v>
      </c>
      <c r="S344">
        <f t="shared" si="273"/>
        <v>-45.273697253823748</v>
      </c>
      <c r="T344" s="9" t="e">
        <f t="shared" si="252"/>
        <v>#N/A</v>
      </c>
      <c r="U344">
        <f t="shared" si="274"/>
        <v>-1.0000000000000001E+300</v>
      </c>
      <c r="V344">
        <f t="shared" si="275"/>
        <v>0</v>
      </c>
      <c r="W344">
        <f t="shared" si="276"/>
        <v>0</v>
      </c>
      <c r="X344">
        <f t="shared" si="253"/>
        <v>2.1771237089377267</v>
      </c>
      <c r="Y344">
        <f t="shared" si="254"/>
        <v>7.8539816339744828</v>
      </c>
      <c r="Z344">
        <f t="shared" si="255"/>
        <v>-2.1771237089377267</v>
      </c>
      <c r="AA344">
        <f t="shared" si="277"/>
        <v>1.5097616791801907</v>
      </c>
      <c r="AB344">
        <f t="shared" si="256"/>
        <v>9.3637433131546732</v>
      </c>
      <c r="AC344">
        <f t="shared" si="278"/>
        <v>0.3264219007677116</v>
      </c>
      <c r="AD344">
        <f t="shared" si="257"/>
        <v>0.19632343684031223</v>
      </c>
      <c r="AE344" s="9">
        <f t="shared" si="279"/>
        <v>9.886488650762697</v>
      </c>
      <c r="AF344">
        <f t="shared" si="280"/>
        <v>0</v>
      </c>
      <c r="AH344">
        <f t="shared" si="258"/>
        <v>7.8539816339744828</v>
      </c>
      <c r="AI344">
        <f t="shared" si="259"/>
        <v>1.5097616791801907</v>
      </c>
      <c r="AJ344">
        <f t="shared" si="260"/>
        <v>0.32642190076771271</v>
      </c>
      <c r="AK344">
        <f t="shared" si="261"/>
        <v>0.19632343684031223</v>
      </c>
      <c r="AL344" s="9">
        <f t="shared" si="281"/>
        <v>9.8864886507626988</v>
      </c>
      <c r="AM344" t="e">
        <f t="shared" si="262"/>
        <v>#N/A</v>
      </c>
      <c r="AN344" t="e">
        <f t="shared" si="282"/>
        <v>#N/A</v>
      </c>
      <c r="AO344">
        <f t="shared" si="263"/>
        <v>0</v>
      </c>
      <c r="AP344">
        <f t="shared" si="264"/>
        <v>0</v>
      </c>
      <c r="AQ344">
        <f t="shared" si="265"/>
        <v>1.1102230246251565E-15</v>
      </c>
      <c r="AR344">
        <f t="shared" si="283"/>
        <v>0</v>
      </c>
      <c r="AS344">
        <f t="shared" si="266"/>
        <v>0</v>
      </c>
      <c r="AT344">
        <f t="shared" si="284"/>
        <v>0</v>
      </c>
      <c r="AU344">
        <f t="shared" si="285"/>
        <v>0</v>
      </c>
      <c r="AV344">
        <f t="shared" si="267"/>
        <v>2.1771237089377266E-20</v>
      </c>
      <c r="AW344" t="b">
        <f t="shared" si="286"/>
        <v>1</v>
      </c>
      <c r="AX344">
        <f t="shared" si="268"/>
        <v>7.8539816339744828</v>
      </c>
      <c r="AY344">
        <f t="shared" si="269"/>
        <v>1.5097616791801904</v>
      </c>
      <c r="AZ344">
        <f t="shared" si="270"/>
        <v>0.3264219007677116</v>
      </c>
      <c r="BA344">
        <f t="shared" si="271"/>
        <v>0.19632343684031223</v>
      </c>
      <c r="BB344">
        <f t="shared" si="272"/>
        <v>-1.2337005501361696E-20</v>
      </c>
      <c r="BD344" s="15">
        <f t="shared" si="287"/>
        <v>9.886488650762697</v>
      </c>
      <c r="BE344" s="10">
        <f t="shared" si="288"/>
        <v>0</v>
      </c>
      <c r="BF344">
        <f t="shared" si="289"/>
        <v>0</v>
      </c>
      <c r="BG344">
        <f t="shared" si="290"/>
        <v>0</v>
      </c>
      <c r="BH344">
        <f t="shared" si="291"/>
        <v>0</v>
      </c>
      <c r="BI344">
        <f t="shared" si="292"/>
        <v>0</v>
      </c>
    </row>
    <row r="345" spans="1:61" x14ac:dyDescent="0.3">
      <c r="A345">
        <f t="shared" si="297"/>
        <v>0.308</v>
      </c>
      <c r="B345">
        <f t="shared" si="298"/>
        <v>0.96761053730565627</v>
      </c>
      <c r="C345">
        <f t="shared" si="299"/>
        <v>2.1739821162841366</v>
      </c>
      <c r="D345">
        <f t="shared" si="300"/>
        <v>2.1739821162841366</v>
      </c>
      <c r="E345">
        <f t="shared" ref="E345:E408" si="305">SIN(B345-add_l)</f>
        <v>0.82353259762842745</v>
      </c>
      <c r="F345">
        <f t="shared" ref="F345:F408" si="306">SIN(C345)</f>
        <v>0.82353259762842757</v>
      </c>
      <c r="G345">
        <f t="shared" si="301"/>
        <v>0.96761053730565627</v>
      </c>
      <c r="H345">
        <f t="shared" si="302"/>
        <v>0.82353259762842745</v>
      </c>
      <c r="I345">
        <f t="shared" si="303"/>
        <v>0.82353259762842757</v>
      </c>
      <c r="J345">
        <f t="shared" si="293"/>
        <v>7.7303530449297424E+19</v>
      </c>
      <c r="K345">
        <f t="shared" si="294"/>
        <v>7.7303530449297424E+19</v>
      </c>
      <c r="L345">
        <f t="shared" ref="L345:L408" si="307">(cat0*E345*K345)^(1/(alpha_m_1))</f>
        <v>1</v>
      </c>
      <c r="M345">
        <f t="shared" si="304"/>
        <v>2.1739821162841366E-20</v>
      </c>
      <c r="N345" s="9">
        <f t="shared" si="295"/>
        <v>2.1739821162841366E-20</v>
      </c>
      <c r="O345">
        <f t="shared" si="296"/>
        <v>2.1739821162841366E-20</v>
      </c>
      <c r="Q345">
        <f t="shared" ref="Q345:Q408" si="308">alpha*LN(J345)</f>
        <v>45.794271300491097</v>
      </c>
      <c r="R345">
        <f t="shared" ref="R345:R408" si="309">(LN(cat0)+LN(E345)+Q345)/(alpha_m_1)</f>
        <v>0</v>
      </c>
      <c r="S345">
        <f t="shared" si="273"/>
        <v>-45.275141297395983</v>
      </c>
      <c r="T345" s="9" t="e">
        <f t="shared" ref="T345:T408" si="310">IF(ABS(alpha_m_1)&gt;0.00000000000001,R345+S345,NA())</f>
        <v>#N/A</v>
      </c>
      <c r="U345">
        <f t="shared" si="274"/>
        <v>-1.0000000000000001E+300</v>
      </c>
      <c r="V345">
        <f t="shared" si="275"/>
        <v>0</v>
      </c>
      <c r="W345">
        <f t="shared" si="276"/>
        <v>0</v>
      </c>
      <c r="X345">
        <f t="shared" ref="X345:X408" si="311">C345</f>
        <v>2.1739821162841366</v>
      </c>
      <c r="Y345">
        <f t="shared" ref="Y345:Y408" si="312">ea</f>
        <v>7.8539816339744828</v>
      </c>
      <c r="Z345">
        <f t="shared" ref="Z345:Z408" si="313">p2b+PI()/2-X345</f>
        <v>-2.1739821162841366</v>
      </c>
      <c r="AA345">
        <f t="shared" si="277"/>
        <v>1.4974908753779412</v>
      </c>
      <c r="AB345">
        <f t="shared" ref="AB345:AB408" si="314">$AA$7+AA345</f>
        <v>9.3514725093524245</v>
      </c>
      <c r="AC345">
        <f t="shared" si="278"/>
        <v>0.32497785719547773</v>
      </c>
      <c r="AD345">
        <f t="shared" ref="AD345:AD408" si="315">-LN(SIN(A345*PI()))</f>
        <v>0.1941521458996355</v>
      </c>
      <c r="AE345" s="9">
        <f t="shared" si="279"/>
        <v>9.8706025124475385</v>
      </c>
      <c r="AF345">
        <f t="shared" si="280"/>
        <v>0</v>
      </c>
      <c r="AH345">
        <f t="shared" ref="AH345:AH408" si="316">IF(use_alpha_near_1,$D$18,NA())</f>
        <v>7.8539816339744828</v>
      </c>
      <c r="AI345">
        <f t="shared" ref="AI345:AI408" si="317">IF(use_alpha_near_1,alpha/(alpha_m_1)*(log1p(-SIN(add_l)*_xlfn.COT(B345)-2*SIN(add_l/2)^2)-log1p(SIN(alpha_m_1*B345)*_xlfn.COT(B345)-2*SIN(alpha_m_1*B345/2)^2)),NA())</f>
        <v>1.4974908753779423</v>
      </c>
      <c r="AJ345">
        <f t="shared" ref="AJ345:AJ408" si="318">IF(use_alpha_near_1,$D$21+LN(M345),NA())</f>
        <v>0.32497785719547778</v>
      </c>
      <c r="AK345">
        <f t="shared" ref="AK345:AK408" si="319">IF(use_alpha_near_1,-LN(E345),NA())</f>
        <v>0.1941521458996355</v>
      </c>
      <c r="AL345" s="9">
        <f t="shared" si="281"/>
        <v>9.8706025124475385</v>
      </c>
      <c r="AM345" t="e">
        <f t="shared" ref="AM345:AM408" si="320">AL345-T345</f>
        <v>#N/A</v>
      </c>
      <c r="AN345" t="e">
        <f t="shared" si="282"/>
        <v>#N/A</v>
      </c>
      <c r="AO345">
        <f t="shared" ref="AO345:AO408" si="321">AH345-Y345</f>
        <v>0</v>
      </c>
      <c r="AP345">
        <f t="shared" ref="AP345:AP408" si="322">AI345-AA345</f>
        <v>0</v>
      </c>
      <c r="AQ345">
        <f t="shared" ref="AQ345:AQ408" si="323">AJ345-AC345</f>
        <v>0</v>
      </c>
      <c r="AR345">
        <f t="shared" si="283"/>
        <v>0</v>
      </c>
      <c r="AS345">
        <f t="shared" ref="AS345:AS408" si="324">AL345-AE345</f>
        <v>0</v>
      </c>
      <c r="AT345">
        <f t="shared" si="284"/>
        <v>0</v>
      </c>
      <c r="AU345">
        <f t="shared" si="285"/>
        <v>0</v>
      </c>
      <c r="AV345">
        <f t="shared" ref="AV345:AV408" si="325">alpha_m_1*C345+add_r</f>
        <v>2.1739821162841366E-20</v>
      </c>
      <c r="AW345" t="b">
        <f t="shared" si="286"/>
        <v>1</v>
      </c>
      <c r="AX345">
        <f t="shared" ref="AX345:AX408" si="326">IF(use_alpha_near_1,$D$18,NA())</f>
        <v>7.8539816339744828</v>
      </c>
      <c r="AY345">
        <f t="shared" ref="AY345:AY408" si="327">-alpha/alpha_m_1*log1p(_xlfn.COT(C345)*SIN(AV345)-2*SIN(AV345/2)^2)</f>
        <v>1.4974908753779408</v>
      </c>
      <c r="AZ345">
        <f t="shared" ref="AZ345:AZ408" si="328">LN(ABS(zeta)*SIN(AV345))</f>
        <v>0.32497785719547773</v>
      </c>
      <c r="BA345">
        <f t="shared" ref="BA345:BA408" si="329">-LN(SIN(C345))</f>
        <v>0.19415214589963539</v>
      </c>
      <c r="BB345">
        <f t="shared" ref="BB345:BB408" si="330">-log1p(zeta^-2)/(2*alpha_m_1)</f>
        <v>-1.2337005501361696E-20</v>
      </c>
      <c r="BD345" s="15">
        <f t="shared" si="287"/>
        <v>9.8706025124475367</v>
      </c>
      <c r="BE345" s="10">
        <f t="shared" si="288"/>
        <v>0</v>
      </c>
      <c r="BF345">
        <f t="shared" si="289"/>
        <v>0</v>
      </c>
      <c r="BG345">
        <f t="shared" si="290"/>
        <v>0</v>
      </c>
      <c r="BH345">
        <f t="shared" si="291"/>
        <v>0</v>
      </c>
      <c r="BI345">
        <f t="shared" si="292"/>
        <v>0</v>
      </c>
    </row>
    <row r="346" spans="1:61" x14ac:dyDescent="0.3">
      <c r="A346">
        <f t="shared" si="297"/>
        <v>0.309</v>
      </c>
      <c r="B346">
        <f t="shared" si="298"/>
        <v>0.97075212995924609</v>
      </c>
      <c r="C346">
        <f t="shared" si="299"/>
        <v>2.170840523630547</v>
      </c>
      <c r="D346">
        <f t="shared" si="300"/>
        <v>2.170840523630547</v>
      </c>
      <c r="E346">
        <f t="shared" si="305"/>
        <v>0.82531065869299958</v>
      </c>
      <c r="F346">
        <f t="shared" si="306"/>
        <v>0.82531065869299969</v>
      </c>
      <c r="G346">
        <f t="shared" si="301"/>
        <v>0.97075212995924609</v>
      </c>
      <c r="H346">
        <f t="shared" si="302"/>
        <v>0.82531065869299958</v>
      </c>
      <c r="I346">
        <f t="shared" si="303"/>
        <v>0.82531065869299969</v>
      </c>
      <c r="J346">
        <f t="shared" si="293"/>
        <v>7.7136986619773239E+19</v>
      </c>
      <c r="K346">
        <f t="shared" si="294"/>
        <v>7.7136986619773239E+19</v>
      </c>
      <c r="L346" t="e">
        <f t="shared" si="307"/>
        <v>#NUM!</v>
      </c>
      <c r="M346">
        <f t="shared" si="304"/>
        <v>2.1708405236305469E-20</v>
      </c>
      <c r="N346" s="9" t="e">
        <f t="shared" si="295"/>
        <v>#NUM!</v>
      </c>
      <c r="O346" t="e">
        <f t="shared" si="296"/>
        <v>#NUM!</v>
      </c>
      <c r="Q346">
        <f t="shared" si="308"/>
        <v>45.792114562126812</v>
      </c>
      <c r="R346">
        <f t="shared" si="309"/>
        <v>-710542.73576010019</v>
      </c>
      <c r="S346">
        <f t="shared" ref="S346:S409" si="331">LN(M346)</f>
        <v>-45.276587429245978</v>
      </c>
      <c r="T346" s="9" t="e">
        <f t="shared" si="310"/>
        <v>#N/A</v>
      </c>
      <c r="U346">
        <f t="shared" ref="U346:U409" si="332">IFERROR(T346-EXP(T346),-1E+300)</f>
        <v>-1.0000000000000001E+300</v>
      </c>
      <c r="V346">
        <f t="shared" ref="V346:V409" si="333">EXP(U346)</f>
        <v>0</v>
      </c>
      <c r="W346">
        <f t="shared" ref="W346:W409" si="334">IFERROR(T346-LN(N346),0)</f>
        <v>0</v>
      </c>
      <c r="X346">
        <f t="shared" si="311"/>
        <v>2.170840523630547</v>
      </c>
      <c r="Y346">
        <f t="shared" si="312"/>
        <v>7.8539816339744828</v>
      </c>
      <c r="Z346">
        <f t="shared" si="313"/>
        <v>-2.170840523630547</v>
      </c>
      <c r="AA346">
        <f t="shared" ref="AA346:AA409" si="335">Z346*TAN(PI()/2-X346)</f>
        <v>1.4852927618623857</v>
      </c>
      <c r="AB346">
        <f t="shared" si="314"/>
        <v>9.3392743958368687</v>
      </c>
      <c r="AC346">
        <f t="shared" ref="AC346:AC409" si="336">LN(Z346/$AA$6)</f>
        <v>0.32353172534547808</v>
      </c>
      <c r="AD346">
        <f t="shared" si="315"/>
        <v>0.19199540753535599</v>
      </c>
      <c r="AE346" s="9">
        <f t="shared" ref="AE346:AE409" si="337">AB346+AC346+AD346</f>
        <v>9.8548015287177027</v>
      </c>
      <c r="AF346">
        <f t="shared" ref="AF346:AF409" si="338">IFERROR(EXP(AE346)*EXP(-EXP(AE346)),0)</f>
        <v>0</v>
      </c>
      <c r="AH346">
        <f t="shared" si="316"/>
        <v>7.8539816339744828</v>
      </c>
      <c r="AI346">
        <f t="shared" si="317"/>
        <v>1.4852927618623859</v>
      </c>
      <c r="AJ346">
        <f t="shared" si="318"/>
        <v>0.32353172534548236</v>
      </c>
      <c r="AK346">
        <f t="shared" si="319"/>
        <v>0.19199540753535599</v>
      </c>
      <c r="AL346" s="9">
        <f t="shared" ref="AL346:AL409" si="339">SUM(AH346:AK346)</f>
        <v>9.8548015287177062</v>
      </c>
      <c r="AM346" t="e">
        <f t="shared" si="320"/>
        <v>#N/A</v>
      </c>
      <c r="AN346" t="e">
        <f t="shared" ref="AN346:AN409" si="340">AM346/AL346</f>
        <v>#N/A</v>
      </c>
      <c r="AO346">
        <f t="shared" si="321"/>
        <v>0</v>
      </c>
      <c r="AP346">
        <f t="shared" si="322"/>
        <v>0</v>
      </c>
      <c r="AQ346">
        <f t="shared" si="323"/>
        <v>4.2743586448068527E-15</v>
      </c>
      <c r="AR346">
        <f t="shared" ref="AR346:AR409" si="341">AP346/AI346</f>
        <v>0</v>
      </c>
      <c r="AS346">
        <f t="shared" si="324"/>
        <v>0</v>
      </c>
      <c r="AT346">
        <f t="shared" ref="AT346:AT409" si="342">AS346/AL346</f>
        <v>0</v>
      </c>
      <c r="AU346">
        <f t="shared" ref="AU346:AU409" si="343">IFERROR(EXP(AL346)*EXP(-EXP(AL346)),0)</f>
        <v>0</v>
      </c>
      <c r="AV346">
        <f t="shared" si="325"/>
        <v>2.1708405236305469E-20</v>
      </c>
      <c r="AW346" t="b">
        <f t="shared" ref="AW346:AW409" si="344">(ABS(_xlfn.COT(C346)*SIN(AV346))&lt;0.00000001)</f>
        <v>1</v>
      </c>
      <c r="AX346">
        <f t="shared" si="326"/>
        <v>7.8539816339744828</v>
      </c>
      <c r="AY346">
        <f t="shared" si="327"/>
        <v>1.4852927618623857</v>
      </c>
      <c r="AZ346">
        <f t="shared" si="328"/>
        <v>0.32353172534547825</v>
      </c>
      <c r="BA346">
        <f t="shared" si="329"/>
        <v>0.19199540753535585</v>
      </c>
      <c r="BB346">
        <f t="shared" si="330"/>
        <v>-1.2337005501361696E-20</v>
      </c>
      <c r="BD346" s="15">
        <f t="shared" ref="BD346:BD409" si="345">SUM(AX346:BB346)</f>
        <v>9.8548015287177027</v>
      </c>
      <c r="BE346" s="10">
        <f t="shared" ref="BE346:BE409" si="346">BD346-AL346</f>
        <v>0</v>
      </c>
      <c r="BF346">
        <f t="shared" ref="BF346:BF409" si="347">BD346-AE346</f>
        <v>0</v>
      </c>
      <c r="BG346">
        <f t="shared" ref="BG346:BG409" si="348">AX346-Y346</f>
        <v>0</v>
      </c>
      <c r="BH346">
        <f t="shared" ref="BH346:BH409" si="349">AY346-AA346</f>
        <v>0</v>
      </c>
      <c r="BI346">
        <f t="shared" ref="BI346:BI409" si="350">AZ346-AC346</f>
        <v>0</v>
      </c>
    </row>
    <row r="347" spans="1:61" x14ac:dyDescent="0.3">
      <c r="A347">
        <f t="shared" si="297"/>
        <v>0.31</v>
      </c>
      <c r="B347">
        <f t="shared" si="298"/>
        <v>0.97389372261283591</v>
      </c>
      <c r="C347">
        <f t="shared" si="299"/>
        <v>2.1676989309769574</v>
      </c>
      <c r="D347">
        <f t="shared" si="300"/>
        <v>2.1676989309769574</v>
      </c>
      <c r="E347">
        <f t="shared" si="305"/>
        <v>0.82708057427456183</v>
      </c>
      <c r="F347">
        <f t="shared" si="306"/>
        <v>0.82708057427456172</v>
      </c>
      <c r="G347">
        <f t="shared" si="301"/>
        <v>0.97389372261283591</v>
      </c>
      <c r="H347">
        <f t="shared" si="302"/>
        <v>0.82708057427456183</v>
      </c>
      <c r="I347">
        <f t="shared" si="303"/>
        <v>0.82708057427456172</v>
      </c>
      <c r="J347">
        <f t="shared" si="293"/>
        <v>7.6971916904947876E+19</v>
      </c>
      <c r="K347">
        <f t="shared" si="294"/>
        <v>7.6971916904947876E+19</v>
      </c>
      <c r="L347">
        <f t="shared" si="307"/>
        <v>1</v>
      </c>
      <c r="M347">
        <f t="shared" si="304"/>
        <v>2.1676989309769573E-20</v>
      </c>
      <c r="N347" s="9">
        <f t="shared" si="295"/>
        <v>2.1676989309769573E-20</v>
      </c>
      <c r="O347">
        <f t="shared" si="296"/>
        <v>2.1676989309769573E-20</v>
      </c>
      <c r="Q347">
        <f t="shared" si="308"/>
        <v>45.789972313701469</v>
      </c>
      <c r="R347">
        <f t="shared" si="309"/>
        <v>0</v>
      </c>
      <c r="S347">
        <f t="shared" si="331"/>
        <v>-45.278035655422343</v>
      </c>
      <c r="T347" s="9" t="e">
        <f t="shared" si="310"/>
        <v>#N/A</v>
      </c>
      <c r="U347">
        <f t="shared" si="332"/>
        <v>-1.0000000000000001E+300</v>
      </c>
      <c r="V347">
        <f t="shared" si="333"/>
        <v>0</v>
      </c>
      <c r="W347">
        <f t="shared" si="334"/>
        <v>0</v>
      </c>
      <c r="X347">
        <f t="shared" si="311"/>
        <v>2.1676989309769574</v>
      </c>
      <c r="Y347">
        <f t="shared" si="312"/>
        <v>7.8539816339744828</v>
      </c>
      <c r="Z347">
        <f t="shared" si="313"/>
        <v>-2.1676989309769574</v>
      </c>
      <c r="AA347">
        <f t="shared" si="335"/>
        <v>1.4731666722539969</v>
      </c>
      <c r="AB347">
        <f t="shared" si="314"/>
        <v>9.3271483062284801</v>
      </c>
      <c r="AC347">
        <f t="shared" si="336"/>
        <v>0.32208349916911339</v>
      </c>
      <c r="AD347">
        <f t="shared" si="315"/>
        <v>0.18985315911000883</v>
      </c>
      <c r="AE347" s="9">
        <f t="shared" si="337"/>
        <v>9.8390849645076024</v>
      </c>
      <c r="AF347">
        <f t="shared" si="338"/>
        <v>0</v>
      </c>
      <c r="AH347">
        <f t="shared" si="316"/>
        <v>7.8539816339744828</v>
      </c>
      <c r="AI347">
        <f t="shared" si="317"/>
        <v>1.4731666722539967</v>
      </c>
      <c r="AJ347">
        <f t="shared" si="318"/>
        <v>0.32208349916911772</v>
      </c>
      <c r="AK347">
        <f t="shared" si="319"/>
        <v>0.18985315911000883</v>
      </c>
      <c r="AL347" s="9">
        <f t="shared" si="339"/>
        <v>9.8390849645076059</v>
      </c>
      <c r="AM347" t="e">
        <f t="shared" si="320"/>
        <v>#N/A</v>
      </c>
      <c r="AN347" t="e">
        <f t="shared" si="340"/>
        <v>#N/A</v>
      </c>
      <c r="AO347">
        <f t="shared" si="321"/>
        <v>0</v>
      </c>
      <c r="AP347">
        <f t="shared" si="322"/>
        <v>0</v>
      </c>
      <c r="AQ347">
        <f t="shared" si="323"/>
        <v>4.3298697960381105E-15</v>
      </c>
      <c r="AR347">
        <f t="shared" si="341"/>
        <v>0</v>
      </c>
      <c r="AS347">
        <f t="shared" si="324"/>
        <v>0</v>
      </c>
      <c r="AT347">
        <f t="shared" si="342"/>
        <v>0</v>
      </c>
      <c r="AU347">
        <f t="shared" si="343"/>
        <v>0</v>
      </c>
      <c r="AV347">
        <f t="shared" si="325"/>
        <v>2.1676989309769573E-20</v>
      </c>
      <c r="AW347" t="b">
        <f t="shared" si="344"/>
        <v>1</v>
      </c>
      <c r="AX347">
        <f t="shared" si="326"/>
        <v>7.8539816339744828</v>
      </c>
      <c r="AY347">
        <f t="shared" si="327"/>
        <v>1.4731666722539967</v>
      </c>
      <c r="AZ347">
        <f t="shared" si="328"/>
        <v>0.32208349916911339</v>
      </c>
      <c r="BA347">
        <f t="shared" si="329"/>
        <v>0.18985315911000897</v>
      </c>
      <c r="BB347">
        <f t="shared" si="330"/>
        <v>-1.2337005501361696E-20</v>
      </c>
      <c r="BD347" s="15">
        <f t="shared" si="345"/>
        <v>9.8390849645076024</v>
      </c>
      <c r="BE347" s="10">
        <f t="shared" si="346"/>
        <v>0</v>
      </c>
      <c r="BF347">
        <f t="shared" si="347"/>
        <v>0</v>
      </c>
      <c r="BG347">
        <f t="shared" si="348"/>
        <v>0</v>
      </c>
      <c r="BH347">
        <f t="shared" si="349"/>
        <v>0</v>
      </c>
      <c r="BI347">
        <f t="shared" si="350"/>
        <v>0</v>
      </c>
    </row>
    <row r="348" spans="1:61" x14ac:dyDescent="0.3">
      <c r="A348">
        <f t="shared" si="297"/>
        <v>0.311</v>
      </c>
      <c r="B348">
        <f t="shared" si="298"/>
        <v>0.97703531526642562</v>
      </c>
      <c r="C348">
        <f t="shared" si="299"/>
        <v>2.1645573383233674</v>
      </c>
      <c r="D348">
        <f t="shared" si="300"/>
        <v>2.1645573383233674</v>
      </c>
      <c r="E348">
        <f t="shared" si="305"/>
        <v>0.82884232690476189</v>
      </c>
      <c r="F348">
        <f t="shared" si="306"/>
        <v>0.82884232690476201</v>
      </c>
      <c r="G348">
        <f t="shared" si="301"/>
        <v>0.97703531526642562</v>
      </c>
      <c r="H348">
        <f t="shared" si="302"/>
        <v>0.82884232690476189</v>
      </c>
      <c r="I348">
        <f t="shared" si="303"/>
        <v>0.82884232690476201</v>
      </c>
      <c r="J348">
        <f t="shared" si="293"/>
        <v>7.6808308613410406E+19</v>
      </c>
      <c r="K348">
        <f t="shared" si="294"/>
        <v>7.6808308613410406E+19</v>
      </c>
      <c r="L348" t="e">
        <f t="shared" si="307"/>
        <v>#NUM!</v>
      </c>
      <c r="M348">
        <f t="shared" si="304"/>
        <v>2.1645573383233673E-20</v>
      </c>
      <c r="N348" s="9" t="e">
        <f t="shared" si="295"/>
        <v>#NUM!</v>
      </c>
      <c r="O348" t="e">
        <f t="shared" si="296"/>
        <v>#NUM!</v>
      </c>
      <c r="Q348">
        <f t="shared" si="308"/>
        <v>45.787844493265311</v>
      </c>
      <c r="R348">
        <f t="shared" si="309"/>
        <v>-710542.73576010019</v>
      </c>
      <c r="S348">
        <f t="shared" si="331"/>
        <v>-45.27948598199999</v>
      </c>
      <c r="T348" s="9" t="e">
        <f t="shared" si="310"/>
        <v>#N/A</v>
      </c>
      <c r="U348">
        <f t="shared" si="332"/>
        <v>-1.0000000000000001E+300</v>
      </c>
      <c r="V348">
        <f t="shared" si="333"/>
        <v>0</v>
      </c>
      <c r="W348">
        <f t="shared" si="334"/>
        <v>0</v>
      </c>
      <c r="X348">
        <f t="shared" si="311"/>
        <v>2.1645573383233674</v>
      </c>
      <c r="Y348">
        <f t="shared" si="312"/>
        <v>7.8539816339744828</v>
      </c>
      <c r="Z348">
        <f t="shared" si="313"/>
        <v>-2.1645573383233674</v>
      </c>
      <c r="AA348">
        <f t="shared" si="335"/>
        <v>1.4611119487095487</v>
      </c>
      <c r="AB348">
        <f t="shared" si="314"/>
        <v>9.3150935826840318</v>
      </c>
      <c r="AC348">
        <f t="shared" si="336"/>
        <v>0.32063317259146673</v>
      </c>
      <c r="AD348">
        <f t="shared" si="315"/>
        <v>0.18772533867385507</v>
      </c>
      <c r="AE348" s="9">
        <f t="shared" si="337"/>
        <v>9.8234520939493546</v>
      </c>
      <c r="AF348">
        <f t="shared" si="338"/>
        <v>0</v>
      </c>
      <c r="AH348">
        <f t="shared" si="316"/>
        <v>7.8539816339744828</v>
      </c>
      <c r="AI348">
        <f t="shared" si="317"/>
        <v>1.4611119487095492</v>
      </c>
      <c r="AJ348">
        <f t="shared" si="318"/>
        <v>0.32063317259147084</v>
      </c>
      <c r="AK348">
        <f t="shared" si="319"/>
        <v>0.18772533867385507</v>
      </c>
      <c r="AL348" s="9">
        <f t="shared" si="339"/>
        <v>9.8234520939493581</v>
      </c>
      <c r="AM348" t="e">
        <f t="shared" si="320"/>
        <v>#N/A</v>
      </c>
      <c r="AN348" t="e">
        <f t="shared" si="340"/>
        <v>#N/A</v>
      </c>
      <c r="AO348">
        <f t="shared" si="321"/>
        <v>0</v>
      </c>
      <c r="AP348">
        <f t="shared" si="322"/>
        <v>0</v>
      </c>
      <c r="AQ348">
        <f t="shared" si="323"/>
        <v>4.1078251911130792E-15</v>
      </c>
      <c r="AR348">
        <f t="shared" si="341"/>
        <v>0</v>
      </c>
      <c r="AS348">
        <f t="shared" si="324"/>
        <v>0</v>
      </c>
      <c r="AT348">
        <f t="shared" si="342"/>
        <v>0</v>
      </c>
      <c r="AU348">
        <f t="shared" si="343"/>
        <v>0</v>
      </c>
      <c r="AV348">
        <f t="shared" si="325"/>
        <v>2.1645573383233673E-20</v>
      </c>
      <c r="AW348" t="b">
        <f t="shared" si="344"/>
        <v>1</v>
      </c>
      <c r="AX348">
        <f t="shared" si="326"/>
        <v>7.8539816339744828</v>
      </c>
      <c r="AY348">
        <f t="shared" si="327"/>
        <v>1.4611119487095485</v>
      </c>
      <c r="AZ348">
        <f t="shared" si="328"/>
        <v>0.3206331725914669</v>
      </c>
      <c r="BA348">
        <f t="shared" si="329"/>
        <v>0.18772533867385494</v>
      </c>
      <c r="BB348">
        <f t="shared" si="330"/>
        <v>-1.2337005501361696E-20</v>
      </c>
      <c r="BD348" s="15">
        <f t="shared" si="345"/>
        <v>9.8234520939493546</v>
      </c>
      <c r="BE348" s="10">
        <f t="shared" si="346"/>
        <v>0</v>
      </c>
      <c r="BF348">
        <f t="shared" si="347"/>
        <v>0</v>
      </c>
      <c r="BG348">
        <f t="shared" si="348"/>
        <v>0</v>
      </c>
      <c r="BH348">
        <f t="shared" si="349"/>
        <v>0</v>
      </c>
      <c r="BI348">
        <f t="shared" si="350"/>
        <v>0</v>
      </c>
    </row>
    <row r="349" spans="1:61" x14ac:dyDescent="0.3">
      <c r="A349">
        <f t="shared" si="297"/>
        <v>0.312</v>
      </c>
      <c r="B349">
        <f t="shared" si="298"/>
        <v>0.98017690792001544</v>
      </c>
      <c r="C349">
        <f t="shared" si="299"/>
        <v>2.1614157456697778</v>
      </c>
      <c r="D349">
        <f t="shared" si="300"/>
        <v>2.1614157456697778</v>
      </c>
      <c r="E349">
        <f t="shared" si="305"/>
        <v>0.83059589919581256</v>
      </c>
      <c r="F349">
        <f t="shared" si="306"/>
        <v>0.83059589919581267</v>
      </c>
      <c r="G349">
        <f t="shared" si="301"/>
        <v>0.98017690792001544</v>
      </c>
      <c r="H349">
        <f t="shared" si="302"/>
        <v>0.83059589919581256</v>
      </c>
      <c r="I349">
        <f t="shared" si="303"/>
        <v>0.83059589919581267</v>
      </c>
      <c r="J349">
        <f t="shared" si="293"/>
        <v>7.6646149226592633E+19</v>
      </c>
      <c r="K349">
        <f t="shared" si="294"/>
        <v>7.6646149226592633E+19</v>
      </c>
      <c r="L349">
        <f t="shared" si="307"/>
        <v>1</v>
      </c>
      <c r="M349">
        <f t="shared" si="304"/>
        <v>2.1614157456697776E-20</v>
      </c>
      <c r="N349" s="9">
        <f t="shared" si="295"/>
        <v>2.1614157456697776E-20</v>
      </c>
      <c r="O349">
        <f t="shared" si="296"/>
        <v>2.1614157456697776E-20</v>
      </c>
      <c r="Q349">
        <f t="shared" si="308"/>
        <v>45.78573103954804</v>
      </c>
      <c r="R349">
        <f t="shared" si="309"/>
        <v>0</v>
      </c>
      <c r="S349">
        <f t="shared" si="331"/>
        <v>-45.280938415080307</v>
      </c>
      <c r="T349" s="9" t="e">
        <f t="shared" si="310"/>
        <v>#N/A</v>
      </c>
      <c r="U349">
        <f t="shared" si="332"/>
        <v>-1.0000000000000001E+300</v>
      </c>
      <c r="V349">
        <f t="shared" si="333"/>
        <v>0</v>
      </c>
      <c r="W349">
        <f t="shared" si="334"/>
        <v>0</v>
      </c>
      <c r="X349">
        <f t="shared" si="311"/>
        <v>2.1614157456697778</v>
      </c>
      <c r="Y349">
        <f t="shared" si="312"/>
        <v>7.8539816339744828</v>
      </c>
      <c r="Z349">
        <f t="shared" si="313"/>
        <v>-2.1614157456697778</v>
      </c>
      <c r="AA349">
        <f t="shared" si="335"/>
        <v>1.4491279417855358</v>
      </c>
      <c r="AB349">
        <f t="shared" si="314"/>
        <v>9.3031095757600184</v>
      </c>
      <c r="AC349">
        <f t="shared" si="336"/>
        <v>0.319180739511152</v>
      </c>
      <c r="AD349">
        <f t="shared" si="315"/>
        <v>0.18561188495657785</v>
      </c>
      <c r="AE349" s="9">
        <f t="shared" si="337"/>
        <v>9.8079022002277476</v>
      </c>
      <c r="AF349">
        <f t="shared" si="338"/>
        <v>0</v>
      </c>
      <c r="AH349">
        <f t="shared" si="316"/>
        <v>7.8539816339744828</v>
      </c>
      <c r="AI349">
        <f t="shared" si="317"/>
        <v>1.4491279417855356</v>
      </c>
      <c r="AJ349">
        <f t="shared" si="318"/>
        <v>0.31918073951115389</v>
      </c>
      <c r="AK349">
        <f t="shared" si="319"/>
        <v>0.18561188495657785</v>
      </c>
      <c r="AL349" s="9">
        <f t="shared" si="339"/>
        <v>9.8079022002277494</v>
      </c>
      <c r="AM349" t="e">
        <f t="shared" si="320"/>
        <v>#N/A</v>
      </c>
      <c r="AN349" t="e">
        <f t="shared" si="340"/>
        <v>#N/A</v>
      </c>
      <c r="AO349">
        <f t="shared" si="321"/>
        <v>0</v>
      </c>
      <c r="AP349">
        <f t="shared" si="322"/>
        <v>0</v>
      </c>
      <c r="AQ349">
        <f t="shared" si="323"/>
        <v>1.8873791418627661E-15</v>
      </c>
      <c r="AR349">
        <f t="shared" si="341"/>
        <v>0</v>
      </c>
      <c r="AS349">
        <f t="shared" si="324"/>
        <v>0</v>
      </c>
      <c r="AT349">
        <f t="shared" si="342"/>
        <v>0</v>
      </c>
      <c r="AU349">
        <f t="shared" si="343"/>
        <v>0</v>
      </c>
      <c r="AV349">
        <f t="shared" si="325"/>
        <v>2.1614157456697776E-20</v>
      </c>
      <c r="AW349" t="b">
        <f t="shared" si="344"/>
        <v>1</v>
      </c>
      <c r="AX349">
        <f t="shared" si="326"/>
        <v>7.8539816339744828</v>
      </c>
      <c r="AY349">
        <f t="shared" si="327"/>
        <v>1.4491279417855356</v>
      </c>
      <c r="AZ349">
        <f t="shared" si="328"/>
        <v>0.319180739511152</v>
      </c>
      <c r="BA349">
        <f t="shared" si="329"/>
        <v>0.18561188495657771</v>
      </c>
      <c r="BB349">
        <f t="shared" si="330"/>
        <v>-1.2337005501361696E-20</v>
      </c>
      <c r="BD349" s="15">
        <f t="shared" si="345"/>
        <v>9.8079022002277476</v>
      </c>
      <c r="BE349" s="10">
        <f t="shared" si="346"/>
        <v>0</v>
      </c>
      <c r="BF349">
        <f t="shared" si="347"/>
        <v>0</v>
      </c>
      <c r="BG349">
        <f t="shared" si="348"/>
        <v>0</v>
      </c>
      <c r="BH349">
        <f t="shared" si="349"/>
        <v>0</v>
      </c>
      <c r="BI349">
        <f t="shared" si="350"/>
        <v>0</v>
      </c>
    </row>
    <row r="350" spans="1:61" x14ac:dyDescent="0.3">
      <c r="A350">
        <f t="shared" si="297"/>
        <v>0.313</v>
      </c>
      <c r="B350">
        <f t="shared" si="298"/>
        <v>0.98331850057360526</v>
      </c>
      <c r="C350">
        <f t="shared" si="299"/>
        <v>2.1582741530161877</v>
      </c>
      <c r="D350">
        <f t="shared" si="300"/>
        <v>2.1582741530161877</v>
      </c>
      <c r="E350">
        <f t="shared" si="305"/>
        <v>0.83234127384066336</v>
      </c>
      <c r="F350">
        <f t="shared" si="306"/>
        <v>0.83234127384066359</v>
      </c>
      <c r="G350">
        <f t="shared" si="301"/>
        <v>0.98331850057360526</v>
      </c>
      <c r="H350">
        <f t="shared" si="302"/>
        <v>0.83234127384066336</v>
      </c>
      <c r="I350">
        <f t="shared" si="303"/>
        <v>0.83234127384066359</v>
      </c>
      <c r="J350">
        <f t="shared" si="293"/>
        <v>7.6485426396078342E+19</v>
      </c>
      <c r="K350">
        <f t="shared" si="294"/>
        <v>7.6485426396078342E+19</v>
      </c>
      <c r="L350" t="e">
        <f t="shared" si="307"/>
        <v>#NUM!</v>
      </c>
      <c r="M350">
        <f t="shared" si="304"/>
        <v>2.158274153016188E-20</v>
      </c>
      <c r="N350" s="9" t="e">
        <f t="shared" si="295"/>
        <v>#NUM!</v>
      </c>
      <c r="O350" t="e">
        <f t="shared" si="296"/>
        <v>#NUM!</v>
      </c>
      <c r="Q350">
        <f t="shared" si="308"/>
        <v>45.783631891950577</v>
      </c>
      <c r="R350">
        <f t="shared" si="309"/>
        <v>0</v>
      </c>
      <c r="S350">
        <f t="shared" si="331"/>
        <v>-45.282392960791299</v>
      </c>
      <c r="T350" s="9" t="e">
        <f t="shared" si="310"/>
        <v>#N/A</v>
      </c>
      <c r="U350">
        <f t="shared" si="332"/>
        <v>-1.0000000000000001E+300</v>
      </c>
      <c r="V350">
        <f t="shared" si="333"/>
        <v>0</v>
      </c>
      <c r="W350">
        <f t="shared" si="334"/>
        <v>0</v>
      </c>
      <c r="X350">
        <f t="shared" si="311"/>
        <v>2.1582741530161877</v>
      </c>
      <c r="Y350">
        <f t="shared" si="312"/>
        <v>7.8539816339744828</v>
      </c>
      <c r="Z350">
        <f t="shared" si="313"/>
        <v>-2.1582741530161877</v>
      </c>
      <c r="AA350">
        <f t="shared" si="335"/>
        <v>1.437214010304197</v>
      </c>
      <c r="AB350">
        <f t="shared" si="314"/>
        <v>9.2911956442786803</v>
      </c>
      <c r="AC350">
        <f t="shared" si="336"/>
        <v>0.31772619380015754</v>
      </c>
      <c r="AD350">
        <f t="shared" si="315"/>
        <v>0.1835127373591153</v>
      </c>
      <c r="AE350" s="9">
        <f t="shared" si="337"/>
        <v>9.7924345754379516</v>
      </c>
      <c r="AF350">
        <f t="shared" si="338"/>
        <v>0</v>
      </c>
      <c r="AH350">
        <f t="shared" si="316"/>
        <v>7.8539816339744828</v>
      </c>
      <c r="AI350">
        <f t="shared" si="317"/>
        <v>1.4372140103041979</v>
      </c>
      <c r="AJ350">
        <f t="shared" si="318"/>
        <v>0.31772619380016209</v>
      </c>
      <c r="AK350">
        <f t="shared" si="319"/>
        <v>0.1835127373591153</v>
      </c>
      <c r="AL350" s="9">
        <f t="shared" si="339"/>
        <v>9.7924345754379569</v>
      </c>
      <c r="AM350" t="e">
        <f t="shared" si="320"/>
        <v>#N/A</v>
      </c>
      <c r="AN350" t="e">
        <f t="shared" si="340"/>
        <v>#N/A</v>
      </c>
      <c r="AO350">
        <f t="shared" si="321"/>
        <v>0</v>
      </c>
      <c r="AP350">
        <f t="shared" si="322"/>
        <v>0</v>
      </c>
      <c r="AQ350">
        <f t="shared" si="323"/>
        <v>4.5519144009631418E-15</v>
      </c>
      <c r="AR350">
        <f t="shared" si="341"/>
        <v>0</v>
      </c>
      <c r="AS350">
        <f t="shared" si="324"/>
        <v>0</v>
      </c>
      <c r="AT350">
        <f t="shared" si="342"/>
        <v>0</v>
      </c>
      <c r="AU350">
        <f t="shared" si="343"/>
        <v>0</v>
      </c>
      <c r="AV350">
        <f t="shared" si="325"/>
        <v>2.1582741530161877E-20</v>
      </c>
      <c r="AW350" t="b">
        <f t="shared" si="344"/>
        <v>1</v>
      </c>
      <c r="AX350">
        <f t="shared" si="326"/>
        <v>7.8539816339744828</v>
      </c>
      <c r="AY350">
        <f t="shared" si="327"/>
        <v>1.4372140103041966</v>
      </c>
      <c r="AZ350">
        <f t="shared" si="328"/>
        <v>0.31772619380015765</v>
      </c>
      <c r="BA350">
        <f t="shared" si="329"/>
        <v>0.18351273735911502</v>
      </c>
      <c r="BB350">
        <f t="shared" si="330"/>
        <v>-1.2337005501361696E-20</v>
      </c>
      <c r="BD350" s="15">
        <f t="shared" si="345"/>
        <v>9.7924345754379534</v>
      </c>
      <c r="BE350" s="10">
        <f t="shared" si="346"/>
        <v>0</v>
      </c>
      <c r="BF350">
        <f t="shared" si="347"/>
        <v>0</v>
      </c>
      <c r="BG350">
        <f t="shared" si="348"/>
        <v>0</v>
      </c>
      <c r="BH350">
        <f t="shared" si="349"/>
        <v>0</v>
      </c>
      <c r="BI350">
        <f t="shared" si="350"/>
        <v>0</v>
      </c>
    </row>
    <row r="351" spans="1:61" x14ac:dyDescent="0.3">
      <c r="A351">
        <f t="shared" si="297"/>
        <v>0.314</v>
      </c>
      <c r="B351">
        <f t="shared" si="298"/>
        <v>0.98646009322719508</v>
      </c>
      <c r="C351">
        <f t="shared" si="299"/>
        <v>2.1551325603625981</v>
      </c>
      <c r="D351">
        <f t="shared" si="300"/>
        <v>2.1551325603625981</v>
      </c>
      <c r="E351">
        <f t="shared" si="305"/>
        <v>0.83407843361317113</v>
      </c>
      <c r="F351">
        <f t="shared" si="306"/>
        <v>0.83407843361317124</v>
      </c>
      <c r="G351">
        <f t="shared" si="301"/>
        <v>0.98646009322719508</v>
      </c>
      <c r="H351">
        <f t="shared" si="302"/>
        <v>0.83407843361317113</v>
      </c>
      <c r="I351">
        <f t="shared" si="303"/>
        <v>0.83407843361317124</v>
      </c>
      <c r="J351">
        <f t="shared" si="293"/>
        <v>7.6326127940964467E+19</v>
      </c>
      <c r="K351">
        <f t="shared" si="294"/>
        <v>7.6326127940964467E+19</v>
      </c>
      <c r="L351">
        <f t="shared" si="307"/>
        <v>1</v>
      </c>
      <c r="M351">
        <f t="shared" si="304"/>
        <v>2.155132560362598E-20</v>
      </c>
      <c r="N351" s="9">
        <f t="shared" si="295"/>
        <v>2.155132560362598E-20</v>
      </c>
      <c r="O351">
        <f t="shared" si="296"/>
        <v>2.155132560362598E-20</v>
      </c>
      <c r="Q351">
        <f t="shared" si="308"/>
        <v>45.781546990537088</v>
      </c>
      <c r="R351">
        <f t="shared" si="309"/>
        <v>0</v>
      </c>
      <c r="S351">
        <f t="shared" si="331"/>
        <v>-45.283849625287765</v>
      </c>
      <c r="T351" s="9" t="e">
        <f t="shared" si="310"/>
        <v>#N/A</v>
      </c>
      <c r="U351">
        <f t="shared" si="332"/>
        <v>-1.0000000000000001E+300</v>
      </c>
      <c r="V351">
        <f t="shared" si="333"/>
        <v>0</v>
      </c>
      <c r="W351">
        <f t="shared" si="334"/>
        <v>0</v>
      </c>
      <c r="X351">
        <f t="shared" si="311"/>
        <v>2.1551325603625981</v>
      </c>
      <c r="Y351">
        <f t="shared" si="312"/>
        <v>7.8539816339744828</v>
      </c>
      <c r="Z351">
        <f t="shared" si="313"/>
        <v>-2.1551325603625981</v>
      </c>
      <c r="AA351">
        <f t="shared" si="335"/>
        <v>1.4253695212221225</v>
      </c>
      <c r="AB351">
        <f t="shared" si="314"/>
        <v>9.2793511551966059</v>
      </c>
      <c r="AC351">
        <f t="shared" si="336"/>
        <v>0.31626952930369356</v>
      </c>
      <c r="AD351">
        <f t="shared" si="315"/>
        <v>0.18142783594562786</v>
      </c>
      <c r="AE351" s="9">
        <f t="shared" si="337"/>
        <v>9.7770485204459288</v>
      </c>
      <c r="AF351">
        <f t="shared" si="338"/>
        <v>0</v>
      </c>
      <c r="AH351">
        <f t="shared" si="316"/>
        <v>7.8539816339744828</v>
      </c>
      <c r="AI351">
        <f t="shared" si="317"/>
        <v>1.425369521222122</v>
      </c>
      <c r="AJ351">
        <f t="shared" si="318"/>
        <v>0.31626952930369612</v>
      </c>
      <c r="AK351">
        <f t="shared" si="319"/>
        <v>0.18142783594562786</v>
      </c>
      <c r="AL351" s="9">
        <f t="shared" si="339"/>
        <v>9.7770485204459288</v>
      </c>
      <c r="AM351" t="e">
        <f t="shared" si="320"/>
        <v>#N/A</v>
      </c>
      <c r="AN351" t="e">
        <f t="shared" si="340"/>
        <v>#N/A</v>
      </c>
      <c r="AO351">
        <f t="shared" si="321"/>
        <v>0</v>
      </c>
      <c r="AP351">
        <f t="shared" si="322"/>
        <v>0</v>
      </c>
      <c r="AQ351">
        <f t="shared" si="323"/>
        <v>2.55351295663786E-15</v>
      </c>
      <c r="AR351">
        <f t="shared" si="341"/>
        <v>0</v>
      </c>
      <c r="AS351">
        <f t="shared" si="324"/>
        <v>0</v>
      </c>
      <c r="AT351">
        <f t="shared" si="342"/>
        <v>0</v>
      </c>
      <c r="AU351">
        <f t="shared" si="343"/>
        <v>0</v>
      </c>
      <c r="AV351">
        <f t="shared" si="325"/>
        <v>2.155132560362598E-20</v>
      </c>
      <c r="AW351" t="b">
        <f t="shared" si="344"/>
        <v>1</v>
      </c>
      <c r="AX351">
        <f t="shared" si="326"/>
        <v>7.8539816339744828</v>
      </c>
      <c r="AY351">
        <f t="shared" si="327"/>
        <v>1.425369521222122</v>
      </c>
      <c r="AZ351">
        <f t="shared" si="328"/>
        <v>0.31626952930369356</v>
      </c>
      <c r="BA351">
        <f t="shared" si="329"/>
        <v>0.18142783594562772</v>
      </c>
      <c r="BB351">
        <f t="shared" si="330"/>
        <v>-1.2337005501361696E-20</v>
      </c>
      <c r="BD351" s="15">
        <f t="shared" si="345"/>
        <v>9.777048520445927</v>
      </c>
      <c r="BE351" s="10">
        <f t="shared" si="346"/>
        <v>0</v>
      </c>
      <c r="BF351">
        <f t="shared" si="347"/>
        <v>0</v>
      </c>
      <c r="BG351">
        <f t="shared" si="348"/>
        <v>0</v>
      </c>
      <c r="BH351">
        <f t="shared" si="349"/>
        <v>0</v>
      </c>
      <c r="BI351">
        <f t="shared" si="350"/>
        <v>0</v>
      </c>
    </row>
    <row r="352" spans="1:61" x14ac:dyDescent="0.3">
      <c r="A352">
        <f t="shared" si="297"/>
        <v>0.315</v>
      </c>
      <c r="B352">
        <f t="shared" si="298"/>
        <v>0.98960168588078479</v>
      </c>
      <c r="C352">
        <f t="shared" si="299"/>
        <v>2.1519909677090086</v>
      </c>
      <c r="D352">
        <f t="shared" si="300"/>
        <v>2.1519909677090086</v>
      </c>
      <c r="E352">
        <f t="shared" si="305"/>
        <v>0.83580736136827016</v>
      </c>
      <c r="F352">
        <f t="shared" si="306"/>
        <v>0.83580736136827016</v>
      </c>
      <c r="G352">
        <f t="shared" si="301"/>
        <v>0.98960168588078479</v>
      </c>
      <c r="H352">
        <f t="shared" si="302"/>
        <v>0.83580736136827016</v>
      </c>
      <c r="I352">
        <f t="shared" si="303"/>
        <v>0.83580736136827016</v>
      </c>
      <c r="J352">
        <f t="shared" si="293"/>
        <v>7.6168241845273313E+19</v>
      </c>
      <c r="K352">
        <f t="shared" si="294"/>
        <v>7.6168241845273313E+19</v>
      </c>
      <c r="L352" t="e">
        <f t="shared" si="307"/>
        <v>#NUM!</v>
      </c>
      <c r="M352">
        <f t="shared" si="304"/>
        <v>2.1519909677090081E-20</v>
      </c>
      <c r="N352" s="9" t="e">
        <f t="shared" si="295"/>
        <v>#NUM!</v>
      </c>
      <c r="O352" t="e">
        <f t="shared" si="296"/>
        <v>#NUM!</v>
      </c>
      <c r="Q352">
        <f t="shared" si="308"/>
        <v>45.779476276027054</v>
      </c>
      <c r="R352">
        <f t="shared" si="309"/>
        <v>0</v>
      </c>
      <c r="S352">
        <f t="shared" si="331"/>
        <v>-45.285308414751427</v>
      </c>
      <c r="T352" s="9" t="e">
        <f t="shared" si="310"/>
        <v>#N/A</v>
      </c>
      <c r="U352">
        <f t="shared" si="332"/>
        <v>-1.0000000000000001E+300</v>
      </c>
      <c r="V352">
        <f t="shared" si="333"/>
        <v>0</v>
      </c>
      <c r="W352">
        <f t="shared" si="334"/>
        <v>0</v>
      </c>
      <c r="X352">
        <f t="shared" si="311"/>
        <v>2.1519909677090086</v>
      </c>
      <c r="Y352">
        <f t="shared" si="312"/>
        <v>7.8539816339744828</v>
      </c>
      <c r="Z352">
        <f t="shared" si="313"/>
        <v>-2.1519909677090086</v>
      </c>
      <c r="AA352">
        <f t="shared" si="335"/>
        <v>1.4135938495013356</v>
      </c>
      <c r="AB352">
        <f t="shared" si="314"/>
        <v>9.2675754834758184</v>
      </c>
      <c r="AC352">
        <f t="shared" si="336"/>
        <v>0.3148107398400336</v>
      </c>
      <c r="AD352">
        <f t="shared" si="315"/>
        <v>0.17935712143559596</v>
      </c>
      <c r="AE352" s="9">
        <f t="shared" si="337"/>
        <v>9.7617433447514479</v>
      </c>
      <c r="AF352">
        <f t="shared" si="338"/>
        <v>0</v>
      </c>
      <c r="AH352">
        <f t="shared" si="316"/>
        <v>7.8539816339744828</v>
      </c>
      <c r="AI352">
        <f t="shared" si="317"/>
        <v>1.4135938495013347</v>
      </c>
      <c r="AJ352">
        <f t="shared" si="318"/>
        <v>0.31481073984003416</v>
      </c>
      <c r="AK352">
        <f t="shared" si="319"/>
        <v>0.17935712143559596</v>
      </c>
      <c r="AL352" s="9">
        <f t="shared" si="339"/>
        <v>9.7617433447514461</v>
      </c>
      <c r="AM352" t="e">
        <f t="shared" si="320"/>
        <v>#N/A</v>
      </c>
      <c r="AN352" t="e">
        <f t="shared" si="340"/>
        <v>#N/A</v>
      </c>
      <c r="AO352">
        <f t="shared" si="321"/>
        <v>0</v>
      </c>
      <c r="AP352">
        <f t="shared" si="322"/>
        <v>0</v>
      </c>
      <c r="AQ352">
        <f t="shared" si="323"/>
        <v>5.5511151231257827E-16</v>
      </c>
      <c r="AR352">
        <f t="shared" si="341"/>
        <v>0</v>
      </c>
      <c r="AS352">
        <f t="shared" si="324"/>
        <v>0</v>
      </c>
      <c r="AT352">
        <f t="shared" si="342"/>
        <v>0</v>
      </c>
      <c r="AU352">
        <f t="shared" si="343"/>
        <v>0</v>
      </c>
      <c r="AV352">
        <f t="shared" si="325"/>
        <v>2.1519909677090084E-20</v>
      </c>
      <c r="AW352" t="b">
        <f t="shared" si="344"/>
        <v>1</v>
      </c>
      <c r="AX352">
        <f t="shared" si="326"/>
        <v>7.8539816339744828</v>
      </c>
      <c r="AY352">
        <f t="shared" si="327"/>
        <v>1.4135938495013354</v>
      </c>
      <c r="AZ352">
        <f t="shared" si="328"/>
        <v>0.3148107398400336</v>
      </c>
      <c r="BA352">
        <f t="shared" si="329"/>
        <v>0.17935712143559596</v>
      </c>
      <c r="BB352">
        <f t="shared" si="330"/>
        <v>-1.2337005501361696E-20</v>
      </c>
      <c r="BD352" s="15">
        <f t="shared" si="345"/>
        <v>9.7617433447514479</v>
      </c>
      <c r="BE352" s="10">
        <f t="shared" si="346"/>
        <v>0</v>
      </c>
      <c r="BF352">
        <f t="shared" si="347"/>
        <v>0</v>
      </c>
      <c r="BG352">
        <f t="shared" si="348"/>
        <v>0</v>
      </c>
      <c r="BH352">
        <f t="shared" si="349"/>
        <v>0</v>
      </c>
      <c r="BI352">
        <f t="shared" si="350"/>
        <v>0</v>
      </c>
    </row>
    <row r="353" spans="1:61" x14ac:dyDescent="0.3">
      <c r="A353">
        <f t="shared" si="297"/>
        <v>0.316</v>
      </c>
      <c r="B353">
        <f t="shared" si="298"/>
        <v>0.99274327853437461</v>
      </c>
      <c r="C353">
        <f t="shared" si="299"/>
        <v>2.1488493750554185</v>
      </c>
      <c r="D353">
        <f t="shared" si="300"/>
        <v>2.1488493750554185</v>
      </c>
      <c r="E353">
        <f t="shared" si="305"/>
        <v>0.83752804004214165</v>
      </c>
      <c r="F353">
        <f t="shared" si="306"/>
        <v>0.83752804004214176</v>
      </c>
      <c r="G353">
        <f t="shared" si="301"/>
        <v>0.99274327853437461</v>
      </c>
      <c r="H353">
        <f t="shared" si="302"/>
        <v>0.83752804004214165</v>
      </c>
      <c r="I353">
        <f t="shared" si="303"/>
        <v>0.83752804004214176</v>
      </c>
      <c r="J353">
        <f t="shared" si="293"/>
        <v>7.6011756255414305E+19</v>
      </c>
      <c r="K353">
        <f t="shared" si="294"/>
        <v>7.6011756255414305E+19</v>
      </c>
      <c r="L353">
        <f t="shared" si="307"/>
        <v>1</v>
      </c>
      <c r="M353">
        <f t="shared" si="304"/>
        <v>2.1488493750554184E-20</v>
      </c>
      <c r="N353" s="9">
        <f t="shared" si="295"/>
        <v>2.1488493750554184E-20</v>
      </c>
      <c r="O353">
        <f t="shared" si="296"/>
        <v>2.1488493750554184E-20</v>
      </c>
      <c r="Q353">
        <f t="shared" si="308"/>
        <v>45.777419689787507</v>
      </c>
      <c r="R353">
        <f t="shared" si="309"/>
        <v>0</v>
      </c>
      <c r="S353">
        <f t="shared" si="331"/>
        <v>-45.286769335391099</v>
      </c>
      <c r="T353" s="9" t="e">
        <f t="shared" si="310"/>
        <v>#N/A</v>
      </c>
      <c r="U353">
        <f t="shared" si="332"/>
        <v>-1.0000000000000001E+300</v>
      </c>
      <c r="V353">
        <f t="shared" si="333"/>
        <v>0</v>
      </c>
      <c r="W353">
        <f t="shared" si="334"/>
        <v>0</v>
      </c>
      <c r="X353">
        <f t="shared" si="311"/>
        <v>2.1488493750554185</v>
      </c>
      <c r="Y353">
        <f t="shared" si="312"/>
        <v>7.8539816339744828</v>
      </c>
      <c r="Z353">
        <f t="shared" si="313"/>
        <v>-2.1488493750554185</v>
      </c>
      <c r="AA353">
        <f t="shared" si="335"/>
        <v>1.4018863779828434</v>
      </c>
      <c r="AB353">
        <f t="shared" si="314"/>
        <v>9.2558680119573253</v>
      </c>
      <c r="AC353">
        <f t="shared" si="336"/>
        <v>0.31334981920035881</v>
      </c>
      <c r="AD353">
        <f t="shared" si="315"/>
        <v>0.1773005351960466</v>
      </c>
      <c r="AE353" s="9">
        <f t="shared" si="337"/>
        <v>9.7465183663537314</v>
      </c>
      <c r="AF353">
        <f t="shared" si="338"/>
        <v>0</v>
      </c>
      <c r="AH353">
        <f t="shared" si="316"/>
        <v>7.8539816339744828</v>
      </c>
      <c r="AI353">
        <f t="shared" si="317"/>
        <v>1.4018863779828432</v>
      </c>
      <c r="AJ353">
        <f t="shared" si="318"/>
        <v>0.31334981920036142</v>
      </c>
      <c r="AK353">
        <f t="shared" si="319"/>
        <v>0.1773005351960466</v>
      </c>
      <c r="AL353" s="9">
        <f t="shared" si="339"/>
        <v>9.7465183663537331</v>
      </c>
      <c r="AM353" t="e">
        <f t="shared" si="320"/>
        <v>#N/A</v>
      </c>
      <c r="AN353" t="e">
        <f t="shared" si="340"/>
        <v>#N/A</v>
      </c>
      <c r="AO353">
        <f t="shared" si="321"/>
        <v>0</v>
      </c>
      <c r="AP353">
        <f t="shared" si="322"/>
        <v>0</v>
      </c>
      <c r="AQ353">
        <f t="shared" si="323"/>
        <v>2.6090241078691179E-15</v>
      </c>
      <c r="AR353">
        <f t="shared" si="341"/>
        <v>0</v>
      </c>
      <c r="AS353">
        <f t="shared" si="324"/>
        <v>0</v>
      </c>
      <c r="AT353">
        <f t="shared" si="342"/>
        <v>0</v>
      </c>
      <c r="AU353">
        <f t="shared" si="343"/>
        <v>0</v>
      </c>
      <c r="AV353">
        <f t="shared" si="325"/>
        <v>2.1488493750554184E-20</v>
      </c>
      <c r="AW353" t="b">
        <f t="shared" si="344"/>
        <v>1</v>
      </c>
      <c r="AX353">
        <f t="shared" si="326"/>
        <v>7.8539816339744828</v>
      </c>
      <c r="AY353">
        <f t="shared" si="327"/>
        <v>1.4018863779828432</v>
      </c>
      <c r="AZ353">
        <f t="shared" si="328"/>
        <v>0.31334981920035881</v>
      </c>
      <c r="BA353">
        <f t="shared" si="329"/>
        <v>0.17730053519604647</v>
      </c>
      <c r="BB353">
        <f t="shared" si="330"/>
        <v>-1.2337005501361696E-20</v>
      </c>
      <c r="BD353" s="15">
        <f t="shared" si="345"/>
        <v>9.7465183663537314</v>
      </c>
      <c r="BE353" s="10">
        <f t="shared" si="346"/>
        <v>0</v>
      </c>
      <c r="BF353">
        <f t="shared" si="347"/>
        <v>0</v>
      </c>
      <c r="BG353">
        <f t="shared" si="348"/>
        <v>0</v>
      </c>
      <c r="BH353">
        <f t="shared" si="349"/>
        <v>0</v>
      </c>
      <c r="BI353">
        <f t="shared" si="350"/>
        <v>0</v>
      </c>
    </row>
    <row r="354" spans="1:61" x14ac:dyDescent="0.3">
      <c r="A354">
        <f t="shared" si="297"/>
        <v>0.317</v>
      </c>
      <c r="B354">
        <f t="shared" si="298"/>
        <v>0.99588487118796443</v>
      </c>
      <c r="C354">
        <f t="shared" si="299"/>
        <v>2.1457077824018285</v>
      </c>
      <c r="D354">
        <f t="shared" si="300"/>
        <v>2.1457077824018285</v>
      </c>
      <c r="E354">
        <f t="shared" si="305"/>
        <v>0.83924045265238167</v>
      </c>
      <c r="F354">
        <f t="shared" si="306"/>
        <v>0.8392404526523819</v>
      </c>
      <c r="G354">
        <f t="shared" si="301"/>
        <v>0.99588487118796443</v>
      </c>
      <c r="H354">
        <f t="shared" si="302"/>
        <v>0.83924045265238167</v>
      </c>
      <c r="I354">
        <f t="shared" si="303"/>
        <v>0.8392404526523819</v>
      </c>
      <c r="J354">
        <f t="shared" si="293"/>
        <v>7.5856659477694775E+19</v>
      </c>
      <c r="K354">
        <f t="shared" si="294"/>
        <v>7.5856659477694775E+19</v>
      </c>
      <c r="L354">
        <f t="shared" si="307"/>
        <v>1</v>
      </c>
      <c r="M354">
        <f t="shared" si="304"/>
        <v>2.1457077824018287E-20</v>
      </c>
      <c r="N354" s="9">
        <f t="shared" si="295"/>
        <v>2.1457077824018287E-20</v>
      </c>
      <c r="O354">
        <f t="shared" si="296"/>
        <v>2.1457077824018287E-20</v>
      </c>
      <c r="Q354">
        <f t="shared" si="308"/>
        <v>45.775377173825369</v>
      </c>
      <c r="R354">
        <f t="shared" si="309"/>
        <v>0</v>
      </c>
      <c r="S354">
        <f t="shared" si="331"/>
        <v>-45.288232393442861</v>
      </c>
      <c r="T354" s="9" t="e">
        <f t="shared" si="310"/>
        <v>#N/A</v>
      </c>
      <c r="U354">
        <f t="shared" si="332"/>
        <v>-1.0000000000000001E+300</v>
      </c>
      <c r="V354">
        <f t="shared" si="333"/>
        <v>0</v>
      </c>
      <c r="W354">
        <f t="shared" si="334"/>
        <v>0</v>
      </c>
      <c r="X354">
        <f t="shared" si="311"/>
        <v>2.1457077824018285</v>
      </c>
      <c r="Y354">
        <f t="shared" si="312"/>
        <v>7.8539816339744828</v>
      </c>
      <c r="Z354">
        <f t="shared" si="313"/>
        <v>-2.1457077824018285</v>
      </c>
      <c r="AA354">
        <f t="shared" si="335"/>
        <v>1.390246497262573</v>
      </c>
      <c r="AB354">
        <f t="shared" si="314"/>
        <v>9.2442281312370564</v>
      </c>
      <c r="AC354">
        <f t="shared" si="336"/>
        <v>0.31188676114859826</v>
      </c>
      <c r="AD354">
        <f t="shared" si="315"/>
        <v>0.1752580192339073</v>
      </c>
      <c r="AE354" s="9">
        <f t="shared" si="337"/>
        <v>9.7313729116195624</v>
      </c>
      <c r="AF354">
        <f t="shared" si="338"/>
        <v>0</v>
      </c>
      <c r="AH354">
        <f t="shared" si="316"/>
        <v>7.8539816339744828</v>
      </c>
      <c r="AI354">
        <f t="shared" si="317"/>
        <v>1.3902464972625737</v>
      </c>
      <c r="AJ354">
        <f t="shared" si="318"/>
        <v>0.31188676114859959</v>
      </c>
      <c r="AK354">
        <f t="shared" si="319"/>
        <v>0.1752580192339073</v>
      </c>
      <c r="AL354" s="9">
        <f t="shared" si="339"/>
        <v>9.7313729116195642</v>
      </c>
      <c r="AM354" t="e">
        <f t="shared" si="320"/>
        <v>#N/A</v>
      </c>
      <c r="AN354" t="e">
        <f t="shared" si="340"/>
        <v>#N/A</v>
      </c>
      <c r="AO354">
        <f t="shared" si="321"/>
        <v>0</v>
      </c>
      <c r="AP354">
        <f t="shared" si="322"/>
        <v>0</v>
      </c>
      <c r="AQ354">
        <f t="shared" si="323"/>
        <v>1.3322676295501878E-15</v>
      </c>
      <c r="AR354">
        <f t="shared" si="341"/>
        <v>0</v>
      </c>
      <c r="AS354">
        <f t="shared" si="324"/>
        <v>0</v>
      </c>
      <c r="AT354">
        <f t="shared" si="342"/>
        <v>0</v>
      </c>
      <c r="AU354">
        <f t="shared" si="343"/>
        <v>0</v>
      </c>
      <c r="AV354">
        <f t="shared" si="325"/>
        <v>2.1457077824018284E-20</v>
      </c>
      <c r="AW354" t="b">
        <f t="shared" si="344"/>
        <v>1</v>
      </c>
      <c r="AX354">
        <f t="shared" si="326"/>
        <v>7.8539816339744828</v>
      </c>
      <c r="AY354">
        <f t="shared" si="327"/>
        <v>1.3902464972625728</v>
      </c>
      <c r="AZ354">
        <f t="shared" si="328"/>
        <v>0.31188676114859826</v>
      </c>
      <c r="BA354">
        <f t="shared" si="329"/>
        <v>0.17525801923390702</v>
      </c>
      <c r="BB354">
        <f t="shared" si="330"/>
        <v>-1.2337005501361696E-20</v>
      </c>
      <c r="BD354" s="15">
        <f t="shared" si="345"/>
        <v>9.7313729116195589</v>
      </c>
      <c r="BE354" s="10">
        <f t="shared" si="346"/>
        <v>0</v>
      </c>
      <c r="BF354">
        <f t="shared" si="347"/>
        <v>0</v>
      </c>
      <c r="BG354">
        <f t="shared" si="348"/>
        <v>0</v>
      </c>
      <c r="BH354">
        <f t="shared" si="349"/>
        <v>0</v>
      </c>
      <c r="BI354">
        <f t="shared" si="350"/>
        <v>0</v>
      </c>
    </row>
    <row r="355" spans="1:61" x14ac:dyDescent="0.3">
      <c r="A355">
        <f t="shared" si="297"/>
        <v>0.318</v>
      </c>
      <c r="B355">
        <f t="shared" si="298"/>
        <v>0.99902646384155425</v>
      </c>
      <c r="C355">
        <f t="shared" si="299"/>
        <v>2.1425661897482389</v>
      </c>
      <c r="D355">
        <f t="shared" si="300"/>
        <v>2.1425661897482389</v>
      </c>
      <c r="E355">
        <f t="shared" si="305"/>
        <v>0.84094458229816904</v>
      </c>
      <c r="F355">
        <f t="shared" si="306"/>
        <v>0.84094458229816915</v>
      </c>
      <c r="G355">
        <f t="shared" si="301"/>
        <v>0.99902646384155425</v>
      </c>
      <c r="H355">
        <f t="shared" si="302"/>
        <v>0.84094458229816904</v>
      </c>
      <c r="I355">
        <f t="shared" si="303"/>
        <v>0.84094458229816915</v>
      </c>
      <c r="J355">
        <f t="shared" si="293"/>
        <v>7.5702939975878066E+19</v>
      </c>
      <c r="K355">
        <f t="shared" si="294"/>
        <v>7.5702939975878066E+19</v>
      </c>
      <c r="L355">
        <f t="shared" si="307"/>
        <v>1</v>
      </c>
      <c r="M355">
        <f t="shared" si="304"/>
        <v>2.1425661897482388E-20</v>
      </c>
      <c r="N355" s="9">
        <f t="shared" si="295"/>
        <v>2.1425661897482388E-20</v>
      </c>
      <c r="O355">
        <f t="shared" si="296"/>
        <v>2.1425661897482388E-20</v>
      </c>
      <c r="Q355">
        <f t="shared" si="308"/>
        <v>45.773348670779939</v>
      </c>
      <c r="R355">
        <f t="shared" si="309"/>
        <v>-710542.73576010019</v>
      </c>
      <c r="S355">
        <f t="shared" si="331"/>
        <v>-45.289697595170189</v>
      </c>
      <c r="T355" s="9" t="e">
        <f t="shared" si="310"/>
        <v>#N/A</v>
      </c>
      <c r="U355">
        <f t="shared" si="332"/>
        <v>-1.0000000000000001E+300</v>
      </c>
      <c r="V355">
        <f t="shared" si="333"/>
        <v>0</v>
      </c>
      <c r="W355">
        <f t="shared" si="334"/>
        <v>0</v>
      </c>
      <c r="X355">
        <f t="shared" si="311"/>
        <v>2.1425661897482389</v>
      </c>
      <c r="Y355">
        <f t="shared" si="312"/>
        <v>7.8539816339744828</v>
      </c>
      <c r="Z355">
        <f t="shared" si="313"/>
        <v>-2.1425661897482389</v>
      </c>
      <c r="AA355">
        <f t="shared" si="335"/>
        <v>1.3786736055696456</v>
      </c>
      <c r="AB355">
        <f t="shared" si="314"/>
        <v>9.2326552395441279</v>
      </c>
      <c r="AC355">
        <f t="shared" si="336"/>
        <v>0.31042155942127025</v>
      </c>
      <c r="AD355">
        <f t="shared" si="315"/>
        <v>0.17322951618848284</v>
      </c>
      <c r="AE355" s="9">
        <f t="shared" si="337"/>
        <v>9.7163063151538811</v>
      </c>
      <c r="AF355">
        <f t="shared" si="338"/>
        <v>0</v>
      </c>
      <c r="AH355">
        <f t="shared" si="316"/>
        <v>7.8539816339744828</v>
      </c>
      <c r="AI355">
        <f t="shared" si="317"/>
        <v>1.3786736055696458</v>
      </c>
      <c r="AJ355">
        <f t="shared" si="318"/>
        <v>0.31042155942127181</v>
      </c>
      <c r="AK355">
        <f t="shared" si="319"/>
        <v>0.17322951618848284</v>
      </c>
      <c r="AL355" s="9">
        <f t="shared" si="339"/>
        <v>9.7163063151538829</v>
      </c>
      <c r="AM355" t="e">
        <f t="shared" si="320"/>
        <v>#N/A</v>
      </c>
      <c r="AN355" t="e">
        <f t="shared" si="340"/>
        <v>#N/A</v>
      </c>
      <c r="AO355">
        <f t="shared" si="321"/>
        <v>0</v>
      </c>
      <c r="AP355">
        <f t="shared" si="322"/>
        <v>0</v>
      </c>
      <c r="AQ355">
        <f t="shared" si="323"/>
        <v>1.5543122344752192E-15</v>
      </c>
      <c r="AR355">
        <f t="shared" si="341"/>
        <v>0</v>
      </c>
      <c r="AS355">
        <f t="shared" si="324"/>
        <v>0</v>
      </c>
      <c r="AT355">
        <f t="shared" si="342"/>
        <v>0</v>
      </c>
      <c r="AU355">
        <f t="shared" si="343"/>
        <v>0</v>
      </c>
      <c r="AV355">
        <f t="shared" si="325"/>
        <v>2.1425661897482388E-20</v>
      </c>
      <c r="AW355" t="b">
        <f t="shared" si="344"/>
        <v>1</v>
      </c>
      <c r="AX355">
        <f t="shared" si="326"/>
        <v>7.8539816339744828</v>
      </c>
      <c r="AY355">
        <f t="shared" si="327"/>
        <v>1.3786736055696454</v>
      </c>
      <c r="AZ355">
        <f t="shared" si="328"/>
        <v>0.31042155942127042</v>
      </c>
      <c r="BA355">
        <f t="shared" si="329"/>
        <v>0.17322951618848273</v>
      </c>
      <c r="BB355">
        <f t="shared" si="330"/>
        <v>-1.2337005501361696E-20</v>
      </c>
      <c r="BD355" s="15">
        <f t="shared" si="345"/>
        <v>9.7163063151538811</v>
      </c>
      <c r="BE355" s="10">
        <f t="shared" si="346"/>
        <v>0</v>
      </c>
      <c r="BF355">
        <f t="shared" si="347"/>
        <v>0</v>
      </c>
      <c r="BG355">
        <f t="shared" si="348"/>
        <v>0</v>
      </c>
      <c r="BH355">
        <f t="shared" si="349"/>
        <v>0</v>
      </c>
      <c r="BI355">
        <f t="shared" si="350"/>
        <v>0</v>
      </c>
    </row>
    <row r="356" spans="1:61" x14ac:dyDescent="0.3">
      <c r="A356">
        <f t="shared" si="297"/>
        <v>0.31900000000000001</v>
      </c>
      <c r="B356">
        <f t="shared" si="298"/>
        <v>1.0021680564951441</v>
      </c>
      <c r="C356">
        <f t="shared" si="299"/>
        <v>2.1394245970946493</v>
      </c>
      <c r="D356">
        <f t="shared" si="300"/>
        <v>2.1394245970946493</v>
      </c>
      <c r="E356">
        <f t="shared" si="305"/>
        <v>0.84264041216043228</v>
      </c>
      <c r="F356">
        <f t="shared" si="306"/>
        <v>0.84264041216043217</v>
      </c>
      <c r="G356">
        <f t="shared" si="301"/>
        <v>1.0021680564951441</v>
      </c>
      <c r="H356">
        <f t="shared" si="302"/>
        <v>0.84264041216043228</v>
      </c>
      <c r="I356">
        <f t="shared" si="303"/>
        <v>0.84264041216043217</v>
      </c>
      <c r="J356">
        <f t="shared" si="293"/>
        <v>7.5550586368788333E+19</v>
      </c>
      <c r="K356">
        <f t="shared" si="294"/>
        <v>7.5550586368788333E+19</v>
      </c>
      <c r="L356">
        <f t="shared" si="307"/>
        <v>0</v>
      </c>
      <c r="M356">
        <f t="shared" si="304"/>
        <v>2.1394245970946488E-20</v>
      </c>
      <c r="N356" s="9">
        <f t="shared" si="295"/>
        <v>0</v>
      </c>
      <c r="O356">
        <f t="shared" si="296"/>
        <v>0</v>
      </c>
      <c r="Q356">
        <f t="shared" si="308"/>
        <v>45.771334123915516</v>
      </c>
      <c r="R356">
        <f t="shared" si="309"/>
        <v>0</v>
      </c>
      <c r="S356">
        <f t="shared" si="331"/>
        <v>-45.291164946864136</v>
      </c>
      <c r="T356" s="9" t="e">
        <f t="shared" si="310"/>
        <v>#N/A</v>
      </c>
      <c r="U356">
        <f t="shared" si="332"/>
        <v>-1.0000000000000001E+300</v>
      </c>
      <c r="V356">
        <f t="shared" si="333"/>
        <v>0</v>
      </c>
      <c r="W356">
        <f t="shared" si="334"/>
        <v>0</v>
      </c>
      <c r="X356">
        <f t="shared" si="311"/>
        <v>2.1394245970946493</v>
      </c>
      <c r="Y356">
        <f t="shared" si="312"/>
        <v>7.8539816339744828</v>
      </c>
      <c r="Z356">
        <f t="shared" si="313"/>
        <v>-2.1394245970946493</v>
      </c>
      <c r="AA356">
        <f t="shared" si="335"/>
        <v>1.3671671086469377</v>
      </c>
      <c r="AB356">
        <f t="shared" si="314"/>
        <v>9.2211487426214198</v>
      </c>
      <c r="AC356">
        <f t="shared" si="336"/>
        <v>0.30895420772732068</v>
      </c>
      <c r="AD356">
        <f t="shared" si="315"/>
        <v>0.17121496932405433</v>
      </c>
      <c r="AE356" s="9">
        <f t="shared" si="337"/>
        <v>9.7013179196727961</v>
      </c>
      <c r="AF356">
        <f t="shared" si="338"/>
        <v>0</v>
      </c>
      <c r="AH356">
        <f t="shared" si="316"/>
        <v>7.8539816339744828</v>
      </c>
      <c r="AI356">
        <f t="shared" si="317"/>
        <v>1.3671671086469368</v>
      </c>
      <c r="AJ356">
        <f t="shared" si="318"/>
        <v>0.30895420772732507</v>
      </c>
      <c r="AK356">
        <f t="shared" si="319"/>
        <v>0.17121496932405433</v>
      </c>
      <c r="AL356" s="9">
        <f t="shared" si="339"/>
        <v>9.7013179196727997</v>
      </c>
      <c r="AM356" t="e">
        <f t="shared" si="320"/>
        <v>#N/A</v>
      </c>
      <c r="AN356" t="e">
        <f t="shared" si="340"/>
        <v>#N/A</v>
      </c>
      <c r="AO356">
        <f t="shared" si="321"/>
        <v>0</v>
      </c>
      <c r="AP356">
        <f t="shared" si="322"/>
        <v>0</v>
      </c>
      <c r="AQ356">
        <f t="shared" si="323"/>
        <v>4.3853809472693683E-15</v>
      </c>
      <c r="AR356">
        <f t="shared" si="341"/>
        <v>0</v>
      </c>
      <c r="AS356">
        <f t="shared" si="324"/>
        <v>0</v>
      </c>
      <c r="AT356">
        <f t="shared" si="342"/>
        <v>0</v>
      </c>
      <c r="AU356">
        <f t="shared" si="343"/>
        <v>0</v>
      </c>
      <c r="AV356">
        <f t="shared" si="325"/>
        <v>2.1394245970946491E-20</v>
      </c>
      <c r="AW356" t="b">
        <f t="shared" si="344"/>
        <v>1</v>
      </c>
      <c r="AX356">
        <f t="shared" si="326"/>
        <v>7.8539816339744828</v>
      </c>
      <c r="AY356">
        <f t="shared" si="327"/>
        <v>1.3671671086469372</v>
      </c>
      <c r="AZ356">
        <f t="shared" si="328"/>
        <v>0.30895420772732068</v>
      </c>
      <c r="BA356">
        <f t="shared" si="329"/>
        <v>0.17121496932405447</v>
      </c>
      <c r="BB356">
        <f t="shared" si="330"/>
        <v>-1.2337005501361696E-20</v>
      </c>
      <c r="BD356" s="15">
        <f t="shared" si="345"/>
        <v>9.7013179196727961</v>
      </c>
      <c r="BE356" s="10">
        <f t="shared" si="346"/>
        <v>0</v>
      </c>
      <c r="BF356">
        <f t="shared" si="347"/>
        <v>0</v>
      </c>
      <c r="BG356">
        <f t="shared" si="348"/>
        <v>0</v>
      </c>
      <c r="BH356">
        <f t="shared" si="349"/>
        <v>0</v>
      </c>
      <c r="BI356">
        <f t="shared" si="350"/>
        <v>0</v>
      </c>
    </row>
    <row r="357" spans="1:61" x14ac:dyDescent="0.3">
      <c r="A357">
        <f t="shared" si="297"/>
        <v>0.32</v>
      </c>
      <c r="B357">
        <f t="shared" si="298"/>
        <v>1.0053096491487339</v>
      </c>
      <c r="C357">
        <f t="shared" si="299"/>
        <v>2.1362830044410592</v>
      </c>
      <c r="D357">
        <f t="shared" si="300"/>
        <v>2.1362830044410592</v>
      </c>
      <c r="E357">
        <f t="shared" si="305"/>
        <v>0.84432792550201508</v>
      </c>
      <c r="F357">
        <f t="shared" si="306"/>
        <v>0.84432792550201519</v>
      </c>
      <c r="G357">
        <f t="shared" si="301"/>
        <v>1.0053096491487339</v>
      </c>
      <c r="H357">
        <f t="shared" si="302"/>
        <v>0.84432792550201508</v>
      </c>
      <c r="I357">
        <f t="shared" si="303"/>
        <v>0.84432792550201519</v>
      </c>
      <c r="J357">
        <f t="shared" ref="J357:J420" si="351">x_m_zeta/H357</f>
        <v>7.5399587427961012E+19</v>
      </c>
      <c r="K357">
        <f t="shared" ref="K357:K420" si="352">(J357)^alpha</f>
        <v>7.5399587427961012E+19</v>
      </c>
      <c r="L357">
        <f t="shared" si="307"/>
        <v>0</v>
      </c>
      <c r="M357">
        <f t="shared" si="304"/>
        <v>2.1362830044410592E-20</v>
      </c>
      <c r="N357" s="9">
        <f t="shared" si="295"/>
        <v>0</v>
      </c>
      <c r="O357">
        <f t="shared" si="296"/>
        <v>0</v>
      </c>
      <c r="Q357">
        <f t="shared" si="308"/>
        <v>45.76933347711406</v>
      </c>
      <c r="R357">
        <f t="shared" si="309"/>
        <v>0</v>
      </c>
      <c r="S357">
        <f t="shared" si="331"/>
        <v>-45.292634454843501</v>
      </c>
      <c r="T357" s="9" t="e">
        <f t="shared" si="310"/>
        <v>#N/A</v>
      </c>
      <c r="U357">
        <f t="shared" si="332"/>
        <v>-1.0000000000000001E+300</v>
      </c>
      <c r="V357">
        <f t="shared" si="333"/>
        <v>0</v>
      </c>
      <c r="W357">
        <f t="shared" si="334"/>
        <v>0</v>
      </c>
      <c r="X357">
        <f t="shared" si="311"/>
        <v>2.1362830044410592</v>
      </c>
      <c r="Y357">
        <f t="shared" si="312"/>
        <v>7.8539816339744828</v>
      </c>
      <c r="Z357">
        <f t="shared" si="313"/>
        <v>-2.1362830044410592</v>
      </c>
      <c r="AA357">
        <f t="shared" si="335"/>
        <v>1.3557264196338867</v>
      </c>
      <c r="AB357">
        <f t="shared" si="314"/>
        <v>9.2097080536083702</v>
      </c>
      <c r="AC357">
        <f t="shared" si="336"/>
        <v>0.30748469974796055</v>
      </c>
      <c r="AD357">
        <f t="shared" si="315"/>
        <v>0.16921432252259819</v>
      </c>
      <c r="AE357" s="9">
        <f t="shared" si="337"/>
        <v>9.6864070758789289</v>
      </c>
      <c r="AF357">
        <f t="shared" si="338"/>
        <v>0</v>
      </c>
      <c r="AH357">
        <f t="shared" si="316"/>
        <v>7.8539816339744828</v>
      </c>
      <c r="AI357">
        <f t="shared" si="317"/>
        <v>1.3557264196338867</v>
      </c>
      <c r="AJ357">
        <f t="shared" si="318"/>
        <v>0.30748469974795967</v>
      </c>
      <c r="AK357">
        <f t="shared" si="319"/>
        <v>0.16921432252259819</v>
      </c>
      <c r="AL357" s="9">
        <f t="shared" si="339"/>
        <v>9.6864070758789289</v>
      </c>
      <c r="AM357" t="e">
        <f t="shared" si="320"/>
        <v>#N/A</v>
      </c>
      <c r="AN357" t="e">
        <f t="shared" si="340"/>
        <v>#N/A</v>
      </c>
      <c r="AO357">
        <f t="shared" si="321"/>
        <v>0</v>
      </c>
      <c r="AP357">
        <f t="shared" si="322"/>
        <v>0</v>
      </c>
      <c r="AQ357">
        <f t="shared" si="323"/>
        <v>-8.8817841970012523E-16</v>
      </c>
      <c r="AR357">
        <f t="shared" si="341"/>
        <v>0</v>
      </c>
      <c r="AS357">
        <f t="shared" si="324"/>
        <v>0</v>
      </c>
      <c r="AT357">
        <f t="shared" si="342"/>
        <v>0</v>
      </c>
      <c r="AU357">
        <f t="shared" si="343"/>
        <v>0</v>
      </c>
      <c r="AV357">
        <f t="shared" si="325"/>
        <v>2.1362830044410592E-20</v>
      </c>
      <c r="AW357" t="b">
        <f t="shared" si="344"/>
        <v>1</v>
      </c>
      <c r="AX357">
        <f t="shared" si="326"/>
        <v>7.8539816339744828</v>
      </c>
      <c r="AY357">
        <f t="shared" si="327"/>
        <v>1.3557264196338867</v>
      </c>
      <c r="AZ357">
        <f t="shared" si="328"/>
        <v>0.30748469974796072</v>
      </c>
      <c r="BA357">
        <f t="shared" si="329"/>
        <v>0.16921432252259805</v>
      </c>
      <c r="BB357">
        <f t="shared" si="330"/>
        <v>-1.2337005501361696E-20</v>
      </c>
      <c r="BD357" s="15">
        <f t="shared" si="345"/>
        <v>9.6864070758789289</v>
      </c>
      <c r="BE357" s="10">
        <f t="shared" si="346"/>
        <v>0</v>
      </c>
      <c r="BF357">
        <f t="shared" si="347"/>
        <v>0</v>
      </c>
      <c r="BG357">
        <f t="shared" si="348"/>
        <v>0</v>
      </c>
      <c r="BH357">
        <f t="shared" si="349"/>
        <v>0</v>
      </c>
      <c r="BI357">
        <f t="shared" si="350"/>
        <v>0</v>
      </c>
    </row>
    <row r="358" spans="1:61" x14ac:dyDescent="0.3">
      <c r="A358">
        <f t="shared" si="297"/>
        <v>0.32100000000000001</v>
      </c>
      <c r="B358">
        <f t="shared" si="298"/>
        <v>1.0084512418023237</v>
      </c>
      <c r="C358">
        <f t="shared" si="299"/>
        <v>2.1331414117874692</v>
      </c>
      <c r="D358">
        <f t="shared" si="300"/>
        <v>2.1331414117874692</v>
      </c>
      <c r="E358">
        <f t="shared" si="305"/>
        <v>0.84600710566784221</v>
      </c>
      <c r="F358">
        <f t="shared" si="306"/>
        <v>0.84600710566784243</v>
      </c>
      <c r="G358">
        <f t="shared" si="301"/>
        <v>1.0084512418023237</v>
      </c>
      <c r="H358">
        <f t="shared" si="302"/>
        <v>0.84600710566784221</v>
      </c>
      <c r="I358">
        <f t="shared" si="303"/>
        <v>0.84600710566784243</v>
      </c>
      <c r="J358">
        <f t="shared" si="351"/>
        <v>7.5249932075337662E+19</v>
      </c>
      <c r="K358">
        <f t="shared" si="352"/>
        <v>7.5249932075337662E+19</v>
      </c>
      <c r="L358">
        <f t="shared" si="307"/>
        <v>1</v>
      </c>
      <c r="M358">
        <f t="shared" si="304"/>
        <v>2.1331414117874695E-20</v>
      </c>
      <c r="N358" s="9">
        <f t="shared" ref="N358:N421" si="353">L358*M358</f>
        <v>2.1331414117874695E-20</v>
      </c>
      <c r="O358">
        <f t="shared" ref="O358:O421" si="354">N358*EXP(-N358)</f>
        <v>2.1331414117874695E-20</v>
      </c>
      <c r="Q358">
        <f t="shared" si="308"/>
        <v>45.76734667486808</v>
      </c>
      <c r="R358">
        <f t="shared" si="309"/>
        <v>0</v>
      </c>
      <c r="S358">
        <f t="shared" si="331"/>
        <v>-45.294106125454952</v>
      </c>
      <c r="T358" s="9" t="e">
        <f t="shared" si="310"/>
        <v>#N/A</v>
      </c>
      <c r="U358">
        <f t="shared" si="332"/>
        <v>-1.0000000000000001E+300</v>
      </c>
      <c r="V358">
        <f t="shared" si="333"/>
        <v>0</v>
      </c>
      <c r="W358">
        <f t="shared" si="334"/>
        <v>0</v>
      </c>
      <c r="X358">
        <f t="shared" si="311"/>
        <v>2.1331414117874692</v>
      </c>
      <c r="Y358">
        <f t="shared" si="312"/>
        <v>7.8539816339744828</v>
      </c>
      <c r="Z358">
        <f t="shared" si="313"/>
        <v>-2.1331414117874692</v>
      </c>
      <c r="AA358">
        <f t="shared" si="335"/>
        <v>1.3443509589514906</v>
      </c>
      <c r="AB358">
        <f t="shared" si="314"/>
        <v>9.1983325929259738</v>
      </c>
      <c r="AC358">
        <f t="shared" si="336"/>
        <v>0.3060130291365043</v>
      </c>
      <c r="AD358">
        <f t="shared" si="315"/>
        <v>0.16722752027662105</v>
      </c>
      <c r="AE358" s="9">
        <f t="shared" si="337"/>
        <v>9.6715731423390991</v>
      </c>
      <c r="AF358">
        <f t="shared" si="338"/>
        <v>0</v>
      </c>
      <c r="AH358">
        <f t="shared" si="316"/>
        <v>7.8539816339744828</v>
      </c>
      <c r="AI358">
        <f t="shared" si="317"/>
        <v>1.3443509589514915</v>
      </c>
      <c r="AJ358">
        <f t="shared" si="318"/>
        <v>0.30601302913650841</v>
      </c>
      <c r="AK358">
        <f t="shared" si="319"/>
        <v>0.16722752027662105</v>
      </c>
      <c r="AL358" s="9">
        <f t="shared" si="339"/>
        <v>9.6715731423391027</v>
      </c>
      <c r="AM358" t="e">
        <f t="shared" si="320"/>
        <v>#N/A</v>
      </c>
      <c r="AN358" t="e">
        <f t="shared" si="340"/>
        <v>#N/A</v>
      </c>
      <c r="AO358">
        <f t="shared" si="321"/>
        <v>0</v>
      </c>
      <c r="AP358">
        <f t="shared" si="322"/>
        <v>0</v>
      </c>
      <c r="AQ358">
        <f t="shared" si="323"/>
        <v>4.1078251911130792E-15</v>
      </c>
      <c r="AR358">
        <f t="shared" si="341"/>
        <v>0</v>
      </c>
      <c r="AS358">
        <f t="shared" si="324"/>
        <v>0</v>
      </c>
      <c r="AT358">
        <f t="shared" si="342"/>
        <v>0</v>
      </c>
      <c r="AU358">
        <f t="shared" si="343"/>
        <v>0</v>
      </c>
      <c r="AV358">
        <f t="shared" si="325"/>
        <v>2.1331414117874692E-20</v>
      </c>
      <c r="AW358" t="b">
        <f t="shared" si="344"/>
        <v>1</v>
      </c>
      <c r="AX358">
        <f t="shared" si="326"/>
        <v>7.8539816339744828</v>
      </c>
      <c r="AY358">
        <f t="shared" si="327"/>
        <v>1.3443509589514904</v>
      </c>
      <c r="AZ358">
        <f t="shared" si="328"/>
        <v>0.3060130291365043</v>
      </c>
      <c r="BA358">
        <f t="shared" si="329"/>
        <v>0.1672275202766208</v>
      </c>
      <c r="BB358">
        <f t="shared" si="330"/>
        <v>-1.2337005501361696E-20</v>
      </c>
      <c r="BD358" s="15">
        <f t="shared" si="345"/>
        <v>9.6715731423390991</v>
      </c>
      <c r="BE358" s="10">
        <f t="shared" si="346"/>
        <v>0</v>
      </c>
      <c r="BF358">
        <f t="shared" si="347"/>
        <v>0</v>
      </c>
      <c r="BG358">
        <f t="shared" si="348"/>
        <v>0</v>
      </c>
      <c r="BH358">
        <f t="shared" si="349"/>
        <v>0</v>
      </c>
      <c r="BI358">
        <f t="shared" si="350"/>
        <v>0</v>
      </c>
    </row>
    <row r="359" spans="1:61" x14ac:dyDescent="0.3">
      <c r="A359">
        <f t="shared" ref="A359:A422" si="355">ROUND(A358+1/1000,3)</f>
        <v>0.32200000000000001</v>
      </c>
      <c r="B359">
        <f t="shared" si="298"/>
        <v>1.0115928344559133</v>
      </c>
      <c r="C359">
        <f t="shared" si="299"/>
        <v>2.1299998191338796</v>
      </c>
      <c r="D359">
        <f t="shared" si="300"/>
        <v>2.1299998191338796</v>
      </c>
      <c r="E359">
        <f t="shared" si="305"/>
        <v>0.84767793608508313</v>
      </c>
      <c r="F359">
        <f t="shared" si="306"/>
        <v>0.84767793608508335</v>
      </c>
      <c r="G359">
        <f t="shared" si="301"/>
        <v>1.0115928344559133</v>
      </c>
      <c r="H359">
        <f t="shared" si="302"/>
        <v>0.84767793608508313</v>
      </c>
      <c r="I359">
        <f t="shared" si="303"/>
        <v>0.84767793608508335</v>
      </c>
      <c r="J359">
        <f t="shared" si="351"/>
        <v>7.5101609381004657E+19</v>
      </c>
      <c r="K359">
        <f t="shared" si="352"/>
        <v>7.5101609381004657E+19</v>
      </c>
      <c r="L359" t="e">
        <f t="shared" si="307"/>
        <v>#NUM!</v>
      </c>
      <c r="M359">
        <f t="shared" si="304"/>
        <v>2.1299998191338795E-20</v>
      </c>
      <c r="N359" s="9" t="e">
        <f t="shared" si="353"/>
        <v>#NUM!</v>
      </c>
      <c r="O359" t="e">
        <f t="shared" si="354"/>
        <v>#NUM!</v>
      </c>
      <c r="Q359">
        <f t="shared" si="308"/>
        <v>45.765373662273568</v>
      </c>
      <c r="R359">
        <f t="shared" si="309"/>
        <v>-710542.73576010019</v>
      </c>
      <c r="S359">
        <f t="shared" si="331"/>
        <v>-45.295579965073252</v>
      </c>
      <c r="T359" s="9" t="e">
        <f t="shared" si="310"/>
        <v>#N/A</v>
      </c>
      <c r="U359">
        <f t="shared" si="332"/>
        <v>-1.0000000000000001E+300</v>
      </c>
      <c r="V359">
        <f t="shared" si="333"/>
        <v>0</v>
      </c>
      <c r="W359">
        <f t="shared" si="334"/>
        <v>0</v>
      </c>
      <c r="X359">
        <f t="shared" si="311"/>
        <v>2.1299998191338796</v>
      </c>
      <c r="Y359">
        <f t="shared" si="312"/>
        <v>7.8539816339744828</v>
      </c>
      <c r="Z359">
        <f t="shared" si="313"/>
        <v>-2.1299998191338796</v>
      </c>
      <c r="AA359">
        <f t="shared" si="335"/>
        <v>1.3330401541894372</v>
      </c>
      <c r="AB359">
        <f t="shared" si="314"/>
        <v>9.1870217881639196</v>
      </c>
      <c r="AC359">
        <f t="shared" si="336"/>
        <v>0.30453918951820375</v>
      </c>
      <c r="AD359">
        <f t="shared" si="315"/>
        <v>0.1652545076821117</v>
      </c>
      <c r="AE359" s="9">
        <f t="shared" si="337"/>
        <v>9.6568154853642358</v>
      </c>
      <c r="AF359">
        <f t="shared" si="338"/>
        <v>0</v>
      </c>
      <c r="AH359">
        <f t="shared" si="316"/>
        <v>7.8539816339744828</v>
      </c>
      <c r="AI359">
        <f t="shared" si="317"/>
        <v>1.3330401541894383</v>
      </c>
      <c r="AJ359">
        <f t="shared" si="318"/>
        <v>0.30453918951820924</v>
      </c>
      <c r="AK359">
        <f t="shared" si="319"/>
        <v>0.1652545076821117</v>
      </c>
      <c r="AL359" s="9">
        <f t="shared" si="339"/>
        <v>9.6568154853642429</v>
      </c>
      <c r="AM359" t="e">
        <f t="shared" si="320"/>
        <v>#N/A</v>
      </c>
      <c r="AN359" t="e">
        <f t="shared" si="340"/>
        <v>#N/A</v>
      </c>
      <c r="AO359">
        <f t="shared" si="321"/>
        <v>0</v>
      </c>
      <c r="AP359">
        <f t="shared" si="322"/>
        <v>0</v>
      </c>
      <c r="AQ359">
        <f t="shared" si="323"/>
        <v>5.4956039718945249E-15</v>
      </c>
      <c r="AR359">
        <f t="shared" si="341"/>
        <v>0</v>
      </c>
      <c r="AS359">
        <f t="shared" si="324"/>
        <v>0</v>
      </c>
      <c r="AT359">
        <f t="shared" si="342"/>
        <v>0</v>
      </c>
      <c r="AU359">
        <f t="shared" si="343"/>
        <v>0</v>
      </c>
      <c r="AV359">
        <f t="shared" si="325"/>
        <v>2.1299998191338795E-20</v>
      </c>
      <c r="AW359" t="b">
        <f t="shared" si="344"/>
        <v>1</v>
      </c>
      <c r="AX359">
        <f t="shared" si="326"/>
        <v>7.8539816339744828</v>
      </c>
      <c r="AY359">
        <f t="shared" si="327"/>
        <v>1.3330401541894372</v>
      </c>
      <c r="AZ359">
        <f t="shared" si="328"/>
        <v>0.30453918951820391</v>
      </c>
      <c r="BA359">
        <f t="shared" si="329"/>
        <v>0.16525450768211145</v>
      </c>
      <c r="BB359">
        <f t="shared" si="330"/>
        <v>-1.2337005501361696E-20</v>
      </c>
      <c r="BD359" s="15">
        <f t="shared" si="345"/>
        <v>9.6568154853642341</v>
      </c>
      <c r="BE359" s="10">
        <f t="shared" si="346"/>
        <v>0</v>
      </c>
      <c r="BF359">
        <f t="shared" si="347"/>
        <v>0</v>
      </c>
      <c r="BG359">
        <f t="shared" si="348"/>
        <v>0</v>
      </c>
      <c r="BH359">
        <f t="shared" si="349"/>
        <v>0</v>
      </c>
      <c r="BI359">
        <f t="shared" si="350"/>
        <v>0</v>
      </c>
    </row>
    <row r="360" spans="1:61" x14ac:dyDescent="0.3">
      <c r="A360">
        <f t="shared" si="355"/>
        <v>0.32300000000000001</v>
      </c>
      <c r="B360">
        <f t="shared" si="298"/>
        <v>1.0147344271095031</v>
      </c>
      <c r="C360">
        <f t="shared" si="299"/>
        <v>2.12685822648029</v>
      </c>
      <c r="D360">
        <f t="shared" si="300"/>
        <v>2.12685822648029</v>
      </c>
      <c r="E360">
        <f t="shared" si="305"/>
        <v>0.84934040026331648</v>
      </c>
      <c r="F360">
        <f t="shared" si="306"/>
        <v>0.84934040026331659</v>
      </c>
      <c r="G360">
        <f t="shared" si="301"/>
        <v>1.0147344271095031</v>
      </c>
      <c r="H360">
        <f t="shared" si="302"/>
        <v>0.84934040026331648</v>
      </c>
      <c r="I360">
        <f t="shared" si="303"/>
        <v>0.84934040026331659</v>
      </c>
      <c r="J360">
        <f t="shared" si="351"/>
        <v>7.4954608560974332E+19</v>
      </c>
      <c r="K360">
        <f t="shared" si="352"/>
        <v>7.4954608560974332E+19</v>
      </c>
      <c r="L360" t="e">
        <f t="shared" si="307"/>
        <v>#NUM!</v>
      </c>
      <c r="M360">
        <f t="shared" si="304"/>
        <v>2.1268582264802899E-20</v>
      </c>
      <c r="N360" s="9" t="e">
        <f t="shared" si="353"/>
        <v>#NUM!</v>
      </c>
      <c r="O360" t="e">
        <f t="shared" si="354"/>
        <v>#NUM!</v>
      </c>
      <c r="Q360">
        <f t="shared" si="308"/>
        <v>45.763414385023061</v>
      </c>
      <c r="R360">
        <f t="shared" si="309"/>
        <v>0</v>
      </c>
      <c r="S360">
        <f t="shared" si="331"/>
        <v>-45.297055980101376</v>
      </c>
      <c r="T360" s="9" t="e">
        <f t="shared" si="310"/>
        <v>#N/A</v>
      </c>
      <c r="U360">
        <f t="shared" si="332"/>
        <v>-1.0000000000000001E+300</v>
      </c>
      <c r="V360">
        <f t="shared" si="333"/>
        <v>0</v>
      </c>
      <c r="W360">
        <f t="shared" si="334"/>
        <v>0</v>
      </c>
      <c r="X360">
        <f t="shared" si="311"/>
        <v>2.12685822648029</v>
      </c>
      <c r="Y360">
        <f t="shared" si="312"/>
        <v>7.8539816339744828</v>
      </c>
      <c r="Z360">
        <f t="shared" si="313"/>
        <v>-2.12685822648029</v>
      </c>
      <c r="AA360">
        <f t="shared" si="335"/>
        <v>1.3217934399953359</v>
      </c>
      <c r="AB360">
        <f t="shared" si="314"/>
        <v>9.1757750739698185</v>
      </c>
      <c r="AC360">
        <f t="shared" si="336"/>
        <v>0.3030631744900833</v>
      </c>
      <c r="AD360">
        <f t="shared" si="315"/>
        <v>0.16329523043160382</v>
      </c>
      <c r="AE360" s="9">
        <f t="shared" si="337"/>
        <v>9.6421334788915054</v>
      </c>
      <c r="AF360">
        <f t="shared" si="338"/>
        <v>0</v>
      </c>
      <c r="AH360">
        <f t="shared" si="316"/>
        <v>7.8539816339744828</v>
      </c>
      <c r="AI360">
        <f t="shared" si="317"/>
        <v>1.3217934399953362</v>
      </c>
      <c r="AJ360">
        <f t="shared" si="318"/>
        <v>0.30306317449008446</v>
      </c>
      <c r="AK360">
        <f t="shared" si="319"/>
        <v>0.16329523043160382</v>
      </c>
      <c r="AL360" s="9">
        <f t="shared" si="339"/>
        <v>9.6421334788915072</v>
      </c>
      <c r="AM360" t="e">
        <f t="shared" si="320"/>
        <v>#N/A</v>
      </c>
      <c r="AN360" t="e">
        <f t="shared" si="340"/>
        <v>#N/A</v>
      </c>
      <c r="AO360">
        <f t="shared" si="321"/>
        <v>0</v>
      </c>
      <c r="AP360">
        <f t="shared" si="322"/>
        <v>0</v>
      </c>
      <c r="AQ360">
        <f t="shared" si="323"/>
        <v>1.1657341758564144E-15</v>
      </c>
      <c r="AR360">
        <f t="shared" si="341"/>
        <v>0</v>
      </c>
      <c r="AS360">
        <f t="shared" si="324"/>
        <v>0</v>
      </c>
      <c r="AT360">
        <f t="shared" si="342"/>
        <v>0</v>
      </c>
      <c r="AU360">
        <f t="shared" si="343"/>
        <v>0</v>
      </c>
      <c r="AV360">
        <f t="shared" si="325"/>
        <v>2.1268582264802899E-20</v>
      </c>
      <c r="AW360" t="b">
        <f t="shared" si="344"/>
        <v>1</v>
      </c>
      <c r="AX360">
        <f t="shared" si="326"/>
        <v>7.8539816339744828</v>
      </c>
      <c r="AY360">
        <f t="shared" si="327"/>
        <v>1.3217934399953355</v>
      </c>
      <c r="AZ360">
        <f t="shared" si="328"/>
        <v>0.3030631744900833</v>
      </c>
      <c r="BA360">
        <f t="shared" si="329"/>
        <v>0.16329523043160368</v>
      </c>
      <c r="BB360">
        <f t="shared" si="330"/>
        <v>-1.2337005501361696E-20</v>
      </c>
      <c r="BD360" s="15">
        <f t="shared" si="345"/>
        <v>9.6421334788915054</v>
      </c>
      <c r="BE360" s="10">
        <f t="shared" si="346"/>
        <v>0</v>
      </c>
      <c r="BF360">
        <f t="shared" si="347"/>
        <v>0</v>
      </c>
      <c r="BG360">
        <f t="shared" si="348"/>
        <v>0</v>
      </c>
      <c r="BH360">
        <f t="shared" si="349"/>
        <v>0</v>
      </c>
      <c r="BI360">
        <f t="shared" si="350"/>
        <v>0</v>
      </c>
    </row>
    <row r="361" spans="1:61" x14ac:dyDescent="0.3">
      <c r="A361">
        <f t="shared" si="355"/>
        <v>0.32400000000000001</v>
      </c>
      <c r="B361">
        <f t="shared" si="298"/>
        <v>1.0178760197630929</v>
      </c>
      <c r="C361">
        <f t="shared" si="299"/>
        <v>2.1237166338267004</v>
      </c>
      <c r="D361">
        <f t="shared" si="300"/>
        <v>2.1237166338267004</v>
      </c>
      <c r="E361">
        <f t="shared" si="305"/>
        <v>0.85099448179469184</v>
      </c>
      <c r="F361">
        <f t="shared" si="306"/>
        <v>0.85099448179469173</v>
      </c>
      <c r="G361">
        <f t="shared" si="301"/>
        <v>1.0178760197630929</v>
      </c>
      <c r="H361">
        <f t="shared" si="302"/>
        <v>0.85099448179469184</v>
      </c>
      <c r="I361">
        <f t="shared" si="303"/>
        <v>0.85099448179469173</v>
      </c>
      <c r="J361">
        <f t="shared" si="351"/>
        <v>7.4808918975008145E+19</v>
      </c>
      <c r="K361">
        <f t="shared" si="352"/>
        <v>7.4808918975008145E+19</v>
      </c>
      <c r="L361">
        <f t="shared" si="307"/>
        <v>1</v>
      </c>
      <c r="M361">
        <f t="shared" si="304"/>
        <v>2.1237166338267002E-20</v>
      </c>
      <c r="N361" s="9">
        <f t="shared" si="353"/>
        <v>2.1237166338267002E-20</v>
      </c>
      <c r="O361">
        <f t="shared" si="354"/>
        <v>2.1237166338267002E-20</v>
      </c>
      <c r="Q361">
        <f t="shared" si="308"/>
        <v>45.761468789398812</v>
      </c>
      <c r="R361">
        <f t="shared" si="309"/>
        <v>0</v>
      </c>
      <c r="S361">
        <f t="shared" si="331"/>
        <v>-45.298534176970684</v>
      </c>
      <c r="T361" s="9" t="e">
        <f t="shared" si="310"/>
        <v>#N/A</v>
      </c>
      <c r="U361">
        <f t="shared" si="332"/>
        <v>-1.0000000000000001E+300</v>
      </c>
      <c r="V361">
        <f t="shared" si="333"/>
        <v>0</v>
      </c>
      <c r="W361">
        <f t="shared" si="334"/>
        <v>0</v>
      </c>
      <c r="X361">
        <f t="shared" si="311"/>
        <v>2.1237166338267004</v>
      </c>
      <c r="Y361">
        <f t="shared" si="312"/>
        <v>7.8539816339744828</v>
      </c>
      <c r="Z361">
        <f t="shared" si="313"/>
        <v>-2.1237166338267004</v>
      </c>
      <c r="AA361">
        <f t="shared" si="335"/>
        <v>1.3106102579660033</v>
      </c>
      <c r="AB361">
        <f t="shared" si="314"/>
        <v>9.1645918919404856</v>
      </c>
      <c r="AC361">
        <f t="shared" si="336"/>
        <v>0.30158497762077241</v>
      </c>
      <c r="AD361">
        <f t="shared" si="315"/>
        <v>0.16134963480735198</v>
      </c>
      <c r="AE361" s="9">
        <f t="shared" si="337"/>
        <v>9.6275265043686105</v>
      </c>
      <c r="AF361">
        <f t="shared" si="338"/>
        <v>0</v>
      </c>
      <c r="AH361">
        <f t="shared" si="316"/>
        <v>7.8539816339744828</v>
      </c>
      <c r="AI361">
        <f t="shared" si="317"/>
        <v>1.3106102579660028</v>
      </c>
      <c r="AJ361">
        <f t="shared" si="318"/>
        <v>0.30158497762077729</v>
      </c>
      <c r="AK361">
        <f t="shared" si="319"/>
        <v>0.16134963480735198</v>
      </c>
      <c r="AL361" s="9">
        <f t="shared" si="339"/>
        <v>9.627526504368614</v>
      </c>
      <c r="AM361" t="e">
        <f t="shared" si="320"/>
        <v>#N/A</v>
      </c>
      <c r="AN361" t="e">
        <f t="shared" si="340"/>
        <v>#N/A</v>
      </c>
      <c r="AO361">
        <f t="shared" si="321"/>
        <v>0</v>
      </c>
      <c r="AP361">
        <f t="shared" si="322"/>
        <v>0</v>
      </c>
      <c r="AQ361">
        <f t="shared" si="323"/>
        <v>4.8849813083506888E-15</v>
      </c>
      <c r="AR361">
        <f t="shared" si="341"/>
        <v>0</v>
      </c>
      <c r="AS361">
        <f t="shared" si="324"/>
        <v>0</v>
      </c>
      <c r="AT361">
        <f t="shared" si="342"/>
        <v>0</v>
      </c>
      <c r="AU361">
        <f t="shared" si="343"/>
        <v>0</v>
      </c>
      <c r="AV361">
        <f t="shared" si="325"/>
        <v>2.1237166338267002E-20</v>
      </c>
      <c r="AW361" t="b">
        <f t="shared" si="344"/>
        <v>1</v>
      </c>
      <c r="AX361">
        <f t="shared" si="326"/>
        <v>7.8539816339744828</v>
      </c>
      <c r="AY361">
        <f t="shared" si="327"/>
        <v>1.3106102579660031</v>
      </c>
      <c r="AZ361">
        <f t="shared" si="328"/>
        <v>0.30158497762077241</v>
      </c>
      <c r="BA361">
        <f t="shared" si="329"/>
        <v>0.16134963480735212</v>
      </c>
      <c r="BB361">
        <f t="shared" si="330"/>
        <v>-1.2337005501361696E-20</v>
      </c>
      <c r="BD361" s="15">
        <f t="shared" si="345"/>
        <v>9.6275265043686105</v>
      </c>
      <c r="BE361" s="10">
        <f t="shared" si="346"/>
        <v>0</v>
      </c>
      <c r="BF361">
        <f t="shared" si="347"/>
        <v>0</v>
      </c>
      <c r="BG361">
        <f t="shared" si="348"/>
        <v>0</v>
      </c>
      <c r="BH361">
        <f t="shared" si="349"/>
        <v>0</v>
      </c>
      <c r="BI361">
        <f t="shared" si="350"/>
        <v>0</v>
      </c>
    </row>
    <row r="362" spans="1:61" x14ac:dyDescent="0.3">
      <c r="A362">
        <f t="shared" si="355"/>
        <v>0.32500000000000001</v>
      </c>
      <c r="B362">
        <f t="shared" si="298"/>
        <v>1.0210176124166828</v>
      </c>
      <c r="C362">
        <f t="shared" si="299"/>
        <v>2.1205750411731104</v>
      </c>
      <c r="D362">
        <f t="shared" si="300"/>
        <v>2.1205750411731104</v>
      </c>
      <c r="E362">
        <f t="shared" si="305"/>
        <v>0.85264016435409218</v>
      </c>
      <c r="F362">
        <f t="shared" si="306"/>
        <v>0.85264016435409229</v>
      </c>
      <c r="G362">
        <f t="shared" si="301"/>
        <v>1.0210176124166828</v>
      </c>
      <c r="H362">
        <f t="shared" si="302"/>
        <v>0.85264016435409218</v>
      </c>
      <c r="I362">
        <f t="shared" si="303"/>
        <v>0.85264016435409229</v>
      </c>
      <c r="J362">
        <f t="shared" si="351"/>
        <v>7.4664530124480528E+19</v>
      </c>
      <c r="K362">
        <f t="shared" si="352"/>
        <v>7.4664530124480528E+19</v>
      </c>
      <c r="L362">
        <f t="shared" si="307"/>
        <v>1</v>
      </c>
      <c r="M362">
        <f t="shared" si="304"/>
        <v>2.1205750411731103E-20</v>
      </c>
      <c r="N362" s="9">
        <f t="shared" si="353"/>
        <v>2.1205750411731103E-20</v>
      </c>
      <c r="O362">
        <f t="shared" si="354"/>
        <v>2.1205750411731103E-20</v>
      </c>
      <c r="Q362">
        <f t="shared" si="308"/>
        <v>45.759536822266071</v>
      </c>
      <c r="R362">
        <f t="shared" si="309"/>
        <v>-710542.73576010019</v>
      </c>
      <c r="S362">
        <f t="shared" si="331"/>
        <v>-45.300014562141122</v>
      </c>
      <c r="T362" s="9" t="e">
        <f t="shared" si="310"/>
        <v>#N/A</v>
      </c>
      <c r="U362">
        <f t="shared" si="332"/>
        <v>-1.0000000000000001E+300</v>
      </c>
      <c r="V362">
        <f t="shared" si="333"/>
        <v>0</v>
      </c>
      <c r="W362">
        <f t="shared" si="334"/>
        <v>0</v>
      </c>
      <c r="X362">
        <f t="shared" si="311"/>
        <v>2.1205750411731104</v>
      </c>
      <c r="Y362">
        <f t="shared" si="312"/>
        <v>7.8539816339744828</v>
      </c>
      <c r="Z362">
        <f t="shared" si="313"/>
        <v>-2.1205750411731104</v>
      </c>
      <c r="AA362">
        <f t="shared" si="335"/>
        <v>1.2994900565407508</v>
      </c>
      <c r="AB362">
        <f t="shared" si="314"/>
        <v>9.153471690515234</v>
      </c>
      <c r="AC362">
        <f t="shared" si="336"/>
        <v>0.30010459245033816</v>
      </c>
      <c r="AD362">
        <f t="shared" si="315"/>
        <v>0.15941766767461499</v>
      </c>
      <c r="AE362" s="9">
        <f t="shared" si="337"/>
        <v>9.6129939506401882</v>
      </c>
      <c r="AF362">
        <f t="shared" si="338"/>
        <v>0</v>
      </c>
      <c r="AH362">
        <f t="shared" si="316"/>
        <v>7.8539816339744828</v>
      </c>
      <c r="AI362">
        <f t="shared" si="317"/>
        <v>1.2994900565407508</v>
      </c>
      <c r="AJ362">
        <f t="shared" si="318"/>
        <v>0.30010459245033871</v>
      </c>
      <c r="AK362">
        <f t="shared" si="319"/>
        <v>0.15941766767461499</v>
      </c>
      <c r="AL362" s="9">
        <f t="shared" si="339"/>
        <v>9.6129939506401882</v>
      </c>
      <c r="AM362" t="e">
        <f t="shared" si="320"/>
        <v>#N/A</v>
      </c>
      <c r="AN362" t="e">
        <f t="shared" si="340"/>
        <v>#N/A</v>
      </c>
      <c r="AO362">
        <f t="shared" si="321"/>
        <v>0</v>
      </c>
      <c r="AP362">
        <f t="shared" si="322"/>
        <v>0</v>
      </c>
      <c r="AQ362">
        <f t="shared" si="323"/>
        <v>5.5511151231257827E-16</v>
      </c>
      <c r="AR362">
        <f t="shared" si="341"/>
        <v>0</v>
      </c>
      <c r="AS362">
        <f t="shared" si="324"/>
        <v>0</v>
      </c>
      <c r="AT362">
        <f t="shared" si="342"/>
        <v>0</v>
      </c>
      <c r="AU362">
        <f t="shared" si="343"/>
        <v>0</v>
      </c>
      <c r="AV362">
        <f t="shared" si="325"/>
        <v>2.1205750411731103E-20</v>
      </c>
      <c r="AW362" t="b">
        <f t="shared" si="344"/>
        <v>1</v>
      </c>
      <c r="AX362">
        <f t="shared" si="326"/>
        <v>7.8539816339744828</v>
      </c>
      <c r="AY362">
        <f t="shared" si="327"/>
        <v>1.2994900565407506</v>
      </c>
      <c r="AZ362">
        <f t="shared" si="328"/>
        <v>0.30010459245033816</v>
      </c>
      <c r="BA362">
        <f t="shared" si="329"/>
        <v>0.15941766767461485</v>
      </c>
      <c r="BB362">
        <f t="shared" si="330"/>
        <v>-1.2337005501361696E-20</v>
      </c>
      <c r="BD362" s="15">
        <f t="shared" si="345"/>
        <v>9.6129939506401882</v>
      </c>
      <c r="BE362" s="10">
        <f t="shared" si="346"/>
        <v>0</v>
      </c>
      <c r="BF362">
        <f t="shared" si="347"/>
        <v>0</v>
      </c>
      <c r="BG362">
        <f t="shared" si="348"/>
        <v>0</v>
      </c>
      <c r="BH362">
        <f t="shared" si="349"/>
        <v>0</v>
      </c>
      <c r="BI362">
        <f t="shared" si="350"/>
        <v>0</v>
      </c>
    </row>
    <row r="363" spans="1:61" x14ac:dyDescent="0.3">
      <c r="A363">
        <f t="shared" si="355"/>
        <v>0.32600000000000001</v>
      </c>
      <c r="B363">
        <f t="shared" si="298"/>
        <v>1.0241592050702726</v>
      </c>
      <c r="C363">
        <f t="shared" si="299"/>
        <v>2.1174334485195203</v>
      </c>
      <c r="D363">
        <f t="shared" si="300"/>
        <v>2.1174334485195203</v>
      </c>
      <c r="E363">
        <f t="shared" si="305"/>
        <v>0.85427743169929515</v>
      </c>
      <c r="F363">
        <f t="shared" si="306"/>
        <v>0.85427743169929538</v>
      </c>
      <c r="G363">
        <f t="shared" si="301"/>
        <v>1.0241592050702726</v>
      </c>
      <c r="H363">
        <f t="shared" si="302"/>
        <v>0.85427743169929515</v>
      </c>
      <c r="I363">
        <f t="shared" si="303"/>
        <v>0.85427743169929538</v>
      </c>
      <c r="J363">
        <f t="shared" si="351"/>
        <v>7.4521431650282783E+19</v>
      </c>
      <c r="K363">
        <f t="shared" si="352"/>
        <v>7.4521431650282783E+19</v>
      </c>
      <c r="L363">
        <f t="shared" si="307"/>
        <v>1</v>
      </c>
      <c r="M363">
        <f t="shared" si="304"/>
        <v>2.1174334485195203E-20</v>
      </c>
      <c r="N363" s="9">
        <f t="shared" si="353"/>
        <v>2.1174334485195203E-20</v>
      </c>
      <c r="O363">
        <f t="shared" si="354"/>
        <v>2.1174334485195203E-20</v>
      </c>
      <c r="Q363">
        <f t="shared" si="308"/>
        <v>45.757618431066504</v>
      </c>
      <c r="R363">
        <f t="shared" si="309"/>
        <v>0</v>
      </c>
      <c r="S363">
        <f t="shared" si="331"/>
        <v>-45.301497142101347</v>
      </c>
      <c r="T363" s="9" t="e">
        <f t="shared" si="310"/>
        <v>#N/A</v>
      </c>
      <c r="U363">
        <f t="shared" si="332"/>
        <v>-1.0000000000000001E+300</v>
      </c>
      <c r="V363">
        <f t="shared" si="333"/>
        <v>0</v>
      </c>
      <c r="W363">
        <f t="shared" si="334"/>
        <v>0</v>
      </c>
      <c r="X363">
        <f t="shared" si="311"/>
        <v>2.1174334485195203</v>
      </c>
      <c r="Y363">
        <f t="shared" si="312"/>
        <v>7.8539816339744828</v>
      </c>
      <c r="Z363">
        <f t="shared" si="313"/>
        <v>-2.1174334485195203</v>
      </c>
      <c r="AA363">
        <f t="shared" si="335"/>
        <v>1.2884322908966406</v>
      </c>
      <c r="AB363">
        <f t="shared" si="314"/>
        <v>9.1424139248711231</v>
      </c>
      <c r="AC363">
        <f t="shared" si="336"/>
        <v>0.29862201249011522</v>
      </c>
      <c r="AD363">
        <f t="shared" si="315"/>
        <v>0.15749927647504625</v>
      </c>
      <c r="AE363" s="9">
        <f t="shared" si="337"/>
        <v>9.5985352138362856</v>
      </c>
      <c r="AF363">
        <f t="shared" si="338"/>
        <v>0</v>
      </c>
      <c r="AH363">
        <f t="shared" si="316"/>
        <v>7.8539816339744828</v>
      </c>
      <c r="AI363">
        <f t="shared" si="317"/>
        <v>1.2884322908966412</v>
      </c>
      <c r="AJ363">
        <f t="shared" si="318"/>
        <v>0.29862201249011378</v>
      </c>
      <c r="AK363">
        <f t="shared" si="319"/>
        <v>0.15749927647504625</v>
      </c>
      <c r="AL363" s="9">
        <f t="shared" si="339"/>
        <v>9.5985352138362856</v>
      </c>
      <c r="AM363" t="e">
        <f t="shared" si="320"/>
        <v>#N/A</v>
      </c>
      <c r="AN363" t="e">
        <f t="shared" si="340"/>
        <v>#N/A</v>
      </c>
      <c r="AO363">
        <f t="shared" si="321"/>
        <v>0</v>
      </c>
      <c r="AP363">
        <f t="shared" si="322"/>
        <v>0</v>
      </c>
      <c r="AQ363">
        <f t="shared" si="323"/>
        <v>-1.4432899320127035E-15</v>
      </c>
      <c r="AR363">
        <f t="shared" si="341"/>
        <v>0</v>
      </c>
      <c r="AS363">
        <f t="shared" si="324"/>
        <v>0</v>
      </c>
      <c r="AT363">
        <f t="shared" si="342"/>
        <v>0</v>
      </c>
      <c r="AU363">
        <f t="shared" si="343"/>
        <v>0</v>
      </c>
      <c r="AV363">
        <f t="shared" si="325"/>
        <v>2.1174334485195203E-20</v>
      </c>
      <c r="AW363" t="b">
        <f t="shared" si="344"/>
        <v>1</v>
      </c>
      <c r="AX363">
        <f t="shared" si="326"/>
        <v>7.8539816339744828</v>
      </c>
      <c r="AY363">
        <f t="shared" si="327"/>
        <v>1.2884322908966406</v>
      </c>
      <c r="AZ363">
        <f t="shared" si="328"/>
        <v>0.29862201249011522</v>
      </c>
      <c r="BA363">
        <f t="shared" si="329"/>
        <v>0.15749927647504597</v>
      </c>
      <c r="BB363">
        <f t="shared" si="330"/>
        <v>-1.2337005501361696E-20</v>
      </c>
      <c r="BD363" s="15">
        <f t="shared" si="345"/>
        <v>9.5985352138362838</v>
      </c>
      <c r="BE363" s="10">
        <f t="shared" si="346"/>
        <v>0</v>
      </c>
      <c r="BF363">
        <f t="shared" si="347"/>
        <v>0</v>
      </c>
      <c r="BG363">
        <f t="shared" si="348"/>
        <v>0</v>
      </c>
      <c r="BH363">
        <f t="shared" si="349"/>
        <v>0</v>
      </c>
      <c r="BI363">
        <f t="shared" si="350"/>
        <v>0</v>
      </c>
    </row>
    <row r="364" spans="1:61" x14ac:dyDescent="0.3">
      <c r="A364">
        <f t="shared" si="355"/>
        <v>0.32700000000000001</v>
      </c>
      <c r="B364">
        <f t="shared" si="298"/>
        <v>1.0273007977238624</v>
      </c>
      <c r="C364">
        <f t="shared" si="299"/>
        <v>2.1142918558659307</v>
      </c>
      <c r="D364">
        <f t="shared" si="300"/>
        <v>2.1142918558659307</v>
      </c>
      <c r="E364">
        <f t="shared" si="305"/>
        <v>0.85590626767113298</v>
      </c>
      <c r="F364">
        <f t="shared" si="306"/>
        <v>0.85590626767113309</v>
      </c>
      <c r="G364">
        <f t="shared" si="301"/>
        <v>1.0273007977238624</v>
      </c>
      <c r="H364">
        <f t="shared" si="302"/>
        <v>0.85590626767113298</v>
      </c>
      <c r="I364">
        <f t="shared" si="303"/>
        <v>0.85590626767113309</v>
      </c>
      <c r="J364">
        <f t="shared" si="351"/>
        <v>7.4379613330766201E+19</v>
      </c>
      <c r="K364">
        <f t="shared" si="352"/>
        <v>7.4379613330766201E+19</v>
      </c>
      <c r="L364" t="e">
        <f t="shared" si="307"/>
        <v>#NUM!</v>
      </c>
      <c r="M364">
        <f t="shared" si="304"/>
        <v>2.1142918558659306E-20</v>
      </c>
      <c r="N364" s="9" t="e">
        <f t="shared" si="353"/>
        <v>#NUM!</v>
      </c>
      <c r="O364" t="e">
        <f t="shared" si="354"/>
        <v>#NUM!</v>
      </c>
      <c r="Q364">
        <f t="shared" si="308"/>
        <v>45.755713563811646</v>
      </c>
      <c r="R364">
        <f t="shared" si="309"/>
        <v>-710542.73576010019</v>
      </c>
      <c r="S364">
        <f t="shared" si="331"/>
        <v>-45.302981923368925</v>
      </c>
      <c r="T364" s="9" t="e">
        <f t="shared" si="310"/>
        <v>#N/A</v>
      </c>
      <c r="U364">
        <f t="shared" si="332"/>
        <v>-1.0000000000000001E+300</v>
      </c>
      <c r="V364">
        <f t="shared" si="333"/>
        <v>0</v>
      </c>
      <c r="W364">
        <f t="shared" si="334"/>
        <v>0</v>
      </c>
      <c r="X364">
        <f t="shared" si="311"/>
        <v>2.1142918558659307</v>
      </c>
      <c r="Y364">
        <f t="shared" si="312"/>
        <v>7.8539816339744828</v>
      </c>
      <c r="Z364">
        <f t="shared" si="313"/>
        <v>-2.1142918558659307</v>
      </c>
      <c r="AA364">
        <f t="shared" si="335"/>
        <v>1.2774364228456581</v>
      </c>
      <c r="AB364">
        <f t="shared" si="314"/>
        <v>9.1314180568201415</v>
      </c>
      <c r="AC364">
        <f t="shared" si="336"/>
        <v>0.29713723122253594</v>
      </c>
      <c r="AD364">
        <f t="shared" si="315"/>
        <v>0.15559440922019016</v>
      </c>
      <c r="AE364" s="9">
        <f t="shared" si="337"/>
        <v>9.5841496972628679</v>
      </c>
      <c r="AF364">
        <f t="shared" si="338"/>
        <v>0</v>
      </c>
      <c r="AH364">
        <f t="shared" si="316"/>
        <v>7.8539816339744828</v>
      </c>
      <c r="AI364">
        <f t="shared" si="317"/>
        <v>1.2774364228456581</v>
      </c>
      <c r="AJ364">
        <f t="shared" si="318"/>
        <v>0.29713723122253555</v>
      </c>
      <c r="AK364">
        <f t="shared" si="319"/>
        <v>0.15559440922019016</v>
      </c>
      <c r="AL364" s="9">
        <f t="shared" si="339"/>
        <v>9.5841496972628679</v>
      </c>
      <c r="AM364" t="e">
        <f t="shared" si="320"/>
        <v>#N/A</v>
      </c>
      <c r="AN364" t="e">
        <f t="shared" si="340"/>
        <v>#N/A</v>
      </c>
      <c r="AO364">
        <f t="shared" si="321"/>
        <v>0</v>
      </c>
      <c r="AP364">
        <f t="shared" si="322"/>
        <v>0</v>
      </c>
      <c r="AQ364">
        <f t="shared" si="323"/>
        <v>0</v>
      </c>
      <c r="AR364">
        <f t="shared" si="341"/>
        <v>0</v>
      </c>
      <c r="AS364">
        <f t="shared" si="324"/>
        <v>0</v>
      </c>
      <c r="AT364">
        <f t="shared" si="342"/>
        <v>0</v>
      </c>
      <c r="AU364">
        <f t="shared" si="343"/>
        <v>0</v>
      </c>
      <c r="AV364">
        <f t="shared" si="325"/>
        <v>2.1142918558659306E-20</v>
      </c>
      <c r="AW364" t="b">
        <f t="shared" si="344"/>
        <v>1</v>
      </c>
      <c r="AX364">
        <f t="shared" si="326"/>
        <v>7.8539816339744828</v>
      </c>
      <c r="AY364">
        <f t="shared" si="327"/>
        <v>1.2774364228456578</v>
      </c>
      <c r="AZ364">
        <f t="shared" si="328"/>
        <v>0.2971372312225361</v>
      </c>
      <c r="BA364">
        <f t="shared" si="329"/>
        <v>0.15559440922019002</v>
      </c>
      <c r="BB364">
        <f t="shared" si="330"/>
        <v>-1.2337005501361696E-20</v>
      </c>
      <c r="BD364" s="15">
        <f t="shared" si="345"/>
        <v>9.5841496972628679</v>
      </c>
      <c r="BE364" s="10">
        <f t="shared" si="346"/>
        <v>0</v>
      </c>
      <c r="BF364">
        <f t="shared" si="347"/>
        <v>0</v>
      </c>
      <c r="BG364">
        <f t="shared" si="348"/>
        <v>0</v>
      </c>
      <c r="BH364">
        <f t="shared" si="349"/>
        <v>0</v>
      </c>
      <c r="BI364">
        <f t="shared" si="350"/>
        <v>0</v>
      </c>
    </row>
    <row r="365" spans="1:61" x14ac:dyDescent="0.3">
      <c r="A365">
        <f t="shared" si="355"/>
        <v>0.32800000000000001</v>
      </c>
      <c r="B365">
        <f t="shared" si="298"/>
        <v>1.0304423903774522</v>
      </c>
      <c r="C365">
        <f t="shared" si="299"/>
        <v>2.1111502632123411</v>
      </c>
      <c r="D365">
        <f t="shared" si="300"/>
        <v>2.1111502632123411</v>
      </c>
      <c r="E365">
        <f t="shared" si="305"/>
        <v>0.85752665619365231</v>
      </c>
      <c r="F365">
        <f t="shared" si="306"/>
        <v>0.8575266561936522</v>
      </c>
      <c r="G365">
        <f t="shared" si="301"/>
        <v>1.0304423903774522</v>
      </c>
      <c r="H365">
        <f t="shared" si="302"/>
        <v>0.85752665619365231</v>
      </c>
      <c r="I365">
        <f t="shared" si="303"/>
        <v>0.8575266561936522</v>
      </c>
      <c r="J365">
        <f t="shared" si="351"/>
        <v>7.4239065079723393E+19</v>
      </c>
      <c r="K365">
        <f t="shared" si="352"/>
        <v>7.4239065079723393E+19</v>
      </c>
      <c r="L365">
        <f t="shared" si="307"/>
        <v>1</v>
      </c>
      <c r="M365">
        <f t="shared" si="304"/>
        <v>2.111150263212341E-20</v>
      </c>
      <c r="N365" s="9">
        <f t="shared" si="353"/>
        <v>2.111150263212341E-20</v>
      </c>
      <c r="O365">
        <f t="shared" si="354"/>
        <v>2.111150263212341E-20</v>
      </c>
      <c r="Q365">
        <f t="shared" si="308"/>
        <v>45.753822169076543</v>
      </c>
      <c r="R365">
        <f t="shared" si="309"/>
        <v>0</v>
      </c>
      <c r="S365">
        <f t="shared" si="331"/>
        <v>-45.304468912490499</v>
      </c>
      <c r="T365" s="9" t="e">
        <f t="shared" si="310"/>
        <v>#N/A</v>
      </c>
      <c r="U365">
        <f t="shared" si="332"/>
        <v>-1.0000000000000001E+300</v>
      </c>
      <c r="V365">
        <f t="shared" si="333"/>
        <v>0</v>
      </c>
      <c r="W365">
        <f t="shared" si="334"/>
        <v>0</v>
      </c>
      <c r="X365">
        <f t="shared" si="311"/>
        <v>2.1111502632123411</v>
      </c>
      <c r="Y365">
        <f t="shared" si="312"/>
        <v>7.8539816339744828</v>
      </c>
      <c r="Z365">
        <f t="shared" si="313"/>
        <v>-2.1111502632123411</v>
      </c>
      <c r="AA365">
        <f t="shared" si="335"/>
        <v>1.2665019207337629</v>
      </c>
      <c r="AB365">
        <f t="shared" si="314"/>
        <v>9.1204835547082457</v>
      </c>
      <c r="AC365">
        <f t="shared" si="336"/>
        <v>0.29565024210095786</v>
      </c>
      <c r="AD365">
        <f t="shared" si="315"/>
        <v>0.15370301448508059</v>
      </c>
      <c r="AE365" s="9">
        <f t="shared" si="337"/>
        <v>9.5698368112942838</v>
      </c>
      <c r="AF365">
        <f t="shared" si="338"/>
        <v>0</v>
      </c>
      <c r="AH365">
        <f t="shared" si="316"/>
        <v>7.8539816339744828</v>
      </c>
      <c r="AI365">
        <f t="shared" si="317"/>
        <v>1.2665019207337622</v>
      </c>
      <c r="AJ365">
        <f t="shared" si="318"/>
        <v>0.29565024210096169</v>
      </c>
      <c r="AK365">
        <f t="shared" si="319"/>
        <v>0.15370301448508059</v>
      </c>
      <c r="AL365" s="9">
        <f t="shared" si="339"/>
        <v>9.5698368112942873</v>
      </c>
      <c r="AM365" t="e">
        <f t="shared" si="320"/>
        <v>#N/A</v>
      </c>
      <c r="AN365" t="e">
        <f t="shared" si="340"/>
        <v>#N/A</v>
      </c>
      <c r="AO365">
        <f t="shared" si="321"/>
        <v>0</v>
      </c>
      <c r="AP365">
        <f t="shared" si="322"/>
        <v>0</v>
      </c>
      <c r="AQ365">
        <f t="shared" si="323"/>
        <v>3.8302694349567901E-15</v>
      </c>
      <c r="AR365">
        <f t="shared" si="341"/>
        <v>0</v>
      </c>
      <c r="AS365">
        <f t="shared" si="324"/>
        <v>0</v>
      </c>
      <c r="AT365">
        <f t="shared" si="342"/>
        <v>0</v>
      </c>
      <c r="AU365">
        <f t="shared" si="343"/>
        <v>0</v>
      </c>
      <c r="AV365">
        <f t="shared" si="325"/>
        <v>2.111150263212341E-20</v>
      </c>
      <c r="AW365" t="b">
        <f t="shared" si="344"/>
        <v>1</v>
      </c>
      <c r="AX365">
        <f t="shared" si="326"/>
        <v>7.8539816339744828</v>
      </c>
      <c r="AY365">
        <f t="shared" si="327"/>
        <v>1.2665019207337627</v>
      </c>
      <c r="AZ365">
        <f t="shared" si="328"/>
        <v>0.29565024210095786</v>
      </c>
      <c r="BA365">
        <f t="shared" si="329"/>
        <v>0.1537030144850807</v>
      </c>
      <c r="BB365">
        <f t="shared" si="330"/>
        <v>-1.2337005501361696E-20</v>
      </c>
      <c r="BD365" s="15">
        <f t="shared" si="345"/>
        <v>9.5698368112942838</v>
      </c>
      <c r="BE365" s="10">
        <f t="shared" si="346"/>
        <v>0</v>
      </c>
      <c r="BF365">
        <f t="shared" si="347"/>
        <v>0</v>
      </c>
      <c r="BG365">
        <f t="shared" si="348"/>
        <v>0</v>
      </c>
      <c r="BH365">
        <f t="shared" si="349"/>
        <v>0</v>
      </c>
      <c r="BI365">
        <f t="shared" si="350"/>
        <v>0</v>
      </c>
    </row>
    <row r="366" spans="1:61" x14ac:dyDescent="0.3">
      <c r="A366">
        <f t="shared" si="355"/>
        <v>0.32900000000000001</v>
      </c>
      <c r="B366">
        <f t="shared" si="298"/>
        <v>1.033583983031042</v>
      </c>
      <c r="C366">
        <f t="shared" si="299"/>
        <v>2.1080086705587511</v>
      </c>
      <c r="D366">
        <f t="shared" si="300"/>
        <v>2.1080086705587511</v>
      </c>
      <c r="E366">
        <f t="shared" si="305"/>
        <v>0.85913858127427245</v>
      </c>
      <c r="F366">
        <f t="shared" si="306"/>
        <v>0.85913858127427245</v>
      </c>
      <c r="G366">
        <f t="shared" si="301"/>
        <v>1.033583983031042</v>
      </c>
      <c r="H366">
        <f t="shared" si="302"/>
        <v>0.85913858127427245</v>
      </c>
      <c r="I366">
        <f t="shared" si="303"/>
        <v>0.85913858127427245</v>
      </c>
      <c r="J366">
        <f t="shared" si="351"/>
        <v>7.4099776944407314E+19</v>
      </c>
      <c r="K366">
        <f t="shared" si="352"/>
        <v>7.4099776944407314E+19</v>
      </c>
      <c r="L366">
        <f t="shared" si="307"/>
        <v>1</v>
      </c>
      <c r="M366">
        <f t="shared" si="304"/>
        <v>2.108008670558751E-20</v>
      </c>
      <c r="N366" s="9">
        <f t="shared" si="353"/>
        <v>2.108008670558751E-20</v>
      </c>
      <c r="O366">
        <f t="shared" si="354"/>
        <v>2.108008670558751E-20</v>
      </c>
      <c r="Q366">
        <f t="shared" si="308"/>
        <v>45.751944195993403</v>
      </c>
      <c r="R366">
        <f t="shared" si="309"/>
        <v>0</v>
      </c>
      <c r="S366">
        <f t="shared" si="331"/>
        <v>-45.305958116041971</v>
      </c>
      <c r="T366" s="9" t="e">
        <f t="shared" si="310"/>
        <v>#N/A</v>
      </c>
      <c r="U366">
        <f t="shared" si="332"/>
        <v>-1.0000000000000001E+300</v>
      </c>
      <c r="V366">
        <f t="shared" si="333"/>
        <v>0</v>
      </c>
      <c r="W366">
        <f t="shared" si="334"/>
        <v>0</v>
      </c>
      <c r="X366">
        <f t="shared" si="311"/>
        <v>2.1080086705587511</v>
      </c>
      <c r="Y366">
        <f t="shared" si="312"/>
        <v>7.8539816339744828</v>
      </c>
      <c r="Z366">
        <f t="shared" si="313"/>
        <v>-2.1080086705587511</v>
      </c>
      <c r="AA366">
        <f t="shared" si="335"/>
        <v>1.2556282593417867</v>
      </c>
      <c r="AB366">
        <f t="shared" si="314"/>
        <v>9.1096098933162697</v>
      </c>
      <c r="AC366">
        <f t="shared" si="336"/>
        <v>0.29416103854948994</v>
      </c>
      <c r="AD366">
        <f t="shared" si="315"/>
        <v>0.15182504140194159</v>
      </c>
      <c r="AE366" s="9">
        <f t="shared" si="337"/>
        <v>9.5555959732677014</v>
      </c>
      <c r="AF366">
        <f t="shared" si="338"/>
        <v>0</v>
      </c>
      <c r="AH366">
        <f t="shared" si="316"/>
        <v>7.8539816339744828</v>
      </c>
      <c r="AI366">
        <f t="shared" si="317"/>
        <v>1.2556282593417867</v>
      </c>
      <c r="AJ366">
        <f t="shared" si="318"/>
        <v>0.29416103854948972</v>
      </c>
      <c r="AK366">
        <f t="shared" si="319"/>
        <v>0.15182504140194159</v>
      </c>
      <c r="AL366" s="9">
        <f t="shared" si="339"/>
        <v>9.5555959732677014</v>
      </c>
      <c r="AM366" t="e">
        <f t="shared" si="320"/>
        <v>#N/A</v>
      </c>
      <c r="AN366" t="e">
        <f t="shared" si="340"/>
        <v>#N/A</v>
      </c>
      <c r="AO366">
        <f t="shared" si="321"/>
        <v>0</v>
      </c>
      <c r="AP366">
        <f t="shared" si="322"/>
        <v>0</v>
      </c>
      <c r="AQ366">
        <f t="shared" si="323"/>
        <v>0</v>
      </c>
      <c r="AR366">
        <f t="shared" si="341"/>
        <v>0</v>
      </c>
      <c r="AS366">
        <f t="shared" si="324"/>
        <v>0</v>
      </c>
      <c r="AT366">
        <f t="shared" si="342"/>
        <v>0</v>
      </c>
      <c r="AU366">
        <f t="shared" si="343"/>
        <v>0</v>
      </c>
      <c r="AV366">
        <f t="shared" si="325"/>
        <v>2.108008670558751E-20</v>
      </c>
      <c r="AW366" t="b">
        <f t="shared" si="344"/>
        <v>1</v>
      </c>
      <c r="AX366">
        <f t="shared" si="326"/>
        <v>7.8539816339744828</v>
      </c>
      <c r="AY366">
        <f t="shared" si="327"/>
        <v>1.2556282593417865</v>
      </c>
      <c r="AZ366">
        <f t="shared" si="328"/>
        <v>0.29416103854949011</v>
      </c>
      <c r="BA366">
        <f t="shared" si="329"/>
        <v>0.15182504140194159</v>
      </c>
      <c r="BB366">
        <f t="shared" si="330"/>
        <v>-1.2337005501361696E-20</v>
      </c>
      <c r="BD366" s="15">
        <f t="shared" si="345"/>
        <v>9.5555959732677014</v>
      </c>
      <c r="BE366" s="10">
        <f t="shared" si="346"/>
        <v>0</v>
      </c>
      <c r="BF366">
        <f t="shared" si="347"/>
        <v>0</v>
      </c>
      <c r="BG366">
        <f t="shared" si="348"/>
        <v>0</v>
      </c>
      <c r="BH366">
        <f t="shared" si="349"/>
        <v>0</v>
      </c>
      <c r="BI366">
        <f t="shared" si="350"/>
        <v>0</v>
      </c>
    </row>
    <row r="367" spans="1:61" x14ac:dyDescent="0.3">
      <c r="A367">
        <f t="shared" si="355"/>
        <v>0.33</v>
      </c>
      <c r="B367">
        <f t="shared" si="298"/>
        <v>1.0367255756846319</v>
      </c>
      <c r="C367">
        <f t="shared" si="299"/>
        <v>2.104867077905161</v>
      </c>
      <c r="D367">
        <f t="shared" si="300"/>
        <v>2.104867077905161</v>
      </c>
      <c r="E367">
        <f t="shared" si="305"/>
        <v>0.86074202700394364</v>
      </c>
      <c r="F367">
        <f t="shared" si="306"/>
        <v>0.86074202700394387</v>
      </c>
      <c r="G367">
        <f t="shared" si="301"/>
        <v>1.0367255756846319</v>
      </c>
      <c r="H367">
        <f t="shared" si="302"/>
        <v>0.86074202700394364</v>
      </c>
      <c r="I367">
        <f t="shared" si="303"/>
        <v>0.86074202700394387</v>
      </c>
      <c r="J367">
        <f t="shared" si="351"/>
        <v>7.3961739103586796E+19</v>
      </c>
      <c r="K367">
        <f t="shared" si="352"/>
        <v>7.3961739103586796E+19</v>
      </c>
      <c r="L367">
        <f t="shared" si="307"/>
        <v>1</v>
      </c>
      <c r="M367">
        <f t="shared" si="304"/>
        <v>2.104867077905161E-20</v>
      </c>
      <c r="N367" s="9">
        <f t="shared" si="353"/>
        <v>2.104867077905161E-20</v>
      </c>
      <c r="O367">
        <f t="shared" si="354"/>
        <v>2.104867077905161E-20</v>
      </c>
      <c r="Q367">
        <f t="shared" si="308"/>
        <v>45.750079594245449</v>
      </c>
      <c r="R367">
        <f t="shared" si="309"/>
        <v>0</v>
      </c>
      <c r="S367">
        <f t="shared" si="331"/>
        <v>-45.307449540628639</v>
      </c>
      <c r="T367" s="9" t="e">
        <f t="shared" si="310"/>
        <v>#N/A</v>
      </c>
      <c r="U367">
        <f t="shared" si="332"/>
        <v>-1.0000000000000001E+300</v>
      </c>
      <c r="V367">
        <f t="shared" si="333"/>
        <v>0</v>
      </c>
      <c r="W367">
        <f t="shared" si="334"/>
        <v>0</v>
      </c>
      <c r="X367">
        <f t="shared" si="311"/>
        <v>2.104867077905161</v>
      </c>
      <c r="Y367">
        <f t="shared" si="312"/>
        <v>7.8539816339744828</v>
      </c>
      <c r="Z367">
        <f t="shared" si="313"/>
        <v>-2.104867077905161</v>
      </c>
      <c r="AA367">
        <f t="shared" si="335"/>
        <v>1.2448149197881333</v>
      </c>
      <c r="AB367">
        <f t="shared" si="314"/>
        <v>9.0987965537626163</v>
      </c>
      <c r="AC367">
        <f t="shared" si="336"/>
        <v>0.29266961396281987</v>
      </c>
      <c r="AD367">
        <f t="shared" si="315"/>
        <v>0.14996043965398653</v>
      </c>
      <c r="AE367" s="9">
        <f t="shared" si="337"/>
        <v>9.5414266073794227</v>
      </c>
      <c r="AF367">
        <f t="shared" si="338"/>
        <v>0</v>
      </c>
      <c r="AH367">
        <f t="shared" si="316"/>
        <v>7.8539816339744828</v>
      </c>
      <c r="AI367">
        <f t="shared" si="317"/>
        <v>1.244814919788134</v>
      </c>
      <c r="AJ367">
        <f t="shared" si="318"/>
        <v>0.29266961396282198</v>
      </c>
      <c r="AK367">
        <f t="shared" si="319"/>
        <v>0.14996043965398653</v>
      </c>
      <c r="AL367" s="9">
        <f t="shared" si="339"/>
        <v>9.5414266073794245</v>
      </c>
      <c r="AM367" t="e">
        <f t="shared" si="320"/>
        <v>#N/A</v>
      </c>
      <c r="AN367" t="e">
        <f t="shared" si="340"/>
        <v>#N/A</v>
      </c>
      <c r="AO367">
        <f t="shared" si="321"/>
        <v>0</v>
      </c>
      <c r="AP367">
        <f t="shared" si="322"/>
        <v>0</v>
      </c>
      <c r="AQ367">
        <f t="shared" si="323"/>
        <v>2.1094237467877974E-15</v>
      </c>
      <c r="AR367">
        <f t="shared" si="341"/>
        <v>0</v>
      </c>
      <c r="AS367">
        <f t="shared" si="324"/>
        <v>0</v>
      </c>
      <c r="AT367">
        <f t="shared" si="342"/>
        <v>0</v>
      </c>
      <c r="AU367">
        <f t="shared" si="343"/>
        <v>0</v>
      </c>
      <c r="AV367">
        <f t="shared" si="325"/>
        <v>2.104867077905161E-20</v>
      </c>
      <c r="AW367" t="b">
        <f t="shared" si="344"/>
        <v>1</v>
      </c>
      <c r="AX367">
        <f t="shared" si="326"/>
        <v>7.8539816339744828</v>
      </c>
      <c r="AY367">
        <f t="shared" si="327"/>
        <v>1.2448149197881331</v>
      </c>
      <c r="AZ367">
        <f t="shared" si="328"/>
        <v>0.29266961396281987</v>
      </c>
      <c r="BA367">
        <f t="shared" si="329"/>
        <v>0.14996043965398625</v>
      </c>
      <c r="BB367">
        <f t="shared" si="330"/>
        <v>-1.2337005501361696E-20</v>
      </c>
      <c r="BD367" s="15">
        <f t="shared" si="345"/>
        <v>9.5414266073794227</v>
      </c>
      <c r="BE367" s="10">
        <f t="shared" si="346"/>
        <v>0</v>
      </c>
      <c r="BF367">
        <f t="shared" si="347"/>
        <v>0</v>
      </c>
      <c r="BG367">
        <f t="shared" si="348"/>
        <v>0</v>
      </c>
      <c r="BH367">
        <f t="shared" si="349"/>
        <v>0</v>
      </c>
      <c r="BI367">
        <f t="shared" si="350"/>
        <v>0</v>
      </c>
    </row>
    <row r="368" spans="1:61" x14ac:dyDescent="0.3">
      <c r="A368">
        <f t="shared" si="355"/>
        <v>0.33100000000000002</v>
      </c>
      <c r="B368">
        <f t="shared" si="298"/>
        <v>1.0398671683382217</v>
      </c>
      <c r="C368">
        <f t="shared" si="299"/>
        <v>2.1017254852515714</v>
      </c>
      <c r="D368">
        <f t="shared" si="300"/>
        <v>2.1017254852515714</v>
      </c>
      <c r="E368">
        <f t="shared" si="305"/>
        <v>0.86233697755730399</v>
      </c>
      <c r="F368">
        <f t="shared" si="306"/>
        <v>0.8623369775573041</v>
      </c>
      <c r="G368">
        <f t="shared" si="301"/>
        <v>1.0398671683382217</v>
      </c>
      <c r="H368">
        <f t="shared" si="302"/>
        <v>0.86233697755730399</v>
      </c>
      <c r="I368">
        <f t="shared" si="303"/>
        <v>0.8623369775573041</v>
      </c>
      <c r="J368">
        <f t="shared" si="351"/>
        <v>7.3824941865638232E+19</v>
      </c>
      <c r="K368">
        <f t="shared" si="352"/>
        <v>7.3824941865638232E+19</v>
      </c>
      <c r="L368" t="e">
        <f t="shared" si="307"/>
        <v>#NUM!</v>
      </c>
      <c r="M368">
        <f t="shared" si="304"/>
        <v>2.1017254852515714E-20</v>
      </c>
      <c r="N368" s="9" t="e">
        <f t="shared" si="353"/>
        <v>#NUM!</v>
      </c>
      <c r="O368" t="e">
        <f t="shared" si="354"/>
        <v>#NUM!</v>
      </c>
      <c r="Q368">
        <f t="shared" si="308"/>
        <v>45.748228314060775</v>
      </c>
      <c r="R368">
        <f t="shared" si="309"/>
        <v>0</v>
      </c>
      <c r="S368">
        <f t="shared" si="331"/>
        <v>-45.308943192885422</v>
      </c>
      <c r="T368" s="9" t="e">
        <f t="shared" si="310"/>
        <v>#N/A</v>
      </c>
      <c r="U368">
        <f t="shared" si="332"/>
        <v>-1.0000000000000001E+300</v>
      </c>
      <c r="V368">
        <f t="shared" si="333"/>
        <v>0</v>
      </c>
      <c r="W368">
        <f t="shared" si="334"/>
        <v>0</v>
      </c>
      <c r="X368">
        <f t="shared" si="311"/>
        <v>2.1017254852515714</v>
      </c>
      <c r="Y368">
        <f t="shared" si="312"/>
        <v>7.8539816339744828</v>
      </c>
      <c r="Z368">
        <f t="shared" si="313"/>
        <v>-2.1017254852515714</v>
      </c>
      <c r="AA368">
        <f t="shared" si="335"/>
        <v>1.2340613894332351</v>
      </c>
      <c r="AB368">
        <f t="shared" si="314"/>
        <v>9.0880430234077174</v>
      </c>
      <c r="AC368">
        <f t="shared" si="336"/>
        <v>0.2911759617060366</v>
      </c>
      <c r="AD368">
        <f t="shared" si="315"/>
        <v>0.14810915946931569</v>
      </c>
      <c r="AE368" s="9">
        <f t="shared" si="337"/>
        <v>9.5273281445830698</v>
      </c>
      <c r="AF368">
        <f t="shared" si="338"/>
        <v>0</v>
      </c>
      <c r="AH368">
        <f t="shared" si="316"/>
        <v>7.8539816339744828</v>
      </c>
      <c r="AI368">
        <f t="shared" si="317"/>
        <v>1.2340613894332351</v>
      </c>
      <c r="AJ368">
        <f t="shared" si="318"/>
        <v>0.29117596170603832</v>
      </c>
      <c r="AK368">
        <f t="shared" si="319"/>
        <v>0.14810915946931569</v>
      </c>
      <c r="AL368" s="9">
        <f t="shared" si="339"/>
        <v>9.5273281445830715</v>
      </c>
      <c r="AM368" t="e">
        <f t="shared" si="320"/>
        <v>#N/A</v>
      </c>
      <c r="AN368" t="e">
        <f t="shared" si="340"/>
        <v>#N/A</v>
      </c>
      <c r="AO368">
        <f t="shared" si="321"/>
        <v>0</v>
      </c>
      <c r="AP368">
        <f t="shared" si="322"/>
        <v>0</v>
      </c>
      <c r="AQ368">
        <f t="shared" si="323"/>
        <v>1.7208456881689926E-15</v>
      </c>
      <c r="AR368">
        <f t="shared" si="341"/>
        <v>0</v>
      </c>
      <c r="AS368">
        <f t="shared" si="324"/>
        <v>0</v>
      </c>
      <c r="AT368">
        <f t="shared" si="342"/>
        <v>0</v>
      </c>
      <c r="AU368">
        <f t="shared" si="343"/>
        <v>0</v>
      </c>
      <c r="AV368">
        <f t="shared" si="325"/>
        <v>2.1017254852515714E-20</v>
      </c>
      <c r="AW368" t="b">
        <f t="shared" si="344"/>
        <v>1</v>
      </c>
      <c r="AX368">
        <f t="shared" si="326"/>
        <v>7.8539816339744828</v>
      </c>
      <c r="AY368">
        <f t="shared" si="327"/>
        <v>1.2340613894332348</v>
      </c>
      <c r="AZ368">
        <f t="shared" si="328"/>
        <v>0.29117596170603677</v>
      </c>
      <c r="BA368">
        <f t="shared" si="329"/>
        <v>0.14810915946931558</v>
      </c>
      <c r="BB368">
        <f t="shared" si="330"/>
        <v>-1.2337005501361696E-20</v>
      </c>
      <c r="BD368" s="15">
        <f t="shared" si="345"/>
        <v>9.5273281445830698</v>
      </c>
      <c r="BE368" s="10">
        <f t="shared" si="346"/>
        <v>0</v>
      </c>
      <c r="BF368">
        <f t="shared" si="347"/>
        <v>0</v>
      </c>
      <c r="BG368">
        <f t="shared" si="348"/>
        <v>0</v>
      </c>
      <c r="BH368">
        <f t="shared" si="349"/>
        <v>0</v>
      </c>
      <c r="BI368">
        <f t="shared" si="350"/>
        <v>0</v>
      </c>
    </row>
    <row r="369" spans="1:61" x14ac:dyDescent="0.3">
      <c r="A369">
        <f t="shared" si="355"/>
        <v>0.33200000000000002</v>
      </c>
      <c r="B369">
        <f t="shared" si="298"/>
        <v>1.0430087609918113</v>
      </c>
      <c r="C369">
        <f t="shared" si="299"/>
        <v>2.0985838925979818</v>
      </c>
      <c r="D369">
        <f t="shared" si="300"/>
        <v>2.0985838925979818</v>
      </c>
      <c r="E369">
        <f t="shared" si="305"/>
        <v>0.86392341719283527</v>
      </c>
      <c r="F369">
        <f t="shared" si="306"/>
        <v>0.86392341719283539</v>
      </c>
      <c r="G369">
        <f t="shared" si="301"/>
        <v>1.0430087609918113</v>
      </c>
      <c r="H369">
        <f t="shared" si="302"/>
        <v>0.86392341719283527</v>
      </c>
      <c r="I369">
        <f t="shared" si="303"/>
        <v>0.86392341719283539</v>
      </c>
      <c r="J369">
        <f t="shared" si="351"/>
        <v>7.3689375666672353E+19</v>
      </c>
      <c r="K369">
        <f t="shared" si="352"/>
        <v>7.3689375666672353E+19</v>
      </c>
      <c r="L369">
        <f t="shared" si="307"/>
        <v>1</v>
      </c>
      <c r="M369">
        <f t="shared" si="304"/>
        <v>2.0985838925979817E-20</v>
      </c>
      <c r="N369" s="9">
        <f t="shared" si="353"/>
        <v>2.0985838925979817E-20</v>
      </c>
      <c r="O369">
        <f t="shared" si="354"/>
        <v>2.0985838925979817E-20</v>
      </c>
      <c r="Q369">
        <f t="shared" si="308"/>
        <v>45.746390306206372</v>
      </c>
      <c r="R369">
        <f t="shared" si="309"/>
        <v>0</v>
      </c>
      <c r="S369">
        <f t="shared" si="331"/>
        <v>-45.310439079477007</v>
      </c>
      <c r="T369" s="9" t="e">
        <f t="shared" si="310"/>
        <v>#N/A</v>
      </c>
      <c r="U369">
        <f t="shared" si="332"/>
        <v>-1.0000000000000001E+300</v>
      </c>
      <c r="V369">
        <f t="shared" si="333"/>
        <v>0</v>
      </c>
      <c r="W369">
        <f t="shared" si="334"/>
        <v>0</v>
      </c>
      <c r="X369">
        <f t="shared" si="311"/>
        <v>2.0985838925979818</v>
      </c>
      <c r="Y369">
        <f t="shared" si="312"/>
        <v>7.8539816339744828</v>
      </c>
      <c r="Z369">
        <f t="shared" si="313"/>
        <v>-2.0985838925979818</v>
      </c>
      <c r="AA369">
        <f t="shared" si="335"/>
        <v>1.223367161785736</v>
      </c>
      <c r="AB369">
        <f t="shared" si="314"/>
        <v>9.0773487957602192</v>
      </c>
      <c r="AC369">
        <f t="shared" si="336"/>
        <v>0.28968007511445404</v>
      </c>
      <c r="AD369">
        <f t="shared" si="315"/>
        <v>0.14627115161491003</v>
      </c>
      <c r="AE369" s="9">
        <f t="shared" si="337"/>
        <v>9.5133000224895827</v>
      </c>
      <c r="AF369">
        <f t="shared" si="338"/>
        <v>0</v>
      </c>
      <c r="AH369">
        <f t="shared" si="316"/>
        <v>7.8539816339744828</v>
      </c>
      <c r="AI369">
        <f t="shared" si="317"/>
        <v>1.2233671617857362</v>
      </c>
      <c r="AJ369">
        <f t="shared" si="318"/>
        <v>0.28968007511445393</v>
      </c>
      <c r="AK369">
        <f t="shared" si="319"/>
        <v>0.14627115161491003</v>
      </c>
      <c r="AL369" s="9">
        <f t="shared" si="339"/>
        <v>9.5133000224895827</v>
      </c>
      <c r="AM369" t="e">
        <f t="shared" si="320"/>
        <v>#N/A</v>
      </c>
      <c r="AN369" t="e">
        <f t="shared" si="340"/>
        <v>#N/A</v>
      </c>
      <c r="AO369">
        <f t="shared" si="321"/>
        <v>0</v>
      </c>
      <c r="AP369">
        <f t="shared" si="322"/>
        <v>0</v>
      </c>
      <c r="AQ369">
        <f t="shared" si="323"/>
        <v>0</v>
      </c>
      <c r="AR369">
        <f t="shared" si="341"/>
        <v>0</v>
      </c>
      <c r="AS369">
        <f t="shared" si="324"/>
        <v>0</v>
      </c>
      <c r="AT369">
        <f t="shared" si="342"/>
        <v>0</v>
      </c>
      <c r="AU369">
        <f t="shared" si="343"/>
        <v>0</v>
      </c>
      <c r="AV369">
        <f t="shared" si="325"/>
        <v>2.0985838925979817E-20</v>
      </c>
      <c r="AW369" t="b">
        <f t="shared" si="344"/>
        <v>1</v>
      </c>
      <c r="AX369">
        <f t="shared" si="326"/>
        <v>7.8539816339744828</v>
      </c>
      <c r="AY369">
        <f t="shared" si="327"/>
        <v>1.2233671617857358</v>
      </c>
      <c r="AZ369">
        <f t="shared" si="328"/>
        <v>0.28968007511445404</v>
      </c>
      <c r="BA369">
        <f t="shared" si="329"/>
        <v>0.14627115161490989</v>
      </c>
      <c r="BB369">
        <f t="shared" si="330"/>
        <v>-1.2337005501361696E-20</v>
      </c>
      <c r="BD369" s="15">
        <f t="shared" si="345"/>
        <v>9.5133000224895827</v>
      </c>
      <c r="BE369" s="10">
        <f t="shared" si="346"/>
        <v>0</v>
      </c>
      <c r="BF369">
        <f t="shared" si="347"/>
        <v>0</v>
      </c>
      <c r="BG369">
        <f t="shared" si="348"/>
        <v>0</v>
      </c>
      <c r="BH369">
        <f t="shared" si="349"/>
        <v>0</v>
      </c>
      <c r="BI369">
        <f t="shared" si="350"/>
        <v>0</v>
      </c>
    </row>
    <row r="370" spans="1:61" x14ac:dyDescent="0.3">
      <c r="A370">
        <f t="shared" si="355"/>
        <v>0.33300000000000002</v>
      </c>
      <c r="B370">
        <f t="shared" si="298"/>
        <v>1.0461503536454011</v>
      </c>
      <c r="C370">
        <f t="shared" si="299"/>
        <v>2.0954422999443922</v>
      </c>
      <c r="D370">
        <f t="shared" si="300"/>
        <v>2.0954422999443922</v>
      </c>
      <c r="E370">
        <f t="shared" si="305"/>
        <v>0.8655013302530189</v>
      </c>
      <c r="F370">
        <f t="shared" si="306"/>
        <v>0.8655013302530189</v>
      </c>
      <c r="G370">
        <f t="shared" si="301"/>
        <v>1.0461503536454011</v>
      </c>
      <c r="H370">
        <f t="shared" si="302"/>
        <v>0.8655013302530189</v>
      </c>
      <c r="I370">
        <f t="shared" si="303"/>
        <v>0.8655013302530189</v>
      </c>
      <c r="J370">
        <f t="shared" si="351"/>
        <v>7.355503106869556E+19</v>
      </c>
      <c r="K370">
        <f t="shared" si="352"/>
        <v>7.355503106869556E+19</v>
      </c>
      <c r="L370">
        <f t="shared" si="307"/>
        <v>0</v>
      </c>
      <c r="M370">
        <f t="shared" si="304"/>
        <v>2.0954422999443918E-20</v>
      </c>
      <c r="N370" s="9">
        <f t="shared" si="353"/>
        <v>0</v>
      </c>
      <c r="O370">
        <f t="shared" si="354"/>
        <v>0</v>
      </c>
      <c r="Q370">
        <f t="shared" si="308"/>
        <v>45.744565521982175</v>
      </c>
      <c r="R370">
        <f t="shared" si="309"/>
        <v>-710542.73576010019</v>
      </c>
      <c r="S370">
        <f t="shared" si="331"/>
        <v>-45.311937207098026</v>
      </c>
      <c r="T370" s="9" t="e">
        <f t="shared" si="310"/>
        <v>#N/A</v>
      </c>
      <c r="U370">
        <f t="shared" si="332"/>
        <v>-1.0000000000000001E+300</v>
      </c>
      <c r="V370">
        <f t="shared" si="333"/>
        <v>0</v>
      </c>
      <c r="W370">
        <f t="shared" si="334"/>
        <v>0</v>
      </c>
      <c r="X370">
        <f t="shared" si="311"/>
        <v>2.0954422999443922</v>
      </c>
      <c r="Y370">
        <f t="shared" si="312"/>
        <v>7.8539816339744828</v>
      </c>
      <c r="Z370">
        <f t="shared" si="313"/>
        <v>-2.0954422999443922</v>
      </c>
      <c r="AA370">
        <f t="shared" si="335"/>
        <v>1.212731736410372</v>
      </c>
      <c r="AB370">
        <f t="shared" si="314"/>
        <v>9.0667133703848553</v>
      </c>
      <c r="AC370">
        <f t="shared" si="336"/>
        <v>0.28818194749343201</v>
      </c>
      <c r="AD370">
        <f t="shared" si="315"/>
        <v>0.14444636739071814</v>
      </c>
      <c r="AE370" s="9">
        <f t="shared" si="337"/>
        <v>9.4993416852690054</v>
      </c>
      <c r="AF370">
        <f t="shared" si="338"/>
        <v>0</v>
      </c>
      <c r="AH370">
        <f t="shared" si="316"/>
        <v>7.8539816339744828</v>
      </c>
      <c r="AI370">
        <f t="shared" si="317"/>
        <v>1.2127317364103716</v>
      </c>
      <c r="AJ370">
        <f t="shared" si="318"/>
        <v>0.28818194749343462</v>
      </c>
      <c r="AK370">
        <f t="shared" si="319"/>
        <v>0.14444636739071814</v>
      </c>
      <c r="AL370" s="9">
        <f t="shared" si="339"/>
        <v>9.4993416852690054</v>
      </c>
      <c r="AM370" t="e">
        <f t="shared" si="320"/>
        <v>#N/A</v>
      </c>
      <c r="AN370" t="e">
        <f t="shared" si="340"/>
        <v>#N/A</v>
      </c>
      <c r="AO370">
        <f t="shared" si="321"/>
        <v>0</v>
      </c>
      <c r="AP370">
        <f t="shared" si="322"/>
        <v>0</v>
      </c>
      <c r="AQ370">
        <f t="shared" si="323"/>
        <v>2.6090241078691179E-15</v>
      </c>
      <c r="AR370">
        <f t="shared" si="341"/>
        <v>0</v>
      </c>
      <c r="AS370">
        <f t="shared" si="324"/>
        <v>0</v>
      </c>
      <c r="AT370">
        <f t="shared" si="342"/>
        <v>0</v>
      </c>
      <c r="AU370">
        <f t="shared" si="343"/>
        <v>0</v>
      </c>
      <c r="AV370">
        <f t="shared" si="325"/>
        <v>2.0954422999443921E-20</v>
      </c>
      <c r="AW370" t="b">
        <f t="shared" si="344"/>
        <v>1</v>
      </c>
      <c r="AX370">
        <f t="shared" si="326"/>
        <v>7.8539816339744828</v>
      </c>
      <c r="AY370">
        <f t="shared" si="327"/>
        <v>1.2127317364103716</v>
      </c>
      <c r="AZ370">
        <f t="shared" si="328"/>
        <v>0.28818194749343201</v>
      </c>
      <c r="BA370">
        <f t="shared" si="329"/>
        <v>0.14444636739071814</v>
      </c>
      <c r="BB370">
        <f t="shared" si="330"/>
        <v>-1.2337005501361696E-20</v>
      </c>
      <c r="BD370" s="15">
        <f t="shared" si="345"/>
        <v>9.4993416852690054</v>
      </c>
      <c r="BE370" s="10">
        <f t="shared" si="346"/>
        <v>0</v>
      </c>
      <c r="BF370">
        <f t="shared" si="347"/>
        <v>0</v>
      </c>
      <c r="BG370">
        <f t="shared" si="348"/>
        <v>0</v>
      </c>
      <c r="BH370">
        <f t="shared" si="349"/>
        <v>0</v>
      </c>
      <c r="BI370">
        <f t="shared" si="350"/>
        <v>0</v>
      </c>
    </row>
    <row r="371" spans="1:61" x14ac:dyDescent="0.3">
      <c r="A371">
        <f t="shared" si="355"/>
        <v>0.33400000000000002</v>
      </c>
      <c r="B371">
        <f t="shared" si="298"/>
        <v>1.0492919462989909</v>
      </c>
      <c r="C371">
        <f t="shared" si="299"/>
        <v>2.0923007072908022</v>
      </c>
      <c r="D371">
        <f t="shared" si="300"/>
        <v>2.0923007072908022</v>
      </c>
      <c r="E371">
        <f t="shared" si="305"/>
        <v>0.86707070116449003</v>
      </c>
      <c r="F371">
        <f t="shared" si="306"/>
        <v>0.86707070116449014</v>
      </c>
      <c r="G371">
        <f t="shared" si="301"/>
        <v>1.0492919462989909</v>
      </c>
      <c r="H371">
        <f t="shared" si="302"/>
        <v>0.86707070116449003</v>
      </c>
      <c r="I371">
        <f t="shared" si="303"/>
        <v>0.86707070116449014</v>
      </c>
      <c r="J371">
        <f t="shared" si="351"/>
        <v>7.3421898757804958E+19</v>
      </c>
      <c r="K371">
        <f t="shared" si="352"/>
        <v>7.3421898757804958E+19</v>
      </c>
      <c r="L371" t="e">
        <f t="shared" si="307"/>
        <v>#NUM!</v>
      </c>
      <c r="M371">
        <f t="shared" si="304"/>
        <v>2.0923007072908021E-20</v>
      </c>
      <c r="N371" s="9" t="e">
        <f t="shared" si="353"/>
        <v>#NUM!</v>
      </c>
      <c r="O371" t="e">
        <f t="shared" si="354"/>
        <v>#NUM!</v>
      </c>
      <c r="Q371">
        <f t="shared" si="308"/>
        <v>45.742753913215296</v>
      </c>
      <c r="R371">
        <f t="shared" si="309"/>
        <v>0</v>
      </c>
      <c r="S371">
        <f t="shared" si="331"/>
        <v>-45.313437582473263</v>
      </c>
      <c r="T371" s="9" t="e">
        <f t="shared" si="310"/>
        <v>#N/A</v>
      </c>
      <c r="U371">
        <f t="shared" si="332"/>
        <v>-1.0000000000000001E+300</v>
      </c>
      <c r="V371">
        <f t="shared" si="333"/>
        <v>0</v>
      </c>
      <c r="W371">
        <f t="shared" si="334"/>
        <v>0</v>
      </c>
      <c r="X371">
        <f t="shared" si="311"/>
        <v>2.0923007072908022</v>
      </c>
      <c r="Y371">
        <f t="shared" si="312"/>
        <v>7.8539816339744828</v>
      </c>
      <c r="Z371">
        <f t="shared" si="313"/>
        <v>-2.0923007072908022</v>
      </c>
      <c r="AA371">
        <f t="shared" si="335"/>
        <v>1.2021546188374976</v>
      </c>
      <c r="AB371">
        <f t="shared" si="314"/>
        <v>9.0561362528119798</v>
      </c>
      <c r="AC371">
        <f t="shared" si="336"/>
        <v>0.28668157211819745</v>
      </c>
      <c r="AD371">
        <f t="shared" si="315"/>
        <v>0.14263475862383712</v>
      </c>
      <c r="AE371" s="9">
        <f t="shared" si="337"/>
        <v>9.4854525835540144</v>
      </c>
      <c r="AF371">
        <f t="shared" si="338"/>
        <v>0</v>
      </c>
      <c r="AH371">
        <f t="shared" si="316"/>
        <v>7.8539816339744828</v>
      </c>
      <c r="AI371">
        <f t="shared" si="317"/>
        <v>1.2021546188374979</v>
      </c>
      <c r="AJ371">
        <f t="shared" si="318"/>
        <v>0.28668157211819789</v>
      </c>
      <c r="AK371">
        <f t="shared" si="319"/>
        <v>0.14263475862383712</v>
      </c>
      <c r="AL371" s="9">
        <f t="shared" si="339"/>
        <v>9.4854525835540162</v>
      </c>
      <c r="AM371" t="e">
        <f t="shared" si="320"/>
        <v>#N/A</v>
      </c>
      <c r="AN371" t="e">
        <f t="shared" si="340"/>
        <v>#N/A</v>
      </c>
      <c r="AO371">
        <f t="shared" si="321"/>
        <v>0</v>
      </c>
      <c r="AP371">
        <f t="shared" si="322"/>
        <v>0</v>
      </c>
      <c r="AQ371">
        <f t="shared" si="323"/>
        <v>4.4408920985006262E-16</v>
      </c>
      <c r="AR371">
        <f t="shared" si="341"/>
        <v>0</v>
      </c>
      <c r="AS371">
        <f t="shared" si="324"/>
        <v>0</v>
      </c>
      <c r="AT371">
        <f t="shared" si="342"/>
        <v>0</v>
      </c>
      <c r="AU371">
        <f t="shared" si="343"/>
        <v>0</v>
      </c>
      <c r="AV371">
        <f t="shared" si="325"/>
        <v>2.0923007072908021E-20</v>
      </c>
      <c r="AW371" t="b">
        <f t="shared" si="344"/>
        <v>1</v>
      </c>
      <c r="AX371">
        <f t="shared" si="326"/>
        <v>7.8539816339744828</v>
      </c>
      <c r="AY371">
        <f t="shared" si="327"/>
        <v>1.2021546188374974</v>
      </c>
      <c r="AZ371">
        <f t="shared" si="328"/>
        <v>0.28668157211819745</v>
      </c>
      <c r="BA371">
        <f t="shared" si="329"/>
        <v>0.14263475862383698</v>
      </c>
      <c r="BB371">
        <f t="shared" si="330"/>
        <v>-1.2337005501361696E-20</v>
      </c>
      <c r="BD371" s="15">
        <f t="shared" si="345"/>
        <v>9.4854525835540144</v>
      </c>
      <c r="BE371" s="10">
        <f t="shared" si="346"/>
        <v>0</v>
      </c>
      <c r="BF371">
        <f t="shared" si="347"/>
        <v>0</v>
      </c>
      <c r="BG371">
        <f t="shared" si="348"/>
        <v>0</v>
      </c>
      <c r="BH371">
        <f t="shared" si="349"/>
        <v>0</v>
      </c>
      <c r="BI371">
        <f t="shared" si="350"/>
        <v>0</v>
      </c>
    </row>
    <row r="372" spans="1:61" x14ac:dyDescent="0.3">
      <c r="A372">
        <f t="shared" si="355"/>
        <v>0.33500000000000002</v>
      </c>
      <c r="B372">
        <f t="shared" si="298"/>
        <v>1.0524335389525807</v>
      </c>
      <c r="C372">
        <f t="shared" si="299"/>
        <v>2.0891591146372122</v>
      </c>
      <c r="D372">
        <f t="shared" si="300"/>
        <v>2.0891591146372122</v>
      </c>
      <c r="E372">
        <f t="shared" si="305"/>
        <v>0.8686315144381912</v>
      </c>
      <c r="F372">
        <f t="shared" si="306"/>
        <v>0.86863151443819142</v>
      </c>
      <c r="G372">
        <f t="shared" si="301"/>
        <v>1.0524335389525807</v>
      </c>
      <c r="H372">
        <f t="shared" si="302"/>
        <v>0.8686315144381912</v>
      </c>
      <c r="I372">
        <f t="shared" si="303"/>
        <v>0.86863151443819142</v>
      </c>
      <c r="J372">
        <f t="shared" si="351"/>
        <v>7.328996954241649E+19</v>
      </c>
      <c r="K372">
        <f t="shared" si="352"/>
        <v>7.328996954241649E+19</v>
      </c>
      <c r="L372" t="e">
        <f t="shared" si="307"/>
        <v>#NUM!</v>
      </c>
      <c r="M372">
        <f t="shared" si="304"/>
        <v>2.0891591146372124E-20</v>
      </c>
      <c r="N372" s="9" t="e">
        <f t="shared" si="353"/>
        <v>#NUM!</v>
      </c>
      <c r="O372" t="e">
        <f t="shared" si="354"/>
        <v>#NUM!</v>
      </c>
      <c r="Q372">
        <f t="shared" si="308"/>
        <v>45.740955432254246</v>
      </c>
      <c r="R372">
        <f t="shared" si="309"/>
        <v>0</v>
      </c>
      <c r="S372">
        <f t="shared" si="331"/>
        <v>-45.314940212357797</v>
      </c>
      <c r="T372" s="9" t="e">
        <f t="shared" si="310"/>
        <v>#N/A</v>
      </c>
      <c r="U372">
        <f t="shared" si="332"/>
        <v>-1.0000000000000001E+300</v>
      </c>
      <c r="V372">
        <f t="shared" si="333"/>
        <v>0</v>
      </c>
      <c r="W372">
        <f t="shared" si="334"/>
        <v>0</v>
      </c>
      <c r="X372">
        <f t="shared" si="311"/>
        <v>2.0891591146372122</v>
      </c>
      <c r="Y372">
        <f t="shared" si="312"/>
        <v>7.8539816339744828</v>
      </c>
      <c r="Z372">
        <f t="shared" si="313"/>
        <v>-2.0891591146372122</v>
      </c>
      <c r="AA372">
        <f t="shared" si="335"/>
        <v>1.1916353204742416</v>
      </c>
      <c r="AB372">
        <f t="shared" si="314"/>
        <v>9.0456169544487253</v>
      </c>
      <c r="AC372">
        <f t="shared" si="336"/>
        <v>0.2851789422336623</v>
      </c>
      <c r="AD372">
        <f t="shared" si="315"/>
        <v>0.14083627766278378</v>
      </c>
      <c r="AE372" s="9">
        <f t="shared" si="337"/>
        <v>9.4716321743451708</v>
      </c>
      <c r="AF372">
        <f t="shared" si="338"/>
        <v>0</v>
      </c>
      <c r="AH372">
        <f t="shared" si="316"/>
        <v>7.8539816339744828</v>
      </c>
      <c r="AI372">
        <f t="shared" si="317"/>
        <v>1.1916353204742425</v>
      </c>
      <c r="AJ372">
        <f t="shared" si="318"/>
        <v>0.28517894223366369</v>
      </c>
      <c r="AK372">
        <f t="shared" si="319"/>
        <v>0.14083627766278378</v>
      </c>
      <c r="AL372" s="9">
        <f t="shared" si="339"/>
        <v>9.4716321743451726</v>
      </c>
      <c r="AM372" t="e">
        <f t="shared" si="320"/>
        <v>#N/A</v>
      </c>
      <c r="AN372" t="e">
        <f t="shared" si="340"/>
        <v>#N/A</v>
      </c>
      <c r="AO372">
        <f t="shared" si="321"/>
        <v>0</v>
      </c>
      <c r="AP372">
        <f t="shared" si="322"/>
        <v>0</v>
      </c>
      <c r="AQ372">
        <f t="shared" si="323"/>
        <v>1.3877787807814457E-15</v>
      </c>
      <c r="AR372">
        <f t="shared" si="341"/>
        <v>0</v>
      </c>
      <c r="AS372">
        <f t="shared" si="324"/>
        <v>0</v>
      </c>
      <c r="AT372">
        <f t="shared" si="342"/>
        <v>0</v>
      </c>
      <c r="AU372">
        <f t="shared" si="343"/>
        <v>0</v>
      </c>
      <c r="AV372">
        <f t="shared" si="325"/>
        <v>2.0891591146372121E-20</v>
      </c>
      <c r="AW372" t="b">
        <f t="shared" si="344"/>
        <v>1</v>
      </c>
      <c r="AX372">
        <f t="shared" si="326"/>
        <v>7.8539816339744828</v>
      </c>
      <c r="AY372">
        <f t="shared" si="327"/>
        <v>1.1916353204742414</v>
      </c>
      <c r="AZ372">
        <f t="shared" si="328"/>
        <v>0.2851789422336623</v>
      </c>
      <c r="BA372">
        <f t="shared" si="329"/>
        <v>0.14083627766278353</v>
      </c>
      <c r="BB372">
        <f t="shared" si="330"/>
        <v>-1.2337005501361696E-20</v>
      </c>
      <c r="BD372" s="15">
        <f t="shared" si="345"/>
        <v>9.471632174345169</v>
      </c>
      <c r="BE372" s="10">
        <f t="shared" si="346"/>
        <v>0</v>
      </c>
      <c r="BF372">
        <f t="shared" si="347"/>
        <v>0</v>
      </c>
      <c r="BG372">
        <f t="shared" si="348"/>
        <v>0</v>
      </c>
      <c r="BH372">
        <f t="shared" si="349"/>
        <v>0</v>
      </c>
      <c r="BI372">
        <f t="shared" si="350"/>
        <v>0</v>
      </c>
    </row>
    <row r="373" spans="1:61" x14ac:dyDescent="0.3">
      <c r="A373">
        <f t="shared" si="355"/>
        <v>0.33600000000000002</v>
      </c>
      <c r="B373">
        <f t="shared" si="298"/>
        <v>1.0555751316061706</v>
      </c>
      <c r="C373">
        <f t="shared" si="299"/>
        <v>2.0860175219836226</v>
      </c>
      <c r="D373">
        <f t="shared" si="300"/>
        <v>2.0860175219836226</v>
      </c>
      <c r="E373">
        <f t="shared" si="305"/>
        <v>0.87018375466952569</v>
      </c>
      <c r="F373">
        <f t="shared" si="306"/>
        <v>0.87018375466952569</v>
      </c>
      <c r="G373">
        <f t="shared" si="301"/>
        <v>1.0555751316061706</v>
      </c>
      <c r="H373">
        <f t="shared" si="302"/>
        <v>0.87018375466952569</v>
      </c>
      <c r="I373">
        <f t="shared" si="303"/>
        <v>0.87018375466952569</v>
      </c>
      <c r="J373">
        <f t="shared" si="351"/>
        <v>7.3159234351525429E+19</v>
      </c>
      <c r="K373">
        <f t="shared" si="352"/>
        <v>7.3159234351525429E+19</v>
      </c>
      <c r="L373">
        <f t="shared" si="307"/>
        <v>1</v>
      </c>
      <c r="M373">
        <f t="shared" si="304"/>
        <v>2.0860175219836225E-20</v>
      </c>
      <c r="N373" s="9">
        <f t="shared" si="353"/>
        <v>2.0860175219836225E-20</v>
      </c>
      <c r="O373">
        <f t="shared" si="354"/>
        <v>2.0860175219836225E-20</v>
      </c>
      <c r="Q373">
        <f t="shared" si="308"/>
        <v>45.739170031963312</v>
      </c>
      <c r="R373">
        <f t="shared" si="309"/>
        <v>-710542.73576010019</v>
      </c>
      <c r="S373">
        <f t="shared" si="331"/>
        <v>-45.31644510353722</v>
      </c>
      <c r="T373" s="9" t="e">
        <f t="shared" si="310"/>
        <v>#N/A</v>
      </c>
      <c r="U373">
        <f t="shared" si="332"/>
        <v>-1.0000000000000001E+300</v>
      </c>
      <c r="V373">
        <f t="shared" si="333"/>
        <v>0</v>
      </c>
      <c r="W373">
        <f t="shared" si="334"/>
        <v>0</v>
      </c>
      <c r="X373">
        <f t="shared" si="311"/>
        <v>2.0860175219836226</v>
      </c>
      <c r="Y373">
        <f t="shared" si="312"/>
        <v>7.8539816339744828</v>
      </c>
      <c r="Z373">
        <f t="shared" si="313"/>
        <v>-2.0860175219836226</v>
      </c>
      <c r="AA373">
        <f t="shared" si="335"/>
        <v>1.1811733585172393</v>
      </c>
      <c r="AB373">
        <f t="shared" si="314"/>
        <v>9.0351549924917229</v>
      </c>
      <c r="AC373">
        <f t="shared" si="336"/>
        <v>0.28367405105424198</v>
      </c>
      <c r="AD373">
        <f t="shared" si="315"/>
        <v>0.13905087737185495</v>
      </c>
      <c r="AE373" s="9">
        <f t="shared" si="337"/>
        <v>9.4578799209178186</v>
      </c>
      <c r="AF373">
        <f t="shared" si="338"/>
        <v>0</v>
      </c>
      <c r="AH373">
        <f t="shared" si="316"/>
        <v>7.8539816339744828</v>
      </c>
      <c r="AI373">
        <f t="shared" si="317"/>
        <v>1.1811733585172395</v>
      </c>
      <c r="AJ373">
        <f t="shared" si="318"/>
        <v>0.28367405105424126</v>
      </c>
      <c r="AK373">
        <f t="shared" si="319"/>
        <v>0.13905087737185495</v>
      </c>
      <c r="AL373" s="9">
        <f t="shared" si="339"/>
        <v>9.4578799209178186</v>
      </c>
      <c r="AM373" t="e">
        <f t="shared" si="320"/>
        <v>#N/A</v>
      </c>
      <c r="AN373" t="e">
        <f t="shared" si="340"/>
        <v>#N/A</v>
      </c>
      <c r="AO373">
        <f t="shared" si="321"/>
        <v>0</v>
      </c>
      <c r="AP373">
        <f t="shared" si="322"/>
        <v>0</v>
      </c>
      <c r="AQ373">
        <f t="shared" si="323"/>
        <v>-7.2164496600635175E-16</v>
      </c>
      <c r="AR373">
        <f t="shared" si="341"/>
        <v>0</v>
      </c>
      <c r="AS373">
        <f t="shared" si="324"/>
        <v>0</v>
      </c>
      <c r="AT373">
        <f t="shared" si="342"/>
        <v>0</v>
      </c>
      <c r="AU373">
        <f t="shared" si="343"/>
        <v>0</v>
      </c>
      <c r="AV373">
        <f t="shared" si="325"/>
        <v>2.0860175219836225E-20</v>
      </c>
      <c r="AW373" t="b">
        <f t="shared" si="344"/>
        <v>1</v>
      </c>
      <c r="AX373">
        <f t="shared" si="326"/>
        <v>7.8539816339744828</v>
      </c>
      <c r="AY373">
        <f t="shared" si="327"/>
        <v>1.181173358517239</v>
      </c>
      <c r="AZ373">
        <f t="shared" si="328"/>
        <v>0.28367405105424215</v>
      </c>
      <c r="BA373">
        <f t="shared" si="329"/>
        <v>0.13905087737185495</v>
      </c>
      <c r="BB373">
        <f t="shared" si="330"/>
        <v>-1.2337005501361696E-20</v>
      </c>
      <c r="BD373" s="15">
        <f t="shared" si="345"/>
        <v>9.4578799209178186</v>
      </c>
      <c r="BE373" s="10">
        <f t="shared" si="346"/>
        <v>0</v>
      </c>
      <c r="BF373">
        <f t="shared" si="347"/>
        <v>0</v>
      </c>
      <c r="BG373">
        <f t="shared" si="348"/>
        <v>0</v>
      </c>
      <c r="BH373">
        <f t="shared" si="349"/>
        <v>0</v>
      </c>
      <c r="BI373">
        <f t="shared" si="350"/>
        <v>0</v>
      </c>
    </row>
    <row r="374" spans="1:61" x14ac:dyDescent="0.3">
      <c r="A374">
        <f t="shared" si="355"/>
        <v>0.33700000000000002</v>
      </c>
      <c r="B374">
        <f t="shared" si="298"/>
        <v>1.0587167242597604</v>
      </c>
      <c r="C374">
        <f t="shared" si="299"/>
        <v>2.082875929330033</v>
      </c>
      <c r="D374">
        <f t="shared" si="300"/>
        <v>2.082875929330033</v>
      </c>
      <c r="E374">
        <f t="shared" si="305"/>
        <v>0.87172740653850889</v>
      </c>
      <c r="F374">
        <f t="shared" si="306"/>
        <v>0.87172740653850889</v>
      </c>
      <c r="G374">
        <f t="shared" si="301"/>
        <v>1.0587167242597604</v>
      </c>
      <c r="H374">
        <f t="shared" si="302"/>
        <v>0.87172740653850889</v>
      </c>
      <c r="I374">
        <f t="shared" si="303"/>
        <v>0.87172740653850889</v>
      </c>
      <c r="J374">
        <f t="shared" si="351"/>
        <v>7.3029684232998642E+19</v>
      </c>
      <c r="K374">
        <f t="shared" si="352"/>
        <v>7.3029684232998642E+19</v>
      </c>
      <c r="L374">
        <f t="shared" si="307"/>
        <v>1</v>
      </c>
      <c r="M374">
        <f t="shared" si="304"/>
        <v>2.0828759293300325E-20</v>
      </c>
      <c r="N374" s="9">
        <f t="shared" si="353"/>
        <v>2.0828759293300325E-20</v>
      </c>
      <c r="O374">
        <f t="shared" si="354"/>
        <v>2.0828759293300325E-20</v>
      </c>
      <c r="Q374">
        <f t="shared" si="308"/>
        <v>45.737397665717033</v>
      </c>
      <c r="R374">
        <f t="shared" si="309"/>
        <v>-710542.73576010019</v>
      </c>
      <c r="S374">
        <f t="shared" si="331"/>
        <v>-45.317952262827788</v>
      </c>
      <c r="T374" s="9" t="e">
        <f t="shared" si="310"/>
        <v>#N/A</v>
      </c>
      <c r="U374">
        <f t="shared" si="332"/>
        <v>-1.0000000000000001E+300</v>
      </c>
      <c r="V374">
        <f t="shared" si="333"/>
        <v>0</v>
      </c>
      <c r="W374">
        <f t="shared" si="334"/>
        <v>0</v>
      </c>
      <c r="X374">
        <f t="shared" si="311"/>
        <v>2.082875929330033</v>
      </c>
      <c r="Y374">
        <f t="shared" si="312"/>
        <v>7.8539816339744828</v>
      </c>
      <c r="Z374">
        <f t="shared" si="313"/>
        <v>-2.082875929330033</v>
      </c>
      <c r="AA374">
        <f t="shared" si="335"/>
        <v>1.170768255866919</v>
      </c>
      <c r="AB374">
        <f t="shared" si="314"/>
        <v>9.0247498898414023</v>
      </c>
      <c r="AC374">
        <f t="shared" si="336"/>
        <v>0.28216689176367082</v>
      </c>
      <c r="AD374">
        <f t="shared" si="315"/>
        <v>0.13727851112557657</v>
      </c>
      <c r="AE374" s="9">
        <f t="shared" si="337"/>
        <v>9.4441952927306492</v>
      </c>
      <c r="AF374">
        <f t="shared" si="338"/>
        <v>0</v>
      </c>
      <c r="AH374">
        <f t="shared" si="316"/>
        <v>7.8539816339744828</v>
      </c>
      <c r="AI374">
        <f t="shared" si="317"/>
        <v>1.1707682558669184</v>
      </c>
      <c r="AJ374">
        <f t="shared" si="318"/>
        <v>0.28216689176367282</v>
      </c>
      <c r="AK374">
        <f t="shared" si="319"/>
        <v>0.13727851112557657</v>
      </c>
      <c r="AL374" s="9">
        <f t="shared" si="339"/>
        <v>9.4441952927306492</v>
      </c>
      <c r="AM374" t="e">
        <f t="shared" si="320"/>
        <v>#N/A</v>
      </c>
      <c r="AN374" t="e">
        <f t="shared" si="340"/>
        <v>#N/A</v>
      </c>
      <c r="AO374">
        <f t="shared" si="321"/>
        <v>0</v>
      </c>
      <c r="AP374">
        <f t="shared" si="322"/>
        <v>0</v>
      </c>
      <c r="AQ374">
        <f t="shared" si="323"/>
        <v>1.9984014443252818E-15</v>
      </c>
      <c r="AR374">
        <f t="shared" si="341"/>
        <v>0</v>
      </c>
      <c r="AS374">
        <f t="shared" si="324"/>
        <v>0</v>
      </c>
      <c r="AT374">
        <f t="shared" si="342"/>
        <v>0</v>
      </c>
      <c r="AU374">
        <f t="shared" si="343"/>
        <v>0</v>
      </c>
      <c r="AV374">
        <f t="shared" si="325"/>
        <v>2.0828759293300328E-20</v>
      </c>
      <c r="AW374" t="b">
        <f t="shared" si="344"/>
        <v>1</v>
      </c>
      <c r="AX374">
        <f t="shared" si="326"/>
        <v>7.8539816339744828</v>
      </c>
      <c r="AY374">
        <f t="shared" si="327"/>
        <v>1.1707682558669186</v>
      </c>
      <c r="AZ374">
        <f t="shared" si="328"/>
        <v>0.28216689176367082</v>
      </c>
      <c r="BA374">
        <f t="shared" si="329"/>
        <v>0.13727851112557657</v>
      </c>
      <c r="BB374">
        <f t="shared" si="330"/>
        <v>-1.2337005501361696E-20</v>
      </c>
      <c r="BD374" s="15">
        <f t="shared" si="345"/>
        <v>9.4441952927306492</v>
      </c>
      <c r="BE374" s="10">
        <f t="shared" si="346"/>
        <v>0</v>
      </c>
      <c r="BF374">
        <f t="shared" si="347"/>
        <v>0</v>
      </c>
      <c r="BG374">
        <f t="shared" si="348"/>
        <v>0</v>
      </c>
      <c r="BH374">
        <f t="shared" si="349"/>
        <v>0</v>
      </c>
      <c r="BI374">
        <f t="shared" si="350"/>
        <v>0</v>
      </c>
    </row>
    <row r="375" spans="1:61" x14ac:dyDescent="0.3">
      <c r="A375">
        <f t="shared" si="355"/>
        <v>0.33800000000000002</v>
      </c>
      <c r="B375">
        <f t="shared" si="298"/>
        <v>1.0618583169133502</v>
      </c>
      <c r="C375">
        <f t="shared" si="299"/>
        <v>2.0797343366764429</v>
      </c>
      <c r="D375">
        <f t="shared" si="300"/>
        <v>2.0797343366764429</v>
      </c>
      <c r="E375">
        <f t="shared" si="305"/>
        <v>0.87326245480992015</v>
      </c>
      <c r="F375">
        <f t="shared" si="306"/>
        <v>0.87326245480992026</v>
      </c>
      <c r="G375">
        <f t="shared" si="301"/>
        <v>1.0618583169133502</v>
      </c>
      <c r="H375">
        <f t="shared" si="302"/>
        <v>0.87326245480992015</v>
      </c>
      <c r="I375">
        <f t="shared" si="303"/>
        <v>0.87326245480992026</v>
      </c>
      <c r="J375">
        <f t="shared" si="351"/>
        <v>7.2901310351897829E+19</v>
      </c>
      <c r="K375">
        <f t="shared" si="352"/>
        <v>7.2901310351897829E+19</v>
      </c>
      <c r="L375">
        <f t="shared" si="307"/>
        <v>1</v>
      </c>
      <c r="M375">
        <f t="shared" si="304"/>
        <v>2.0797343366764429E-20</v>
      </c>
      <c r="N375" s="9">
        <f t="shared" si="353"/>
        <v>2.0797343366764429E-20</v>
      </c>
      <c r="O375">
        <f t="shared" si="354"/>
        <v>2.0797343366764429E-20</v>
      </c>
      <c r="Q375">
        <f t="shared" si="308"/>
        <v>45.7356382873947</v>
      </c>
      <c r="R375">
        <f t="shared" si="309"/>
        <v>0</v>
      </c>
      <c r="S375">
        <f t="shared" si="331"/>
        <v>-45.31946169707664</v>
      </c>
      <c r="T375" s="9" t="e">
        <f t="shared" si="310"/>
        <v>#N/A</v>
      </c>
      <c r="U375">
        <f t="shared" si="332"/>
        <v>-1.0000000000000001E+300</v>
      </c>
      <c r="V375">
        <f t="shared" si="333"/>
        <v>0</v>
      </c>
      <c r="W375">
        <f t="shared" si="334"/>
        <v>0</v>
      </c>
      <c r="X375">
        <f t="shared" si="311"/>
        <v>2.0797343366764429</v>
      </c>
      <c r="Y375">
        <f t="shared" si="312"/>
        <v>7.8539816339744828</v>
      </c>
      <c r="Z375">
        <f t="shared" si="313"/>
        <v>-2.0797343366764429</v>
      </c>
      <c r="AA375">
        <f t="shared" si="335"/>
        <v>1.160419541043316</v>
      </c>
      <c r="AB375">
        <f t="shared" si="314"/>
        <v>9.0144011750177988</v>
      </c>
      <c r="AC375">
        <f t="shared" si="336"/>
        <v>0.28065745751481636</v>
      </c>
      <c r="AD375">
        <f t="shared" si="315"/>
        <v>0.13551913280323802</v>
      </c>
      <c r="AE375" s="9">
        <f t="shared" si="337"/>
        <v>9.4305777653358529</v>
      </c>
      <c r="AF375">
        <f t="shared" si="338"/>
        <v>0</v>
      </c>
      <c r="AH375">
        <f t="shared" si="316"/>
        <v>7.8539816339744828</v>
      </c>
      <c r="AI375">
        <f t="shared" si="317"/>
        <v>1.160419541043316</v>
      </c>
      <c r="AJ375">
        <f t="shared" si="318"/>
        <v>0.28065745751482041</v>
      </c>
      <c r="AK375">
        <f t="shared" si="319"/>
        <v>0.13551913280323802</v>
      </c>
      <c r="AL375" s="9">
        <f t="shared" si="339"/>
        <v>9.4305777653358565</v>
      </c>
      <c r="AM375" t="e">
        <f t="shared" si="320"/>
        <v>#N/A</v>
      </c>
      <c r="AN375" t="e">
        <f t="shared" si="340"/>
        <v>#N/A</v>
      </c>
      <c r="AO375">
        <f t="shared" si="321"/>
        <v>0</v>
      </c>
      <c r="AP375">
        <f t="shared" si="322"/>
        <v>0</v>
      </c>
      <c r="AQ375">
        <f t="shared" si="323"/>
        <v>4.0523140398818214E-15</v>
      </c>
      <c r="AR375">
        <f t="shared" si="341"/>
        <v>0</v>
      </c>
      <c r="AS375">
        <f t="shared" si="324"/>
        <v>0</v>
      </c>
      <c r="AT375">
        <f t="shared" si="342"/>
        <v>0</v>
      </c>
      <c r="AU375">
        <f t="shared" si="343"/>
        <v>0</v>
      </c>
      <c r="AV375">
        <f t="shared" si="325"/>
        <v>2.0797343366764429E-20</v>
      </c>
      <c r="AW375" t="b">
        <f t="shared" si="344"/>
        <v>1</v>
      </c>
      <c r="AX375">
        <f t="shared" si="326"/>
        <v>7.8539816339744828</v>
      </c>
      <c r="AY375">
        <f t="shared" si="327"/>
        <v>1.1604195410433158</v>
      </c>
      <c r="AZ375">
        <f t="shared" si="328"/>
        <v>0.28065745751481652</v>
      </c>
      <c r="BA375">
        <f t="shared" si="329"/>
        <v>0.13551913280323788</v>
      </c>
      <c r="BB375">
        <f t="shared" si="330"/>
        <v>-1.2337005501361696E-20</v>
      </c>
      <c r="BD375" s="15">
        <f t="shared" si="345"/>
        <v>9.4305777653358529</v>
      </c>
      <c r="BE375" s="10">
        <f t="shared" si="346"/>
        <v>0</v>
      </c>
      <c r="BF375">
        <f t="shared" si="347"/>
        <v>0</v>
      </c>
      <c r="BG375">
        <f t="shared" si="348"/>
        <v>0</v>
      </c>
      <c r="BH375">
        <f t="shared" si="349"/>
        <v>0</v>
      </c>
      <c r="BI375">
        <f t="shared" si="350"/>
        <v>0</v>
      </c>
    </row>
    <row r="376" spans="1:61" x14ac:dyDescent="0.3">
      <c r="A376">
        <f t="shared" si="355"/>
        <v>0.33900000000000002</v>
      </c>
      <c r="B376">
        <f t="shared" si="298"/>
        <v>1.06499990956694</v>
      </c>
      <c r="C376">
        <f t="shared" si="299"/>
        <v>2.0765927440228529</v>
      </c>
      <c r="D376">
        <f t="shared" si="300"/>
        <v>2.0765927440228529</v>
      </c>
      <c r="E376">
        <f t="shared" si="305"/>
        <v>0.87478888433345281</v>
      </c>
      <c r="F376">
        <f t="shared" si="306"/>
        <v>0.87478888433345303</v>
      </c>
      <c r="G376">
        <f t="shared" si="301"/>
        <v>1.06499990956694</v>
      </c>
      <c r="H376">
        <f t="shared" si="302"/>
        <v>0.87478888433345281</v>
      </c>
      <c r="I376">
        <f t="shared" si="303"/>
        <v>0.87478888433345303</v>
      </c>
      <c r="J376">
        <f t="shared" si="351"/>
        <v>7.277410398883328E+19</v>
      </c>
      <c r="K376">
        <f t="shared" si="352"/>
        <v>7.277410398883328E+19</v>
      </c>
      <c r="L376">
        <f t="shared" si="307"/>
        <v>1</v>
      </c>
      <c r="M376">
        <f t="shared" si="304"/>
        <v>2.0765927440228532E-20</v>
      </c>
      <c r="N376" s="9">
        <f t="shared" si="353"/>
        <v>2.0765927440228532E-20</v>
      </c>
      <c r="O376">
        <f t="shared" si="354"/>
        <v>2.0765927440228532E-20</v>
      </c>
      <c r="Q376">
        <f t="shared" si="308"/>
        <v>45.73389185137497</v>
      </c>
      <c r="R376">
        <f t="shared" si="309"/>
        <v>0</v>
      </c>
      <c r="S376">
        <f t="shared" si="331"/>
        <v>-45.320973413161965</v>
      </c>
      <c r="T376" s="9" t="e">
        <f t="shared" si="310"/>
        <v>#N/A</v>
      </c>
      <c r="U376">
        <f t="shared" si="332"/>
        <v>-1.0000000000000001E+300</v>
      </c>
      <c r="V376">
        <f t="shared" si="333"/>
        <v>0</v>
      </c>
      <c r="W376">
        <f t="shared" si="334"/>
        <v>0</v>
      </c>
      <c r="X376">
        <f t="shared" si="311"/>
        <v>2.0765927440228529</v>
      </c>
      <c r="Y376">
        <f t="shared" si="312"/>
        <v>7.8539816339744828</v>
      </c>
      <c r="Z376">
        <f t="shared" si="313"/>
        <v>-2.0765927440228529</v>
      </c>
      <c r="AA376">
        <f t="shared" si="335"/>
        <v>1.1501267481033755</v>
      </c>
      <c r="AB376">
        <f t="shared" si="314"/>
        <v>9.0041083820778578</v>
      </c>
      <c r="AC376">
        <f t="shared" si="336"/>
        <v>0.27914574142949444</v>
      </c>
      <c r="AD376">
        <f t="shared" si="315"/>
        <v>0.13377269678351209</v>
      </c>
      <c r="AE376" s="9">
        <f t="shared" si="337"/>
        <v>9.4170268202908627</v>
      </c>
      <c r="AF376">
        <f t="shared" si="338"/>
        <v>0</v>
      </c>
      <c r="AH376">
        <f t="shared" si="316"/>
        <v>7.8539816339744828</v>
      </c>
      <c r="AI376">
        <f t="shared" si="317"/>
        <v>1.1501267481033766</v>
      </c>
      <c r="AJ376">
        <f t="shared" si="318"/>
        <v>0.27914574142949533</v>
      </c>
      <c r="AK376">
        <f t="shared" si="319"/>
        <v>0.13377269678351209</v>
      </c>
      <c r="AL376" s="9">
        <f t="shared" si="339"/>
        <v>9.4170268202908662</v>
      </c>
      <c r="AM376" t="e">
        <f t="shared" si="320"/>
        <v>#N/A</v>
      </c>
      <c r="AN376" t="e">
        <f t="shared" si="340"/>
        <v>#N/A</v>
      </c>
      <c r="AO376">
        <f t="shared" si="321"/>
        <v>0</v>
      </c>
      <c r="AP376">
        <f t="shared" si="322"/>
        <v>0</v>
      </c>
      <c r="AQ376">
        <f t="shared" si="323"/>
        <v>8.8817841970012523E-16</v>
      </c>
      <c r="AR376">
        <f t="shared" si="341"/>
        <v>0</v>
      </c>
      <c r="AS376">
        <f t="shared" si="324"/>
        <v>0</v>
      </c>
      <c r="AT376">
        <f t="shared" si="342"/>
        <v>0</v>
      </c>
      <c r="AU376">
        <f t="shared" si="343"/>
        <v>0</v>
      </c>
      <c r="AV376">
        <f t="shared" si="325"/>
        <v>2.0765927440228529E-20</v>
      </c>
      <c r="AW376" t="b">
        <f t="shared" si="344"/>
        <v>1</v>
      </c>
      <c r="AX376">
        <f t="shared" si="326"/>
        <v>7.8539816339744828</v>
      </c>
      <c r="AY376">
        <f t="shared" si="327"/>
        <v>1.1501267481033752</v>
      </c>
      <c r="AZ376">
        <f t="shared" si="328"/>
        <v>0.27914574142949444</v>
      </c>
      <c r="BA376">
        <f t="shared" si="329"/>
        <v>0.13377269678351184</v>
      </c>
      <c r="BB376">
        <f t="shared" si="330"/>
        <v>-1.2337005501361696E-20</v>
      </c>
      <c r="BD376" s="15">
        <f t="shared" si="345"/>
        <v>9.4170268202908627</v>
      </c>
      <c r="BE376" s="10">
        <f t="shared" si="346"/>
        <v>0</v>
      </c>
      <c r="BF376">
        <f t="shared" si="347"/>
        <v>0</v>
      </c>
      <c r="BG376">
        <f t="shared" si="348"/>
        <v>0</v>
      </c>
      <c r="BH376">
        <f t="shared" si="349"/>
        <v>0</v>
      </c>
      <c r="BI376">
        <f t="shared" si="350"/>
        <v>0</v>
      </c>
    </row>
    <row r="377" spans="1:61" x14ac:dyDescent="0.3">
      <c r="A377">
        <f t="shared" si="355"/>
        <v>0.34</v>
      </c>
      <c r="B377">
        <f t="shared" si="298"/>
        <v>1.0681415022205298</v>
      </c>
      <c r="C377">
        <f t="shared" si="299"/>
        <v>2.0734511513692633</v>
      </c>
      <c r="D377">
        <f t="shared" si="300"/>
        <v>2.0734511513692633</v>
      </c>
      <c r="E377">
        <f t="shared" si="305"/>
        <v>0.87630668004386369</v>
      </c>
      <c r="F377">
        <f t="shared" si="306"/>
        <v>0.87630668004386369</v>
      </c>
      <c r="G377">
        <f t="shared" si="301"/>
        <v>1.0681415022205298</v>
      </c>
      <c r="H377">
        <f t="shared" si="302"/>
        <v>0.87630668004386369</v>
      </c>
      <c r="I377">
        <f t="shared" si="303"/>
        <v>0.87630668004386369</v>
      </c>
      <c r="J377">
        <f t="shared" si="351"/>
        <v>7.264805653834743E+19</v>
      </c>
      <c r="K377">
        <f t="shared" si="352"/>
        <v>7.264805653834743E+19</v>
      </c>
      <c r="L377" t="e">
        <f t="shared" si="307"/>
        <v>#NUM!</v>
      </c>
      <c r="M377">
        <f t="shared" si="304"/>
        <v>2.0734511513692632E-20</v>
      </c>
      <c r="N377" s="9" t="e">
        <f t="shared" si="353"/>
        <v>#NUM!</v>
      </c>
      <c r="O377" t="e">
        <f t="shared" si="354"/>
        <v>#NUM!</v>
      </c>
      <c r="Q377">
        <f t="shared" si="308"/>
        <v>45.732158312530615</v>
      </c>
      <c r="R377">
        <f t="shared" si="309"/>
        <v>-710542.73576010019</v>
      </c>
      <c r="S377">
        <f t="shared" si="331"/>
        <v>-45.32248741799318</v>
      </c>
      <c r="T377" s="9" t="e">
        <f t="shared" si="310"/>
        <v>#N/A</v>
      </c>
      <c r="U377">
        <f t="shared" si="332"/>
        <v>-1.0000000000000001E+300</v>
      </c>
      <c r="V377">
        <f t="shared" si="333"/>
        <v>0</v>
      </c>
      <c r="W377">
        <f t="shared" si="334"/>
        <v>0</v>
      </c>
      <c r="X377">
        <f t="shared" si="311"/>
        <v>2.0734511513692633</v>
      </c>
      <c r="Y377">
        <f t="shared" si="312"/>
        <v>7.8539816339744828</v>
      </c>
      <c r="Z377">
        <f t="shared" si="313"/>
        <v>-2.0734511513692633</v>
      </c>
      <c r="AA377">
        <f t="shared" si="335"/>
        <v>1.1398894165597075</v>
      </c>
      <c r="AB377">
        <f t="shared" si="314"/>
        <v>8.9938710505341906</v>
      </c>
      <c r="AC377">
        <f t="shared" si="336"/>
        <v>0.27763173659827939</v>
      </c>
      <c r="AD377">
        <f t="shared" si="315"/>
        <v>0.13203915793915805</v>
      </c>
      <c r="AE377" s="9">
        <f t="shared" si="337"/>
        <v>9.4035419450716269</v>
      </c>
      <c r="AF377">
        <f t="shared" si="338"/>
        <v>0</v>
      </c>
      <c r="AH377">
        <f t="shared" si="316"/>
        <v>7.8539816339744828</v>
      </c>
      <c r="AI377">
        <f t="shared" si="317"/>
        <v>1.1398894165597075</v>
      </c>
      <c r="AJ377">
        <f t="shared" si="318"/>
        <v>0.27763173659828055</v>
      </c>
      <c r="AK377">
        <f t="shared" si="319"/>
        <v>0.13203915793915805</v>
      </c>
      <c r="AL377" s="9">
        <f t="shared" si="339"/>
        <v>9.4035419450716287</v>
      </c>
      <c r="AM377" t="e">
        <f t="shared" si="320"/>
        <v>#N/A</v>
      </c>
      <c r="AN377" t="e">
        <f t="shared" si="340"/>
        <v>#N/A</v>
      </c>
      <c r="AO377">
        <f t="shared" si="321"/>
        <v>0</v>
      </c>
      <c r="AP377">
        <f t="shared" si="322"/>
        <v>0</v>
      </c>
      <c r="AQ377">
        <f t="shared" si="323"/>
        <v>1.1657341758564144E-15</v>
      </c>
      <c r="AR377">
        <f t="shared" si="341"/>
        <v>0</v>
      </c>
      <c r="AS377">
        <f t="shared" si="324"/>
        <v>0</v>
      </c>
      <c r="AT377">
        <f t="shared" si="342"/>
        <v>0</v>
      </c>
      <c r="AU377">
        <f t="shared" si="343"/>
        <v>0</v>
      </c>
      <c r="AV377">
        <f t="shared" si="325"/>
        <v>2.0734511513692632E-20</v>
      </c>
      <c r="AW377" t="b">
        <f t="shared" si="344"/>
        <v>1</v>
      </c>
      <c r="AX377">
        <f t="shared" si="326"/>
        <v>7.8539816339744828</v>
      </c>
      <c r="AY377">
        <f t="shared" si="327"/>
        <v>1.1398894165597073</v>
      </c>
      <c r="AZ377">
        <f t="shared" si="328"/>
        <v>0.27763173659827955</v>
      </c>
      <c r="BA377">
        <f t="shared" si="329"/>
        <v>0.13203915793915805</v>
      </c>
      <c r="BB377">
        <f t="shared" si="330"/>
        <v>-1.2337005501361696E-20</v>
      </c>
      <c r="BD377" s="15">
        <f t="shared" si="345"/>
        <v>9.4035419450716269</v>
      </c>
      <c r="BE377" s="10">
        <f t="shared" si="346"/>
        <v>0</v>
      </c>
      <c r="BF377">
        <f t="shared" si="347"/>
        <v>0</v>
      </c>
      <c r="BG377">
        <f t="shared" si="348"/>
        <v>0</v>
      </c>
      <c r="BH377">
        <f t="shared" si="349"/>
        <v>0</v>
      </c>
      <c r="BI377">
        <f t="shared" si="350"/>
        <v>0</v>
      </c>
    </row>
    <row r="378" spans="1:61" x14ac:dyDescent="0.3">
      <c r="A378">
        <f t="shared" si="355"/>
        <v>0.34100000000000003</v>
      </c>
      <c r="B378">
        <f t="shared" si="298"/>
        <v>1.0712830948741194</v>
      </c>
      <c r="C378">
        <f t="shared" si="299"/>
        <v>2.0703095587156737</v>
      </c>
      <c r="D378">
        <f t="shared" si="300"/>
        <v>2.0703095587156737</v>
      </c>
      <c r="E378">
        <f t="shared" si="305"/>
        <v>0.8778158269611217</v>
      </c>
      <c r="F378">
        <f t="shared" si="306"/>
        <v>0.8778158269611217</v>
      </c>
      <c r="G378">
        <f t="shared" si="301"/>
        <v>1.0712830948741194</v>
      </c>
      <c r="H378">
        <f t="shared" si="302"/>
        <v>0.8778158269611217</v>
      </c>
      <c r="I378">
        <f t="shared" si="303"/>
        <v>0.8778158269611217</v>
      </c>
      <c r="J378">
        <f t="shared" si="351"/>
        <v>7.2523159507327631E+19</v>
      </c>
      <c r="K378">
        <f t="shared" si="352"/>
        <v>7.2523159507327631E+19</v>
      </c>
      <c r="L378">
        <f t="shared" si="307"/>
        <v>1</v>
      </c>
      <c r="M378">
        <f t="shared" si="304"/>
        <v>2.0703095587156736E-20</v>
      </c>
      <c r="N378" s="9">
        <f t="shared" si="353"/>
        <v>2.0703095587156736E-20</v>
      </c>
      <c r="O378">
        <f t="shared" si="354"/>
        <v>2.0703095587156736E-20</v>
      </c>
      <c r="Q378">
        <f t="shared" si="308"/>
        <v>45.730437626223264</v>
      </c>
      <c r="R378">
        <f t="shared" si="309"/>
        <v>-710542.73576010019</v>
      </c>
      <c r="S378">
        <f t="shared" si="331"/>
        <v>-45.324003718511143</v>
      </c>
      <c r="T378" s="9" t="e">
        <f t="shared" si="310"/>
        <v>#N/A</v>
      </c>
      <c r="U378">
        <f t="shared" si="332"/>
        <v>-1.0000000000000001E+300</v>
      </c>
      <c r="V378">
        <f t="shared" si="333"/>
        <v>0</v>
      </c>
      <c r="W378">
        <f t="shared" si="334"/>
        <v>0</v>
      </c>
      <c r="X378">
        <f t="shared" si="311"/>
        <v>2.0703095587156737</v>
      </c>
      <c r="Y378">
        <f t="shared" si="312"/>
        <v>7.8539816339744828</v>
      </c>
      <c r="Z378">
        <f t="shared" si="313"/>
        <v>-2.0703095587156737</v>
      </c>
      <c r="AA378">
        <f t="shared" si="335"/>
        <v>1.1297070913007736</v>
      </c>
      <c r="AB378">
        <f t="shared" si="314"/>
        <v>8.9836887252752557</v>
      </c>
      <c r="AC378">
        <f t="shared" si="336"/>
        <v>0.27611543608031552</v>
      </c>
      <c r="AD378">
        <f t="shared" si="315"/>
        <v>0.1303184716318069</v>
      </c>
      <c r="AE378" s="9">
        <f t="shared" si="337"/>
        <v>9.3901226329873779</v>
      </c>
      <c r="AF378">
        <f t="shared" si="338"/>
        <v>0</v>
      </c>
      <c r="AH378">
        <f t="shared" si="316"/>
        <v>7.8539816339744828</v>
      </c>
      <c r="AI378">
        <f t="shared" si="317"/>
        <v>1.1297070913007734</v>
      </c>
      <c r="AJ378">
        <f t="shared" si="318"/>
        <v>0.27611543608031752</v>
      </c>
      <c r="AK378">
        <f t="shared" si="319"/>
        <v>0.1303184716318069</v>
      </c>
      <c r="AL378" s="9">
        <f t="shared" si="339"/>
        <v>9.3901226329873797</v>
      </c>
      <c r="AM378" t="e">
        <f t="shared" si="320"/>
        <v>#N/A</v>
      </c>
      <c r="AN378" t="e">
        <f t="shared" si="340"/>
        <v>#N/A</v>
      </c>
      <c r="AO378">
        <f t="shared" si="321"/>
        <v>0</v>
      </c>
      <c r="AP378">
        <f t="shared" si="322"/>
        <v>0</v>
      </c>
      <c r="AQ378">
        <f t="shared" si="323"/>
        <v>1.9984014443252818E-15</v>
      </c>
      <c r="AR378">
        <f t="shared" si="341"/>
        <v>0</v>
      </c>
      <c r="AS378">
        <f t="shared" si="324"/>
        <v>0</v>
      </c>
      <c r="AT378">
        <f t="shared" si="342"/>
        <v>0</v>
      </c>
      <c r="AU378">
        <f t="shared" si="343"/>
        <v>0</v>
      </c>
      <c r="AV378">
        <f t="shared" si="325"/>
        <v>2.0703095587156736E-20</v>
      </c>
      <c r="AW378" t="b">
        <f t="shared" si="344"/>
        <v>1</v>
      </c>
      <c r="AX378">
        <f t="shared" si="326"/>
        <v>7.8539816339744828</v>
      </c>
      <c r="AY378">
        <f t="shared" si="327"/>
        <v>1.1297070913007732</v>
      </c>
      <c r="AZ378">
        <f t="shared" si="328"/>
        <v>0.27611543608031552</v>
      </c>
      <c r="BA378">
        <f t="shared" si="329"/>
        <v>0.1303184716318069</v>
      </c>
      <c r="BB378">
        <f t="shared" si="330"/>
        <v>-1.2337005501361696E-20</v>
      </c>
      <c r="BD378" s="15">
        <f t="shared" si="345"/>
        <v>9.3901226329873779</v>
      </c>
      <c r="BE378" s="10">
        <f t="shared" si="346"/>
        <v>0</v>
      </c>
      <c r="BF378">
        <f t="shared" si="347"/>
        <v>0</v>
      </c>
      <c r="BG378">
        <f t="shared" si="348"/>
        <v>0</v>
      </c>
      <c r="BH378">
        <f t="shared" si="349"/>
        <v>0</v>
      </c>
      <c r="BI378">
        <f t="shared" si="350"/>
        <v>0</v>
      </c>
    </row>
    <row r="379" spans="1:61" x14ac:dyDescent="0.3">
      <c r="A379">
        <f t="shared" si="355"/>
        <v>0.34200000000000003</v>
      </c>
      <c r="B379">
        <f t="shared" si="298"/>
        <v>1.0744246875277093</v>
      </c>
      <c r="C379">
        <f t="shared" si="299"/>
        <v>2.0671679660620841</v>
      </c>
      <c r="D379">
        <f t="shared" si="300"/>
        <v>2.0671679660620841</v>
      </c>
      <c r="E379">
        <f t="shared" si="305"/>
        <v>0.87931631019055623</v>
      </c>
      <c r="F379">
        <f t="shared" si="306"/>
        <v>0.87931631019055623</v>
      </c>
      <c r="G379">
        <f t="shared" si="301"/>
        <v>1.0744246875277093</v>
      </c>
      <c r="H379">
        <f t="shared" si="302"/>
        <v>0.87931631019055623</v>
      </c>
      <c r="I379">
        <f t="shared" si="303"/>
        <v>0.87931631019055623</v>
      </c>
      <c r="J379">
        <f t="shared" si="351"/>
        <v>7.2399404513447485E+19</v>
      </c>
      <c r="K379">
        <f t="shared" si="352"/>
        <v>7.2399404513447485E+19</v>
      </c>
      <c r="L379">
        <f t="shared" si="307"/>
        <v>1</v>
      </c>
      <c r="M379">
        <f t="shared" si="304"/>
        <v>2.0671679660620839E-20</v>
      </c>
      <c r="N379" s="9">
        <f t="shared" si="353"/>
        <v>2.0671679660620839E-20</v>
      </c>
      <c r="O379">
        <f t="shared" si="354"/>
        <v>2.0671679660620839E-20</v>
      </c>
      <c r="Q379">
        <f t="shared" si="308"/>
        <v>45.728729748298285</v>
      </c>
      <c r="R379">
        <f t="shared" si="309"/>
        <v>0</v>
      </c>
      <c r="S379">
        <f t="shared" si="331"/>
        <v>-45.325522321688332</v>
      </c>
      <c r="T379" s="9" t="e">
        <f t="shared" si="310"/>
        <v>#N/A</v>
      </c>
      <c r="U379">
        <f t="shared" si="332"/>
        <v>-1.0000000000000001E+300</v>
      </c>
      <c r="V379">
        <f t="shared" si="333"/>
        <v>0</v>
      </c>
      <c r="W379">
        <f t="shared" si="334"/>
        <v>0</v>
      </c>
      <c r="X379">
        <f t="shared" si="311"/>
        <v>2.0671679660620841</v>
      </c>
      <c r="Y379">
        <f t="shared" si="312"/>
        <v>7.8539816339744828</v>
      </c>
      <c r="Z379">
        <f t="shared" si="313"/>
        <v>-2.0671679660620841</v>
      </c>
      <c r="AA379">
        <f t="shared" si="335"/>
        <v>1.1195793225124777</v>
      </c>
      <c r="AB379">
        <f t="shared" si="314"/>
        <v>8.9735609564869598</v>
      </c>
      <c r="AC379">
        <f t="shared" si="336"/>
        <v>0.27459683290312548</v>
      </c>
      <c r="AD379">
        <f t="shared" si="315"/>
        <v>0.12861059370682609</v>
      </c>
      <c r="AE379" s="9">
        <f t="shared" si="337"/>
        <v>9.3767683830969109</v>
      </c>
      <c r="AF379">
        <f t="shared" si="338"/>
        <v>0</v>
      </c>
      <c r="AH379">
        <f t="shared" si="316"/>
        <v>7.8539816339744828</v>
      </c>
      <c r="AI379">
        <f t="shared" si="317"/>
        <v>1.1195793225124773</v>
      </c>
      <c r="AJ379">
        <f t="shared" si="318"/>
        <v>0.27459683290312853</v>
      </c>
      <c r="AK379">
        <f t="shared" si="319"/>
        <v>0.12861059370682609</v>
      </c>
      <c r="AL379" s="9">
        <f t="shared" si="339"/>
        <v>9.3767683830969144</v>
      </c>
      <c r="AM379" t="e">
        <f t="shared" si="320"/>
        <v>#N/A</v>
      </c>
      <c r="AN379" t="e">
        <f t="shared" si="340"/>
        <v>#N/A</v>
      </c>
      <c r="AO379">
        <f t="shared" si="321"/>
        <v>0</v>
      </c>
      <c r="AP379">
        <f t="shared" si="322"/>
        <v>0</v>
      </c>
      <c r="AQ379">
        <f t="shared" si="323"/>
        <v>3.0531133177191805E-15</v>
      </c>
      <c r="AR379">
        <f t="shared" si="341"/>
        <v>0</v>
      </c>
      <c r="AS379">
        <f t="shared" si="324"/>
        <v>0</v>
      </c>
      <c r="AT379">
        <f t="shared" si="342"/>
        <v>0</v>
      </c>
      <c r="AU379">
        <f t="shared" si="343"/>
        <v>0</v>
      </c>
      <c r="AV379">
        <f t="shared" si="325"/>
        <v>2.0671679660620839E-20</v>
      </c>
      <c r="AW379" t="b">
        <f t="shared" si="344"/>
        <v>1</v>
      </c>
      <c r="AX379">
        <f t="shared" si="326"/>
        <v>7.8539816339744828</v>
      </c>
      <c r="AY379">
        <f t="shared" si="327"/>
        <v>1.1195793225124775</v>
      </c>
      <c r="AZ379">
        <f t="shared" si="328"/>
        <v>0.27459683290312548</v>
      </c>
      <c r="BA379">
        <f t="shared" si="329"/>
        <v>0.12861059370682609</v>
      </c>
      <c r="BB379">
        <f t="shared" si="330"/>
        <v>-1.2337005501361696E-20</v>
      </c>
      <c r="BD379" s="15">
        <f t="shared" si="345"/>
        <v>9.3767683830969109</v>
      </c>
      <c r="BE379" s="10">
        <f t="shared" si="346"/>
        <v>0</v>
      </c>
      <c r="BF379">
        <f t="shared" si="347"/>
        <v>0</v>
      </c>
      <c r="BG379">
        <f t="shared" si="348"/>
        <v>0</v>
      </c>
      <c r="BH379">
        <f t="shared" si="349"/>
        <v>0</v>
      </c>
      <c r="BI379">
        <f t="shared" si="350"/>
        <v>0</v>
      </c>
    </row>
    <row r="380" spans="1:61" x14ac:dyDescent="0.3">
      <c r="A380">
        <f t="shared" si="355"/>
        <v>0.34300000000000003</v>
      </c>
      <c r="B380">
        <f t="shared" si="298"/>
        <v>1.0775662801812991</v>
      </c>
      <c r="C380">
        <f t="shared" si="299"/>
        <v>2.064026373408494</v>
      </c>
      <c r="D380">
        <f t="shared" si="300"/>
        <v>2.064026373408494</v>
      </c>
      <c r="E380">
        <f t="shared" si="305"/>
        <v>0.88080811492300359</v>
      </c>
      <c r="F380">
        <f t="shared" si="306"/>
        <v>0.8808081149230037</v>
      </c>
      <c r="G380">
        <f t="shared" si="301"/>
        <v>1.0775662801812991</v>
      </c>
      <c r="H380">
        <f t="shared" si="302"/>
        <v>0.88080811492300359</v>
      </c>
      <c r="I380">
        <f t="shared" si="303"/>
        <v>0.8808081149230037</v>
      </c>
      <c r="J380">
        <f t="shared" si="351"/>
        <v>7.2276783283636298E+19</v>
      </c>
      <c r="K380">
        <f t="shared" si="352"/>
        <v>7.2276783283636298E+19</v>
      </c>
      <c r="L380" t="e">
        <f t="shared" si="307"/>
        <v>#NUM!</v>
      </c>
      <c r="M380">
        <f t="shared" si="304"/>
        <v>2.064026373408494E-20</v>
      </c>
      <c r="N380" s="9" t="e">
        <f t="shared" si="353"/>
        <v>#NUM!</v>
      </c>
      <c r="O380" t="e">
        <f t="shared" si="354"/>
        <v>#NUM!</v>
      </c>
      <c r="Q380">
        <f t="shared" si="308"/>
        <v>45.727034635079725</v>
      </c>
      <c r="R380">
        <f t="shared" si="309"/>
        <v>0</v>
      </c>
      <c r="S380">
        <f t="shared" si="331"/>
        <v>-45.327043234529043</v>
      </c>
      <c r="T380" s="9" t="e">
        <f t="shared" si="310"/>
        <v>#N/A</v>
      </c>
      <c r="U380">
        <f t="shared" si="332"/>
        <v>-1.0000000000000001E+300</v>
      </c>
      <c r="V380">
        <f t="shared" si="333"/>
        <v>0</v>
      </c>
      <c r="W380">
        <f t="shared" si="334"/>
        <v>0</v>
      </c>
      <c r="X380">
        <f t="shared" si="311"/>
        <v>2.064026373408494</v>
      </c>
      <c r="Y380">
        <f t="shared" si="312"/>
        <v>7.8539816339744828</v>
      </c>
      <c r="Z380">
        <f t="shared" si="313"/>
        <v>-2.064026373408494</v>
      </c>
      <c r="AA380">
        <f t="shared" si="335"/>
        <v>1.1095056656011233</v>
      </c>
      <c r="AB380">
        <f t="shared" si="314"/>
        <v>8.9634872995756059</v>
      </c>
      <c r="AC380">
        <f t="shared" si="336"/>
        <v>0.27307592006241882</v>
      </c>
      <c r="AD380">
        <f t="shared" si="315"/>
        <v>0.12691548048826504</v>
      </c>
      <c r="AE380" s="9">
        <f t="shared" si="337"/>
        <v>9.36347870012629</v>
      </c>
      <c r="AF380">
        <f t="shared" si="338"/>
        <v>0</v>
      </c>
      <c r="AH380">
        <f t="shared" si="316"/>
        <v>7.8539816339744828</v>
      </c>
      <c r="AI380">
        <f t="shared" si="317"/>
        <v>1.1095056656011235</v>
      </c>
      <c r="AJ380">
        <f t="shared" si="318"/>
        <v>0.27307592006241777</v>
      </c>
      <c r="AK380">
        <f t="shared" si="319"/>
        <v>0.12691548048826504</v>
      </c>
      <c r="AL380" s="9">
        <f t="shared" si="339"/>
        <v>9.3634787001262882</v>
      </c>
      <c r="AM380" t="e">
        <f t="shared" si="320"/>
        <v>#N/A</v>
      </c>
      <c r="AN380" t="e">
        <f t="shared" si="340"/>
        <v>#N/A</v>
      </c>
      <c r="AO380">
        <f t="shared" si="321"/>
        <v>0</v>
      </c>
      <c r="AP380">
        <f t="shared" si="322"/>
        <v>0</v>
      </c>
      <c r="AQ380">
        <f t="shared" si="323"/>
        <v>-1.0547118733938987E-15</v>
      </c>
      <c r="AR380">
        <f t="shared" si="341"/>
        <v>0</v>
      </c>
      <c r="AS380">
        <f t="shared" si="324"/>
        <v>0</v>
      </c>
      <c r="AT380">
        <f t="shared" si="342"/>
        <v>0</v>
      </c>
      <c r="AU380">
        <f t="shared" si="343"/>
        <v>0</v>
      </c>
      <c r="AV380">
        <f t="shared" si="325"/>
        <v>2.064026373408494E-20</v>
      </c>
      <c r="AW380" t="b">
        <f t="shared" si="344"/>
        <v>1</v>
      </c>
      <c r="AX380">
        <f t="shared" si="326"/>
        <v>7.8539816339744828</v>
      </c>
      <c r="AY380">
        <f t="shared" si="327"/>
        <v>1.1095056656011231</v>
      </c>
      <c r="AZ380">
        <f t="shared" si="328"/>
        <v>0.27307592006241882</v>
      </c>
      <c r="BA380">
        <f t="shared" si="329"/>
        <v>0.12691548048826493</v>
      </c>
      <c r="BB380">
        <f t="shared" si="330"/>
        <v>-1.2337005501361696E-20</v>
      </c>
      <c r="BD380" s="15">
        <f t="shared" si="345"/>
        <v>9.36347870012629</v>
      </c>
      <c r="BE380" s="10">
        <f t="shared" si="346"/>
        <v>0</v>
      </c>
      <c r="BF380">
        <f t="shared" si="347"/>
        <v>0</v>
      </c>
      <c r="BG380">
        <f t="shared" si="348"/>
        <v>0</v>
      </c>
      <c r="BH380">
        <f t="shared" si="349"/>
        <v>0</v>
      </c>
      <c r="BI380">
        <f t="shared" si="350"/>
        <v>0</v>
      </c>
    </row>
    <row r="381" spans="1:61" x14ac:dyDescent="0.3">
      <c r="A381">
        <f t="shared" si="355"/>
        <v>0.34399999999999997</v>
      </c>
      <c r="B381">
        <f t="shared" si="298"/>
        <v>1.0807078728348887</v>
      </c>
      <c r="C381">
        <f t="shared" si="299"/>
        <v>2.0608847807549044</v>
      </c>
      <c r="D381">
        <f t="shared" si="300"/>
        <v>2.0608847807549044</v>
      </c>
      <c r="E381">
        <f t="shared" si="305"/>
        <v>0.88229122643495317</v>
      </c>
      <c r="F381">
        <f t="shared" si="306"/>
        <v>0.88229122643495328</v>
      </c>
      <c r="G381">
        <f t="shared" si="301"/>
        <v>1.0807078728348887</v>
      </c>
      <c r="H381">
        <f t="shared" si="302"/>
        <v>0.88229122643495317</v>
      </c>
      <c r="I381">
        <f t="shared" si="303"/>
        <v>0.88229122643495328</v>
      </c>
      <c r="J381">
        <f t="shared" si="351"/>
        <v>7.2155287652576035E+19</v>
      </c>
      <c r="K381">
        <f t="shared" si="352"/>
        <v>7.2155287652576035E+19</v>
      </c>
      <c r="L381">
        <f t="shared" si="307"/>
        <v>1</v>
      </c>
      <c r="M381">
        <f t="shared" si="304"/>
        <v>2.0608847807549043E-20</v>
      </c>
      <c r="N381" s="9">
        <f t="shared" si="353"/>
        <v>2.0608847807549043E-20</v>
      </c>
      <c r="O381">
        <f t="shared" si="354"/>
        <v>2.0608847807549043E-20</v>
      </c>
      <c r="Q381">
        <f t="shared" si="308"/>
        <v>45.725352243365336</v>
      </c>
      <c r="R381">
        <f t="shared" si="309"/>
        <v>0</v>
      </c>
      <c r="S381">
        <f t="shared" si="331"/>
        <v>-45.32856646406956</v>
      </c>
      <c r="T381" s="9" t="e">
        <f t="shared" si="310"/>
        <v>#N/A</v>
      </c>
      <c r="U381">
        <f t="shared" si="332"/>
        <v>-1.0000000000000001E+300</v>
      </c>
      <c r="V381">
        <f t="shared" si="333"/>
        <v>0</v>
      </c>
      <c r="W381">
        <f t="shared" si="334"/>
        <v>0</v>
      </c>
      <c r="X381">
        <f t="shared" si="311"/>
        <v>2.0608847807549044</v>
      </c>
      <c r="Y381">
        <f t="shared" si="312"/>
        <v>7.8539816339744828</v>
      </c>
      <c r="Z381">
        <f t="shared" si="313"/>
        <v>-2.0608847807549044</v>
      </c>
      <c r="AA381">
        <f t="shared" si="335"/>
        <v>1.09948568111772</v>
      </c>
      <c r="AB381">
        <f t="shared" si="314"/>
        <v>8.9534673150922028</v>
      </c>
      <c r="AC381">
        <f t="shared" si="336"/>
        <v>0.27155269052189734</v>
      </c>
      <c r="AD381">
        <f t="shared" si="315"/>
        <v>0.12523308877387759</v>
      </c>
      <c r="AE381" s="9">
        <f t="shared" si="337"/>
        <v>9.3502530943879769</v>
      </c>
      <c r="AF381">
        <f t="shared" si="338"/>
        <v>0</v>
      </c>
      <c r="AH381">
        <f t="shared" si="316"/>
        <v>7.8539816339744828</v>
      </c>
      <c r="AI381">
        <f t="shared" si="317"/>
        <v>1.0994856811177203</v>
      </c>
      <c r="AJ381">
        <f t="shared" si="318"/>
        <v>0.27155269052190079</v>
      </c>
      <c r="AK381">
        <f t="shared" si="319"/>
        <v>0.12523308877387759</v>
      </c>
      <c r="AL381" s="9">
        <f t="shared" si="339"/>
        <v>9.3502530943879805</v>
      </c>
      <c r="AM381" t="e">
        <f t="shared" si="320"/>
        <v>#N/A</v>
      </c>
      <c r="AN381" t="e">
        <f t="shared" si="340"/>
        <v>#N/A</v>
      </c>
      <c r="AO381">
        <f t="shared" si="321"/>
        <v>0</v>
      </c>
      <c r="AP381">
        <f t="shared" si="322"/>
        <v>0</v>
      </c>
      <c r="AQ381">
        <f t="shared" si="323"/>
        <v>3.4416913763379853E-15</v>
      </c>
      <c r="AR381">
        <f t="shared" si="341"/>
        <v>0</v>
      </c>
      <c r="AS381">
        <f t="shared" si="324"/>
        <v>0</v>
      </c>
      <c r="AT381">
        <f t="shared" si="342"/>
        <v>0</v>
      </c>
      <c r="AU381">
        <f t="shared" si="343"/>
        <v>0</v>
      </c>
      <c r="AV381">
        <f t="shared" si="325"/>
        <v>2.0608847807549043E-20</v>
      </c>
      <c r="AW381" t="b">
        <f t="shared" si="344"/>
        <v>1</v>
      </c>
      <c r="AX381">
        <f t="shared" si="326"/>
        <v>7.8539816339744828</v>
      </c>
      <c r="AY381">
        <f t="shared" si="327"/>
        <v>1.0994856811177198</v>
      </c>
      <c r="AZ381">
        <f t="shared" si="328"/>
        <v>0.27155269052189734</v>
      </c>
      <c r="BA381">
        <f t="shared" si="329"/>
        <v>0.12523308877387745</v>
      </c>
      <c r="BB381">
        <f t="shared" si="330"/>
        <v>-1.2337005501361696E-20</v>
      </c>
      <c r="BD381" s="15">
        <f t="shared" si="345"/>
        <v>9.3502530943879769</v>
      </c>
      <c r="BE381" s="10">
        <f t="shared" si="346"/>
        <v>0</v>
      </c>
      <c r="BF381">
        <f t="shared" si="347"/>
        <v>0</v>
      </c>
      <c r="BG381">
        <f t="shared" si="348"/>
        <v>0</v>
      </c>
      <c r="BH381">
        <f t="shared" si="349"/>
        <v>0</v>
      </c>
      <c r="BI381">
        <f t="shared" si="350"/>
        <v>0</v>
      </c>
    </row>
    <row r="382" spans="1:61" x14ac:dyDescent="0.3">
      <c r="A382">
        <f t="shared" si="355"/>
        <v>0.34499999999999997</v>
      </c>
      <c r="B382">
        <f t="shared" si="298"/>
        <v>1.0838494654884785</v>
      </c>
      <c r="C382">
        <f t="shared" si="299"/>
        <v>2.0577431881013144</v>
      </c>
      <c r="D382">
        <f t="shared" si="300"/>
        <v>2.0577431881013144</v>
      </c>
      <c r="E382">
        <f t="shared" si="305"/>
        <v>0.88376563008869335</v>
      </c>
      <c r="F382">
        <f t="shared" si="306"/>
        <v>0.88376563008869347</v>
      </c>
      <c r="G382">
        <f t="shared" si="301"/>
        <v>1.0838494654884785</v>
      </c>
      <c r="H382">
        <f t="shared" si="302"/>
        <v>0.88376563008869335</v>
      </c>
      <c r="I382">
        <f t="shared" si="303"/>
        <v>0.88376563008869347</v>
      </c>
      <c r="J382">
        <f t="shared" si="351"/>
        <v>7.2034909561225101E+19</v>
      </c>
      <c r="K382">
        <f t="shared" si="352"/>
        <v>7.2034909561225101E+19</v>
      </c>
      <c r="L382">
        <f t="shared" si="307"/>
        <v>1</v>
      </c>
      <c r="M382">
        <f t="shared" si="304"/>
        <v>2.0577431881013146E-20</v>
      </c>
      <c r="N382" s="9">
        <f t="shared" si="353"/>
        <v>2.0577431881013146E-20</v>
      </c>
      <c r="O382">
        <f t="shared" si="354"/>
        <v>2.0577431881013146E-20</v>
      </c>
      <c r="Q382">
        <f t="shared" si="308"/>
        <v>45.723682530421677</v>
      </c>
      <c r="R382">
        <f t="shared" si="309"/>
        <v>-710542.73576010019</v>
      </c>
      <c r="S382">
        <f t="shared" si="331"/>
        <v>-45.330092017378398</v>
      </c>
      <c r="T382" s="9" t="e">
        <f t="shared" si="310"/>
        <v>#N/A</v>
      </c>
      <c r="U382">
        <f t="shared" si="332"/>
        <v>-1.0000000000000001E+300</v>
      </c>
      <c r="V382">
        <f t="shared" si="333"/>
        <v>0</v>
      </c>
      <c r="W382">
        <f t="shared" si="334"/>
        <v>0</v>
      </c>
      <c r="X382">
        <f t="shared" si="311"/>
        <v>2.0577431881013144</v>
      </c>
      <c r="Y382">
        <f t="shared" si="312"/>
        <v>7.8539816339744828</v>
      </c>
      <c r="Z382">
        <f t="shared" si="313"/>
        <v>-2.0577431881013144</v>
      </c>
      <c r="AA382">
        <f t="shared" si="335"/>
        <v>1.0895189346835934</v>
      </c>
      <c r="AB382">
        <f t="shared" si="314"/>
        <v>8.9435005686580755</v>
      </c>
      <c r="AC382">
        <f t="shared" si="336"/>
        <v>0.27002713721306021</v>
      </c>
      <c r="AD382">
        <f t="shared" si="315"/>
        <v>0.12356337583022034</v>
      </c>
      <c r="AE382" s="9">
        <f t="shared" si="337"/>
        <v>9.3370910817013559</v>
      </c>
      <c r="AF382">
        <f t="shared" si="338"/>
        <v>0</v>
      </c>
      <c r="AH382">
        <f t="shared" si="316"/>
        <v>7.8539816339744828</v>
      </c>
      <c r="AI382">
        <f t="shared" si="317"/>
        <v>1.0895189346835943</v>
      </c>
      <c r="AJ382">
        <f t="shared" si="318"/>
        <v>0.27002713721306293</v>
      </c>
      <c r="AK382">
        <f t="shared" si="319"/>
        <v>0.12356337583022034</v>
      </c>
      <c r="AL382" s="9">
        <f t="shared" si="339"/>
        <v>9.3370910817013613</v>
      </c>
      <c r="AM382" t="e">
        <f t="shared" si="320"/>
        <v>#N/A</v>
      </c>
      <c r="AN382" t="e">
        <f t="shared" si="340"/>
        <v>#N/A</v>
      </c>
      <c r="AO382">
        <f t="shared" si="321"/>
        <v>0</v>
      </c>
      <c r="AP382">
        <f t="shared" si="322"/>
        <v>0</v>
      </c>
      <c r="AQ382">
        <f t="shared" si="323"/>
        <v>2.7200464103316335E-15</v>
      </c>
      <c r="AR382">
        <f t="shared" si="341"/>
        <v>0</v>
      </c>
      <c r="AS382">
        <f t="shared" si="324"/>
        <v>0</v>
      </c>
      <c r="AT382">
        <f t="shared" si="342"/>
        <v>0</v>
      </c>
      <c r="AU382">
        <f t="shared" si="343"/>
        <v>0</v>
      </c>
      <c r="AV382">
        <f t="shared" si="325"/>
        <v>2.0577431881013143E-20</v>
      </c>
      <c r="AW382" t="b">
        <f t="shared" si="344"/>
        <v>1</v>
      </c>
      <c r="AX382">
        <f t="shared" si="326"/>
        <v>7.8539816339744828</v>
      </c>
      <c r="AY382">
        <f t="shared" si="327"/>
        <v>1.089518934683593</v>
      </c>
      <c r="AZ382">
        <f t="shared" si="328"/>
        <v>0.27002713721306021</v>
      </c>
      <c r="BA382">
        <f t="shared" si="329"/>
        <v>0.12356337583022022</v>
      </c>
      <c r="BB382">
        <f t="shared" si="330"/>
        <v>-1.2337005501361696E-20</v>
      </c>
      <c r="BD382" s="15">
        <f t="shared" si="345"/>
        <v>9.3370910817013559</v>
      </c>
      <c r="BE382" s="10">
        <f t="shared" si="346"/>
        <v>0</v>
      </c>
      <c r="BF382">
        <f t="shared" si="347"/>
        <v>0</v>
      </c>
      <c r="BG382">
        <f t="shared" si="348"/>
        <v>0</v>
      </c>
      <c r="BH382">
        <f t="shared" si="349"/>
        <v>0</v>
      </c>
      <c r="BI382">
        <f t="shared" si="350"/>
        <v>0</v>
      </c>
    </row>
    <row r="383" spans="1:61" x14ac:dyDescent="0.3">
      <c r="A383">
        <f t="shared" si="355"/>
        <v>0.34599999999999997</v>
      </c>
      <c r="B383">
        <f t="shared" si="298"/>
        <v>1.0869910581420683</v>
      </c>
      <c r="C383">
        <f t="shared" si="299"/>
        <v>2.0546015954477248</v>
      </c>
      <c r="D383">
        <f t="shared" si="300"/>
        <v>2.0546015954477248</v>
      </c>
      <c r="E383">
        <f t="shared" si="305"/>
        <v>0.88523131133245514</v>
      </c>
      <c r="F383">
        <f t="shared" si="306"/>
        <v>0.88523131133245525</v>
      </c>
      <c r="G383">
        <f t="shared" si="301"/>
        <v>1.0869910581420683</v>
      </c>
      <c r="H383">
        <f t="shared" si="302"/>
        <v>0.88523131133245514</v>
      </c>
      <c r="I383">
        <f t="shared" si="303"/>
        <v>0.88523131133245525</v>
      </c>
      <c r="J383">
        <f t="shared" si="351"/>
        <v>7.1915641055368659E+19</v>
      </c>
      <c r="K383">
        <f t="shared" si="352"/>
        <v>7.1915641055368659E+19</v>
      </c>
      <c r="L383" t="e">
        <f t="shared" si="307"/>
        <v>#NUM!</v>
      </c>
      <c r="M383">
        <f t="shared" si="304"/>
        <v>2.0546015954477247E-20</v>
      </c>
      <c r="N383" s="9" t="e">
        <f t="shared" si="353"/>
        <v>#NUM!</v>
      </c>
      <c r="O383" t="e">
        <f t="shared" si="354"/>
        <v>#NUM!</v>
      </c>
      <c r="Q383">
        <f t="shared" si="308"/>
        <v>45.722025453979285</v>
      </c>
      <c r="R383">
        <f t="shared" si="309"/>
        <v>-710542.73576010019</v>
      </c>
      <c r="S383">
        <f t="shared" si="331"/>
        <v>-45.331619901556451</v>
      </c>
      <c r="T383" s="9" t="e">
        <f t="shared" si="310"/>
        <v>#N/A</v>
      </c>
      <c r="U383">
        <f t="shared" si="332"/>
        <v>-1.0000000000000001E+300</v>
      </c>
      <c r="V383">
        <f t="shared" si="333"/>
        <v>0</v>
      </c>
      <c r="W383">
        <f t="shared" si="334"/>
        <v>0</v>
      </c>
      <c r="X383">
        <f t="shared" si="311"/>
        <v>2.0546015954477248</v>
      </c>
      <c r="Y383">
        <f t="shared" si="312"/>
        <v>7.8539816339744828</v>
      </c>
      <c r="Z383">
        <f t="shared" si="313"/>
        <v>-2.0546015954477248</v>
      </c>
      <c r="AA383">
        <f t="shared" si="335"/>
        <v>1.0796049969173029</v>
      </c>
      <c r="AB383">
        <f t="shared" si="314"/>
        <v>8.9335866308917851</v>
      </c>
      <c r="AC383">
        <f t="shared" si="336"/>
        <v>0.26849925303500699</v>
      </c>
      <c r="AD383">
        <f t="shared" si="315"/>
        <v>0.12190629938782797</v>
      </c>
      <c r="AE383" s="9">
        <f t="shared" si="337"/>
        <v>9.3239921833146191</v>
      </c>
      <c r="AF383">
        <f t="shared" si="338"/>
        <v>0</v>
      </c>
      <c r="AH383">
        <f t="shared" si="316"/>
        <v>7.8539816339744828</v>
      </c>
      <c r="AI383">
        <f t="shared" si="317"/>
        <v>1.0796049969173029</v>
      </c>
      <c r="AJ383">
        <f t="shared" si="318"/>
        <v>0.2684992530350101</v>
      </c>
      <c r="AK383">
        <f t="shared" si="319"/>
        <v>0.12190629938782797</v>
      </c>
      <c r="AL383" s="9">
        <f t="shared" si="339"/>
        <v>9.3239921833146227</v>
      </c>
      <c r="AM383" t="e">
        <f t="shared" si="320"/>
        <v>#N/A</v>
      </c>
      <c r="AN383" t="e">
        <f t="shared" si="340"/>
        <v>#N/A</v>
      </c>
      <c r="AO383">
        <f t="shared" si="321"/>
        <v>0</v>
      </c>
      <c r="AP383">
        <f t="shared" si="322"/>
        <v>0</v>
      </c>
      <c r="AQ383">
        <f t="shared" si="323"/>
        <v>3.1086244689504383E-15</v>
      </c>
      <c r="AR383">
        <f t="shared" si="341"/>
        <v>0</v>
      </c>
      <c r="AS383">
        <f t="shared" si="324"/>
        <v>0</v>
      </c>
      <c r="AT383">
        <f t="shared" si="342"/>
        <v>0</v>
      </c>
      <c r="AU383">
        <f t="shared" si="343"/>
        <v>0</v>
      </c>
      <c r="AV383">
        <f t="shared" si="325"/>
        <v>2.0546015954477247E-20</v>
      </c>
      <c r="AW383" t="b">
        <f t="shared" si="344"/>
        <v>1</v>
      </c>
      <c r="AX383">
        <f t="shared" si="326"/>
        <v>7.8539816339744828</v>
      </c>
      <c r="AY383">
        <f t="shared" si="327"/>
        <v>1.0796049969173025</v>
      </c>
      <c r="AZ383">
        <f t="shared" si="328"/>
        <v>0.26849925303500699</v>
      </c>
      <c r="BA383">
        <f t="shared" si="329"/>
        <v>0.12190629938782785</v>
      </c>
      <c r="BB383">
        <f t="shared" si="330"/>
        <v>-1.2337005501361696E-20</v>
      </c>
      <c r="BD383" s="15">
        <f t="shared" si="345"/>
        <v>9.3239921833146191</v>
      </c>
      <c r="BE383" s="10">
        <f t="shared" si="346"/>
        <v>0</v>
      </c>
      <c r="BF383">
        <f t="shared" si="347"/>
        <v>0</v>
      </c>
      <c r="BG383">
        <f t="shared" si="348"/>
        <v>0</v>
      </c>
      <c r="BH383">
        <f t="shared" si="349"/>
        <v>0</v>
      </c>
      <c r="BI383">
        <f t="shared" si="350"/>
        <v>0</v>
      </c>
    </row>
    <row r="384" spans="1:61" x14ac:dyDescent="0.3">
      <c r="A384">
        <f t="shared" si="355"/>
        <v>0.34699999999999998</v>
      </c>
      <c r="B384">
        <f t="shared" si="298"/>
        <v>1.0901326507956581</v>
      </c>
      <c r="C384">
        <f t="shared" si="299"/>
        <v>2.0514600027941352</v>
      </c>
      <c r="D384">
        <f t="shared" si="300"/>
        <v>2.0514600027941352</v>
      </c>
      <c r="E384">
        <f t="shared" si="305"/>
        <v>0.88668825570055643</v>
      </c>
      <c r="F384">
        <f t="shared" si="306"/>
        <v>0.88668825570055643</v>
      </c>
      <c r="G384">
        <f t="shared" si="301"/>
        <v>1.0901326507956581</v>
      </c>
      <c r="H384">
        <f t="shared" si="302"/>
        <v>0.88668825570055643</v>
      </c>
      <c r="I384">
        <f t="shared" si="303"/>
        <v>0.88668825570055643</v>
      </c>
      <c r="J384">
        <f t="shared" si="351"/>
        <v>7.1797474284194685E+19</v>
      </c>
      <c r="K384">
        <f t="shared" si="352"/>
        <v>7.1797474284194685E+19</v>
      </c>
      <c r="L384">
        <f t="shared" si="307"/>
        <v>1</v>
      </c>
      <c r="M384">
        <f t="shared" si="304"/>
        <v>2.0514600027941347E-20</v>
      </c>
      <c r="N384" s="9">
        <f t="shared" si="353"/>
        <v>2.0514600027941347E-20</v>
      </c>
      <c r="O384">
        <f t="shared" si="354"/>
        <v>2.0514600027941347E-20</v>
      </c>
      <c r="Q384">
        <f t="shared" si="308"/>
        <v>45.720380972227922</v>
      </c>
      <c r="R384">
        <f t="shared" si="309"/>
        <v>0</v>
      </c>
      <c r="S384">
        <f t="shared" si="331"/>
        <v>-45.333150123737219</v>
      </c>
      <c r="T384" s="9" t="e">
        <f t="shared" si="310"/>
        <v>#N/A</v>
      </c>
      <c r="U384">
        <f t="shared" si="332"/>
        <v>-1.0000000000000001E+300</v>
      </c>
      <c r="V384">
        <f t="shared" si="333"/>
        <v>0</v>
      </c>
      <c r="W384">
        <f t="shared" si="334"/>
        <v>0</v>
      </c>
      <c r="X384">
        <f t="shared" si="311"/>
        <v>2.0514600027941352</v>
      </c>
      <c r="Y384">
        <f t="shared" si="312"/>
        <v>7.8539816339744828</v>
      </c>
      <c r="Z384">
        <f t="shared" si="313"/>
        <v>-2.0514600027941352</v>
      </c>
      <c r="AA384">
        <f t="shared" si="335"/>
        <v>1.0697434433628039</v>
      </c>
      <c r="AB384">
        <f t="shared" si="314"/>
        <v>8.923725077337286</v>
      </c>
      <c r="AC384">
        <f t="shared" si="336"/>
        <v>0.26696903085423951</v>
      </c>
      <c r="AD384">
        <f t="shared" si="315"/>
        <v>0.1202618176364606</v>
      </c>
      <c r="AE384" s="9">
        <f t="shared" si="337"/>
        <v>9.3109559258279866</v>
      </c>
      <c r="AF384">
        <f t="shared" si="338"/>
        <v>0</v>
      </c>
      <c r="AH384">
        <f t="shared" si="316"/>
        <v>7.8539816339744828</v>
      </c>
      <c r="AI384">
        <f t="shared" si="317"/>
        <v>1.0697434433628032</v>
      </c>
      <c r="AJ384">
        <f t="shared" si="318"/>
        <v>0.2669690308542414</v>
      </c>
      <c r="AK384">
        <f t="shared" si="319"/>
        <v>0.1202618176364606</v>
      </c>
      <c r="AL384" s="9">
        <f t="shared" si="339"/>
        <v>9.3109559258279884</v>
      </c>
      <c r="AM384" t="e">
        <f t="shared" si="320"/>
        <v>#N/A</v>
      </c>
      <c r="AN384" t="e">
        <f t="shared" si="340"/>
        <v>#N/A</v>
      </c>
      <c r="AO384">
        <f t="shared" si="321"/>
        <v>0</v>
      </c>
      <c r="AP384">
        <f t="shared" si="322"/>
        <v>0</v>
      </c>
      <c r="AQ384">
        <f t="shared" si="323"/>
        <v>1.8873791418627661E-15</v>
      </c>
      <c r="AR384">
        <f t="shared" si="341"/>
        <v>0</v>
      </c>
      <c r="AS384">
        <f t="shared" si="324"/>
        <v>0</v>
      </c>
      <c r="AT384">
        <f t="shared" si="342"/>
        <v>0</v>
      </c>
      <c r="AU384">
        <f t="shared" si="343"/>
        <v>0</v>
      </c>
      <c r="AV384">
        <f t="shared" si="325"/>
        <v>2.051460002794135E-20</v>
      </c>
      <c r="AW384" t="b">
        <f t="shared" si="344"/>
        <v>1</v>
      </c>
      <c r="AX384">
        <f t="shared" si="326"/>
        <v>7.8539816339744828</v>
      </c>
      <c r="AY384">
        <f t="shared" si="327"/>
        <v>1.0697434433628039</v>
      </c>
      <c r="AZ384">
        <f t="shared" si="328"/>
        <v>0.26696903085423951</v>
      </c>
      <c r="BA384">
        <f t="shared" si="329"/>
        <v>0.1202618176364606</v>
      </c>
      <c r="BB384">
        <f t="shared" si="330"/>
        <v>-1.2337005501361696E-20</v>
      </c>
      <c r="BD384" s="15">
        <f t="shared" si="345"/>
        <v>9.3109559258279866</v>
      </c>
      <c r="BE384" s="10">
        <f t="shared" si="346"/>
        <v>0</v>
      </c>
      <c r="BF384">
        <f t="shared" si="347"/>
        <v>0</v>
      </c>
      <c r="BG384">
        <f t="shared" si="348"/>
        <v>0</v>
      </c>
      <c r="BH384">
        <f t="shared" si="349"/>
        <v>0</v>
      </c>
      <c r="BI384">
        <f t="shared" si="350"/>
        <v>0</v>
      </c>
    </row>
    <row r="385" spans="1:61" x14ac:dyDescent="0.3">
      <c r="A385">
        <f t="shared" si="355"/>
        <v>0.34799999999999998</v>
      </c>
      <c r="B385">
        <f t="shared" si="298"/>
        <v>1.093274243449248</v>
      </c>
      <c r="C385">
        <f t="shared" si="299"/>
        <v>2.0483184101405452</v>
      </c>
      <c r="D385">
        <f t="shared" si="300"/>
        <v>2.0483184101405452</v>
      </c>
      <c r="E385">
        <f t="shared" si="305"/>
        <v>0.88813644881354448</v>
      </c>
      <c r="F385">
        <f t="shared" si="306"/>
        <v>0.88813644881354459</v>
      </c>
      <c r="G385">
        <f t="shared" si="301"/>
        <v>1.093274243449248</v>
      </c>
      <c r="H385">
        <f t="shared" si="302"/>
        <v>0.88813644881354448</v>
      </c>
      <c r="I385">
        <f t="shared" si="303"/>
        <v>0.88813644881354459</v>
      </c>
      <c r="J385">
        <f t="shared" si="351"/>
        <v>7.1680401498895524E+19</v>
      </c>
      <c r="K385">
        <f t="shared" si="352"/>
        <v>7.1680401498895524E+19</v>
      </c>
      <c r="L385">
        <f t="shared" si="307"/>
        <v>1</v>
      </c>
      <c r="M385">
        <f t="shared" si="304"/>
        <v>2.0483184101405451E-20</v>
      </c>
      <c r="N385" s="9">
        <f t="shared" si="353"/>
        <v>2.0483184101405451E-20</v>
      </c>
      <c r="O385">
        <f t="shared" si="354"/>
        <v>2.0483184101405451E-20</v>
      </c>
      <c r="Q385">
        <f t="shared" si="308"/>
        <v>45.718749043811883</v>
      </c>
      <c r="R385">
        <f t="shared" si="309"/>
        <v>0</v>
      </c>
      <c r="S385">
        <f t="shared" si="331"/>
        <v>-45.334682691086996</v>
      </c>
      <c r="T385" s="9" t="e">
        <f t="shared" si="310"/>
        <v>#N/A</v>
      </c>
      <c r="U385">
        <f t="shared" si="332"/>
        <v>-1.0000000000000001E+300</v>
      </c>
      <c r="V385">
        <f t="shared" si="333"/>
        <v>0</v>
      </c>
      <c r="W385">
        <f t="shared" si="334"/>
        <v>0</v>
      </c>
      <c r="X385">
        <f t="shared" si="311"/>
        <v>2.0483184101405452</v>
      </c>
      <c r="Y385">
        <f t="shared" si="312"/>
        <v>7.8539816339744828</v>
      </c>
      <c r="Z385">
        <f t="shared" si="313"/>
        <v>-2.0483184101405452</v>
      </c>
      <c r="AA385">
        <f t="shared" si="335"/>
        <v>1.0599338544188606</v>
      </c>
      <c r="AB385">
        <f t="shared" si="314"/>
        <v>8.9139154883933429</v>
      </c>
      <c r="AC385">
        <f t="shared" si="336"/>
        <v>0.26543646350446126</v>
      </c>
      <c r="AD385">
        <f t="shared" si="315"/>
        <v>0.1186298892204251</v>
      </c>
      <c r="AE385" s="9">
        <f t="shared" si="337"/>
        <v>9.2979818411182293</v>
      </c>
      <c r="AF385">
        <f t="shared" si="338"/>
        <v>0</v>
      </c>
      <c r="AH385">
        <f t="shared" si="316"/>
        <v>7.8539816339744828</v>
      </c>
      <c r="AI385">
        <f t="shared" si="317"/>
        <v>1.0599338544188606</v>
      </c>
      <c r="AJ385">
        <f t="shared" si="318"/>
        <v>0.26543646350446437</v>
      </c>
      <c r="AK385">
        <f t="shared" si="319"/>
        <v>0.1186298892204251</v>
      </c>
      <c r="AL385" s="9">
        <f t="shared" si="339"/>
        <v>9.2979818411182329</v>
      </c>
      <c r="AM385" t="e">
        <f t="shared" si="320"/>
        <v>#N/A</v>
      </c>
      <c r="AN385" t="e">
        <f t="shared" si="340"/>
        <v>#N/A</v>
      </c>
      <c r="AO385">
        <f t="shared" si="321"/>
        <v>0</v>
      </c>
      <c r="AP385">
        <f t="shared" si="322"/>
        <v>0</v>
      </c>
      <c r="AQ385">
        <f t="shared" si="323"/>
        <v>3.1086244689504383E-15</v>
      </c>
      <c r="AR385">
        <f t="shared" si="341"/>
        <v>0</v>
      </c>
      <c r="AS385">
        <f t="shared" si="324"/>
        <v>0</v>
      </c>
      <c r="AT385">
        <f t="shared" si="342"/>
        <v>0</v>
      </c>
      <c r="AU385">
        <f t="shared" si="343"/>
        <v>0</v>
      </c>
      <c r="AV385">
        <f t="shared" si="325"/>
        <v>2.0483184101405451E-20</v>
      </c>
      <c r="AW385" t="b">
        <f t="shared" si="344"/>
        <v>1</v>
      </c>
      <c r="AX385">
        <f t="shared" si="326"/>
        <v>7.8539816339744828</v>
      </c>
      <c r="AY385">
        <f t="shared" si="327"/>
        <v>1.0599338544188606</v>
      </c>
      <c r="AZ385">
        <f t="shared" si="328"/>
        <v>0.26543646350446126</v>
      </c>
      <c r="BA385">
        <f t="shared" si="329"/>
        <v>0.11862988922042497</v>
      </c>
      <c r="BB385">
        <f t="shared" si="330"/>
        <v>-1.2337005501361696E-20</v>
      </c>
      <c r="BD385" s="15">
        <f t="shared" si="345"/>
        <v>9.2979818411182293</v>
      </c>
      <c r="BE385" s="10">
        <f t="shared" si="346"/>
        <v>0</v>
      </c>
      <c r="BF385">
        <f t="shared" si="347"/>
        <v>0</v>
      </c>
      <c r="BG385">
        <f t="shared" si="348"/>
        <v>0</v>
      </c>
      <c r="BH385">
        <f t="shared" si="349"/>
        <v>0</v>
      </c>
      <c r="BI385">
        <f t="shared" si="350"/>
        <v>0</v>
      </c>
    </row>
    <row r="386" spans="1:61" x14ac:dyDescent="0.3">
      <c r="A386">
        <f t="shared" si="355"/>
        <v>0.34899999999999998</v>
      </c>
      <c r="B386">
        <f t="shared" si="298"/>
        <v>1.0964158361028378</v>
      </c>
      <c r="C386">
        <f t="shared" si="299"/>
        <v>2.0451768174869551</v>
      </c>
      <c r="D386">
        <f t="shared" si="300"/>
        <v>2.0451768174869551</v>
      </c>
      <c r="E386">
        <f t="shared" si="305"/>
        <v>0.8895758763783379</v>
      </c>
      <c r="F386">
        <f t="shared" si="306"/>
        <v>0.88957587637833813</v>
      </c>
      <c r="G386">
        <f t="shared" si="301"/>
        <v>1.0964158361028378</v>
      </c>
      <c r="H386">
        <f t="shared" si="302"/>
        <v>0.8895758763783379</v>
      </c>
      <c r="I386">
        <f t="shared" si="303"/>
        <v>0.88957587637833813</v>
      </c>
      <c r="J386">
        <f t="shared" si="351"/>
        <v>7.1564415051294188E+19</v>
      </c>
      <c r="K386">
        <f t="shared" si="352"/>
        <v>7.1564415051294188E+19</v>
      </c>
      <c r="L386" t="e">
        <f t="shared" si="307"/>
        <v>#NUM!</v>
      </c>
      <c r="M386">
        <f t="shared" si="304"/>
        <v>2.0451768174869554E-20</v>
      </c>
      <c r="N386" s="9" t="e">
        <f t="shared" si="353"/>
        <v>#NUM!</v>
      </c>
      <c r="O386" t="e">
        <f t="shared" si="354"/>
        <v>#NUM!</v>
      </c>
      <c r="Q386">
        <f t="shared" si="308"/>
        <v>45.717129627825429</v>
      </c>
      <c r="R386">
        <f t="shared" si="309"/>
        <v>0</v>
      </c>
      <c r="S386">
        <f t="shared" si="331"/>
        <v>-45.336217610805079</v>
      </c>
      <c r="T386" s="9" t="e">
        <f t="shared" si="310"/>
        <v>#N/A</v>
      </c>
      <c r="U386">
        <f t="shared" si="332"/>
        <v>-1.0000000000000001E+300</v>
      </c>
      <c r="V386">
        <f t="shared" si="333"/>
        <v>0</v>
      </c>
      <c r="W386">
        <f t="shared" si="334"/>
        <v>0</v>
      </c>
      <c r="X386">
        <f t="shared" si="311"/>
        <v>2.0451768174869551</v>
      </c>
      <c r="Y386">
        <f t="shared" si="312"/>
        <v>7.8539816339744828</v>
      </c>
      <c r="Z386">
        <f t="shared" si="313"/>
        <v>-2.0451768174869551</v>
      </c>
      <c r="AA386">
        <f t="shared" si="335"/>
        <v>1.0501758152696716</v>
      </c>
      <c r="AB386">
        <f t="shared" si="314"/>
        <v>8.9041574492441544</v>
      </c>
      <c r="AC386">
        <f t="shared" si="336"/>
        <v>0.26390154378637737</v>
      </c>
      <c r="AD386">
        <f t="shared" si="315"/>
        <v>0.11701047323396742</v>
      </c>
      <c r="AE386" s="9">
        <f t="shared" si="337"/>
        <v>9.285069466264499</v>
      </c>
      <c r="AF386">
        <f t="shared" si="338"/>
        <v>0</v>
      </c>
      <c r="AH386">
        <f t="shared" si="316"/>
        <v>7.8539816339744828</v>
      </c>
      <c r="AI386">
        <f t="shared" si="317"/>
        <v>1.0501758152696723</v>
      </c>
      <c r="AJ386">
        <f t="shared" si="318"/>
        <v>0.26390154378638186</v>
      </c>
      <c r="AK386">
        <f t="shared" si="319"/>
        <v>0.11701047323396742</v>
      </c>
      <c r="AL386" s="9">
        <f t="shared" si="339"/>
        <v>9.2850694662645044</v>
      </c>
      <c r="AM386" t="e">
        <f t="shared" si="320"/>
        <v>#N/A</v>
      </c>
      <c r="AN386" t="e">
        <f t="shared" si="340"/>
        <v>#N/A</v>
      </c>
      <c r="AO386">
        <f t="shared" si="321"/>
        <v>0</v>
      </c>
      <c r="AP386">
        <f t="shared" si="322"/>
        <v>0</v>
      </c>
      <c r="AQ386">
        <f t="shared" si="323"/>
        <v>4.496403249731884E-15</v>
      </c>
      <c r="AR386">
        <f t="shared" si="341"/>
        <v>0</v>
      </c>
      <c r="AS386">
        <f t="shared" si="324"/>
        <v>0</v>
      </c>
      <c r="AT386">
        <f t="shared" si="342"/>
        <v>0</v>
      </c>
      <c r="AU386">
        <f t="shared" si="343"/>
        <v>0</v>
      </c>
      <c r="AV386">
        <f t="shared" si="325"/>
        <v>2.0451768174869551E-20</v>
      </c>
      <c r="AW386" t="b">
        <f t="shared" si="344"/>
        <v>1</v>
      </c>
      <c r="AX386">
        <f t="shared" si="326"/>
        <v>7.8539816339744828</v>
      </c>
      <c r="AY386">
        <f t="shared" si="327"/>
        <v>1.0501758152696714</v>
      </c>
      <c r="AZ386">
        <f t="shared" si="328"/>
        <v>0.26390154378637753</v>
      </c>
      <c r="BA386">
        <f t="shared" si="329"/>
        <v>0.11701047323396717</v>
      </c>
      <c r="BB386">
        <f t="shared" si="330"/>
        <v>-1.2337005501361696E-20</v>
      </c>
      <c r="BD386" s="15">
        <f t="shared" si="345"/>
        <v>9.285069466264499</v>
      </c>
      <c r="BE386" s="10">
        <f t="shared" si="346"/>
        <v>0</v>
      </c>
      <c r="BF386">
        <f t="shared" si="347"/>
        <v>0</v>
      </c>
      <c r="BG386">
        <f t="shared" si="348"/>
        <v>0</v>
      </c>
      <c r="BH386">
        <f t="shared" si="349"/>
        <v>0</v>
      </c>
      <c r="BI386">
        <f t="shared" si="350"/>
        <v>0</v>
      </c>
    </row>
    <row r="387" spans="1:61" x14ac:dyDescent="0.3">
      <c r="A387">
        <f t="shared" si="355"/>
        <v>0.35</v>
      </c>
      <c r="B387">
        <f t="shared" si="298"/>
        <v>1.0995574287564276</v>
      </c>
      <c r="C387">
        <f t="shared" si="299"/>
        <v>2.0420352248333655</v>
      </c>
      <c r="D387">
        <f t="shared" si="300"/>
        <v>2.0420352248333655</v>
      </c>
      <c r="E387">
        <f t="shared" si="305"/>
        <v>0.89100652418836779</v>
      </c>
      <c r="F387">
        <f t="shared" si="306"/>
        <v>0.8910065241883679</v>
      </c>
      <c r="G387">
        <f t="shared" si="301"/>
        <v>1.0995574287564276</v>
      </c>
      <c r="H387">
        <f t="shared" si="302"/>
        <v>0.89100652418836779</v>
      </c>
      <c r="I387">
        <f t="shared" si="303"/>
        <v>0.8910065241883679</v>
      </c>
      <c r="J387">
        <f t="shared" si="351"/>
        <v>7.1449507392495092E+19</v>
      </c>
      <c r="K387">
        <f t="shared" si="352"/>
        <v>7.1449507392495092E+19</v>
      </c>
      <c r="L387">
        <f t="shared" si="307"/>
        <v>1</v>
      </c>
      <c r="M387">
        <f t="shared" si="304"/>
        <v>2.0420352248333654E-20</v>
      </c>
      <c r="N387" s="9">
        <f t="shared" si="353"/>
        <v>2.0420352248333654E-20</v>
      </c>
      <c r="O387">
        <f t="shared" si="354"/>
        <v>2.0420352248333654E-20</v>
      </c>
      <c r="Q387">
        <f t="shared" si="308"/>
        <v>45.715522683808196</v>
      </c>
      <c r="R387">
        <f t="shared" si="309"/>
        <v>0</v>
      </c>
      <c r="S387">
        <f t="shared" si="331"/>
        <v>-45.337754890123968</v>
      </c>
      <c r="T387" s="9" t="e">
        <f t="shared" si="310"/>
        <v>#N/A</v>
      </c>
      <c r="U387">
        <f t="shared" si="332"/>
        <v>-1.0000000000000001E+300</v>
      </c>
      <c r="V387">
        <f t="shared" si="333"/>
        <v>0</v>
      </c>
      <c r="W387">
        <f t="shared" si="334"/>
        <v>0</v>
      </c>
      <c r="X387">
        <f t="shared" si="311"/>
        <v>2.0420352248333655</v>
      </c>
      <c r="Y387">
        <f t="shared" si="312"/>
        <v>7.8539816339744828</v>
      </c>
      <c r="Z387">
        <f t="shared" si="313"/>
        <v>-2.0420352248333655</v>
      </c>
      <c r="AA387">
        <f t="shared" si="335"/>
        <v>1.0404689158166776</v>
      </c>
      <c r="AB387">
        <f t="shared" si="314"/>
        <v>8.894450549791161</v>
      </c>
      <c r="AC387">
        <f t="shared" si="336"/>
        <v>0.26236426446749106</v>
      </c>
      <c r="AD387">
        <f t="shared" si="315"/>
        <v>0.11540352921673537</v>
      </c>
      <c r="AE387" s="9">
        <f t="shared" si="337"/>
        <v>9.2722183434753873</v>
      </c>
      <c r="AF387">
        <f t="shared" si="338"/>
        <v>0</v>
      </c>
      <c r="AH387">
        <f t="shared" si="316"/>
        <v>7.8539816339744828</v>
      </c>
      <c r="AI387">
        <f t="shared" si="317"/>
        <v>1.0404689158166776</v>
      </c>
      <c r="AJ387">
        <f t="shared" si="318"/>
        <v>0.26236426446749306</v>
      </c>
      <c r="AK387">
        <f t="shared" si="319"/>
        <v>0.11540352921673537</v>
      </c>
      <c r="AL387" s="9">
        <f t="shared" si="339"/>
        <v>9.2722183434753891</v>
      </c>
      <c r="AM387" t="e">
        <f t="shared" si="320"/>
        <v>#N/A</v>
      </c>
      <c r="AN387" t="e">
        <f t="shared" si="340"/>
        <v>#N/A</v>
      </c>
      <c r="AO387">
        <f t="shared" si="321"/>
        <v>0</v>
      </c>
      <c r="AP387">
        <f t="shared" si="322"/>
        <v>0</v>
      </c>
      <c r="AQ387">
        <f t="shared" si="323"/>
        <v>1.9984014443252818E-15</v>
      </c>
      <c r="AR387">
        <f t="shared" si="341"/>
        <v>0</v>
      </c>
      <c r="AS387">
        <f t="shared" si="324"/>
        <v>0</v>
      </c>
      <c r="AT387">
        <f t="shared" si="342"/>
        <v>0</v>
      </c>
      <c r="AU387">
        <f t="shared" si="343"/>
        <v>0</v>
      </c>
      <c r="AV387">
        <f t="shared" si="325"/>
        <v>2.0420352248333654E-20</v>
      </c>
      <c r="AW387" t="b">
        <f t="shared" si="344"/>
        <v>1</v>
      </c>
      <c r="AX387">
        <f t="shared" si="326"/>
        <v>7.8539816339744828</v>
      </c>
      <c r="AY387">
        <f t="shared" si="327"/>
        <v>1.0404689158166771</v>
      </c>
      <c r="AZ387">
        <f t="shared" si="328"/>
        <v>0.26236426446749106</v>
      </c>
      <c r="BA387">
        <f t="shared" si="329"/>
        <v>0.11540352921673525</v>
      </c>
      <c r="BB387">
        <f t="shared" si="330"/>
        <v>-1.2337005501361696E-20</v>
      </c>
      <c r="BD387" s="15">
        <f t="shared" si="345"/>
        <v>9.2722183434753855</v>
      </c>
      <c r="BE387" s="10">
        <f t="shared" si="346"/>
        <v>0</v>
      </c>
      <c r="BF387">
        <f t="shared" si="347"/>
        <v>0</v>
      </c>
      <c r="BG387">
        <f t="shared" si="348"/>
        <v>0</v>
      </c>
      <c r="BH387">
        <f t="shared" si="349"/>
        <v>0</v>
      </c>
      <c r="BI387">
        <f t="shared" si="350"/>
        <v>0</v>
      </c>
    </row>
    <row r="388" spans="1:61" x14ac:dyDescent="0.3">
      <c r="A388">
        <f t="shared" si="355"/>
        <v>0.35099999999999998</v>
      </c>
      <c r="B388">
        <f t="shared" si="298"/>
        <v>1.1026990214100174</v>
      </c>
      <c r="C388">
        <f t="shared" si="299"/>
        <v>2.0388936321797759</v>
      </c>
      <c r="D388">
        <f t="shared" si="300"/>
        <v>2.0388936321797759</v>
      </c>
      <c r="E388">
        <f t="shared" si="305"/>
        <v>0.89242837812371789</v>
      </c>
      <c r="F388">
        <f t="shared" si="306"/>
        <v>0.89242837812371789</v>
      </c>
      <c r="G388">
        <f t="shared" si="301"/>
        <v>1.1026990214100174</v>
      </c>
      <c r="H388">
        <f t="shared" si="302"/>
        <v>0.89242837812371789</v>
      </c>
      <c r="I388">
        <f t="shared" si="303"/>
        <v>0.89242837812371789</v>
      </c>
      <c r="J388">
        <f t="shared" si="351"/>
        <v>7.1335671071558689E+19</v>
      </c>
      <c r="K388">
        <f t="shared" si="352"/>
        <v>7.1335671071558689E+19</v>
      </c>
      <c r="L388">
        <f t="shared" si="307"/>
        <v>1</v>
      </c>
      <c r="M388">
        <f t="shared" si="304"/>
        <v>2.0388936321797755E-20</v>
      </c>
      <c r="N388" s="9">
        <f t="shared" si="353"/>
        <v>2.0388936321797755E-20</v>
      </c>
      <c r="O388">
        <f t="shared" si="354"/>
        <v>2.0388936321797755E-20</v>
      </c>
      <c r="Q388">
        <f t="shared" si="308"/>
        <v>45.713928171740768</v>
      </c>
      <c r="R388">
        <f t="shared" si="309"/>
        <v>0</v>
      </c>
      <c r="S388">
        <f t="shared" si="331"/>
        <v>-45.339294536309559</v>
      </c>
      <c r="T388" s="9" t="e">
        <f t="shared" si="310"/>
        <v>#N/A</v>
      </c>
      <c r="U388">
        <f t="shared" si="332"/>
        <v>-1.0000000000000001E+300</v>
      </c>
      <c r="V388">
        <f t="shared" si="333"/>
        <v>0</v>
      </c>
      <c r="W388">
        <f t="shared" si="334"/>
        <v>0</v>
      </c>
      <c r="X388">
        <f t="shared" si="311"/>
        <v>2.0388936321797759</v>
      </c>
      <c r="Y388">
        <f t="shared" si="312"/>
        <v>7.8539816339744828</v>
      </c>
      <c r="Z388">
        <f t="shared" si="313"/>
        <v>-2.0388936321797759</v>
      </c>
      <c r="AA388">
        <f t="shared" si="335"/>
        <v>1.0308127506115359</v>
      </c>
      <c r="AB388">
        <f t="shared" si="314"/>
        <v>8.8847943845860193</v>
      </c>
      <c r="AC388">
        <f t="shared" si="336"/>
        <v>0.26082461828189829</v>
      </c>
      <c r="AD388">
        <f t="shared" si="315"/>
        <v>0.11380901714931047</v>
      </c>
      <c r="AE388" s="9">
        <f t="shared" si="337"/>
        <v>9.2594280200172285</v>
      </c>
      <c r="AF388">
        <f t="shared" si="338"/>
        <v>0</v>
      </c>
      <c r="AH388">
        <f t="shared" si="316"/>
        <v>7.8539816339744828</v>
      </c>
      <c r="AI388">
        <f t="shared" si="317"/>
        <v>1.0308127506115354</v>
      </c>
      <c r="AJ388">
        <f t="shared" si="318"/>
        <v>0.26082461828190162</v>
      </c>
      <c r="AK388">
        <f t="shared" si="319"/>
        <v>0.11380901714931047</v>
      </c>
      <c r="AL388" s="9">
        <f t="shared" si="339"/>
        <v>9.2594280200172303</v>
      </c>
      <c r="AM388" t="e">
        <f t="shared" si="320"/>
        <v>#N/A</v>
      </c>
      <c r="AN388" t="e">
        <f t="shared" si="340"/>
        <v>#N/A</v>
      </c>
      <c r="AO388">
        <f t="shared" si="321"/>
        <v>0</v>
      </c>
      <c r="AP388">
        <f t="shared" si="322"/>
        <v>0</v>
      </c>
      <c r="AQ388">
        <f t="shared" si="323"/>
        <v>3.3306690738754696E-15</v>
      </c>
      <c r="AR388">
        <f t="shared" si="341"/>
        <v>0</v>
      </c>
      <c r="AS388">
        <f t="shared" si="324"/>
        <v>0</v>
      </c>
      <c r="AT388">
        <f t="shared" si="342"/>
        <v>0</v>
      </c>
      <c r="AU388">
        <f t="shared" si="343"/>
        <v>0</v>
      </c>
      <c r="AV388">
        <f t="shared" si="325"/>
        <v>2.0388936321797758E-20</v>
      </c>
      <c r="AW388" t="b">
        <f t="shared" si="344"/>
        <v>1</v>
      </c>
      <c r="AX388">
        <f t="shared" si="326"/>
        <v>7.8539816339744828</v>
      </c>
      <c r="AY388">
        <f t="shared" si="327"/>
        <v>1.0308127506115357</v>
      </c>
      <c r="AZ388">
        <f t="shared" si="328"/>
        <v>0.26082461828189829</v>
      </c>
      <c r="BA388">
        <f t="shared" si="329"/>
        <v>0.11380901714931047</v>
      </c>
      <c r="BB388">
        <f t="shared" si="330"/>
        <v>-1.2337005501361696E-20</v>
      </c>
      <c r="BD388" s="15">
        <f t="shared" si="345"/>
        <v>9.2594280200172285</v>
      </c>
      <c r="BE388" s="10">
        <f t="shared" si="346"/>
        <v>0</v>
      </c>
      <c r="BF388">
        <f t="shared" si="347"/>
        <v>0</v>
      </c>
      <c r="BG388">
        <f t="shared" si="348"/>
        <v>0</v>
      </c>
      <c r="BH388">
        <f t="shared" si="349"/>
        <v>0</v>
      </c>
      <c r="BI388">
        <f t="shared" si="350"/>
        <v>0</v>
      </c>
    </row>
    <row r="389" spans="1:61" x14ac:dyDescent="0.3">
      <c r="A389">
        <f t="shared" si="355"/>
        <v>0.35199999999999998</v>
      </c>
      <c r="B389">
        <f t="shared" si="298"/>
        <v>1.105840614063607</v>
      </c>
      <c r="C389">
        <f t="shared" si="299"/>
        <v>2.0357520395261863</v>
      </c>
      <c r="D389">
        <f t="shared" si="300"/>
        <v>2.0357520395261863</v>
      </c>
      <c r="E389">
        <f t="shared" si="305"/>
        <v>0.89384142415126366</v>
      </c>
      <c r="F389">
        <f t="shared" si="306"/>
        <v>0.89384142415126366</v>
      </c>
      <c r="G389">
        <f t="shared" si="301"/>
        <v>1.105840614063607</v>
      </c>
      <c r="H389">
        <f t="shared" si="302"/>
        <v>0.89384142415126366</v>
      </c>
      <c r="I389">
        <f t="shared" si="303"/>
        <v>0.89384142415126366</v>
      </c>
      <c r="J389">
        <f t="shared" si="351"/>
        <v>7.1222898734199529E+19</v>
      </c>
      <c r="K389">
        <f t="shared" si="352"/>
        <v>7.1222898734199529E+19</v>
      </c>
      <c r="L389" t="e">
        <f t="shared" si="307"/>
        <v>#NUM!</v>
      </c>
      <c r="M389">
        <f t="shared" si="304"/>
        <v>2.0357520395261861E-20</v>
      </c>
      <c r="N389" s="9" t="e">
        <f t="shared" si="353"/>
        <v>#NUM!</v>
      </c>
      <c r="O389" t="e">
        <f t="shared" si="354"/>
        <v>#NUM!</v>
      </c>
      <c r="Q389">
        <f t="shared" si="308"/>
        <v>45.712346052040267</v>
      </c>
      <c r="R389">
        <f t="shared" si="309"/>
        <v>0</v>
      </c>
      <c r="S389">
        <f t="shared" si="331"/>
        <v>-45.340836556661372</v>
      </c>
      <c r="T389" s="9" t="e">
        <f t="shared" si="310"/>
        <v>#N/A</v>
      </c>
      <c r="U389">
        <f t="shared" si="332"/>
        <v>-1.0000000000000001E+300</v>
      </c>
      <c r="V389">
        <f t="shared" si="333"/>
        <v>0</v>
      </c>
      <c r="W389">
        <f t="shared" si="334"/>
        <v>0</v>
      </c>
      <c r="X389">
        <f t="shared" si="311"/>
        <v>2.0357520395261863</v>
      </c>
      <c r="Y389">
        <f t="shared" si="312"/>
        <v>7.8539816339744828</v>
      </c>
      <c r="Z389">
        <f t="shared" si="313"/>
        <v>-2.0357520395261863</v>
      </c>
      <c r="AA389">
        <f t="shared" si="335"/>
        <v>1.0212069187902431</v>
      </c>
      <c r="AB389">
        <f t="shared" si="314"/>
        <v>8.8751885527647261</v>
      </c>
      <c r="AC389">
        <f t="shared" si="336"/>
        <v>0.25928259793008318</v>
      </c>
      <c r="AD389">
        <f t="shared" si="315"/>
        <v>0.11222689744880826</v>
      </c>
      <c r="AE389" s="9">
        <f t="shared" si="337"/>
        <v>9.2466980481436174</v>
      </c>
      <c r="AF389">
        <f t="shared" si="338"/>
        <v>0</v>
      </c>
      <c r="AH389">
        <f t="shared" si="316"/>
        <v>7.8539816339744828</v>
      </c>
      <c r="AI389">
        <f t="shared" si="317"/>
        <v>1.0212069187902424</v>
      </c>
      <c r="AJ389">
        <f t="shared" si="318"/>
        <v>0.25928259793008834</v>
      </c>
      <c r="AK389">
        <f t="shared" si="319"/>
        <v>0.11222689744880826</v>
      </c>
      <c r="AL389" s="9">
        <f t="shared" si="339"/>
        <v>9.2466980481436227</v>
      </c>
      <c r="AM389" t="e">
        <f t="shared" si="320"/>
        <v>#N/A</v>
      </c>
      <c r="AN389" t="e">
        <f t="shared" si="340"/>
        <v>#N/A</v>
      </c>
      <c r="AO389">
        <f t="shared" si="321"/>
        <v>0</v>
      </c>
      <c r="AP389">
        <f t="shared" si="322"/>
        <v>0</v>
      </c>
      <c r="AQ389">
        <f t="shared" si="323"/>
        <v>5.1625370645069779E-15</v>
      </c>
      <c r="AR389">
        <f t="shared" si="341"/>
        <v>0</v>
      </c>
      <c r="AS389">
        <f t="shared" si="324"/>
        <v>0</v>
      </c>
      <c r="AT389">
        <f t="shared" si="342"/>
        <v>0</v>
      </c>
      <c r="AU389">
        <f t="shared" si="343"/>
        <v>0</v>
      </c>
      <c r="AV389">
        <f t="shared" si="325"/>
        <v>2.0357520395261861E-20</v>
      </c>
      <c r="AW389" t="b">
        <f t="shared" si="344"/>
        <v>1</v>
      </c>
      <c r="AX389">
        <f t="shared" si="326"/>
        <v>7.8539816339744828</v>
      </c>
      <c r="AY389">
        <f t="shared" si="327"/>
        <v>1.0212069187902426</v>
      </c>
      <c r="AZ389">
        <f t="shared" si="328"/>
        <v>0.25928259793008318</v>
      </c>
      <c r="BA389">
        <f t="shared" si="329"/>
        <v>0.11222689744880826</v>
      </c>
      <c r="BB389">
        <f t="shared" si="330"/>
        <v>-1.2337005501361696E-20</v>
      </c>
      <c r="BD389" s="15">
        <f t="shared" si="345"/>
        <v>9.2466980481436174</v>
      </c>
      <c r="BE389" s="10">
        <f t="shared" si="346"/>
        <v>0</v>
      </c>
      <c r="BF389">
        <f t="shared" si="347"/>
        <v>0</v>
      </c>
      <c r="BG389">
        <f t="shared" si="348"/>
        <v>0</v>
      </c>
      <c r="BH389">
        <f t="shared" si="349"/>
        <v>0</v>
      </c>
      <c r="BI389">
        <f t="shared" si="350"/>
        <v>0</v>
      </c>
    </row>
    <row r="390" spans="1:61" x14ac:dyDescent="0.3">
      <c r="A390">
        <f t="shared" si="355"/>
        <v>0.35299999999999998</v>
      </c>
      <c r="B390">
        <f t="shared" si="298"/>
        <v>1.1089822067171968</v>
      </c>
      <c r="C390">
        <f t="shared" si="299"/>
        <v>2.0326104468725963</v>
      </c>
      <c r="D390">
        <f t="shared" si="300"/>
        <v>2.0326104468725963</v>
      </c>
      <c r="E390">
        <f t="shared" si="305"/>
        <v>0.89524564832481157</v>
      </c>
      <c r="F390">
        <f t="shared" si="306"/>
        <v>0.89524564832481168</v>
      </c>
      <c r="G390">
        <f t="shared" si="301"/>
        <v>1.1089822067171968</v>
      </c>
      <c r="H390">
        <f t="shared" si="302"/>
        <v>0.89524564832481157</v>
      </c>
      <c r="I390">
        <f t="shared" si="303"/>
        <v>0.89524564832481168</v>
      </c>
      <c r="J390">
        <f t="shared" si="351"/>
        <v>7.1111183121507238E+19</v>
      </c>
      <c r="K390">
        <f t="shared" si="352"/>
        <v>7.1111183121507238E+19</v>
      </c>
      <c r="L390">
        <f t="shared" si="307"/>
        <v>1</v>
      </c>
      <c r="M390">
        <f t="shared" si="304"/>
        <v>2.0326104468725961E-20</v>
      </c>
      <c r="N390" s="9">
        <f t="shared" si="353"/>
        <v>2.0326104468725961E-20</v>
      </c>
      <c r="O390">
        <f t="shared" si="354"/>
        <v>2.0326104468725961E-20</v>
      </c>
      <c r="Q390">
        <f t="shared" si="308"/>
        <v>45.710776285556001</v>
      </c>
      <c r="R390">
        <f t="shared" si="309"/>
        <v>-710542.73576010019</v>
      </c>
      <c r="S390">
        <f t="shared" si="331"/>
        <v>-45.342380958512749</v>
      </c>
      <c r="T390" s="9" t="e">
        <f t="shared" si="310"/>
        <v>#N/A</v>
      </c>
      <c r="U390">
        <f t="shared" si="332"/>
        <v>-1.0000000000000001E+300</v>
      </c>
      <c r="V390">
        <f t="shared" si="333"/>
        <v>0</v>
      </c>
      <c r="W390">
        <f t="shared" si="334"/>
        <v>0</v>
      </c>
      <c r="X390">
        <f t="shared" si="311"/>
        <v>2.0326104468725963</v>
      </c>
      <c r="Y390">
        <f t="shared" si="312"/>
        <v>7.8539816339744828</v>
      </c>
      <c r="Z390">
        <f t="shared" si="313"/>
        <v>-2.0326104468725963</v>
      </c>
      <c r="AA390">
        <f t="shared" si="335"/>
        <v>1.0116510240083691</v>
      </c>
      <c r="AB390">
        <f t="shared" si="314"/>
        <v>8.8656326579828519</v>
      </c>
      <c r="AC390">
        <f t="shared" si="336"/>
        <v>0.25773819607870885</v>
      </c>
      <c r="AD390">
        <f t="shared" si="315"/>
        <v>0.1106571309645443</v>
      </c>
      <c r="AE390" s="9">
        <f t="shared" si="337"/>
        <v>9.2340279850261044</v>
      </c>
      <c r="AF390">
        <f t="shared" si="338"/>
        <v>0</v>
      </c>
      <c r="AH390">
        <f t="shared" si="316"/>
        <v>7.8539816339744828</v>
      </c>
      <c r="AI390">
        <f t="shared" si="317"/>
        <v>1.0116510240083691</v>
      </c>
      <c r="AJ390">
        <f t="shared" si="318"/>
        <v>0.25773819607871218</v>
      </c>
      <c r="AK390">
        <f t="shared" si="319"/>
        <v>0.1106571309645443</v>
      </c>
      <c r="AL390" s="9">
        <f t="shared" si="339"/>
        <v>9.234027985026108</v>
      </c>
      <c r="AM390" t="e">
        <f t="shared" si="320"/>
        <v>#N/A</v>
      </c>
      <c r="AN390" t="e">
        <f t="shared" si="340"/>
        <v>#N/A</v>
      </c>
      <c r="AO390">
        <f t="shared" si="321"/>
        <v>0</v>
      </c>
      <c r="AP390">
        <f t="shared" si="322"/>
        <v>0</v>
      </c>
      <c r="AQ390">
        <f t="shared" si="323"/>
        <v>3.3306690738754696E-15</v>
      </c>
      <c r="AR390">
        <f t="shared" si="341"/>
        <v>0</v>
      </c>
      <c r="AS390">
        <f t="shared" si="324"/>
        <v>0</v>
      </c>
      <c r="AT390">
        <f t="shared" si="342"/>
        <v>0</v>
      </c>
      <c r="AU390">
        <f t="shared" si="343"/>
        <v>0</v>
      </c>
      <c r="AV390">
        <f t="shared" si="325"/>
        <v>2.0326104468725961E-20</v>
      </c>
      <c r="AW390" t="b">
        <f t="shared" si="344"/>
        <v>1</v>
      </c>
      <c r="AX390">
        <f t="shared" si="326"/>
        <v>7.8539816339744828</v>
      </c>
      <c r="AY390">
        <f t="shared" si="327"/>
        <v>1.0116510240083689</v>
      </c>
      <c r="AZ390">
        <f t="shared" si="328"/>
        <v>0.25773819607870885</v>
      </c>
      <c r="BA390">
        <f t="shared" si="329"/>
        <v>0.11065713096454417</v>
      </c>
      <c r="BB390">
        <f t="shared" si="330"/>
        <v>-1.2337005501361696E-20</v>
      </c>
      <c r="BD390" s="15">
        <f t="shared" si="345"/>
        <v>9.2340279850261044</v>
      </c>
      <c r="BE390" s="10">
        <f t="shared" si="346"/>
        <v>0</v>
      </c>
      <c r="BF390">
        <f t="shared" si="347"/>
        <v>0</v>
      </c>
      <c r="BG390">
        <f t="shared" si="348"/>
        <v>0</v>
      </c>
      <c r="BH390">
        <f t="shared" si="349"/>
        <v>0</v>
      </c>
      <c r="BI390">
        <f t="shared" si="350"/>
        <v>0</v>
      </c>
    </row>
    <row r="391" spans="1:61" x14ac:dyDescent="0.3">
      <c r="A391">
        <f t="shared" si="355"/>
        <v>0.35399999999999998</v>
      </c>
      <c r="B391">
        <f t="shared" si="298"/>
        <v>1.1121237993707866</v>
      </c>
      <c r="C391">
        <f t="shared" si="299"/>
        <v>2.0294688542190062</v>
      </c>
      <c r="D391">
        <f t="shared" si="300"/>
        <v>2.0294688542190062</v>
      </c>
      <c r="E391">
        <f t="shared" si="305"/>
        <v>0.89664103678523577</v>
      </c>
      <c r="F391">
        <f t="shared" si="306"/>
        <v>0.89664103678523599</v>
      </c>
      <c r="G391">
        <f t="shared" si="301"/>
        <v>1.1121237993707866</v>
      </c>
      <c r="H391">
        <f t="shared" si="302"/>
        <v>0.89664103678523577</v>
      </c>
      <c r="I391">
        <f t="shared" si="303"/>
        <v>0.89664103678523599</v>
      </c>
      <c r="J391">
        <f t="shared" si="351"/>
        <v>7.1000517068690129E+19</v>
      </c>
      <c r="K391">
        <f t="shared" si="352"/>
        <v>7.1000517068690129E+19</v>
      </c>
      <c r="L391" t="e">
        <f t="shared" si="307"/>
        <v>#NUM!</v>
      </c>
      <c r="M391">
        <f t="shared" si="304"/>
        <v>2.0294688542190062E-20</v>
      </c>
      <c r="N391" s="9" t="e">
        <f t="shared" si="353"/>
        <v>#NUM!</v>
      </c>
      <c r="O391" t="e">
        <f t="shared" si="354"/>
        <v>#NUM!</v>
      </c>
      <c r="Q391">
        <f t="shared" si="308"/>
        <v>45.709218833565224</v>
      </c>
      <c r="R391">
        <f t="shared" si="309"/>
        <v>-710542.73576010019</v>
      </c>
      <c r="S391">
        <f t="shared" si="331"/>
        <v>-45.34392774923105</v>
      </c>
      <c r="T391" s="9" t="e">
        <f t="shared" si="310"/>
        <v>#N/A</v>
      </c>
      <c r="U391">
        <f t="shared" si="332"/>
        <v>-1.0000000000000001E+300</v>
      </c>
      <c r="V391">
        <f t="shared" si="333"/>
        <v>0</v>
      </c>
      <c r="W391">
        <f t="shared" si="334"/>
        <v>0</v>
      </c>
      <c r="X391">
        <f t="shared" si="311"/>
        <v>2.0294688542190062</v>
      </c>
      <c r="Y391">
        <f t="shared" si="312"/>
        <v>7.8539816339744828</v>
      </c>
      <c r="Z391">
        <f t="shared" si="313"/>
        <v>-2.0294688542190062</v>
      </c>
      <c r="AA391">
        <f t="shared" si="335"/>
        <v>1.0021446743773985</v>
      </c>
      <c r="AB391">
        <f t="shared" si="314"/>
        <v>8.8561263083518806</v>
      </c>
      <c r="AC391">
        <f t="shared" si="336"/>
        <v>0.25619140536041013</v>
      </c>
      <c r="AD391">
        <f t="shared" si="315"/>
        <v>0.10909967897376777</v>
      </c>
      <c r="AE391" s="9">
        <f t="shared" si="337"/>
        <v>9.2214173926860585</v>
      </c>
      <c r="AF391">
        <f t="shared" si="338"/>
        <v>0</v>
      </c>
      <c r="AH391">
        <f t="shared" si="316"/>
        <v>7.8539816339744828</v>
      </c>
      <c r="AI391">
        <f t="shared" si="317"/>
        <v>1.0021446743773994</v>
      </c>
      <c r="AJ391">
        <f t="shared" si="318"/>
        <v>0.2561914053604113</v>
      </c>
      <c r="AK391">
        <f t="shared" si="319"/>
        <v>0.10909967897376777</v>
      </c>
      <c r="AL391" s="9">
        <f t="shared" si="339"/>
        <v>9.2214173926860621</v>
      </c>
      <c r="AM391" t="e">
        <f t="shared" si="320"/>
        <v>#N/A</v>
      </c>
      <c r="AN391" t="e">
        <f t="shared" si="340"/>
        <v>#N/A</v>
      </c>
      <c r="AO391">
        <f t="shared" si="321"/>
        <v>0</v>
      </c>
      <c r="AP391">
        <f t="shared" si="322"/>
        <v>0</v>
      </c>
      <c r="AQ391">
        <f t="shared" si="323"/>
        <v>1.1657341758564144E-15</v>
      </c>
      <c r="AR391">
        <f t="shared" si="341"/>
        <v>0</v>
      </c>
      <c r="AS391">
        <f t="shared" si="324"/>
        <v>0</v>
      </c>
      <c r="AT391">
        <f t="shared" si="342"/>
        <v>0</v>
      </c>
      <c r="AU391">
        <f t="shared" si="343"/>
        <v>0</v>
      </c>
      <c r="AV391">
        <f t="shared" si="325"/>
        <v>2.0294688542190062E-20</v>
      </c>
      <c r="AW391" t="b">
        <f t="shared" si="344"/>
        <v>1</v>
      </c>
      <c r="AX391">
        <f t="shared" si="326"/>
        <v>7.8539816339744828</v>
      </c>
      <c r="AY391">
        <f t="shared" si="327"/>
        <v>1.0021446743773983</v>
      </c>
      <c r="AZ391">
        <f t="shared" si="328"/>
        <v>0.25619140536041013</v>
      </c>
      <c r="BA391">
        <f t="shared" si="329"/>
        <v>0.10909967897376752</v>
      </c>
      <c r="BB391">
        <f t="shared" si="330"/>
        <v>-1.2337005501361696E-20</v>
      </c>
      <c r="BD391" s="15">
        <f t="shared" si="345"/>
        <v>9.2214173926860585</v>
      </c>
      <c r="BE391" s="10">
        <f t="shared" si="346"/>
        <v>0</v>
      </c>
      <c r="BF391">
        <f t="shared" si="347"/>
        <v>0</v>
      </c>
      <c r="BG391">
        <f t="shared" si="348"/>
        <v>0</v>
      </c>
      <c r="BH391">
        <f t="shared" si="349"/>
        <v>0</v>
      </c>
      <c r="BI391">
        <f t="shared" si="350"/>
        <v>0</v>
      </c>
    </row>
    <row r="392" spans="1:61" x14ac:dyDescent="0.3">
      <c r="A392">
        <f t="shared" si="355"/>
        <v>0.35499999999999998</v>
      </c>
      <c r="B392">
        <f t="shared" si="298"/>
        <v>1.1152653920243765</v>
      </c>
      <c r="C392">
        <f t="shared" si="299"/>
        <v>2.0263272615654166</v>
      </c>
      <c r="D392">
        <f t="shared" si="300"/>
        <v>2.0263272615654166</v>
      </c>
      <c r="E392">
        <f t="shared" si="305"/>
        <v>0.89802757576061554</v>
      </c>
      <c r="F392">
        <f t="shared" si="306"/>
        <v>0.89802757576061565</v>
      </c>
      <c r="G392">
        <f t="shared" si="301"/>
        <v>1.1152653920243765</v>
      </c>
      <c r="H392">
        <f t="shared" si="302"/>
        <v>0.89802757576061554</v>
      </c>
      <c r="I392">
        <f t="shared" si="303"/>
        <v>0.89802757576061565</v>
      </c>
      <c r="J392">
        <f t="shared" si="351"/>
        <v>7.0890893503840821E+19</v>
      </c>
      <c r="K392">
        <f t="shared" si="352"/>
        <v>7.0890893503840821E+19</v>
      </c>
      <c r="L392">
        <f t="shared" si="307"/>
        <v>1</v>
      </c>
      <c r="M392">
        <f t="shared" si="304"/>
        <v>2.0263272615654165E-20</v>
      </c>
      <c r="N392" s="9">
        <f t="shared" si="353"/>
        <v>2.0263272615654165E-20</v>
      </c>
      <c r="O392">
        <f t="shared" si="354"/>
        <v>2.0263272615654165E-20</v>
      </c>
      <c r="Q392">
        <f t="shared" si="308"/>
        <v>45.707673657768915</v>
      </c>
      <c r="R392">
        <f t="shared" si="309"/>
        <v>-710542.73576010019</v>
      </c>
      <c r="S392">
        <f t="shared" si="331"/>
        <v>-45.345476936217878</v>
      </c>
      <c r="T392" s="9" t="e">
        <f t="shared" si="310"/>
        <v>#N/A</v>
      </c>
      <c r="U392">
        <f t="shared" si="332"/>
        <v>-1.0000000000000001E+300</v>
      </c>
      <c r="V392">
        <f t="shared" si="333"/>
        <v>0</v>
      </c>
      <c r="W392">
        <f t="shared" si="334"/>
        <v>0</v>
      </c>
      <c r="X392">
        <f t="shared" si="311"/>
        <v>2.0263272615654166</v>
      </c>
      <c r="Y392">
        <f t="shared" si="312"/>
        <v>7.8539816339744828</v>
      </c>
      <c r="Z392">
        <f t="shared" si="313"/>
        <v>-2.0263272615654166</v>
      </c>
      <c r="AA392">
        <f t="shared" si="335"/>
        <v>0.99268748240213645</v>
      </c>
      <c r="AB392">
        <f t="shared" si="314"/>
        <v>8.8466691163766189</v>
      </c>
      <c r="AC392">
        <f t="shared" si="336"/>
        <v>0.25464221837358075</v>
      </c>
      <c r="AD392">
        <f t="shared" si="315"/>
        <v>0.10755450317745824</v>
      </c>
      <c r="AE392" s="9">
        <f t="shared" si="337"/>
        <v>9.2088658379276573</v>
      </c>
      <c r="AF392">
        <f t="shared" si="338"/>
        <v>0</v>
      </c>
      <c r="AH392">
        <f t="shared" si="316"/>
        <v>7.8539816339744828</v>
      </c>
      <c r="AI392">
        <f t="shared" si="317"/>
        <v>0.99268748240213667</v>
      </c>
      <c r="AJ392">
        <f t="shared" si="318"/>
        <v>0.25464221837358281</v>
      </c>
      <c r="AK392">
        <f t="shared" si="319"/>
        <v>0.10755450317745824</v>
      </c>
      <c r="AL392" s="9">
        <f t="shared" si="339"/>
        <v>9.2088658379276591</v>
      </c>
      <c r="AM392" t="e">
        <f t="shared" si="320"/>
        <v>#N/A</v>
      </c>
      <c r="AN392" t="e">
        <f t="shared" si="340"/>
        <v>#N/A</v>
      </c>
      <c r="AO392">
        <f t="shared" si="321"/>
        <v>0</v>
      </c>
      <c r="AP392">
        <f t="shared" si="322"/>
        <v>0</v>
      </c>
      <c r="AQ392">
        <f t="shared" si="323"/>
        <v>2.0539125955565396E-15</v>
      </c>
      <c r="AR392">
        <f t="shared" si="341"/>
        <v>0</v>
      </c>
      <c r="AS392">
        <f t="shared" si="324"/>
        <v>0</v>
      </c>
      <c r="AT392">
        <f t="shared" si="342"/>
        <v>0</v>
      </c>
      <c r="AU392">
        <f t="shared" si="343"/>
        <v>0</v>
      </c>
      <c r="AV392">
        <f t="shared" si="325"/>
        <v>2.0263272615654165E-20</v>
      </c>
      <c r="AW392" t="b">
        <f t="shared" si="344"/>
        <v>1</v>
      </c>
      <c r="AX392">
        <f t="shared" si="326"/>
        <v>7.8539816339744828</v>
      </c>
      <c r="AY392">
        <f t="shared" si="327"/>
        <v>0.99268748240213611</v>
      </c>
      <c r="AZ392">
        <f t="shared" si="328"/>
        <v>0.25464221837358075</v>
      </c>
      <c r="BA392">
        <f t="shared" si="329"/>
        <v>0.10755450317745811</v>
      </c>
      <c r="BB392">
        <f t="shared" si="330"/>
        <v>-1.2337005501361696E-20</v>
      </c>
      <c r="BD392" s="15">
        <f t="shared" si="345"/>
        <v>9.2088658379276573</v>
      </c>
      <c r="BE392" s="10">
        <f t="shared" si="346"/>
        <v>0</v>
      </c>
      <c r="BF392">
        <f t="shared" si="347"/>
        <v>0</v>
      </c>
      <c r="BG392">
        <f t="shared" si="348"/>
        <v>0</v>
      </c>
      <c r="BH392">
        <f t="shared" si="349"/>
        <v>0</v>
      </c>
      <c r="BI392">
        <f t="shared" si="350"/>
        <v>0</v>
      </c>
    </row>
    <row r="393" spans="1:61" x14ac:dyDescent="0.3">
      <c r="A393">
        <f t="shared" si="355"/>
        <v>0.35599999999999998</v>
      </c>
      <c r="B393">
        <f t="shared" si="298"/>
        <v>1.1184069846779663</v>
      </c>
      <c r="C393">
        <f t="shared" si="299"/>
        <v>2.0231856689118271</v>
      </c>
      <c r="D393">
        <f t="shared" si="300"/>
        <v>2.0231856689118271</v>
      </c>
      <c r="E393">
        <f t="shared" si="305"/>
        <v>0.89940525156637097</v>
      </c>
      <c r="F393">
        <f t="shared" si="306"/>
        <v>0.89940525156637097</v>
      </c>
      <c r="G393">
        <f t="shared" si="301"/>
        <v>1.1184069846779663</v>
      </c>
      <c r="H393">
        <f t="shared" si="302"/>
        <v>0.89940525156637097</v>
      </c>
      <c r="I393">
        <f t="shared" si="303"/>
        <v>0.89940525156637097</v>
      </c>
      <c r="J393">
        <f t="shared" si="351"/>
        <v>7.0782305446723592E+19</v>
      </c>
      <c r="K393">
        <f t="shared" si="352"/>
        <v>7.0782305446723592E+19</v>
      </c>
      <c r="L393">
        <f t="shared" si="307"/>
        <v>1</v>
      </c>
      <c r="M393">
        <f t="shared" si="304"/>
        <v>2.0231856689118269E-20</v>
      </c>
      <c r="N393" s="9">
        <f t="shared" si="353"/>
        <v>2.0231856689118269E-20</v>
      </c>
      <c r="O393">
        <f t="shared" si="354"/>
        <v>2.0231856689118269E-20</v>
      </c>
      <c r="Q393">
        <f t="shared" si="308"/>
        <v>45.706140720287642</v>
      </c>
      <c r="R393">
        <f t="shared" si="309"/>
        <v>-710542.73576010019</v>
      </c>
      <c r="S393">
        <f t="shared" si="331"/>
        <v>-45.347028526909298</v>
      </c>
      <c r="T393" s="9" t="e">
        <f t="shared" si="310"/>
        <v>#N/A</v>
      </c>
      <c r="U393">
        <f t="shared" si="332"/>
        <v>-1.0000000000000001E+300</v>
      </c>
      <c r="V393">
        <f t="shared" si="333"/>
        <v>0</v>
      </c>
      <c r="W393">
        <f t="shared" si="334"/>
        <v>0</v>
      </c>
      <c r="X393">
        <f t="shared" si="311"/>
        <v>2.0231856689118271</v>
      </c>
      <c r="Y393">
        <f t="shared" si="312"/>
        <v>7.8539816339744828</v>
      </c>
      <c r="Z393">
        <f t="shared" si="313"/>
        <v>-2.0231856689118271</v>
      </c>
      <c r="AA393">
        <f t="shared" si="335"/>
        <v>0.98327906491917239</v>
      </c>
      <c r="AB393">
        <f t="shared" si="314"/>
        <v>8.8372606988936546</v>
      </c>
      <c r="AC393">
        <f t="shared" si="336"/>
        <v>0.25309062768216206</v>
      </c>
      <c r="AD393">
        <f t="shared" si="315"/>
        <v>0.10602156569618695</v>
      </c>
      <c r="AE393" s="9">
        <f t="shared" si="337"/>
        <v>9.1963728922720041</v>
      </c>
      <c r="AF393">
        <f t="shared" si="338"/>
        <v>0</v>
      </c>
      <c r="AH393">
        <f t="shared" si="316"/>
        <v>7.8539816339744828</v>
      </c>
      <c r="AI393">
        <f t="shared" si="317"/>
        <v>0.98327906491917183</v>
      </c>
      <c r="AJ393">
        <f t="shared" si="318"/>
        <v>0.25309062768216251</v>
      </c>
      <c r="AK393">
        <f t="shared" si="319"/>
        <v>0.10602156569618695</v>
      </c>
      <c r="AL393" s="9">
        <f t="shared" si="339"/>
        <v>9.1963728922720041</v>
      </c>
      <c r="AM393" t="e">
        <f t="shared" si="320"/>
        <v>#N/A</v>
      </c>
      <c r="AN393" t="e">
        <f t="shared" si="340"/>
        <v>#N/A</v>
      </c>
      <c r="AO393">
        <f t="shared" si="321"/>
        <v>0</v>
      </c>
      <c r="AP393">
        <f t="shared" si="322"/>
        <v>0</v>
      </c>
      <c r="AQ393">
        <f t="shared" si="323"/>
        <v>4.4408920985006262E-16</v>
      </c>
      <c r="AR393">
        <f t="shared" si="341"/>
        <v>0</v>
      </c>
      <c r="AS393">
        <f t="shared" si="324"/>
        <v>0</v>
      </c>
      <c r="AT393">
        <f t="shared" si="342"/>
        <v>0</v>
      </c>
      <c r="AU393">
        <f t="shared" si="343"/>
        <v>0</v>
      </c>
      <c r="AV393">
        <f t="shared" si="325"/>
        <v>2.0231856689118269E-20</v>
      </c>
      <c r="AW393" t="b">
        <f t="shared" si="344"/>
        <v>1</v>
      </c>
      <c r="AX393">
        <f t="shared" si="326"/>
        <v>7.8539816339744828</v>
      </c>
      <c r="AY393">
        <f t="shared" si="327"/>
        <v>0.98327906491917216</v>
      </c>
      <c r="AZ393">
        <f t="shared" si="328"/>
        <v>0.25309062768216206</v>
      </c>
      <c r="BA393">
        <f t="shared" si="329"/>
        <v>0.10602156569618695</v>
      </c>
      <c r="BB393">
        <f t="shared" si="330"/>
        <v>-1.2337005501361696E-20</v>
      </c>
      <c r="BD393" s="15">
        <f t="shared" si="345"/>
        <v>9.1963728922720041</v>
      </c>
      <c r="BE393" s="10">
        <f t="shared" si="346"/>
        <v>0</v>
      </c>
      <c r="BF393">
        <f t="shared" si="347"/>
        <v>0</v>
      </c>
      <c r="BG393">
        <f t="shared" si="348"/>
        <v>0</v>
      </c>
      <c r="BH393">
        <f t="shared" si="349"/>
        <v>0</v>
      </c>
      <c r="BI393">
        <f t="shared" si="350"/>
        <v>0</v>
      </c>
    </row>
    <row r="394" spans="1:61" x14ac:dyDescent="0.3">
      <c r="A394">
        <f t="shared" si="355"/>
        <v>0.35699999999999998</v>
      </c>
      <c r="B394">
        <f t="shared" si="298"/>
        <v>1.1215485773315561</v>
      </c>
      <c r="C394">
        <f t="shared" si="299"/>
        <v>2.020044076258237</v>
      </c>
      <c r="D394">
        <f t="shared" si="300"/>
        <v>2.020044076258237</v>
      </c>
      <c r="E394">
        <f t="shared" si="305"/>
        <v>0.90077405060539806</v>
      </c>
      <c r="F394">
        <f t="shared" si="306"/>
        <v>0.90077405060539806</v>
      </c>
      <c r="G394">
        <f t="shared" si="301"/>
        <v>1.1215485773315561</v>
      </c>
      <c r="H394">
        <f t="shared" si="302"/>
        <v>0.90077405060539806</v>
      </c>
      <c r="I394">
        <f t="shared" si="303"/>
        <v>0.90077405060539806</v>
      </c>
      <c r="J394">
        <f t="shared" si="351"/>
        <v>7.0674746007582908E+19</v>
      </c>
      <c r="K394">
        <f t="shared" si="352"/>
        <v>7.0674746007582908E+19</v>
      </c>
      <c r="L394">
        <f t="shared" si="307"/>
        <v>1</v>
      </c>
      <c r="M394">
        <f t="shared" si="304"/>
        <v>2.0200440762582369E-20</v>
      </c>
      <c r="N394" s="9">
        <f t="shared" si="353"/>
        <v>2.0200440762582369E-20</v>
      </c>
      <c r="O394">
        <f t="shared" si="354"/>
        <v>2.0200440762582369E-20</v>
      </c>
      <c r="Q394">
        <f t="shared" si="308"/>
        <v>45.704619983657501</v>
      </c>
      <c r="R394">
        <f t="shared" si="309"/>
        <v>0</v>
      </c>
      <c r="S394">
        <f t="shared" si="331"/>
        <v>-45.348582528776028</v>
      </c>
      <c r="T394" s="9" t="e">
        <f t="shared" si="310"/>
        <v>#N/A</v>
      </c>
      <c r="U394">
        <f t="shared" si="332"/>
        <v>-1.0000000000000001E+300</v>
      </c>
      <c r="V394">
        <f t="shared" si="333"/>
        <v>0</v>
      </c>
      <c r="W394">
        <f t="shared" si="334"/>
        <v>0</v>
      </c>
      <c r="X394">
        <f t="shared" si="311"/>
        <v>2.020044076258237</v>
      </c>
      <c r="Y394">
        <f t="shared" si="312"/>
        <v>7.8539816339744828</v>
      </c>
      <c r="Z394">
        <f t="shared" si="313"/>
        <v>-2.020044076258237</v>
      </c>
      <c r="AA394">
        <f t="shared" si="335"/>
        <v>0.97391904303638221</v>
      </c>
      <c r="AB394">
        <f t="shared" si="314"/>
        <v>8.8279006770108648</v>
      </c>
      <c r="AC394">
        <f t="shared" si="336"/>
        <v>0.25153662581542768</v>
      </c>
      <c r="AD394">
        <f t="shared" si="315"/>
        <v>0.10450082906604052</v>
      </c>
      <c r="AE394" s="9">
        <f t="shared" si="337"/>
        <v>9.183938131892333</v>
      </c>
      <c r="AF394">
        <f t="shared" si="338"/>
        <v>0</v>
      </c>
      <c r="AH394">
        <f t="shared" si="316"/>
        <v>7.8539816339744828</v>
      </c>
      <c r="AI394">
        <f t="shared" si="317"/>
        <v>0.97391904303638221</v>
      </c>
      <c r="AJ394">
        <f t="shared" si="318"/>
        <v>0.25153662581543301</v>
      </c>
      <c r="AK394">
        <f t="shared" si="319"/>
        <v>0.10450082906604052</v>
      </c>
      <c r="AL394" s="9">
        <f t="shared" si="339"/>
        <v>9.1839381318923383</v>
      </c>
      <c r="AM394" t="e">
        <f t="shared" si="320"/>
        <v>#N/A</v>
      </c>
      <c r="AN394" t="e">
        <f t="shared" si="340"/>
        <v>#N/A</v>
      </c>
      <c r="AO394">
        <f t="shared" si="321"/>
        <v>0</v>
      </c>
      <c r="AP394">
        <f t="shared" si="322"/>
        <v>0</v>
      </c>
      <c r="AQ394">
        <f t="shared" si="323"/>
        <v>5.3290705182007514E-15</v>
      </c>
      <c r="AR394">
        <f t="shared" si="341"/>
        <v>0</v>
      </c>
      <c r="AS394">
        <f t="shared" si="324"/>
        <v>0</v>
      </c>
      <c r="AT394">
        <f t="shared" si="342"/>
        <v>0</v>
      </c>
      <c r="AU394">
        <f t="shared" si="343"/>
        <v>0</v>
      </c>
      <c r="AV394">
        <f t="shared" si="325"/>
        <v>2.0200440762582369E-20</v>
      </c>
      <c r="AW394" t="b">
        <f t="shared" si="344"/>
        <v>1</v>
      </c>
      <c r="AX394">
        <f t="shared" si="326"/>
        <v>7.8539816339744828</v>
      </c>
      <c r="AY394">
        <f t="shared" si="327"/>
        <v>0.9739190430363821</v>
      </c>
      <c r="AZ394">
        <f t="shared" si="328"/>
        <v>0.25153662581542768</v>
      </c>
      <c r="BA394">
        <f t="shared" si="329"/>
        <v>0.10450082906604052</v>
      </c>
      <c r="BB394">
        <f t="shared" si="330"/>
        <v>-1.2337005501361696E-20</v>
      </c>
      <c r="BD394" s="15">
        <f t="shared" si="345"/>
        <v>9.183938131892333</v>
      </c>
      <c r="BE394" s="10">
        <f t="shared" si="346"/>
        <v>0</v>
      </c>
      <c r="BF394">
        <f t="shared" si="347"/>
        <v>0</v>
      </c>
      <c r="BG394">
        <f t="shared" si="348"/>
        <v>0</v>
      </c>
      <c r="BH394">
        <f t="shared" si="349"/>
        <v>0</v>
      </c>
      <c r="BI394">
        <f t="shared" si="350"/>
        <v>0</v>
      </c>
    </row>
    <row r="395" spans="1:61" x14ac:dyDescent="0.3">
      <c r="A395">
        <f t="shared" si="355"/>
        <v>0.35799999999999998</v>
      </c>
      <c r="B395">
        <f t="shared" si="298"/>
        <v>1.1246901699851459</v>
      </c>
      <c r="C395">
        <f t="shared" si="299"/>
        <v>2.016902483604647</v>
      </c>
      <c r="D395">
        <f t="shared" si="300"/>
        <v>2.016902483604647</v>
      </c>
      <c r="E395">
        <f t="shared" si="305"/>
        <v>0.90213395936820284</v>
      </c>
      <c r="F395">
        <f t="shared" si="306"/>
        <v>0.90213395936820295</v>
      </c>
      <c r="G395">
        <f t="shared" si="301"/>
        <v>1.1246901699851459</v>
      </c>
      <c r="H395">
        <f t="shared" si="302"/>
        <v>0.90213395936820284</v>
      </c>
      <c r="I395">
        <f t="shared" si="303"/>
        <v>0.90213395936820295</v>
      </c>
      <c r="J395">
        <f t="shared" si="351"/>
        <v>7.0568208385972896E+19</v>
      </c>
      <c r="K395">
        <f t="shared" si="352"/>
        <v>7.0568208385972896E+19</v>
      </c>
      <c r="L395">
        <f t="shared" si="307"/>
        <v>1</v>
      </c>
      <c r="M395">
        <f t="shared" si="304"/>
        <v>2.0169024836046469E-20</v>
      </c>
      <c r="N395" s="9">
        <f t="shared" si="353"/>
        <v>2.0169024836046469E-20</v>
      </c>
      <c r="O395">
        <f t="shared" si="354"/>
        <v>2.0169024836046469E-20</v>
      </c>
      <c r="Q395">
        <f t="shared" si="308"/>
        <v>45.703111410826068</v>
      </c>
      <c r="R395">
        <f t="shared" si="309"/>
        <v>0</v>
      </c>
      <c r="S395">
        <f t="shared" si="331"/>
        <v>-45.350138949323693</v>
      </c>
      <c r="T395" s="9" t="e">
        <f t="shared" si="310"/>
        <v>#N/A</v>
      </c>
      <c r="U395">
        <f t="shared" si="332"/>
        <v>-1.0000000000000001E+300</v>
      </c>
      <c r="V395">
        <f t="shared" si="333"/>
        <v>0</v>
      </c>
      <c r="W395">
        <f t="shared" si="334"/>
        <v>0</v>
      </c>
      <c r="X395">
        <f t="shared" si="311"/>
        <v>2.016902483604647</v>
      </c>
      <c r="Y395">
        <f t="shared" si="312"/>
        <v>7.8539816339744828</v>
      </c>
      <c r="Z395">
        <f t="shared" si="313"/>
        <v>-2.016902483604647</v>
      </c>
      <c r="AA395">
        <f t="shared" si="335"/>
        <v>0.96460704207344283</v>
      </c>
      <c r="AB395">
        <f t="shared" si="314"/>
        <v>8.8185886760479253</v>
      </c>
      <c r="AC395">
        <f t="shared" si="336"/>
        <v>0.24998020526776929</v>
      </c>
      <c r="AD395">
        <f t="shared" si="315"/>
        <v>0.10299225623460641</v>
      </c>
      <c r="AE395" s="9">
        <f t="shared" si="337"/>
        <v>9.1715611375503023</v>
      </c>
      <c r="AF395">
        <f t="shared" si="338"/>
        <v>0</v>
      </c>
      <c r="AH395">
        <f t="shared" si="316"/>
        <v>7.8539816339744828</v>
      </c>
      <c r="AI395">
        <f t="shared" si="317"/>
        <v>0.96460704207344372</v>
      </c>
      <c r="AJ395">
        <f t="shared" si="318"/>
        <v>0.24998020526776799</v>
      </c>
      <c r="AK395">
        <f t="shared" si="319"/>
        <v>0.10299225623460641</v>
      </c>
      <c r="AL395" s="9">
        <f t="shared" si="339"/>
        <v>9.1715611375503023</v>
      </c>
      <c r="AM395" t="e">
        <f t="shared" si="320"/>
        <v>#N/A</v>
      </c>
      <c r="AN395" t="e">
        <f t="shared" si="340"/>
        <v>#N/A</v>
      </c>
      <c r="AO395">
        <f t="shared" si="321"/>
        <v>0</v>
      </c>
      <c r="AP395">
        <f t="shared" si="322"/>
        <v>8.8817841970012523E-16</v>
      </c>
      <c r="AQ395">
        <f t="shared" si="323"/>
        <v>-1.3045120539345589E-15</v>
      </c>
      <c r="AR395">
        <f t="shared" si="341"/>
        <v>9.2076709059781112E-16</v>
      </c>
      <c r="AS395">
        <f t="shared" si="324"/>
        <v>0</v>
      </c>
      <c r="AT395">
        <f t="shared" si="342"/>
        <v>0</v>
      </c>
      <c r="AU395">
        <f t="shared" si="343"/>
        <v>0</v>
      </c>
      <c r="AV395">
        <f t="shared" si="325"/>
        <v>2.0169024836046469E-20</v>
      </c>
      <c r="AW395" t="b">
        <f t="shared" si="344"/>
        <v>1</v>
      </c>
      <c r="AX395">
        <f t="shared" si="326"/>
        <v>7.8539816339744828</v>
      </c>
      <c r="AY395">
        <f t="shared" si="327"/>
        <v>0.96460704207344283</v>
      </c>
      <c r="AZ395">
        <f t="shared" si="328"/>
        <v>0.24998020526776946</v>
      </c>
      <c r="BA395">
        <f t="shared" si="329"/>
        <v>0.10299225623460628</v>
      </c>
      <c r="BB395">
        <f t="shared" si="330"/>
        <v>-1.2337005501361696E-20</v>
      </c>
      <c r="BD395" s="15">
        <f t="shared" si="345"/>
        <v>9.1715611375503006</v>
      </c>
      <c r="BE395" s="10">
        <f t="shared" si="346"/>
        <v>0</v>
      </c>
      <c r="BF395">
        <f t="shared" si="347"/>
        <v>0</v>
      </c>
      <c r="BG395">
        <f t="shared" si="348"/>
        <v>0</v>
      </c>
      <c r="BH395">
        <f t="shared" si="349"/>
        <v>0</v>
      </c>
      <c r="BI395">
        <f t="shared" si="350"/>
        <v>0</v>
      </c>
    </row>
    <row r="396" spans="1:61" x14ac:dyDescent="0.3">
      <c r="A396">
        <f t="shared" si="355"/>
        <v>0.35899999999999999</v>
      </c>
      <c r="B396">
        <f t="shared" si="298"/>
        <v>1.1278317626387357</v>
      </c>
      <c r="C396">
        <f t="shared" si="299"/>
        <v>2.0137608909510574</v>
      </c>
      <c r="D396">
        <f t="shared" si="300"/>
        <v>2.0137608909510574</v>
      </c>
      <c r="E396">
        <f t="shared" si="305"/>
        <v>0.90348496443303483</v>
      </c>
      <c r="F396">
        <f t="shared" si="306"/>
        <v>0.90348496443303483</v>
      </c>
      <c r="G396">
        <f t="shared" si="301"/>
        <v>1.1278317626387357</v>
      </c>
      <c r="H396">
        <f t="shared" si="302"/>
        <v>0.90348496443303483</v>
      </c>
      <c r="I396">
        <f t="shared" si="303"/>
        <v>0.90348496443303483</v>
      </c>
      <c r="J396">
        <f t="shared" si="351"/>
        <v>7.0462685869607174E+19</v>
      </c>
      <c r="K396">
        <f t="shared" si="352"/>
        <v>7.0462685869607174E+19</v>
      </c>
      <c r="L396">
        <f t="shared" si="307"/>
        <v>1</v>
      </c>
      <c r="M396">
        <f t="shared" si="304"/>
        <v>2.0137608909510573E-20</v>
      </c>
      <c r="N396" s="9">
        <f t="shared" si="353"/>
        <v>2.0137608909510573E-20</v>
      </c>
      <c r="O396">
        <f t="shared" si="354"/>
        <v>2.0137608909510573E-20</v>
      </c>
      <c r="Q396">
        <f t="shared" si="308"/>
        <v>45.70161496514848</v>
      </c>
      <c r="R396">
        <f t="shared" si="309"/>
        <v>0</v>
      </c>
      <c r="S396">
        <f t="shared" si="331"/>
        <v>-45.351697796092978</v>
      </c>
      <c r="T396" s="9" t="e">
        <f t="shared" si="310"/>
        <v>#N/A</v>
      </c>
      <c r="U396">
        <f t="shared" si="332"/>
        <v>-1.0000000000000001E+300</v>
      </c>
      <c r="V396">
        <f t="shared" si="333"/>
        <v>0</v>
      </c>
      <c r="W396">
        <f t="shared" si="334"/>
        <v>0</v>
      </c>
      <c r="X396">
        <f t="shared" si="311"/>
        <v>2.0137608909510574</v>
      </c>
      <c r="Y396">
        <f t="shared" si="312"/>
        <v>7.8539816339744828</v>
      </c>
      <c r="Z396">
        <f t="shared" si="313"/>
        <v>-2.0137608909510574</v>
      </c>
      <c r="AA396">
        <f t="shared" si="335"/>
        <v>0.95534269150333673</v>
      </c>
      <c r="AB396">
        <f t="shared" si="314"/>
        <v>8.8093243254778191</v>
      </c>
      <c r="AC396">
        <f t="shared" si="336"/>
        <v>0.24842135849847832</v>
      </c>
      <c r="AD396">
        <f t="shared" si="315"/>
        <v>0.1014958105570188</v>
      </c>
      <c r="AE396" s="9">
        <f t="shared" si="337"/>
        <v>9.1592414945333154</v>
      </c>
      <c r="AF396">
        <f t="shared" si="338"/>
        <v>0</v>
      </c>
      <c r="AH396">
        <f t="shared" si="316"/>
        <v>7.8539816339744828</v>
      </c>
      <c r="AI396">
        <f t="shared" si="317"/>
        <v>0.95534269150333684</v>
      </c>
      <c r="AJ396">
        <f t="shared" si="318"/>
        <v>0.2484213584984829</v>
      </c>
      <c r="AK396">
        <f t="shared" si="319"/>
        <v>0.1014958105570188</v>
      </c>
      <c r="AL396" s="9">
        <f t="shared" si="339"/>
        <v>9.1592414945333207</v>
      </c>
      <c r="AM396" t="e">
        <f t="shared" si="320"/>
        <v>#N/A</v>
      </c>
      <c r="AN396" t="e">
        <f t="shared" si="340"/>
        <v>#N/A</v>
      </c>
      <c r="AO396">
        <f t="shared" si="321"/>
        <v>0</v>
      </c>
      <c r="AP396">
        <f t="shared" si="322"/>
        <v>0</v>
      </c>
      <c r="AQ396">
        <f t="shared" si="323"/>
        <v>4.5796699765787707E-15</v>
      </c>
      <c r="AR396">
        <f t="shared" si="341"/>
        <v>0</v>
      </c>
      <c r="AS396">
        <f t="shared" si="324"/>
        <v>0</v>
      </c>
      <c r="AT396">
        <f t="shared" si="342"/>
        <v>0</v>
      </c>
      <c r="AU396">
        <f t="shared" si="343"/>
        <v>0</v>
      </c>
      <c r="AV396">
        <f t="shared" si="325"/>
        <v>2.0137608909510573E-20</v>
      </c>
      <c r="AW396" t="b">
        <f t="shared" si="344"/>
        <v>1</v>
      </c>
      <c r="AX396">
        <f t="shared" si="326"/>
        <v>7.8539816339744828</v>
      </c>
      <c r="AY396">
        <f t="shared" si="327"/>
        <v>0.95534269150333651</v>
      </c>
      <c r="AZ396">
        <f t="shared" si="328"/>
        <v>0.24842135849847832</v>
      </c>
      <c r="BA396">
        <f t="shared" si="329"/>
        <v>0.1014958105570188</v>
      </c>
      <c r="BB396">
        <f t="shared" si="330"/>
        <v>-1.2337005501361696E-20</v>
      </c>
      <c r="BD396" s="15">
        <f t="shared" si="345"/>
        <v>9.1592414945333154</v>
      </c>
      <c r="BE396" s="10">
        <f t="shared" si="346"/>
        <v>0</v>
      </c>
      <c r="BF396">
        <f t="shared" si="347"/>
        <v>0</v>
      </c>
      <c r="BG396">
        <f t="shared" si="348"/>
        <v>0</v>
      </c>
      <c r="BH396">
        <f t="shared" si="349"/>
        <v>0</v>
      </c>
      <c r="BI396">
        <f t="shared" si="350"/>
        <v>0</v>
      </c>
    </row>
    <row r="397" spans="1:61" x14ac:dyDescent="0.3">
      <c r="A397">
        <f t="shared" si="355"/>
        <v>0.36</v>
      </c>
      <c r="B397">
        <f t="shared" si="298"/>
        <v>1.1309733552923256</v>
      </c>
      <c r="C397">
        <f t="shared" si="299"/>
        <v>2.0106192982974678</v>
      </c>
      <c r="D397">
        <f t="shared" si="300"/>
        <v>2.0106192982974678</v>
      </c>
      <c r="E397">
        <f t="shared" si="305"/>
        <v>0.90482705246601958</v>
      </c>
      <c r="F397">
        <f t="shared" si="306"/>
        <v>0.90482705246601947</v>
      </c>
      <c r="G397">
        <f t="shared" si="301"/>
        <v>1.1309733552923256</v>
      </c>
      <c r="H397">
        <f t="shared" si="302"/>
        <v>0.90482705246601958</v>
      </c>
      <c r="I397">
        <f t="shared" si="303"/>
        <v>0.90482705246601947</v>
      </c>
      <c r="J397">
        <f t="shared" si="351"/>
        <v>7.0358171833228804E+19</v>
      </c>
      <c r="K397">
        <f t="shared" si="352"/>
        <v>7.0358171833228804E+19</v>
      </c>
      <c r="L397">
        <f t="shared" si="307"/>
        <v>1</v>
      </c>
      <c r="M397">
        <f t="shared" si="304"/>
        <v>2.0106192982974676E-20</v>
      </c>
      <c r="N397" s="9">
        <f t="shared" si="353"/>
        <v>2.0106192982974676E-20</v>
      </c>
      <c r="O397">
        <f t="shared" si="354"/>
        <v>2.0106192982974676E-20</v>
      </c>
      <c r="Q397">
        <f t="shared" si="308"/>
        <v>45.700130610383525</v>
      </c>
      <c r="R397">
        <f t="shared" si="309"/>
        <v>0</v>
      </c>
      <c r="S397">
        <f t="shared" si="331"/>
        <v>-45.353259076659931</v>
      </c>
      <c r="T397" s="9" t="e">
        <f t="shared" si="310"/>
        <v>#N/A</v>
      </c>
      <c r="U397">
        <f t="shared" si="332"/>
        <v>-1.0000000000000001E+300</v>
      </c>
      <c r="V397">
        <f t="shared" si="333"/>
        <v>0</v>
      </c>
      <c r="W397">
        <f t="shared" si="334"/>
        <v>0</v>
      </c>
      <c r="X397">
        <f t="shared" si="311"/>
        <v>2.0106192982974678</v>
      </c>
      <c r="Y397">
        <f t="shared" si="312"/>
        <v>7.8539816339744828</v>
      </c>
      <c r="Z397">
        <f t="shared" si="313"/>
        <v>-2.0106192982974678</v>
      </c>
      <c r="AA397">
        <f t="shared" si="335"/>
        <v>0.94612562489482976</v>
      </c>
      <c r="AB397">
        <f t="shared" si="314"/>
        <v>8.8001072588693123</v>
      </c>
      <c r="AC397">
        <f t="shared" si="336"/>
        <v>0.24686007793152581</v>
      </c>
      <c r="AD397">
        <f t="shared" si="315"/>
        <v>0.1000114557920643</v>
      </c>
      <c r="AE397" s="9">
        <f t="shared" si="337"/>
        <v>9.1469787925929023</v>
      </c>
      <c r="AF397">
        <f t="shared" si="338"/>
        <v>0</v>
      </c>
      <c r="AH397">
        <f t="shared" si="316"/>
        <v>7.8539816339744828</v>
      </c>
      <c r="AI397">
        <f t="shared" si="317"/>
        <v>0.9461256248948291</v>
      </c>
      <c r="AJ397">
        <f t="shared" si="318"/>
        <v>0.24686007793152953</v>
      </c>
      <c r="AK397">
        <f t="shared" si="319"/>
        <v>0.1000114557920643</v>
      </c>
      <c r="AL397" s="9">
        <f t="shared" si="339"/>
        <v>9.1469787925929058</v>
      </c>
      <c r="AM397" t="e">
        <f t="shared" si="320"/>
        <v>#N/A</v>
      </c>
      <c r="AN397" t="e">
        <f t="shared" si="340"/>
        <v>#N/A</v>
      </c>
      <c r="AO397">
        <f t="shared" si="321"/>
        <v>0</v>
      </c>
      <c r="AP397">
        <f t="shared" si="322"/>
        <v>0</v>
      </c>
      <c r="AQ397">
        <f t="shared" si="323"/>
        <v>3.7192471324942744E-15</v>
      </c>
      <c r="AR397">
        <f t="shared" si="341"/>
        <v>0</v>
      </c>
      <c r="AS397">
        <f t="shared" si="324"/>
        <v>0</v>
      </c>
      <c r="AT397">
        <f t="shared" si="342"/>
        <v>0</v>
      </c>
      <c r="AU397">
        <f t="shared" si="343"/>
        <v>0</v>
      </c>
      <c r="AV397">
        <f t="shared" si="325"/>
        <v>2.0106192982974676E-20</v>
      </c>
      <c r="AW397" t="b">
        <f t="shared" si="344"/>
        <v>1</v>
      </c>
      <c r="AX397">
        <f t="shared" si="326"/>
        <v>7.8539816339744828</v>
      </c>
      <c r="AY397">
        <f t="shared" si="327"/>
        <v>0.94612562489482954</v>
      </c>
      <c r="AZ397">
        <f t="shared" si="328"/>
        <v>0.24686007793152598</v>
      </c>
      <c r="BA397">
        <f t="shared" si="329"/>
        <v>0.10001145579206443</v>
      </c>
      <c r="BB397">
        <f t="shared" si="330"/>
        <v>-1.2337005501361696E-20</v>
      </c>
      <c r="BD397" s="15">
        <f t="shared" si="345"/>
        <v>9.1469787925929023</v>
      </c>
      <c r="BE397" s="10">
        <f t="shared" si="346"/>
        <v>0</v>
      </c>
      <c r="BF397">
        <f t="shared" si="347"/>
        <v>0</v>
      </c>
      <c r="BG397">
        <f t="shared" si="348"/>
        <v>0</v>
      </c>
      <c r="BH397">
        <f t="shared" si="349"/>
        <v>0</v>
      </c>
      <c r="BI397">
        <f t="shared" si="350"/>
        <v>0</v>
      </c>
    </row>
    <row r="398" spans="1:61" x14ac:dyDescent="0.3">
      <c r="A398">
        <f t="shared" si="355"/>
        <v>0.36099999999999999</v>
      </c>
      <c r="B398">
        <f t="shared" si="298"/>
        <v>1.1341149479459154</v>
      </c>
      <c r="C398">
        <f t="shared" si="299"/>
        <v>2.0074777056438777</v>
      </c>
      <c r="D398">
        <f t="shared" si="300"/>
        <v>2.0074777056438777</v>
      </c>
      <c r="E398">
        <f t="shared" si="305"/>
        <v>0.9061602102212899</v>
      </c>
      <c r="F398">
        <f t="shared" si="306"/>
        <v>0.9061602102212899</v>
      </c>
      <c r="G398">
        <f t="shared" si="301"/>
        <v>1.1341149479459154</v>
      </c>
      <c r="H398">
        <f t="shared" si="302"/>
        <v>0.9061602102212899</v>
      </c>
      <c r="I398">
        <f t="shared" si="303"/>
        <v>0.9061602102212899</v>
      </c>
      <c r="J398">
        <f t="shared" si="351"/>
        <v>7.0254659737499943E+19</v>
      </c>
      <c r="K398">
        <f t="shared" si="352"/>
        <v>7.0254659737499943E+19</v>
      </c>
      <c r="L398">
        <f t="shared" si="307"/>
        <v>1</v>
      </c>
      <c r="M398">
        <f t="shared" si="304"/>
        <v>2.0074777056438777E-20</v>
      </c>
      <c r="N398" s="9">
        <f t="shared" si="353"/>
        <v>2.0074777056438777E-20</v>
      </c>
      <c r="O398">
        <f t="shared" si="354"/>
        <v>2.0074777056438777E-20</v>
      </c>
      <c r="Q398">
        <f t="shared" si="308"/>
        <v>45.698658310689808</v>
      </c>
      <c r="R398">
        <f t="shared" si="309"/>
        <v>0</v>
      </c>
      <c r="S398">
        <f t="shared" si="331"/>
        <v>-45.354822798636114</v>
      </c>
      <c r="T398" s="9" t="e">
        <f t="shared" si="310"/>
        <v>#N/A</v>
      </c>
      <c r="U398">
        <f t="shared" si="332"/>
        <v>-1.0000000000000001E+300</v>
      </c>
      <c r="V398">
        <f t="shared" si="333"/>
        <v>0</v>
      </c>
      <c r="W398">
        <f t="shared" si="334"/>
        <v>0</v>
      </c>
      <c r="X398">
        <f t="shared" si="311"/>
        <v>2.0074777056438777</v>
      </c>
      <c r="Y398">
        <f t="shared" si="312"/>
        <v>7.8539816339744828</v>
      </c>
      <c r="Z398">
        <f t="shared" si="313"/>
        <v>-2.0074777056438777</v>
      </c>
      <c r="AA398">
        <f t="shared" si="335"/>
        <v>0.93695547985591143</v>
      </c>
      <c r="AB398">
        <f t="shared" si="314"/>
        <v>8.7909371138303936</v>
      </c>
      <c r="AC398">
        <f t="shared" si="336"/>
        <v>0.24529635595534308</v>
      </c>
      <c r="AD398">
        <f t="shared" si="315"/>
        <v>9.8539156098346792E-2</v>
      </c>
      <c r="AE398" s="9">
        <f t="shared" si="337"/>
        <v>9.134772625884084</v>
      </c>
      <c r="AF398">
        <f t="shared" si="338"/>
        <v>0</v>
      </c>
      <c r="AH398">
        <f t="shared" si="316"/>
        <v>7.8539816339744828</v>
      </c>
      <c r="AI398">
        <f t="shared" si="317"/>
        <v>0.93695547985591165</v>
      </c>
      <c r="AJ398">
        <f t="shared" si="318"/>
        <v>0.24529635595534671</v>
      </c>
      <c r="AK398">
        <f t="shared" si="319"/>
        <v>9.8539156098346792E-2</v>
      </c>
      <c r="AL398" s="9">
        <f t="shared" si="339"/>
        <v>9.1347726258840893</v>
      </c>
      <c r="AM398" t="e">
        <f t="shared" si="320"/>
        <v>#N/A</v>
      </c>
      <c r="AN398" t="e">
        <f t="shared" si="340"/>
        <v>#N/A</v>
      </c>
      <c r="AO398">
        <f t="shared" si="321"/>
        <v>0</v>
      </c>
      <c r="AP398">
        <f t="shared" si="322"/>
        <v>0</v>
      </c>
      <c r="AQ398">
        <f t="shared" si="323"/>
        <v>3.6359804056473877E-15</v>
      </c>
      <c r="AR398">
        <f t="shared" si="341"/>
        <v>0</v>
      </c>
      <c r="AS398">
        <f t="shared" si="324"/>
        <v>0</v>
      </c>
      <c r="AT398">
        <f t="shared" si="342"/>
        <v>0</v>
      </c>
      <c r="AU398">
        <f t="shared" si="343"/>
        <v>0</v>
      </c>
      <c r="AV398">
        <f t="shared" si="325"/>
        <v>2.0074777056438777E-20</v>
      </c>
      <c r="AW398" t="b">
        <f t="shared" si="344"/>
        <v>1</v>
      </c>
      <c r="AX398">
        <f t="shared" si="326"/>
        <v>7.8539816339744828</v>
      </c>
      <c r="AY398">
        <f t="shared" si="327"/>
        <v>0.93695547985591143</v>
      </c>
      <c r="AZ398">
        <f t="shared" si="328"/>
        <v>0.24529635595534308</v>
      </c>
      <c r="BA398">
        <f t="shared" si="329"/>
        <v>9.8539156098346792E-2</v>
      </c>
      <c r="BB398">
        <f t="shared" si="330"/>
        <v>-1.2337005501361696E-20</v>
      </c>
      <c r="BD398" s="15">
        <f t="shared" si="345"/>
        <v>9.134772625884084</v>
      </c>
      <c r="BE398" s="10">
        <f t="shared" si="346"/>
        <v>0</v>
      </c>
      <c r="BF398">
        <f t="shared" si="347"/>
        <v>0</v>
      </c>
      <c r="BG398">
        <f t="shared" si="348"/>
        <v>0</v>
      </c>
      <c r="BH398">
        <f t="shared" si="349"/>
        <v>0</v>
      </c>
      <c r="BI398">
        <f t="shared" si="350"/>
        <v>0</v>
      </c>
    </row>
    <row r="399" spans="1:61" x14ac:dyDescent="0.3">
      <c r="A399">
        <f t="shared" si="355"/>
        <v>0.36199999999999999</v>
      </c>
      <c r="B399">
        <f t="shared" si="298"/>
        <v>1.137256540599505</v>
      </c>
      <c r="C399">
        <f t="shared" si="299"/>
        <v>2.0043361129902881</v>
      </c>
      <c r="D399">
        <f t="shared" si="300"/>
        <v>2.0043361129902881</v>
      </c>
      <c r="E399">
        <f t="shared" si="305"/>
        <v>0.90748442454111689</v>
      </c>
      <c r="F399">
        <f t="shared" si="306"/>
        <v>0.90748442454111689</v>
      </c>
      <c r="G399">
        <f t="shared" si="301"/>
        <v>1.137256540599505</v>
      </c>
      <c r="H399">
        <f t="shared" si="302"/>
        <v>0.90748442454111689</v>
      </c>
      <c r="I399">
        <f t="shared" si="303"/>
        <v>0.90748442454111689</v>
      </c>
      <c r="J399">
        <f t="shared" si="351"/>
        <v>7.0152143127910736E+19</v>
      </c>
      <c r="K399">
        <f t="shared" si="352"/>
        <v>7.0152143127910736E+19</v>
      </c>
      <c r="L399">
        <f t="shared" si="307"/>
        <v>1</v>
      </c>
      <c r="M399">
        <f t="shared" si="304"/>
        <v>2.004336112990288E-20</v>
      </c>
      <c r="N399" s="9">
        <f t="shared" si="353"/>
        <v>2.004336112990288E-20</v>
      </c>
      <c r="O399">
        <f t="shared" si="354"/>
        <v>2.004336112990288E-20</v>
      </c>
      <c r="Q399">
        <f t="shared" si="308"/>
        <v>45.697198030621969</v>
      </c>
      <c r="R399">
        <f t="shared" si="309"/>
        <v>0</v>
      </c>
      <c r="S399">
        <f t="shared" si="331"/>
        <v>-45.356388969668863</v>
      </c>
      <c r="T399" s="9" t="e">
        <f t="shared" si="310"/>
        <v>#N/A</v>
      </c>
      <c r="U399">
        <f t="shared" si="332"/>
        <v>-1.0000000000000001E+300</v>
      </c>
      <c r="V399">
        <f t="shared" si="333"/>
        <v>0</v>
      </c>
      <c r="W399">
        <f t="shared" si="334"/>
        <v>0</v>
      </c>
      <c r="X399">
        <f t="shared" si="311"/>
        <v>2.0043361129902881</v>
      </c>
      <c r="Y399">
        <f t="shared" si="312"/>
        <v>7.8539816339744828</v>
      </c>
      <c r="Z399">
        <f t="shared" si="313"/>
        <v>-2.0043361129902881</v>
      </c>
      <c r="AA399">
        <f t="shared" si="335"/>
        <v>0.927831897978172</v>
      </c>
      <c r="AB399">
        <f t="shared" si="314"/>
        <v>8.781813531952654</v>
      </c>
      <c r="AC399">
        <f t="shared" si="336"/>
        <v>0.24373018492259815</v>
      </c>
      <c r="AD399">
        <f t="shared" si="315"/>
        <v>9.7078876030509451E-2</v>
      </c>
      <c r="AE399" s="9">
        <f t="shared" si="337"/>
        <v>9.1226225929057616</v>
      </c>
      <c r="AF399">
        <f t="shared" si="338"/>
        <v>0</v>
      </c>
      <c r="AH399">
        <f t="shared" si="316"/>
        <v>7.8539816339744828</v>
      </c>
      <c r="AI399">
        <f t="shared" si="317"/>
        <v>0.92783189797817223</v>
      </c>
      <c r="AJ399">
        <f t="shared" si="318"/>
        <v>0.24373018492259746</v>
      </c>
      <c r="AK399">
        <f t="shared" si="319"/>
        <v>9.7078876030509451E-2</v>
      </c>
      <c r="AL399" s="9">
        <f t="shared" si="339"/>
        <v>9.1226225929057634</v>
      </c>
      <c r="AM399" t="e">
        <f t="shared" si="320"/>
        <v>#N/A</v>
      </c>
      <c r="AN399" t="e">
        <f t="shared" si="340"/>
        <v>#N/A</v>
      </c>
      <c r="AO399">
        <f t="shared" si="321"/>
        <v>0</v>
      </c>
      <c r="AP399">
        <f t="shared" si="322"/>
        <v>0</v>
      </c>
      <c r="AQ399">
        <f t="shared" si="323"/>
        <v>-6.9388939039072284E-16</v>
      </c>
      <c r="AR399">
        <f t="shared" si="341"/>
        <v>0</v>
      </c>
      <c r="AS399">
        <f t="shared" si="324"/>
        <v>0</v>
      </c>
      <c r="AT399">
        <f t="shared" si="342"/>
        <v>0</v>
      </c>
      <c r="AU399">
        <f t="shared" si="343"/>
        <v>0</v>
      </c>
      <c r="AV399">
        <f t="shared" si="325"/>
        <v>2.004336112990288E-20</v>
      </c>
      <c r="AW399" t="b">
        <f t="shared" si="344"/>
        <v>1</v>
      </c>
      <c r="AX399">
        <f t="shared" si="326"/>
        <v>7.8539816339744828</v>
      </c>
      <c r="AY399">
        <f t="shared" si="327"/>
        <v>0.92783189797817189</v>
      </c>
      <c r="AZ399">
        <f t="shared" si="328"/>
        <v>0.24373018492259815</v>
      </c>
      <c r="BA399">
        <f t="shared" si="329"/>
        <v>9.7078876030509451E-2</v>
      </c>
      <c r="BB399">
        <f t="shared" si="330"/>
        <v>-1.2337005501361696E-20</v>
      </c>
      <c r="BD399" s="15">
        <f t="shared" si="345"/>
        <v>9.1226225929057616</v>
      </c>
      <c r="BE399" s="10">
        <f t="shared" si="346"/>
        <v>0</v>
      </c>
      <c r="BF399">
        <f t="shared" si="347"/>
        <v>0</v>
      </c>
      <c r="BG399">
        <f t="shared" si="348"/>
        <v>0</v>
      </c>
      <c r="BH399">
        <f t="shared" si="349"/>
        <v>0</v>
      </c>
      <c r="BI399">
        <f t="shared" si="350"/>
        <v>0</v>
      </c>
    </row>
    <row r="400" spans="1:61" x14ac:dyDescent="0.3">
      <c r="A400">
        <f t="shared" si="355"/>
        <v>0.36299999999999999</v>
      </c>
      <c r="B400">
        <f t="shared" si="298"/>
        <v>1.1403981332530948</v>
      </c>
      <c r="C400">
        <f t="shared" si="299"/>
        <v>2.0011945203366981</v>
      </c>
      <c r="D400">
        <f t="shared" si="300"/>
        <v>2.0011945203366981</v>
      </c>
      <c r="E400">
        <f t="shared" si="305"/>
        <v>0.90879968235604003</v>
      </c>
      <c r="F400">
        <f t="shared" si="306"/>
        <v>0.90879968235604014</v>
      </c>
      <c r="G400">
        <f t="shared" si="301"/>
        <v>1.1403981332530948</v>
      </c>
      <c r="H400">
        <f t="shared" si="302"/>
        <v>0.90879968235604003</v>
      </c>
      <c r="I400">
        <f t="shared" si="303"/>
        <v>0.90879968235604014</v>
      </c>
      <c r="J400">
        <f t="shared" si="351"/>
        <v>7.0050615633707188E+19</v>
      </c>
      <c r="K400">
        <f t="shared" si="352"/>
        <v>7.0050615633707188E+19</v>
      </c>
      <c r="L400">
        <f t="shared" si="307"/>
        <v>1</v>
      </c>
      <c r="M400">
        <f t="shared" si="304"/>
        <v>2.0011945203366983E-20</v>
      </c>
      <c r="N400" s="9">
        <f t="shared" si="353"/>
        <v>2.0011945203366983E-20</v>
      </c>
      <c r="O400">
        <f t="shared" si="354"/>
        <v>2.0011945203366983E-20</v>
      </c>
      <c r="Q400">
        <f t="shared" si="308"/>
        <v>45.695749735126974</v>
      </c>
      <c r="R400">
        <f t="shared" si="309"/>
        <v>0</v>
      </c>
      <c r="S400">
        <f t="shared" si="331"/>
        <v>-45.357957597441484</v>
      </c>
      <c r="T400" s="9" t="e">
        <f t="shared" si="310"/>
        <v>#N/A</v>
      </c>
      <c r="U400">
        <f t="shared" si="332"/>
        <v>-1.0000000000000001E+300</v>
      </c>
      <c r="V400">
        <f t="shared" si="333"/>
        <v>0</v>
      </c>
      <c r="W400">
        <f t="shared" si="334"/>
        <v>0</v>
      </c>
      <c r="X400">
        <f t="shared" si="311"/>
        <v>2.0011945203366981</v>
      </c>
      <c r="Y400">
        <f t="shared" si="312"/>
        <v>7.8539816339744828</v>
      </c>
      <c r="Z400">
        <f t="shared" si="313"/>
        <v>-2.0011945203366981</v>
      </c>
      <c r="AA400">
        <f t="shared" si="335"/>
        <v>0.91875452478208675</v>
      </c>
      <c r="AB400">
        <f t="shared" si="314"/>
        <v>8.7727361587565689</v>
      </c>
      <c r="AC400">
        <f t="shared" si="336"/>
        <v>0.24216155714997162</v>
      </c>
      <c r="AD400">
        <f t="shared" si="315"/>
        <v>9.5630580535513668E-2</v>
      </c>
      <c r="AE400" s="9">
        <f t="shared" si="337"/>
        <v>9.1105282964420535</v>
      </c>
      <c r="AF400">
        <f t="shared" si="338"/>
        <v>0</v>
      </c>
      <c r="AH400">
        <f t="shared" si="316"/>
        <v>7.8539816339744828</v>
      </c>
      <c r="AI400">
        <f t="shared" si="317"/>
        <v>0.91875452478208741</v>
      </c>
      <c r="AJ400">
        <f t="shared" si="318"/>
        <v>0.24216155714997711</v>
      </c>
      <c r="AK400">
        <f t="shared" si="319"/>
        <v>9.5630580535513668E-2</v>
      </c>
      <c r="AL400" s="9">
        <f t="shared" si="339"/>
        <v>9.1105282964420606</v>
      </c>
      <c r="AM400" t="e">
        <f t="shared" si="320"/>
        <v>#N/A</v>
      </c>
      <c r="AN400" t="e">
        <f t="shared" si="340"/>
        <v>#N/A</v>
      </c>
      <c r="AO400">
        <f t="shared" si="321"/>
        <v>0</v>
      </c>
      <c r="AP400">
        <f t="shared" si="322"/>
        <v>0</v>
      </c>
      <c r="AQ400">
        <f t="shared" si="323"/>
        <v>5.4956039718945249E-15</v>
      </c>
      <c r="AR400">
        <f t="shared" si="341"/>
        <v>0</v>
      </c>
      <c r="AS400">
        <f t="shared" si="324"/>
        <v>0</v>
      </c>
      <c r="AT400">
        <f t="shared" si="342"/>
        <v>0</v>
      </c>
      <c r="AU400">
        <f t="shared" si="343"/>
        <v>0</v>
      </c>
      <c r="AV400">
        <f t="shared" si="325"/>
        <v>2.001194520336698E-20</v>
      </c>
      <c r="AW400" t="b">
        <f t="shared" si="344"/>
        <v>1</v>
      </c>
      <c r="AX400">
        <f t="shared" si="326"/>
        <v>7.8539816339744828</v>
      </c>
      <c r="AY400">
        <f t="shared" si="327"/>
        <v>0.91875452478208663</v>
      </c>
      <c r="AZ400">
        <f t="shared" si="328"/>
        <v>0.24216155714997162</v>
      </c>
      <c r="BA400">
        <f t="shared" si="329"/>
        <v>9.5630580535513543E-2</v>
      </c>
      <c r="BB400">
        <f t="shared" si="330"/>
        <v>-1.2337005501361696E-20</v>
      </c>
      <c r="BD400" s="15">
        <f t="shared" si="345"/>
        <v>9.1105282964420535</v>
      </c>
      <c r="BE400" s="10">
        <f t="shared" si="346"/>
        <v>0</v>
      </c>
      <c r="BF400">
        <f t="shared" si="347"/>
        <v>0</v>
      </c>
      <c r="BG400">
        <f t="shared" si="348"/>
        <v>0</v>
      </c>
      <c r="BH400">
        <f t="shared" si="349"/>
        <v>0</v>
      </c>
      <c r="BI400">
        <f t="shared" si="350"/>
        <v>0</v>
      </c>
    </row>
    <row r="401" spans="1:61" x14ac:dyDescent="0.3">
      <c r="A401">
        <f t="shared" si="355"/>
        <v>0.36399999999999999</v>
      </c>
      <c r="B401">
        <f t="shared" si="298"/>
        <v>1.1435397259066846</v>
      </c>
      <c r="C401">
        <f t="shared" si="299"/>
        <v>1.9980529276831085</v>
      </c>
      <c r="D401">
        <f t="shared" si="300"/>
        <v>1.9980529276831085</v>
      </c>
      <c r="E401">
        <f t="shared" si="305"/>
        <v>0.91010597068499566</v>
      </c>
      <c r="F401">
        <f t="shared" si="306"/>
        <v>0.91010597068499566</v>
      </c>
      <c r="G401">
        <f t="shared" si="301"/>
        <v>1.1435397259066846</v>
      </c>
      <c r="H401">
        <f t="shared" si="302"/>
        <v>0.91010597068499566</v>
      </c>
      <c r="I401">
        <f t="shared" si="303"/>
        <v>0.91010597068499566</v>
      </c>
      <c r="J401">
        <f t="shared" si="351"/>
        <v>6.9950070966837682E+19</v>
      </c>
      <c r="K401">
        <f t="shared" si="352"/>
        <v>6.9950070966837682E+19</v>
      </c>
      <c r="L401" t="e">
        <f t="shared" si="307"/>
        <v>#NUM!</v>
      </c>
      <c r="M401">
        <f t="shared" si="304"/>
        <v>1.9980529276831084E-20</v>
      </c>
      <c r="N401" s="9" t="e">
        <f t="shared" si="353"/>
        <v>#NUM!</v>
      </c>
      <c r="O401" t="e">
        <f t="shared" si="354"/>
        <v>#NUM!</v>
      </c>
      <c r="Q401">
        <f t="shared" si="308"/>
        <v>45.694313389540433</v>
      </c>
      <c r="R401">
        <f t="shared" si="309"/>
        <v>0</v>
      </c>
      <c r="S401">
        <f t="shared" si="331"/>
        <v>-45.359528689673532</v>
      </c>
      <c r="T401" s="9" t="e">
        <f t="shared" si="310"/>
        <v>#N/A</v>
      </c>
      <c r="U401">
        <f t="shared" si="332"/>
        <v>-1.0000000000000001E+300</v>
      </c>
      <c r="V401">
        <f t="shared" si="333"/>
        <v>0</v>
      </c>
      <c r="W401">
        <f t="shared" si="334"/>
        <v>0</v>
      </c>
      <c r="X401">
        <f t="shared" si="311"/>
        <v>1.9980529276831085</v>
      </c>
      <c r="Y401">
        <f t="shared" si="312"/>
        <v>7.8539816339744828</v>
      </c>
      <c r="Z401">
        <f t="shared" si="313"/>
        <v>-1.9980529276831085</v>
      </c>
      <c r="AA401">
        <f t="shared" si="335"/>
        <v>0.90972300966321995</v>
      </c>
      <c r="AB401">
        <f t="shared" si="314"/>
        <v>8.763704643637702</v>
      </c>
      <c r="AC401">
        <f t="shared" si="336"/>
        <v>0.24059046491793043</v>
      </c>
      <c r="AD401">
        <f t="shared" si="315"/>
        <v>9.4194234948974845E-2</v>
      </c>
      <c r="AE401" s="9">
        <f t="shared" si="337"/>
        <v>9.0984893435046086</v>
      </c>
      <c r="AF401">
        <f t="shared" si="338"/>
        <v>0</v>
      </c>
      <c r="AH401">
        <f t="shared" si="316"/>
        <v>7.8539816339744828</v>
      </c>
      <c r="AI401">
        <f t="shared" si="317"/>
        <v>0.90972300966322006</v>
      </c>
      <c r="AJ401">
        <f t="shared" si="318"/>
        <v>0.24059046491792913</v>
      </c>
      <c r="AK401">
        <f t="shared" si="319"/>
        <v>9.4194234948974845E-2</v>
      </c>
      <c r="AL401" s="9">
        <f t="shared" si="339"/>
        <v>9.0984893435046068</v>
      </c>
      <c r="AM401" t="e">
        <f t="shared" si="320"/>
        <v>#N/A</v>
      </c>
      <c r="AN401" t="e">
        <f t="shared" si="340"/>
        <v>#N/A</v>
      </c>
      <c r="AO401">
        <f t="shared" si="321"/>
        <v>0</v>
      </c>
      <c r="AP401">
        <f t="shared" si="322"/>
        <v>0</v>
      </c>
      <c r="AQ401">
        <f t="shared" si="323"/>
        <v>-1.3045120539345589E-15</v>
      </c>
      <c r="AR401">
        <f t="shared" si="341"/>
        <v>0</v>
      </c>
      <c r="AS401">
        <f t="shared" si="324"/>
        <v>0</v>
      </c>
      <c r="AT401">
        <f t="shared" si="342"/>
        <v>0</v>
      </c>
      <c r="AU401">
        <f t="shared" si="343"/>
        <v>0</v>
      </c>
      <c r="AV401">
        <f t="shared" si="325"/>
        <v>1.9980529276831084E-20</v>
      </c>
      <c r="AW401" t="b">
        <f t="shared" si="344"/>
        <v>1</v>
      </c>
      <c r="AX401">
        <f t="shared" si="326"/>
        <v>7.8539816339744828</v>
      </c>
      <c r="AY401">
        <f t="shared" si="327"/>
        <v>0.90972300966321984</v>
      </c>
      <c r="AZ401">
        <f t="shared" si="328"/>
        <v>0.24059046491793043</v>
      </c>
      <c r="BA401">
        <f t="shared" si="329"/>
        <v>9.4194234948974845E-2</v>
      </c>
      <c r="BB401">
        <f t="shared" si="330"/>
        <v>-1.2337005501361696E-20</v>
      </c>
      <c r="BD401" s="15">
        <f t="shared" si="345"/>
        <v>9.0984893435046086</v>
      </c>
      <c r="BE401" s="10">
        <f t="shared" si="346"/>
        <v>0</v>
      </c>
      <c r="BF401">
        <f t="shared" si="347"/>
        <v>0</v>
      </c>
      <c r="BG401">
        <f t="shared" si="348"/>
        <v>0</v>
      </c>
      <c r="BH401">
        <f t="shared" si="349"/>
        <v>0</v>
      </c>
      <c r="BI401">
        <f t="shared" si="350"/>
        <v>0</v>
      </c>
    </row>
    <row r="402" spans="1:61" x14ac:dyDescent="0.3">
      <c r="A402">
        <f t="shared" si="355"/>
        <v>0.36499999999999999</v>
      </c>
      <c r="B402">
        <f t="shared" si="298"/>
        <v>1.1466813185602744</v>
      </c>
      <c r="C402">
        <f t="shared" si="299"/>
        <v>1.9949113350295187</v>
      </c>
      <c r="D402">
        <f t="shared" si="300"/>
        <v>1.9949113350295187</v>
      </c>
      <c r="E402">
        <f t="shared" si="305"/>
        <v>0.91140327663544518</v>
      </c>
      <c r="F402">
        <f t="shared" si="306"/>
        <v>0.91140327663544529</v>
      </c>
      <c r="G402">
        <f t="shared" si="301"/>
        <v>1.1466813185602744</v>
      </c>
      <c r="H402">
        <f t="shared" si="302"/>
        <v>0.91140327663544518</v>
      </c>
      <c r="I402">
        <f t="shared" si="303"/>
        <v>0.91140327663544529</v>
      </c>
      <c r="J402">
        <f t="shared" si="351"/>
        <v>6.9850502920917721E+19</v>
      </c>
      <c r="K402">
        <f t="shared" si="352"/>
        <v>6.9850502920917721E+19</v>
      </c>
      <c r="L402" t="e">
        <f t="shared" si="307"/>
        <v>#NUM!</v>
      </c>
      <c r="M402">
        <f t="shared" si="304"/>
        <v>1.9949113350295184E-20</v>
      </c>
      <c r="N402" s="9" t="e">
        <f t="shared" si="353"/>
        <v>#NUM!</v>
      </c>
      <c r="O402" t="e">
        <f t="shared" si="354"/>
        <v>#NUM!</v>
      </c>
      <c r="Q402">
        <f t="shared" si="308"/>
        <v>45.692888959583009</v>
      </c>
      <c r="R402">
        <f t="shared" si="309"/>
        <v>-710542.73576010019</v>
      </c>
      <c r="S402">
        <f t="shared" si="331"/>
        <v>-45.361102254120958</v>
      </c>
      <c r="T402" s="9" t="e">
        <f t="shared" si="310"/>
        <v>#N/A</v>
      </c>
      <c r="U402">
        <f t="shared" si="332"/>
        <v>-1.0000000000000001E+300</v>
      </c>
      <c r="V402">
        <f t="shared" si="333"/>
        <v>0</v>
      </c>
      <c r="W402">
        <f t="shared" si="334"/>
        <v>0</v>
      </c>
      <c r="X402">
        <f t="shared" si="311"/>
        <v>1.9949113350295187</v>
      </c>
      <c r="Y402">
        <f t="shared" si="312"/>
        <v>7.8539816339744828</v>
      </c>
      <c r="Z402">
        <f t="shared" si="313"/>
        <v>-1.9949113350295187</v>
      </c>
      <c r="AA402">
        <f t="shared" si="335"/>
        <v>0.90073700583929506</v>
      </c>
      <c r="AB402">
        <f t="shared" si="314"/>
        <v>8.7547186398137775</v>
      </c>
      <c r="AC402">
        <f t="shared" si="336"/>
        <v>0.23901690047049992</v>
      </c>
      <c r="AD402">
        <f t="shared" si="315"/>
        <v>9.2769804991552629E-2</v>
      </c>
      <c r="AE402" s="9">
        <f t="shared" si="337"/>
        <v>9.08650534527583</v>
      </c>
      <c r="AF402">
        <f t="shared" si="338"/>
        <v>0</v>
      </c>
      <c r="AH402">
        <f t="shared" si="316"/>
        <v>7.8539816339744828</v>
      </c>
      <c r="AI402">
        <f t="shared" si="317"/>
        <v>0.90073700583929517</v>
      </c>
      <c r="AJ402">
        <f t="shared" si="318"/>
        <v>0.23901690047050295</v>
      </c>
      <c r="AK402">
        <f t="shared" si="319"/>
        <v>9.2769804991552629E-2</v>
      </c>
      <c r="AL402" s="9">
        <f t="shared" si="339"/>
        <v>9.0865053452758335</v>
      </c>
      <c r="AM402" t="e">
        <f t="shared" si="320"/>
        <v>#N/A</v>
      </c>
      <c r="AN402" t="e">
        <f t="shared" si="340"/>
        <v>#N/A</v>
      </c>
      <c r="AO402">
        <f t="shared" si="321"/>
        <v>0</v>
      </c>
      <c r="AP402">
        <f t="shared" si="322"/>
        <v>0</v>
      </c>
      <c r="AQ402">
        <f t="shared" si="323"/>
        <v>3.0253577421035516E-15</v>
      </c>
      <c r="AR402">
        <f t="shared" si="341"/>
        <v>0</v>
      </c>
      <c r="AS402">
        <f t="shared" si="324"/>
        <v>0</v>
      </c>
      <c r="AT402">
        <f t="shared" si="342"/>
        <v>0</v>
      </c>
      <c r="AU402">
        <f t="shared" si="343"/>
        <v>0</v>
      </c>
      <c r="AV402">
        <f t="shared" si="325"/>
        <v>1.9949113350295184E-20</v>
      </c>
      <c r="AW402" t="b">
        <f t="shared" si="344"/>
        <v>1</v>
      </c>
      <c r="AX402">
        <f t="shared" si="326"/>
        <v>7.8539816339744828</v>
      </c>
      <c r="AY402">
        <f t="shared" si="327"/>
        <v>0.90073700583929472</v>
      </c>
      <c r="AZ402">
        <f t="shared" si="328"/>
        <v>0.23901690047049992</v>
      </c>
      <c r="BA402">
        <f t="shared" si="329"/>
        <v>9.2769804991552504E-2</v>
      </c>
      <c r="BB402">
        <f t="shared" si="330"/>
        <v>-1.2337005501361696E-20</v>
      </c>
      <c r="BD402" s="15">
        <f t="shared" si="345"/>
        <v>9.08650534527583</v>
      </c>
      <c r="BE402" s="10">
        <f t="shared" si="346"/>
        <v>0</v>
      </c>
      <c r="BF402">
        <f t="shared" si="347"/>
        <v>0</v>
      </c>
      <c r="BG402">
        <f t="shared" si="348"/>
        <v>0</v>
      </c>
      <c r="BH402">
        <f t="shared" si="349"/>
        <v>0</v>
      </c>
      <c r="BI402">
        <f t="shared" si="350"/>
        <v>0</v>
      </c>
    </row>
    <row r="403" spans="1:61" x14ac:dyDescent="0.3">
      <c r="A403">
        <f t="shared" si="355"/>
        <v>0.36599999999999999</v>
      </c>
      <c r="B403">
        <f t="shared" si="298"/>
        <v>1.1498229112138643</v>
      </c>
      <c r="C403">
        <f t="shared" si="299"/>
        <v>1.9917697423759289</v>
      </c>
      <c r="D403">
        <f t="shared" si="300"/>
        <v>1.9917697423759289</v>
      </c>
      <c r="E403">
        <f t="shared" si="305"/>
        <v>0.91269158740350276</v>
      </c>
      <c r="F403">
        <f t="shared" si="306"/>
        <v>0.91269158740350287</v>
      </c>
      <c r="G403">
        <f t="shared" si="301"/>
        <v>1.1498229112138643</v>
      </c>
      <c r="H403">
        <f t="shared" si="302"/>
        <v>0.91269158740350276</v>
      </c>
      <c r="I403">
        <f t="shared" si="303"/>
        <v>0.91269158740350287</v>
      </c>
      <c r="J403">
        <f t="shared" si="351"/>
        <v>6.9751905370212483E+19</v>
      </c>
      <c r="K403">
        <f t="shared" si="352"/>
        <v>6.9751905370212483E+19</v>
      </c>
      <c r="L403">
        <f t="shared" si="307"/>
        <v>1</v>
      </c>
      <c r="M403">
        <f t="shared" si="304"/>
        <v>1.9917697423759288E-20</v>
      </c>
      <c r="N403" s="9">
        <f t="shared" si="353"/>
        <v>1.9917697423759288E-20</v>
      </c>
      <c r="O403">
        <f t="shared" si="354"/>
        <v>1.9917697423759288E-20</v>
      </c>
      <c r="Q403">
        <f t="shared" si="308"/>
        <v>45.691476411356852</v>
      </c>
      <c r="R403">
        <f t="shared" si="309"/>
        <v>-710542.73576010019</v>
      </c>
      <c r="S403">
        <f t="shared" si="331"/>
        <v>-45.362678298576427</v>
      </c>
      <c r="T403" s="9" t="e">
        <f t="shared" si="310"/>
        <v>#N/A</v>
      </c>
      <c r="U403">
        <f t="shared" si="332"/>
        <v>-1.0000000000000001E+300</v>
      </c>
      <c r="V403">
        <f t="shared" si="333"/>
        <v>0</v>
      </c>
      <c r="W403">
        <f t="shared" si="334"/>
        <v>0</v>
      </c>
      <c r="X403">
        <f t="shared" si="311"/>
        <v>1.9917697423759289</v>
      </c>
      <c r="Y403">
        <f t="shared" si="312"/>
        <v>7.8539816339744828</v>
      </c>
      <c r="Z403">
        <f t="shared" si="313"/>
        <v>-1.9917697423759289</v>
      </c>
      <c r="AA403">
        <f t="shared" si="335"/>
        <v>0.89179617029814628</v>
      </c>
      <c r="AB403">
        <f t="shared" si="314"/>
        <v>8.7457778042726293</v>
      </c>
      <c r="AC403">
        <f t="shared" si="336"/>
        <v>0.2374408560150342</v>
      </c>
      <c r="AD403">
        <f t="shared" si="315"/>
        <v>9.1357256765395106E-2</v>
      </c>
      <c r="AE403" s="9">
        <f t="shared" si="337"/>
        <v>9.0745759170530587</v>
      </c>
      <c r="AF403">
        <f t="shared" si="338"/>
        <v>0</v>
      </c>
      <c r="AH403">
        <f t="shared" si="316"/>
        <v>7.8539816339744828</v>
      </c>
      <c r="AI403">
        <f t="shared" si="317"/>
        <v>0.89179617029814617</v>
      </c>
      <c r="AJ403">
        <f t="shared" si="318"/>
        <v>0.23744085601503429</v>
      </c>
      <c r="AK403">
        <f t="shared" si="319"/>
        <v>9.1357256765395106E-2</v>
      </c>
      <c r="AL403" s="9">
        <f t="shared" si="339"/>
        <v>9.0745759170530587</v>
      </c>
      <c r="AM403" t="e">
        <f t="shared" si="320"/>
        <v>#N/A</v>
      </c>
      <c r="AN403" t="e">
        <f t="shared" si="340"/>
        <v>#N/A</v>
      </c>
      <c r="AO403">
        <f t="shared" si="321"/>
        <v>0</v>
      </c>
      <c r="AP403">
        <f t="shared" si="322"/>
        <v>0</v>
      </c>
      <c r="AQ403">
        <f t="shared" si="323"/>
        <v>0</v>
      </c>
      <c r="AR403">
        <f t="shared" si="341"/>
        <v>0</v>
      </c>
      <c r="AS403">
        <f t="shared" si="324"/>
        <v>0</v>
      </c>
      <c r="AT403">
        <f t="shared" si="342"/>
        <v>0</v>
      </c>
      <c r="AU403">
        <f t="shared" si="343"/>
        <v>0</v>
      </c>
      <c r="AV403">
        <f t="shared" si="325"/>
        <v>1.9917697423759288E-20</v>
      </c>
      <c r="AW403" t="b">
        <f t="shared" si="344"/>
        <v>1</v>
      </c>
      <c r="AX403">
        <f t="shared" si="326"/>
        <v>7.8539816339744828</v>
      </c>
      <c r="AY403">
        <f t="shared" si="327"/>
        <v>0.89179617029814595</v>
      </c>
      <c r="AZ403">
        <f t="shared" si="328"/>
        <v>0.2374408560150342</v>
      </c>
      <c r="BA403">
        <f t="shared" si="329"/>
        <v>9.1357256765394981E-2</v>
      </c>
      <c r="BB403">
        <f t="shared" si="330"/>
        <v>-1.2337005501361696E-20</v>
      </c>
      <c r="BD403" s="15">
        <f t="shared" si="345"/>
        <v>9.0745759170530587</v>
      </c>
      <c r="BE403" s="10">
        <f t="shared" si="346"/>
        <v>0</v>
      </c>
      <c r="BF403">
        <f t="shared" si="347"/>
        <v>0</v>
      </c>
      <c r="BG403">
        <f t="shared" si="348"/>
        <v>0</v>
      </c>
      <c r="BH403">
        <f t="shared" si="349"/>
        <v>0</v>
      </c>
      <c r="BI403">
        <f t="shared" si="350"/>
        <v>0</v>
      </c>
    </row>
    <row r="404" spans="1:61" x14ac:dyDescent="0.3">
      <c r="A404">
        <f t="shared" si="355"/>
        <v>0.36699999999999999</v>
      </c>
      <c r="B404">
        <f t="shared" si="298"/>
        <v>1.1529645038674541</v>
      </c>
      <c r="C404">
        <f t="shared" si="299"/>
        <v>1.988628149722339</v>
      </c>
      <c r="D404">
        <f t="shared" si="300"/>
        <v>1.988628149722339</v>
      </c>
      <c r="E404">
        <f t="shared" si="305"/>
        <v>0.9139708902740612</v>
      </c>
      <c r="F404">
        <f t="shared" si="306"/>
        <v>0.9139708902740612</v>
      </c>
      <c r="G404">
        <f t="shared" si="301"/>
        <v>1.1529645038674541</v>
      </c>
      <c r="H404">
        <f t="shared" si="302"/>
        <v>0.9139708902740612</v>
      </c>
      <c r="I404">
        <f t="shared" si="303"/>
        <v>0.9139708902740612</v>
      </c>
      <c r="J404">
        <f t="shared" si="351"/>
        <v>6.9654272268637143E+19</v>
      </c>
      <c r="K404">
        <f t="shared" si="352"/>
        <v>6.9654272268637143E+19</v>
      </c>
      <c r="L404">
        <f t="shared" si="307"/>
        <v>0</v>
      </c>
      <c r="M404">
        <f t="shared" si="304"/>
        <v>1.9886281497223391E-20</v>
      </c>
      <c r="N404" s="9">
        <f t="shared" si="353"/>
        <v>0</v>
      </c>
      <c r="O404">
        <f t="shared" si="354"/>
        <v>0</v>
      </c>
      <c r="Q404">
        <f t="shared" si="308"/>
        <v>45.690075711342097</v>
      </c>
      <c r="R404">
        <f t="shared" si="309"/>
        <v>0</v>
      </c>
      <c r="S404">
        <f t="shared" si="331"/>
        <v>-45.364256830869472</v>
      </c>
      <c r="T404" s="9" t="e">
        <f t="shared" si="310"/>
        <v>#N/A</v>
      </c>
      <c r="U404">
        <f t="shared" si="332"/>
        <v>-1.0000000000000001E+300</v>
      </c>
      <c r="V404">
        <f t="shared" si="333"/>
        <v>0</v>
      </c>
      <c r="W404">
        <f t="shared" si="334"/>
        <v>0</v>
      </c>
      <c r="X404">
        <f t="shared" si="311"/>
        <v>1.988628149722339</v>
      </c>
      <c r="Y404">
        <f t="shared" si="312"/>
        <v>7.8539816339744828</v>
      </c>
      <c r="Z404">
        <f t="shared" si="313"/>
        <v>-1.988628149722339</v>
      </c>
      <c r="AA404">
        <f t="shared" si="335"/>
        <v>0.88290016374651237</v>
      </c>
      <c r="AB404">
        <f t="shared" si="314"/>
        <v>8.7368817977209954</v>
      </c>
      <c r="AC404">
        <f t="shared" si="336"/>
        <v>0.23586232372198446</v>
      </c>
      <c r="AD404">
        <f t="shared" si="315"/>
        <v>8.9956556750637295E-2</v>
      </c>
      <c r="AE404" s="9">
        <f t="shared" si="337"/>
        <v>9.0627006781936181</v>
      </c>
      <c r="AF404">
        <f t="shared" si="338"/>
        <v>0</v>
      </c>
      <c r="AH404">
        <f t="shared" si="316"/>
        <v>7.8539816339744828</v>
      </c>
      <c r="AI404">
        <f t="shared" si="317"/>
        <v>0.88290016374651248</v>
      </c>
      <c r="AJ404">
        <f t="shared" si="318"/>
        <v>0.23586232372198879</v>
      </c>
      <c r="AK404">
        <f t="shared" si="319"/>
        <v>8.9956556750637295E-2</v>
      </c>
      <c r="AL404" s="9">
        <f t="shared" si="339"/>
        <v>9.0627006781936217</v>
      </c>
      <c r="AM404" t="e">
        <f t="shared" si="320"/>
        <v>#N/A</v>
      </c>
      <c r="AN404" t="e">
        <f t="shared" si="340"/>
        <v>#N/A</v>
      </c>
      <c r="AO404">
        <f t="shared" si="321"/>
        <v>0</v>
      </c>
      <c r="AP404">
        <f t="shared" si="322"/>
        <v>0</v>
      </c>
      <c r="AQ404">
        <f t="shared" si="323"/>
        <v>4.3298697960381105E-15</v>
      </c>
      <c r="AR404">
        <f t="shared" si="341"/>
        <v>0</v>
      </c>
      <c r="AS404">
        <f t="shared" si="324"/>
        <v>0</v>
      </c>
      <c r="AT404">
        <f t="shared" si="342"/>
        <v>0</v>
      </c>
      <c r="AU404">
        <f t="shared" si="343"/>
        <v>0</v>
      </c>
      <c r="AV404">
        <f t="shared" si="325"/>
        <v>1.9886281497223388E-20</v>
      </c>
      <c r="AW404" t="b">
        <f t="shared" si="344"/>
        <v>1</v>
      </c>
      <c r="AX404">
        <f t="shared" si="326"/>
        <v>7.8539816339744828</v>
      </c>
      <c r="AY404">
        <f t="shared" si="327"/>
        <v>0.88290016374651215</v>
      </c>
      <c r="AZ404">
        <f t="shared" si="328"/>
        <v>0.23586232372198446</v>
      </c>
      <c r="BA404">
        <f t="shared" si="329"/>
        <v>8.9956556750637295E-2</v>
      </c>
      <c r="BB404">
        <f t="shared" si="330"/>
        <v>-1.2337005501361696E-20</v>
      </c>
      <c r="BD404" s="15">
        <f t="shared" si="345"/>
        <v>9.0627006781936181</v>
      </c>
      <c r="BE404" s="10">
        <f t="shared" si="346"/>
        <v>0</v>
      </c>
      <c r="BF404">
        <f t="shared" si="347"/>
        <v>0</v>
      </c>
      <c r="BG404">
        <f t="shared" si="348"/>
        <v>0</v>
      </c>
      <c r="BH404">
        <f t="shared" si="349"/>
        <v>0</v>
      </c>
      <c r="BI404">
        <f t="shared" si="350"/>
        <v>0</v>
      </c>
    </row>
    <row r="405" spans="1:61" x14ac:dyDescent="0.3">
      <c r="A405">
        <f t="shared" si="355"/>
        <v>0.36799999999999999</v>
      </c>
      <c r="B405">
        <f t="shared" si="298"/>
        <v>1.1561060965210439</v>
      </c>
      <c r="C405">
        <f t="shared" si="299"/>
        <v>1.9854865570687492</v>
      </c>
      <c r="D405">
        <f t="shared" si="300"/>
        <v>1.9854865570687492</v>
      </c>
      <c r="E405">
        <f t="shared" si="305"/>
        <v>0.91524117262091753</v>
      </c>
      <c r="F405">
        <f t="shared" si="306"/>
        <v>0.91524117262091764</v>
      </c>
      <c r="G405">
        <f t="shared" si="301"/>
        <v>1.1561060965210439</v>
      </c>
      <c r="H405">
        <f t="shared" si="302"/>
        <v>0.91524117262091753</v>
      </c>
      <c r="I405">
        <f t="shared" si="303"/>
        <v>0.91524117262091764</v>
      </c>
      <c r="J405">
        <f t="shared" si="351"/>
        <v>6.9557597648774275E+19</v>
      </c>
      <c r="K405">
        <f t="shared" si="352"/>
        <v>6.9557597648774275E+19</v>
      </c>
      <c r="L405">
        <f t="shared" si="307"/>
        <v>1</v>
      </c>
      <c r="M405">
        <f t="shared" si="304"/>
        <v>1.9854865570687491E-20</v>
      </c>
      <c r="N405" s="9">
        <f t="shared" si="353"/>
        <v>1.9854865570687491E-20</v>
      </c>
      <c r="O405">
        <f t="shared" si="354"/>
        <v>1.9854865570687491E-20</v>
      </c>
      <c r="Q405">
        <f t="shared" si="308"/>
        <v>45.688686826393408</v>
      </c>
      <c r="R405">
        <f t="shared" si="309"/>
        <v>-710542.73576010019</v>
      </c>
      <c r="S405">
        <f t="shared" si="331"/>
        <v>-45.36583785886679</v>
      </c>
      <c r="T405" s="9" t="e">
        <f t="shared" si="310"/>
        <v>#N/A</v>
      </c>
      <c r="U405">
        <f t="shared" si="332"/>
        <v>-1.0000000000000001E+300</v>
      </c>
      <c r="V405">
        <f t="shared" si="333"/>
        <v>0</v>
      </c>
      <c r="W405">
        <f t="shared" si="334"/>
        <v>0</v>
      </c>
      <c r="X405">
        <f t="shared" si="311"/>
        <v>1.9854865570687492</v>
      </c>
      <c r="Y405">
        <f t="shared" si="312"/>
        <v>7.8539816339744828</v>
      </c>
      <c r="Z405">
        <f t="shared" si="313"/>
        <v>-1.9854865570687492</v>
      </c>
      <c r="AA405">
        <f t="shared" si="335"/>
        <v>0.87404865055966818</v>
      </c>
      <c r="AB405">
        <f t="shared" si="314"/>
        <v>8.7280302845341513</v>
      </c>
      <c r="AC405">
        <f t="shared" si="336"/>
        <v>0.23428129572466569</v>
      </c>
      <c r="AD405">
        <f t="shared" si="315"/>
        <v>8.8567671801951839E-2</v>
      </c>
      <c r="AE405" s="9">
        <f t="shared" si="337"/>
        <v>9.0508792520607688</v>
      </c>
      <c r="AF405">
        <f t="shared" si="338"/>
        <v>0</v>
      </c>
      <c r="AH405">
        <f t="shared" si="316"/>
        <v>7.8539816339744828</v>
      </c>
      <c r="AI405">
        <f t="shared" si="317"/>
        <v>0.87404865055966829</v>
      </c>
      <c r="AJ405">
        <f t="shared" si="318"/>
        <v>0.23428129572467071</v>
      </c>
      <c r="AK405">
        <f t="shared" si="319"/>
        <v>8.8567671801951839E-2</v>
      </c>
      <c r="AL405" s="9">
        <f t="shared" si="339"/>
        <v>9.0508792520607741</v>
      </c>
      <c r="AM405" t="e">
        <f t="shared" si="320"/>
        <v>#N/A</v>
      </c>
      <c r="AN405" t="e">
        <f t="shared" si="340"/>
        <v>#N/A</v>
      </c>
      <c r="AO405">
        <f t="shared" si="321"/>
        <v>0</v>
      </c>
      <c r="AP405">
        <f t="shared" si="322"/>
        <v>0</v>
      </c>
      <c r="AQ405">
        <f t="shared" si="323"/>
        <v>5.0237591864288333E-15</v>
      </c>
      <c r="AR405">
        <f t="shared" si="341"/>
        <v>0</v>
      </c>
      <c r="AS405">
        <f t="shared" si="324"/>
        <v>0</v>
      </c>
      <c r="AT405">
        <f t="shared" si="342"/>
        <v>0</v>
      </c>
      <c r="AU405">
        <f t="shared" si="343"/>
        <v>0</v>
      </c>
      <c r="AV405">
        <f t="shared" si="325"/>
        <v>1.9854865570687491E-20</v>
      </c>
      <c r="AW405" t="b">
        <f t="shared" si="344"/>
        <v>1</v>
      </c>
      <c r="AX405">
        <f t="shared" si="326"/>
        <v>7.8539816339744828</v>
      </c>
      <c r="AY405">
        <f t="shared" si="327"/>
        <v>0.87404865055966785</v>
      </c>
      <c r="AZ405">
        <f t="shared" si="328"/>
        <v>0.23428129572466569</v>
      </c>
      <c r="BA405">
        <f t="shared" si="329"/>
        <v>8.8567671801951714E-2</v>
      </c>
      <c r="BB405">
        <f t="shared" si="330"/>
        <v>-1.2337005501361696E-20</v>
      </c>
      <c r="BD405" s="15">
        <f t="shared" si="345"/>
        <v>9.0508792520607688</v>
      </c>
      <c r="BE405" s="10">
        <f t="shared" si="346"/>
        <v>0</v>
      </c>
      <c r="BF405">
        <f t="shared" si="347"/>
        <v>0</v>
      </c>
      <c r="BG405">
        <f t="shared" si="348"/>
        <v>0</v>
      </c>
      <c r="BH405">
        <f t="shared" si="349"/>
        <v>0</v>
      </c>
      <c r="BI405">
        <f t="shared" si="350"/>
        <v>0</v>
      </c>
    </row>
    <row r="406" spans="1:61" x14ac:dyDescent="0.3">
      <c r="A406">
        <f t="shared" si="355"/>
        <v>0.36899999999999999</v>
      </c>
      <c r="B406">
        <f t="shared" si="298"/>
        <v>1.1592476891746337</v>
      </c>
      <c r="C406">
        <f t="shared" si="299"/>
        <v>1.9823449644151594</v>
      </c>
      <c r="D406">
        <f t="shared" si="300"/>
        <v>1.9823449644151594</v>
      </c>
      <c r="E406">
        <f t="shared" si="305"/>
        <v>0.91650242190689801</v>
      </c>
      <c r="F406">
        <f t="shared" si="306"/>
        <v>0.91650242190689801</v>
      </c>
      <c r="G406">
        <f t="shared" si="301"/>
        <v>1.1592476891746337</v>
      </c>
      <c r="H406">
        <f t="shared" si="302"/>
        <v>0.91650242190689801</v>
      </c>
      <c r="I406">
        <f t="shared" si="303"/>
        <v>0.91650242190689801</v>
      </c>
      <c r="J406">
        <f t="shared" si="351"/>
        <v>6.946187562090827E+19</v>
      </c>
      <c r="K406">
        <f t="shared" si="352"/>
        <v>6.946187562090827E+19</v>
      </c>
      <c r="L406">
        <f t="shared" si="307"/>
        <v>1</v>
      </c>
      <c r="M406">
        <f t="shared" si="304"/>
        <v>1.9823449644151592E-20</v>
      </c>
      <c r="N406" s="9">
        <f t="shared" si="353"/>
        <v>1.9823449644151592E-20</v>
      </c>
      <c r="O406">
        <f t="shared" si="354"/>
        <v>1.9823449644151592E-20</v>
      </c>
      <c r="Q406">
        <f t="shared" si="308"/>
        <v>45.687309723736611</v>
      </c>
      <c r="R406">
        <f t="shared" si="309"/>
        <v>0</v>
      </c>
      <c r="S406">
        <f t="shared" si="331"/>
        <v>-45.367421390472437</v>
      </c>
      <c r="T406" s="9" t="e">
        <f t="shared" si="310"/>
        <v>#N/A</v>
      </c>
      <c r="U406">
        <f t="shared" si="332"/>
        <v>-1.0000000000000001E+300</v>
      </c>
      <c r="V406">
        <f t="shared" si="333"/>
        <v>0</v>
      </c>
      <c r="W406">
        <f t="shared" si="334"/>
        <v>0</v>
      </c>
      <c r="X406">
        <f t="shared" si="311"/>
        <v>1.9823449644151594</v>
      </c>
      <c r="Y406">
        <f t="shared" si="312"/>
        <v>7.8539816339744828</v>
      </c>
      <c r="Z406">
        <f t="shared" si="313"/>
        <v>-1.9823449644151594</v>
      </c>
      <c r="AA406">
        <f t="shared" si="335"/>
        <v>0.86524129873187405</v>
      </c>
      <c r="AB406">
        <f t="shared" si="314"/>
        <v>8.7192229327063568</v>
      </c>
      <c r="AC406">
        <f t="shared" si="336"/>
        <v>0.23269776411902143</v>
      </c>
      <c r="AD406">
        <f t="shared" si="315"/>
        <v>8.7190569145150942E-2</v>
      </c>
      <c r="AE406" s="9">
        <f t="shared" si="337"/>
        <v>9.0391112659705293</v>
      </c>
      <c r="AF406">
        <f t="shared" si="338"/>
        <v>0</v>
      </c>
      <c r="AH406">
        <f t="shared" si="316"/>
        <v>7.8539816339744828</v>
      </c>
      <c r="AI406">
        <f t="shared" si="317"/>
        <v>0.86524129873187416</v>
      </c>
      <c r="AJ406">
        <f t="shared" si="318"/>
        <v>0.23269776411902399</v>
      </c>
      <c r="AK406">
        <f t="shared" si="319"/>
        <v>8.7190569145150942E-2</v>
      </c>
      <c r="AL406" s="9">
        <f t="shared" si="339"/>
        <v>9.0391112659705311</v>
      </c>
      <c r="AM406" t="e">
        <f t="shared" si="320"/>
        <v>#N/A</v>
      </c>
      <c r="AN406" t="e">
        <f t="shared" si="340"/>
        <v>#N/A</v>
      </c>
      <c r="AO406">
        <f t="shared" si="321"/>
        <v>0</v>
      </c>
      <c r="AP406">
        <f t="shared" si="322"/>
        <v>0</v>
      </c>
      <c r="AQ406">
        <f t="shared" si="323"/>
        <v>2.55351295663786E-15</v>
      </c>
      <c r="AR406">
        <f t="shared" si="341"/>
        <v>0</v>
      </c>
      <c r="AS406">
        <f t="shared" si="324"/>
        <v>0</v>
      </c>
      <c r="AT406">
        <f t="shared" si="342"/>
        <v>0</v>
      </c>
      <c r="AU406">
        <f t="shared" si="343"/>
        <v>0</v>
      </c>
      <c r="AV406">
        <f t="shared" si="325"/>
        <v>1.9823449644151592E-20</v>
      </c>
      <c r="AW406" t="b">
        <f t="shared" si="344"/>
        <v>1</v>
      </c>
      <c r="AX406">
        <f t="shared" si="326"/>
        <v>7.8539816339744828</v>
      </c>
      <c r="AY406">
        <f t="shared" si="327"/>
        <v>0.86524129873187372</v>
      </c>
      <c r="AZ406">
        <f t="shared" si="328"/>
        <v>0.23269776411902143</v>
      </c>
      <c r="BA406">
        <f t="shared" si="329"/>
        <v>8.7190569145150942E-2</v>
      </c>
      <c r="BB406">
        <f t="shared" si="330"/>
        <v>-1.2337005501361696E-20</v>
      </c>
      <c r="BD406" s="15">
        <f t="shared" si="345"/>
        <v>9.0391112659705293</v>
      </c>
      <c r="BE406" s="10">
        <f t="shared" si="346"/>
        <v>0</v>
      </c>
      <c r="BF406">
        <f t="shared" si="347"/>
        <v>0</v>
      </c>
      <c r="BG406">
        <f t="shared" si="348"/>
        <v>0</v>
      </c>
      <c r="BH406">
        <f t="shared" si="349"/>
        <v>0</v>
      </c>
      <c r="BI406">
        <f t="shared" si="350"/>
        <v>0</v>
      </c>
    </row>
    <row r="407" spans="1:61" x14ac:dyDescent="0.3">
      <c r="A407">
        <f t="shared" si="355"/>
        <v>0.37</v>
      </c>
      <c r="B407">
        <f t="shared" si="298"/>
        <v>1.1623892818282235</v>
      </c>
      <c r="C407">
        <f t="shared" si="299"/>
        <v>1.9792033717615696</v>
      </c>
      <c r="D407">
        <f t="shared" si="300"/>
        <v>1.9792033717615696</v>
      </c>
      <c r="E407">
        <f t="shared" si="305"/>
        <v>0.91775462568398114</v>
      </c>
      <c r="F407">
        <f t="shared" si="306"/>
        <v>0.91775462568398125</v>
      </c>
      <c r="G407">
        <f t="shared" si="301"/>
        <v>1.1623892818282235</v>
      </c>
      <c r="H407">
        <f t="shared" si="302"/>
        <v>0.91775462568398114</v>
      </c>
      <c r="I407">
        <f t="shared" si="303"/>
        <v>0.91775462568398125</v>
      </c>
      <c r="J407">
        <f t="shared" si="351"/>
        <v>6.9367100372076421E+19</v>
      </c>
      <c r="K407">
        <f t="shared" si="352"/>
        <v>6.9367100372076421E+19</v>
      </c>
      <c r="L407">
        <f t="shared" si="307"/>
        <v>1</v>
      </c>
      <c r="M407">
        <f t="shared" si="304"/>
        <v>1.9792033717615695E-20</v>
      </c>
      <c r="N407" s="9">
        <f t="shared" si="353"/>
        <v>1.9792033717615695E-20</v>
      </c>
      <c r="O407">
        <f t="shared" si="354"/>
        <v>1.9792033717615695E-20</v>
      </c>
      <c r="Q407">
        <f t="shared" si="308"/>
        <v>45.685944370965302</v>
      </c>
      <c r="R407">
        <f t="shared" si="309"/>
        <v>0</v>
      </c>
      <c r="S407">
        <f t="shared" si="331"/>
        <v>-45.36900743362807</v>
      </c>
      <c r="T407" s="9" t="e">
        <f t="shared" si="310"/>
        <v>#N/A</v>
      </c>
      <c r="U407">
        <f t="shared" si="332"/>
        <v>-1.0000000000000001E+300</v>
      </c>
      <c r="V407">
        <f t="shared" si="333"/>
        <v>0</v>
      </c>
      <c r="W407">
        <f t="shared" si="334"/>
        <v>0</v>
      </c>
      <c r="X407">
        <f t="shared" si="311"/>
        <v>1.9792033717615696</v>
      </c>
      <c r="Y407">
        <f t="shared" si="312"/>
        <v>7.8539816339744828</v>
      </c>
      <c r="Z407">
        <f t="shared" si="313"/>
        <v>-1.9792033717615696</v>
      </c>
      <c r="AA407">
        <f t="shared" si="335"/>
        <v>0.85647777982762874</v>
      </c>
      <c r="AB407">
        <f t="shared" si="314"/>
        <v>8.710459413802111</v>
      </c>
      <c r="AC407">
        <f t="shared" si="336"/>
        <v>0.23111172096338664</v>
      </c>
      <c r="AD407">
        <f t="shared" si="315"/>
        <v>8.5825216373840732E-2</v>
      </c>
      <c r="AE407" s="9">
        <f t="shared" si="337"/>
        <v>9.0273963511393394</v>
      </c>
      <c r="AF407">
        <f t="shared" si="338"/>
        <v>0</v>
      </c>
      <c r="AH407">
        <f t="shared" si="316"/>
        <v>7.8539816339744828</v>
      </c>
      <c r="AI407">
        <f t="shared" si="317"/>
        <v>0.85647777982762885</v>
      </c>
      <c r="AJ407">
        <f t="shared" si="318"/>
        <v>0.23111172096339061</v>
      </c>
      <c r="AK407">
        <f t="shared" si="319"/>
        <v>8.5825216373840732E-2</v>
      </c>
      <c r="AL407" s="9">
        <f t="shared" si="339"/>
        <v>9.0273963511393429</v>
      </c>
      <c r="AM407" t="e">
        <f t="shared" si="320"/>
        <v>#N/A</v>
      </c>
      <c r="AN407" t="e">
        <f t="shared" si="340"/>
        <v>#N/A</v>
      </c>
      <c r="AO407">
        <f t="shared" si="321"/>
        <v>0</v>
      </c>
      <c r="AP407">
        <f t="shared" si="322"/>
        <v>0</v>
      </c>
      <c r="AQ407">
        <f t="shared" si="323"/>
        <v>3.9690473130349346E-15</v>
      </c>
      <c r="AR407">
        <f t="shared" si="341"/>
        <v>0</v>
      </c>
      <c r="AS407">
        <f t="shared" si="324"/>
        <v>0</v>
      </c>
      <c r="AT407">
        <f t="shared" si="342"/>
        <v>0</v>
      </c>
      <c r="AU407">
        <f t="shared" si="343"/>
        <v>0</v>
      </c>
      <c r="AV407">
        <f t="shared" si="325"/>
        <v>1.9792033717615695E-20</v>
      </c>
      <c r="AW407" t="b">
        <f t="shared" si="344"/>
        <v>1</v>
      </c>
      <c r="AX407">
        <f t="shared" si="326"/>
        <v>7.8539816339744828</v>
      </c>
      <c r="AY407">
        <f t="shared" si="327"/>
        <v>0.85647777982762863</v>
      </c>
      <c r="AZ407">
        <f t="shared" si="328"/>
        <v>0.23111172096338664</v>
      </c>
      <c r="BA407">
        <f t="shared" si="329"/>
        <v>8.5825216373840607E-2</v>
      </c>
      <c r="BB407">
        <f t="shared" si="330"/>
        <v>-1.2337005501361696E-20</v>
      </c>
      <c r="BD407" s="15">
        <f t="shared" si="345"/>
        <v>9.0273963511393394</v>
      </c>
      <c r="BE407" s="10">
        <f t="shared" si="346"/>
        <v>0</v>
      </c>
      <c r="BF407">
        <f t="shared" si="347"/>
        <v>0</v>
      </c>
      <c r="BG407">
        <f t="shared" si="348"/>
        <v>0</v>
      </c>
      <c r="BH407">
        <f t="shared" si="349"/>
        <v>0</v>
      </c>
      <c r="BI407">
        <f t="shared" si="350"/>
        <v>0</v>
      </c>
    </row>
    <row r="408" spans="1:61" x14ac:dyDescent="0.3">
      <c r="A408">
        <f t="shared" si="355"/>
        <v>0.371</v>
      </c>
      <c r="B408">
        <f t="shared" ref="B408:B471" si="356">th_max*A408</f>
        <v>1.1655308744818131</v>
      </c>
      <c r="C408">
        <f t="shared" ref="C408:C471" si="357">th_max-B408</f>
        <v>1.97606177910798</v>
      </c>
      <c r="D408">
        <f t="shared" ref="D408:D471" si="358">IF(use_th_l,B408,C408)</f>
        <v>1.97606177910798</v>
      </c>
      <c r="E408">
        <f t="shared" si="305"/>
        <v>0.91899777159342133</v>
      </c>
      <c r="F408">
        <f t="shared" si="306"/>
        <v>0.91899777159342133</v>
      </c>
      <c r="G408">
        <f t="shared" ref="G408:G471" si="359">alpha*B408</f>
        <v>1.1655308744818131</v>
      </c>
      <c r="H408">
        <f t="shared" ref="H408:H471" si="360">SIN(G408)</f>
        <v>0.91899777159342133</v>
      </c>
      <c r="I408">
        <f t="shared" ref="I408:I471" si="361">SIN(alpha*C408+add_r)</f>
        <v>0.91899777159342133</v>
      </c>
      <c r="J408">
        <f t="shared" si="351"/>
        <v>6.9273266165136228E+19</v>
      </c>
      <c r="K408">
        <f t="shared" si="352"/>
        <v>6.9273266165136228E+19</v>
      </c>
      <c r="L408" t="e">
        <f t="shared" si="307"/>
        <v>#NUM!</v>
      </c>
      <c r="M408">
        <f t="shared" ref="M408:M471" si="362">-SIN((alpha_m_1)*B408+add_l)</f>
        <v>1.9760617791079798E-20</v>
      </c>
      <c r="N408" s="9" t="e">
        <f t="shared" si="353"/>
        <v>#NUM!</v>
      </c>
      <c r="O408" t="e">
        <f t="shared" si="354"/>
        <v>#NUM!</v>
      </c>
      <c r="Q408">
        <f t="shared" si="308"/>
        <v>45.684590736037585</v>
      </c>
      <c r="R408">
        <f t="shared" si="309"/>
        <v>0</v>
      </c>
      <c r="S408">
        <f t="shared" si="331"/>
        <v>-45.370595996313213</v>
      </c>
      <c r="T408" s="9" t="e">
        <f t="shared" si="310"/>
        <v>#N/A</v>
      </c>
      <c r="U408">
        <f t="shared" si="332"/>
        <v>-1.0000000000000001E+300</v>
      </c>
      <c r="V408">
        <f t="shared" si="333"/>
        <v>0</v>
      </c>
      <c r="W408">
        <f t="shared" si="334"/>
        <v>0</v>
      </c>
      <c r="X408">
        <f t="shared" si="311"/>
        <v>1.97606177910798</v>
      </c>
      <c r="Y408">
        <f t="shared" si="312"/>
        <v>7.8539816339744828</v>
      </c>
      <c r="Z408">
        <f t="shared" si="313"/>
        <v>-1.97606177910798</v>
      </c>
      <c r="AA408">
        <f t="shared" si="335"/>
        <v>0.84775776893371102</v>
      </c>
      <c r="AB408">
        <f t="shared" si="314"/>
        <v>8.7017394029081938</v>
      </c>
      <c r="AC408">
        <f t="shared" si="336"/>
        <v>0.22952315827824879</v>
      </c>
      <c r="AD408">
        <f t="shared" si="315"/>
        <v>8.4471581446124003E-2</v>
      </c>
      <c r="AE408" s="9">
        <f t="shared" si="337"/>
        <v>9.0157341426325672</v>
      </c>
      <c r="AF408">
        <f t="shared" si="338"/>
        <v>0</v>
      </c>
      <c r="AH408">
        <f t="shared" si="316"/>
        <v>7.8539816339744828</v>
      </c>
      <c r="AI408">
        <f t="shared" si="317"/>
        <v>0.84775776893371091</v>
      </c>
      <c r="AJ408">
        <f t="shared" si="318"/>
        <v>0.22952315827824776</v>
      </c>
      <c r="AK408">
        <f t="shared" si="319"/>
        <v>8.4471581446124003E-2</v>
      </c>
      <c r="AL408" s="9">
        <f t="shared" si="339"/>
        <v>9.0157341426325655</v>
      </c>
      <c r="AM408" t="e">
        <f t="shared" si="320"/>
        <v>#N/A</v>
      </c>
      <c r="AN408" t="e">
        <f t="shared" si="340"/>
        <v>#N/A</v>
      </c>
      <c r="AO408">
        <f t="shared" si="321"/>
        <v>0</v>
      </c>
      <c r="AP408">
        <f t="shared" si="322"/>
        <v>0</v>
      </c>
      <c r="AQ408">
        <f t="shared" si="323"/>
        <v>-1.0269562977782698E-15</v>
      </c>
      <c r="AR408">
        <f t="shared" si="341"/>
        <v>0</v>
      </c>
      <c r="AS408">
        <f t="shared" si="324"/>
        <v>0</v>
      </c>
      <c r="AT408">
        <f t="shared" si="342"/>
        <v>0</v>
      </c>
      <c r="AU408">
        <f t="shared" si="343"/>
        <v>0</v>
      </c>
      <c r="AV408">
        <f t="shared" si="325"/>
        <v>1.9760617791079798E-20</v>
      </c>
      <c r="AW408" t="b">
        <f t="shared" si="344"/>
        <v>1</v>
      </c>
      <c r="AX408">
        <f t="shared" si="326"/>
        <v>7.8539816339744828</v>
      </c>
      <c r="AY408">
        <f t="shared" si="327"/>
        <v>0.8477577689337108</v>
      </c>
      <c r="AZ408">
        <f t="shared" si="328"/>
        <v>0.22952315827824879</v>
      </c>
      <c r="BA408">
        <f t="shared" si="329"/>
        <v>8.4471581446124003E-2</v>
      </c>
      <c r="BB408">
        <f t="shared" si="330"/>
        <v>-1.2337005501361696E-20</v>
      </c>
      <c r="BD408" s="15">
        <f t="shared" si="345"/>
        <v>9.0157341426325672</v>
      </c>
      <c r="BE408" s="10">
        <f t="shared" si="346"/>
        <v>0</v>
      </c>
      <c r="BF408">
        <f t="shared" si="347"/>
        <v>0</v>
      </c>
      <c r="BG408">
        <f t="shared" si="348"/>
        <v>0</v>
      </c>
      <c r="BH408">
        <f t="shared" si="349"/>
        <v>0</v>
      </c>
      <c r="BI408">
        <f t="shared" si="350"/>
        <v>0</v>
      </c>
    </row>
    <row r="409" spans="1:61" x14ac:dyDescent="0.3">
      <c r="A409">
        <f t="shared" si="355"/>
        <v>0.372</v>
      </c>
      <c r="B409">
        <f t="shared" si="356"/>
        <v>1.168672467135403</v>
      </c>
      <c r="C409">
        <f t="shared" si="357"/>
        <v>1.9729201864543902</v>
      </c>
      <c r="D409">
        <f t="shared" si="358"/>
        <v>1.9729201864543902</v>
      </c>
      <c r="E409">
        <f t="shared" ref="E409:E472" si="363">SIN(B409-add_l)</f>
        <v>0.92023184736587027</v>
      </c>
      <c r="F409">
        <f t="shared" ref="F409:F472" si="364">SIN(C409)</f>
        <v>0.92023184736587038</v>
      </c>
      <c r="G409">
        <f t="shared" si="359"/>
        <v>1.168672467135403</v>
      </c>
      <c r="H409">
        <f t="shared" si="360"/>
        <v>0.92023184736587027</v>
      </c>
      <c r="I409">
        <f t="shared" si="361"/>
        <v>0.92023184736587038</v>
      </c>
      <c r="J409">
        <f t="shared" si="351"/>
        <v>6.9180367337848832E+19</v>
      </c>
      <c r="K409">
        <f t="shared" si="352"/>
        <v>6.9180367337848832E+19</v>
      </c>
      <c r="L409">
        <f t="shared" ref="L409:L472" si="365">(cat0*E409*K409)^(1/(alpha_m_1))</f>
        <v>1</v>
      </c>
      <c r="M409">
        <f t="shared" si="362"/>
        <v>1.9729201864543899E-20</v>
      </c>
      <c r="N409" s="9">
        <f t="shared" si="353"/>
        <v>1.9729201864543899E-20</v>
      </c>
      <c r="O409">
        <f t="shared" si="354"/>
        <v>1.9729201864543899E-20</v>
      </c>
      <c r="Q409">
        <f t="shared" ref="Q409:Q472" si="366">alpha*LN(J409)</f>
        <v>45.683248787272817</v>
      </c>
      <c r="R409">
        <f t="shared" ref="R409:R472" si="367">(LN(cat0)+LN(E409)+Q409)/(alpha_m_1)</f>
        <v>0</v>
      </c>
      <c r="S409">
        <f t="shared" si="331"/>
        <v>-45.372187086545452</v>
      </c>
      <c r="T409" s="9" t="e">
        <f t="shared" ref="T409:T472" si="368">IF(ABS(alpha_m_1)&gt;0.00000000000001,R409+S409,NA())</f>
        <v>#N/A</v>
      </c>
      <c r="U409">
        <f t="shared" si="332"/>
        <v>-1.0000000000000001E+300</v>
      </c>
      <c r="V409">
        <f t="shared" si="333"/>
        <v>0</v>
      </c>
      <c r="W409">
        <f t="shared" si="334"/>
        <v>0</v>
      </c>
      <c r="X409">
        <f t="shared" ref="X409:X472" si="369">C409</f>
        <v>1.9729201864543902</v>
      </c>
      <c r="Y409">
        <f t="shared" ref="Y409:Y472" si="370">ea</f>
        <v>7.8539816339744828</v>
      </c>
      <c r="Z409">
        <f t="shared" ref="Z409:Z472" si="371">p2b+PI()/2-X409</f>
        <v>-1.9729201864543902</v>
      </c>
      <c r="AA409">
        <f t="shared" si="335"/>
        <v>0.8390809446119909</v>
      </c>
      <c r="AB409">
        <f t="shared" ref="AB409:AB472" si="372">$AA$7+AA409</f>
        <v>8.6930625785864741</v>
      </c>
      <c r="AC409">
        <f t="shared" si="336"/>
        <v>0.22793206804600694</v>
      </c>
      <c r="AD409">
        <f t="shared" ref="AD409:AD472" si="373">-LN(SIN(A409*PI()))</f>
        <v>8.3129632681354135E-2</v>
      </c>
      <c r="AE409" s="9">
        <f t="shared" si="337"/>
        <v>9.0041242793138352</v>
      </c>
      <c r="AF409">
        <f t="shared" si="338"/>
        <v>0</v>
      </c>
      <c r="AH409">
        <f t="shared" ref="AH409:AH472" si="374">IF(use_alpha_near_1,$D$18,NA())</f>
        <v>7.8539816339744828</v>
      </c>
      <c r="AI409">
        <f t="shared" ref="AI409:AI472" si="375">IF(use_alpha_near_1,alpha/(alpha_m_1)*(log1p(-SIN(add_l)*_xlfn.COT(B409)-2*SIN(add_l/2)^2)-log1p(SIN(alpha_m_1*B409)*_xlfn.COT(B409)-2*SIN(alpha_m_1*B409/2)^2)),NA())</f>
        <v>0.83908094461199112</v>
      </c>
      <c r="AJ409">
        <f t="shared" ref="AJ409:AJ472" si="376">IF(use_alpha_near_1,$D$21+LN(M409),NA())</f>
        <v>0.22793206804600885</v>
      </c>
      <c r="AK409">
        <f t="shared" ref="AK409:AK472" si="377">IF(use_alpha_near_1,-LN(E409),NA())</f>
        <v>8.3129632681354135E-2</v>
      </c>
      <c r="AL409" s="9">
        <f t="shared" si="339"/>
        <v>9.004124279313837</v>
      </c>
      <c r="AM409" t="e">
        <f t="shared" ref="AM409:AM472" si="378">AL409-T409</f>
        <v>#N/A</v>
      </c>
      <c r="AN409" t="e">
        <f t="shared" si="340"/>
        <v>#N/A</v>
      </c>
      <c r="AO409">
        <f t="shared" ref="AO409:AO472" si="379">AH409-Y409</f>
        <v>0</v>
      </c>
      <c r="AP409">
        <f t="shared" ref="AP409:AP472" si="380">AI409-AA409</f>
        <v>0</v>
      </c>
      <c r="AQ409">
        <f t="shared" ref="AQ409:AQ472" si="381">AJ409-AC409</f>
        <v>1.915134717478395E-15</v>
      </c>
      <c r="AR409">
        <f t="shared" si="341"/>
        <v>0</v>
      </c>
      <c r="AS409">
        <f t="shared" ref="AS409:AS472" si="382">AL409-AE409</f>
        <v>0</v>
      </c>
      <c r="AT409">
        <f t="shared" si="342"/>
        <v>0</v>
      </c>
      <c r="AU409">
        <f t="shared" si="343"/>
        <v>0</v>
      </c>
      <c r="AV409">
        <f t="shared" ref="AV409:AV472" si="383">alpha_m_1*C409+add_r</f>
        <v>1.9729201864543902E-20</v>
      </c>
      <c r="AW409" t="b">
        <f t="shared" si="344"/>
        <v>1</v>
      </c>
      <c r="AX409">
        <f t="shared" ref="AX409:AX472" si="384">IF(use_alpha_near_1,$D$18,NA())</f>
        <v>7.8539816339744828</v>
      </c>
      <c r="AY409">
        <f t="shared" ref="AY409:AY472" si="385">-alpha/alpha_m_1*log1p(_xlfn.COT(C409)*SIN(AV409)-2*SIN(AV409/2)^2)</f>
        <v>0.8390809446119909</v>
      </c>
      <c r="AZ409">
        <f t="shared" ref="AZ409:AZ472" si="386">LN(ABS(zeta)*SIN(AV409))</f>
        <v>0.2279320680460071</v>
      </c>
      <c r="BA409">
        <f t="shared" ref="BA409:BA472" si="387">-LN(SIN(C409))</f>
        <v>8.312963268135401E-2</v>
      </c>
      <c r="BB409">
        <f t="shared" ref="BB409:BB472" si="388">-log1p(zeta^-2)/(2*alpha_m_1)</f>
        <v>-1.2337005501361696E-20</v>
      </c>
      <c r="BD409" s="15">
        <f t="shared" si="345"/>
        <v>9.0041242793138352</v>
      </c>
      <c r="BE409" s="10">
        <f t="shared" si="346"/>
        <v>0</v>
      </c>
      <c r="BF409">
        <f t="shared" si="347"/>
        <v>0</v>
      </c>
      <c r="BG409">
        <f t="shared" si="348"/>
        <v>0</v>
      </c>
      <c r="BH409">
        <f t="shared" si="349"/>
        <v>0</v>
      </c>
      <c r="BI409">
        <f t="shared" si="350"/>
        <v>0</v>
      </c>
    </row>
    <row r="410" spans="1:61" x14ac:dyDescent="0.3">
      <c r="A410">
        <f t="shared" si="355"/>
        <v>0.373</v>
      </c>
      <c r="B410">
        <f t="shared" si="356"/>
        <v>1.1718140597889928</v>
      </c>
      <c r="C410">
        <f t="shared" si="357"/>
        <v>1.9697785938008003</v>
      </c>
      <c r="D410">
        <f t="shared" si="358"/>
        <v>1.9697785938008003</v>
      </c>
      <c r="E410">
        <f t="shared" si="363"/>
        <v>0.92145684082149837</v>
      </c>
      <c r="F410">
        <f t="shared" si="364"/>
        <v>0.92145684082149848</v>
      </c>
      <c r="G410">
        <f t="shared" si="359"/>
        <v>1.1718140597889928</v>
      </c>
      <c r="H410">
        <f t="shared" si="360"/>
        <v>0.92145684082149837</v>
      </c>
      <c r="I410">
        <f t="shared" si="361"/>
        <v>0.92145684082149848</v>
      </c>
      <c r="J410">
        <f t="shared" si="351"/>
        <v>6.9088398301978132E+19</v>
      </c>
      <c r="K410">
        <f t="shared" si="352"/>
        <v>6.9088398301978132E+19</v>
      </c>
      <c r="L410" t="e">
        <f t="shared" si="365"/>
        <v>#NUM!</v>
      </c>
      <c r="M410">
        <f t="shared" si="362"/>
        <v>1.9697785938008002E-20</v>
      </c>
      <c r="N410" s="9" t="e">
        <f t="shared" si="353"/>
        <v>#NUM!</v>
      </c>
      <c r="O410" t="e">
        <f t="shared" si="354"/>
        <v>#NUM!</v>
      </c>
      <c r="Q410">
        <f t="shared" si="366"/>
        <v>45.681918493348398</v>
      </c>
      <c r="R410">
        <f t="shared" si="367"/>
        <v>0</v>
      </c>
      <c r="S410">
        <f t="shared" ref="S410:S473" si="389">LN(M410)</f>
        <v>-45.373780712380729</v>
      </c>
      <c r="T410" s="9" t="e">
        <f t="shared" si="368"/>
        <v>#N/A</v>
      </c>
      <c r="U410">
        <f t="shared" ref="U410:U473" si="390">IFERROR(T410-EXP(T410),-1E+300)</f>
        <v>-1.0000000000000001E+300</v>
      </c>
      <c r="V410">
        <f t="shared" ref="V410:V473" si="391">EXP(U410)</f>
        <v>0</v>
      </c>
      <c r="W410">
        <f t="shared" ref="W410:W473" si="392">IFERROR(T410-LN(N410),0)</f>
        <v>0</v>
      </c>
      <c r="X410">
        <f t="shared" si="369"/>
        <v>1.9697785938008003</v>
      </c>
      <c r="Y410">
        <f t="shared" si="370"/>
        <v>7.8539816339744828</v>
      </c>
      <c r="Z410">
        <f t="shared" si="371"/>
        <v>-1.9697785938008003</v>
      </c>
      <c r="AA410">
        <f t="shared" ref="AA410:AA473" si="393">Z410*TAN(PI()/2-X410)</f>
        <v>0.83044698885300638</v>
      </c>
      <c r="AB410">
        <f t="shared" si="372"/>
        <v>8.6844286228274896</v>
      </c>
      <c r="AC410">
        <f t="shared" ref="AC410:AC473" si="394">LN(Z410/$AA$6)</f>
        <v>0.22633844221072896</v>
      </c>
      <c r="AD410">
        <f t="shared" si="373"/>
        <v>8.1799338756936513E-2</v>
      </c>
      <c r="AE410" s="9">
        <f t="shared" ref="AE410:AE473" si="395">AB410+AC410+AD410</f>
        <v>8.9925664037951556</v>
      </c>
      <c r="AF410">
        <f t="shared" ref="AF410:AF473" si="396">IFERROR(EXP(AE410)*EXP(-EXP(AE410)),0)</f>
        <v>0</v>
      </c>
      <c r="AH410">
        <f t="shared" si="374"/>
        <v>7.8539816339744828</v>
      </c>
      <c r="AI410">
        <f t="shared" si="375"/>
        <v>0.8304469888530065</v>
      </c>
      <c r="AJ410">
        <f t="shared" si="376"/>
        <v>0.22633844221073218</v>
      </c>
      <c r="AK410">
        <f t="shared" si="377"/>
        <v>8.1799338756936513E-2</v>
      </c>
      <c r="AL410" s="9">
        <f t="shared" ref="AL410:AL473" si="397">SUM(AH410:AK410)</f>
        <v>8.9925664037951591</v>
      </c>
      <c r="AM410" t="e">
        <f t="shared" si="378"/>
        <v>#N/A</v>
      </c>
      <c r="AN410" t="e">
        <f t="shared" ref="AN410:AN473" si="398">AM410/AL410</f>
        <v>#N/A</v>
      </c>
      <c r="AO410">
        <f t="shared" si="379"/>
        <v>0</v>
      </c>
      <c r="AP410">
        <f t="shared" si="380"/>
        <v>0</v>
      </c>
      <c r="AQ410">
        <f t="shared" si="381"/>
        <v>3.219646771412954E-15</v>
      </c>
      <c r="AR410">
        <f t="shared" ref="AR410:AR473" si="399">AP410/AI410</f>
        <v>0</v>
      </c>
      <c r="AS410">
        <f t="shared" si="382"/>
        <v>0</v>
      </c>
      <c r="AT410">
        <f t="shared" ref="AT410:AT473" si="400">AS410/AL410</f>
        <v>0</v>
      </c>
      <c r="AU410">
        <f t="shared" ref="AU410:AU473" si="401">IFERROR(EXP(AL410)*EXP(-EXP(AL410)),0)</f>
        <v>0</v>
      </c>
      <c r="AV410">
        <f t="shared" si="383"/>
        <v>1.9697785938008002E-20</v>
      </c>
      <c r="AW410" t="b">
        <f t="shared" ref="AW410:AW473" si="402">(ABS(_xlfn.COT(C410)*SIN(AV410))&lt;0.00000001)</f>
        <v>1</v>
      </c>
      <c r="AX410">
        <f t="shared" si="384"/>
        <v>7.8539816339744828</v>
      </c>
      <c r="AY410">
        <f t="shared" si="385"/>
        <v>0.83044698885300605</v>
      </c>
      <c r="AZ410">
        <f t="shared" si="386"/>
        <v>0.22633844221072896</v>
      </c>
      <c r="BA410">
        <f t="shared" si="387"/>
        <v>8.1799338756936388E-2</v>
      </c>
      <c r="BB410">
        <f t="shared" si="388"/>
        <v>-1.2337005501361696E-20</v>
      </c>
      <c r="BD410" s="15">
        <f t="shared" ref="BD410:BD473" si="403">SUM(AX410:BB410)</f>
        <v>8.9925664037951538</v>
      </c>
      <c r="BE410" s="10">
        <f t="shared" ref="BE410:BE473" si="404">BD410-AL410</f>
        <v>0</v>
      </c>
      <c r="BF410">
        <f t="shared" ref="BF410:BF473" si="405">BD410-AE410</f>
        <v>0</v>
      </c>
      <c r="BG410">
        <f t="shared" ref="BG410:BG473" si="406">AX410-Y410</f>
        <v>0</v>
      </c>
      <c r="BH410">
        <f t="shared" ref="BH410:BH473" si="407">AY410-AA410</f>
        <v>0</v>
      </c>
      <c r="BI410">
        <f t="shared" ref="BI410:BI473" si="408">AZ410-AC410</f>
        <v>0</v>
      </c>
    </row>
    <row r="411" spans="1:61" x14ac:dyDescent="0.3">
      <c r="A411">
        <f t="shared" si="355"/>
        <v>0.374</v>
      </c>
      <c r="B411">
        <f t="shared" si="356"/>
        <v>1.1749556524425826</v>
      </c>
      <c r="C411">
        <f t="shared" si="357"/>
        <v>1.9666370011472105</v>
      </c>
      <c r="D411">
        <f t="shared" si="358"/>
        <v>1.9666370011472105</v>
      </c>
      <c r="E411">
        <f t="shared" si="363"/>
        <v>0.92267273987011478</v>
      </c>
      <c r="F411">
        <f t="shared" si="364"/>
        <v>0.92267273987011489</v>
      </c>
      <c r="G411">
        <f t="shared" si="359"/>
        <v>1.1749556524425826</v>
      </c>
      <c r="H411">
        <f t="shared" si="360"/>
        <v>0.92267273987011478</v>
      </c>
      <c r="I411">
        <f t="shared" si="361"/>
        <v>0.92267273987011489</v>
      </c>
      <c r="J411">
        <f t="shared" si="351"/>
        <v>6.8997353542405382E+19</v>
      </c>
      <c r="K411">
        <f t="shared" si="352"/>
        <v>6.8997353542405382E+19</v>
      </c>
      <c r="L411">
        <f t="shared" si="365"/>
        <v>1</v>
      </c>
      <c r="M411">
        <f t="shared" si="362"/>
        <v>1.9666370011472106E-20</v>
      </c>
      <c r="N411" s="9">
        <f t="shared" si="353"/>
        <v>1.9666370011472106E-20</v>
      </c>
      <c r="O411">
        <f t="shared" si="354"/>
        <v>1.9666370011472106E-20</v>
      </c>
      <c r="Q411">
        <f t="shared" si="366"/>
        <v>45.680599823296639</v>
      </c>
      <c r="R411">
        <f t="shared" si="367"/>
        <v>0</v>
      </c>
      <c r="S411">
        <f t="shared" si="389"/>
        <v>-45.375376881913553</v>
      </c>
      <c r="T411" s="9" t="e">
        <f t="shared" si="368"/>
        <v>#N/A</v>
      </c>
      <c r="U411">
        <f t="shared" si="390"/>
        <v>-1.0000000000000001E+300</v>
      </c>
      <c r="V411">
        <f t="shared" si="391"/>
        <v>0</v>
      </c>
      <c r="W411">
        <f t="shared" si="392"/>
        <v>0</v>
      </c>
      <c r="X411">
        <f t="shared" si="369"/>
        <v>1.9666370011472105</v>
      </c>
      <c r="Y411">
        <f t="shared" si="370"/>
        <v>7.8539816339744828</v>
      </c>
      <c r="Z411">
        <f t="shared" si="371"/>
        <v>-1.9666370011472105</v>
      </c>
      <c r="AA411">
        <f t="shared" si="393"/>
        <v>0.82185558703027817</v>
      </c>
      <c r="AB411">
        <f t="shared" si="372"/>
        <v>8.6758372210047607</v>
      </c>
      <c r="AC411">
        <f t="shared" si="394"/>
        <v>0.22474227267790678</v>
      </c>
      <c r="AD411">
        <f t="shared" si="373"/>
        <v>8.0480668705178698E-2</v>
      </c>
      <c r="AE411" s="9">
        <f t="shared" si="395"/>
        <v>8.9810601623878448</v>
      </c>
      <c r="AF411">
        <f t="shared" si="396"/>
        <v>0</v>
      </c>
      <c r="AH411">
        <f t="shared" si="374"/>
        <v>7.8539816339744828</v>
      </c>
      <c r="AI411">
        <f t="shared" si="375"/>
        <v>0.82185558703027806</v>
      </c>
      <c r="AJ411">
        <f t="shared" si="376"/>
        <v>0.22474227267790781</v>
      </c>
      <c r="AK411">
        <f t="shared" si="377"/>
        <v>8.0480668705178698E-2</v>
      </c>
      <c r="AL411" s="9">
        <f t="shared" si="397"/>
        <v>8.9810601623878465</v>
      </c>
      <c r="AM411" t="e">
        <f t="shared" si="378"/>
        <v>#N/A</v>
      </c>
      <c r="AN411" t="e">
        <f t="shared" si="398"/>
        <v>#N/A</v>
      </c>
      <c r="AO411">
        <f t="shared" si="379"/>
        <v>0</v>
      </c>
      <c r="AP411">
        <f t="shared" si="380"/>
        <v>0</v>
      </c>
      <c r="AQ411">
        <f t="shared" si="381"/>
        <v>1.0269562977782698E-15</v>
      </c>
      <c r="AR411">
        <f t="shared" si="399"/>
        <v>0</v>
      </c>
      <c r="AS411">
        <f t="shared" si="382"/>
        <v>0</v>
      </c>
      <c r="AT411">
        <f t="shared" si="400"/>
        <v>0</v>
      </c>
      <c r="AU411">
        <f t="shared" si="401"/>
        <v>0</v>
      </c>
      <c r="AV411">
        <f t="shared" si="383"/>
        <v>1.9666370011472103E-20</v>
      </c>
      <c r="AW411" t="b">
        <f t="shared" si="402"/>
        <v>1</v>
      </c>
      <c r="AX411">
        <f t="shared" si="384"/>
        <v>7.8539816339744828</v>
      </c>
      <c r="AY411">
        <f t="shared" si="385"/>
        <v>0.82185558703027772</v>
      </c>
      <c r="AZ411">
        <f t="shared" si="386"/>
        <v>0.22474227267790678</v>
      </c>
      <c r="BA411">
        <f t="shared" si="387"/>
        <v>8.0480668705178574E-2</v>
      </c>
      <c r="BB411">
        <f t="shared" si="388"/>
        <v>-1.2337005501361696E-20</v>
      </c>
      <c r="BD411" s="15">
        <f t="shared" si="403"/>
        <v>8.9810601623878448</v>
      </c>
      <c r="BE411" s="10">
        <f t="shared" si="404"/>
        <v>0</v>
      </c>
      <c r="BF411">
        <f t="shared" si="405"/>
        <v>0</v>
      </c>
      <c r="BG411">
        <f t="shared" si="406"/>
        <v>0</v>
      </c>
      <c r="BH411">
        <f t="shared" si="407"/>
        <v>0</v>
      </c>
      <c r="BI411">
        <f t="shared" si="408"/>
        <v>0</v>
      </c>
    </row>
    <row r="412" spans="1:61" x14ac:dyDescent="0.3">
      <c r="A412">
        <f t="shared" si="355"/>
        <v>0.375</v>
      </c>
      <c r="B412">
        <f t="shared" si="356"/>
        <v>1.1780972450961724</v>
      </c>
      <c r="C412">
        <f t="shared" si="357"/>
        <v>1.9634954084936207</v>
      </c>
      <c r="D412">
        <f t="shared" si="358"/>
        <v>1.9634954084936207</v>
      </c>
      <c r="E412">
        <f t="shared" si="363"/>
        <v>0.92387953251128674</v>
      </c>
      <c r="F412">
        <f t="shared" si="364"/>
        <v>0.92387953251128674</v>
      </c>
      <c r="G412">
        <f t="shared" si="359"/>
        <v>1.1780972450961724</v>
      </c>
      <c r="H412">
        <f t="shared" si="360"/>
        <v>0.92387953251128674</v>
      </c>
      <c r="I412">
        <f t="shared" si="361"/>
        <v>0.92387953251128674</v>
      </c>
      <c r="J412">
        <f t="shared" si="351"/>
        <v>6.8907227616258949E+19</v>
      </c>
      <c r="K412">
        <f t="shared" si="352"/>
        <v>6.8907227616258949E+19</v>
      </c>
      <c r="L412" t="e">
        <f t="shared" si="365"/>
        <v>#NUM!</v>
      </c>
      <c r="M412">
        <f t="shared" si="362"/>
        <v>1.9634954084936206E-20</v>
      </c>
      <c r="N412" s="9" t="e">
        <f t="shared" si="353"/>
        <v>#NUM!</v>
      </c>
      <c r="O412" t="e">
        <f t="shared" si="354"/>
        <v>#NUM!</v>
      </c>
      <c r="Q412">
        <f t="shared" si="366"/>
        <v>45.679292746501645</v>
      </c>
      <c r="R412">
        <f t="shared" si="367"/>
        <v>-710542.73576010019</v>
      </c>
      <c r="S412">
        <f t="shared" si="389"/>
        <v>-45.376975603277252</v>
      </c>
      <c r="T412" s="9" t="e">
        <f t="shared" si="368"/>
        <v>#N/A</v>
      </c>
      <c r="U412">
        <f t="shared" si="390"/>
        <v>-1.0000000000000001E+300</v>
      </c>
      <c r="V412">
        <f t="shared" si="391"/>
        <v>0</v>
      </c>
      <c r="W412">
        <f t="shared" si="392"/>
        <v>0</v>
      </c>
      <c r="X412">
        <f t="shared" si="369"/>
        <v>1.9634954084936207</v>
      </c>
      <c r="Y412">
        <f t="shared" si="370"/>
        <v>7.8539816339744828</v>
      </c>
      <c r="Z412">
        <f t="shared" si="371"/>
        <v>-1.9634954084936207</v>
      </c>
      <c r="AA412">
        <f t="shared" si="393"/>
        <v>0.81330642785535812</v>
      </c>
      <c r="AB412">
        <f t="shared" si="372"/>
        <v>8.66728806182984</v>
      </c>
      <c r="AC412">
        <f t="shared" si="394"/>
        <v>0.22314355131420976</v>
      </c>
      <c r="AD412">
        <f t="shared" si="373"/>
        <v>7.9173591910187482E-2</v>
      </c>
      <c r="AE412" s="9">
        <f t="shared" si="395"/>
        <v>8.9696052050542381</v>
      </c>
      <c r="AF412">
        <f t="shared" si="396"/>
        <v>0</v>
      </c>
      <c r="AH412">
        <f t="shared" si="374"/>
        <v>7.8539816339744828</v>
      </c>
      <c r="AI412">
        <f t="shared" si="375"/>
        <v>0.81330642785535812</v>
      </c>
      <c r="AJ412">
        <f t="shared" si="376"/>
        <v>0.22314355131420882</v>
      </c>
      <c r="AK412">
        <f t="shared" si="377"/>
        <v>7.9173591910187482E-2</v>
      </c>
      <c r="AL412" s="9">
        <f t="shared" si="397"/>
        <v>8.9696052050542363</v>
      </c>
      <c r="AM412" t="e">
        <f t="shared" si="378"/>
        <v>#N/A</v>
      </c>
      <c r="AN412" t="e">
        <f t="shared" si="398"/>
        <v>#N/A</v>
      </c>
      <c r="AO412">
        <f t="shared" si="379"/>
        <v>0</v>
      </c>
      <c r="AP412">
        <f t="shared" si="380"/>
        <v>0</v>
      </c>
      <c r="AQ412">
        <f t="shared" si="381"/>
        <v>-9.4368957093138306E-16</v>
      </c>
      <c r="AR412">
        <f t="shared" si="399"/>
        <v>0</v>
      </c>
      <c r="AS412">
        <f t="shared" si="382"/>
        <v>0</v>
      </c>
      <c r="AT412">
        <f t="shared" si="400"/>
        <v>0</v>
      </c>
      <c r="AU412">
        <f t="shared" si="401"/>
        <v>0</v>
      </c>
      <c r="AV412">
        <f t="shared" si="383"/>
        <v>1.9634954084936206E-20</v>
      </c>
      <c r="AW412" t="b">
        <f t="shared" si="402"/>
        <v>1</v>
      </c>
      <c r="AX412">
        <f t="shared" si="384"/>
        <v>7.8539816339744828</v>
      </c>
      <c r="AY412">
        <f t="shared" si="385"/>
        <v>0.81330642785535789</v>
      </c>
      <c r="AZ412">
        <f t="shared" si="386"/>
        <v>0.22314355131420976</v>
      </c>
      <c r="BA412">
        <f t="shared" si="387"/>
        <v>7.9173591910187482E-2</v>
      </c>
      <c r="BB412">
        <f t="shared" si="388"/>
        <v>-1.2337005501361696E-20</v>
      </c>
      <c r="BD412" s="15">
        <f t="shared" si="403"/>
        <v>8.9696052050542381</v>
      </c>
      <c r="BE412" s="10">
        <f t="shared" si="404"/>
        <v>0</v>
      </c>
      <c r="BF412">
        <f t="shared" si="405"/>
        <v>0</v>
      </c>
      <c r="BG412">
        <f t="shared" si="406"/>
        <v>0</v>
      </c>
      <c r="BH412">
        <f t="shared" si="407"/>
        <v>0</v>
      </c>
      <c r="BI412">
        <f t="shared" si="408"/>
        <v>0</v>
      </c>
    </row>
    <row r="413" spans="1:61" x14ac:dyDescent="0.3">
      <c r="A413">
        <f t="shared" si="355"/>
        <v>0.376</v>
      </c>
      <c r="B413">
        <f t="shared" si="356"/>
        <v>1.1812388377497622</v>
      </c>
      <c r="C413">
        <f t="shared" si="357"/>
        <v>1.9603538158400309</v>
      </c>
      <c r="D413">
        <f t="shared" si="358"/>
        <v>1.9603538158400309</v>
      </c>
      <c r="E413">
        <f t="shared" si="363"/>
        <v>0.92507720683445804</v>
      </c>
      <c r="F413">
        <f t="shared" si="364"/>
        <v>0.92507720683445804</v>
      </c>
      <c r="G413">
        <f t="shared" si="359"/>
        <v>1.1812388377497622</v>
      </c>
      <c r="H413">
        <f t="shared" si="360"/>
        <v>0.92507720683445804</v>
      </c>
      <c r="I413">
        <f t="shared" si="361"/>
        <v>0.92507720683445804</v>
      </c>
      <c r="J413">
        <f t="shared" si="351"/>
        <v>6.8818015152058991E+19</v>
      </c>
      <c r="K413">
        <f t="shared" si="352"/>
        <v>6.8818015152058991E+19</v>
      </c>
      <c r="L413">
        <f t="shared" si="365"/>
        <v>1</v>
      </c>
      <c r="M413">
        <f t="shared" si="362"/>
        <v>1.9603538158400306E-20</v>
      </c>
      <c r="N413" s="9">
        <f t="shared" si="353"/>
        <v>1.9603538158400306E-20</v>
      </c>
      <c r="O413">
        <f t="shared" si="354"/>
        <v>1.9603538158400306E-20</v>
      </c>
      <c r="Q413">
        <f t="shared" si="366"/>
        <v>45.677997232696271</v>
      </c>
      <c r="R413">
        <f t="shared" si="367"/>
        <v>0</v>
      </c>
      <c r="S413">
        <f t="shared" si="389"/>
        <v>-45.378576884644225</v>
      </c>
      <c r="T413" s="9" t="e">
        <f t="shared" si="368"/>
        <v>#N/A</v>
      </c>
      <c r="U413">
        <f t="shared" si="390"/>
        <v>-1.0000000000000001E+300</v>
      </c>
      <c r="V413">
        <f t="shared" si="391"/>
        <v>0</v>
      </c>
      <c r="W413">
        <f t="shared" si="392"/>
        <v>0</v>
      </c>
      <c r="X413">
        <f t="shared" si="369"/>
        <v>1.9603538158400309</v>
      </c>
      <c r="Y413">
        <f t="shared" si="370"/>
        <v>7.8539816339744828</v>
      </c>
      <c r="Z413">
        <f t="shared" si="371"/>
        <v>-1.9603538158400309</v>
      </c>
      <c r="AA413">
        <f t="shared" si="393"/>
        <v>0.80479920333359412</v>
      </c>
      <c r="AB413">
        <f t="shared" si="372"/>
        <v>8.6587808373080772</v>
      </c>
      <c r="AC413">
        <f t="shared" si="394"/>
        <v>0.22154226994723591</v>
      </c>
      <c r="AD413">
        <f t="shared" si="373"/>
        <v>7.7878078104812648E-2</v>
      </c>
      <c r="AE413" s="9">
        <f t="shared" si="395"/>
        <v>8.9582011853601262</v>
      </c>
      <c r="AF413">
        <f t="shared" si="396"/>
        <v>0</v>
      </c>
      <c r="AH413">
        <f t="shared" si="374"/>
        <v>7.8539816339744828</v>
      </c>
      <c r="AI413">
        <f t="shared" si="375"/>
        <v>0.80479920333359423</v>
      </c>
      <c r="AJ413">
        <f t="shared" si="376"/>
        <v>0.22154226994723558</v>
      </c>
      <c r="AK413">
        <f t="shared" si="377"/>
        <v>7.7878078104812648E-2</v>
      </c>
      <c r="AL413" s="9">
        <f t="shared" si="397"/>
        <v>8.9582011853601262</v>
      </c>
      <c r="AM413" t="e">
        <f t="shared" si="378"/>
        <v>#N/A</v>
      </c>
      <c r="AN413" t="e">
        <f t="shared" si="398"/>
        <v>#N/A</v>
      </c>
      <c r="AO413">
        <f t="shared" si="379"/>
        <v>0</v>
      </c>
      <c r="AP413">
        <f t="shared" si="380"/>
        <v>0</v>
      </c>
      <c r="AQ413">
        <f t="shared" si="381"/>
        <v>-3.3306690738754696E-16</v>
      </c>
      <c r="AR413">
        <f t="shared" si="399"/>
        <v>0</v>
      </c>
      <c r="AS413">
        <f t="shared" si="382"/>
        <v>0</v>
      </c>
      <c r="AT413">
        <f t="shared" si="400"/>
        <v>0</v>
      </c>
      <c r="AU413">
        <f t="shared" si="401"/>
        <v>0</v>
      </c>
      <c r="AV413">
        <f t="shared" si="383"/>
        <v>1.9603538158400306E-20</v>
      </c>
      <c r="AW413" t="b">
        <f t="shared" si="402"/>
        <v>1</v>
      </c>
      <c r="AX413">
        <f t="shared" si="384"/>
        <v>7.8539816339744828</v>
      </c>
      <c r="AY413">
        <f t="shared" si="385"/>
        <v>0.80479920333359389</v>
      </c>
      <c r="AZ413">
        <f t="shared" si="386"/>
        <v>0.22154226994723591</v>
      </c>
      <c r="BA413">
        <f t="shared" si="387"/>
        <v>7.7878078104812648E-2</v>
      </c>
      <c r="BB413">
        <f t="shared" si="388"/>
        <v>-1.2337005501361696E-20</v>
      </c>
      <c r="BD413" s="15">
        <f t="shared" si="403"/>
        <v>8.9582011853601262</v>
      </c>
      <c r="BE413" s="10">
        <f t="shared" si="404"/>
        <v>0</v>
      </c>
      <c r="BF413">
        <f t="shared" si="405"/>
        <v>0</v>
      </c>
      <c r="BG413">
        <f t="shared" si="406"/>
        <v>0</v>
      </c>
      <c r="BH413">
        <f t="shared" si="407"/>
        <v>0</v>
      </c>
      <c r="BI413">
        <f t="shared" si="408"/>
        <v>0</v>
      </c>
    </row>
    <row r="414" spans="1:61" x14ac:dyDescent="0.3">
      <c r="A414">
        <f t="shared" si="355"/>
        <v>0.377</v>
      </c>
      <c r="B414">
        <f t="shared" si="356"/>
        <v>1.1843804304033521</v>
      </c>
      <c r="C414">
        <f t="shared" si="357"/>
        <v>1.9572122231864411</v>
      </c>
      <c r="D414">
        <f t="shared" si="358"/>
        <v>1.9572122231864411</v>
      </c>
      <c r="E414">
        <f t="shared" si="363"/>
        <v>0.92626575101906661</v>
      </c>
      <c r="F414">
        <f t="shared" si="364"/>
        <v>0.92626575101906672</v>
      </c>
      <c r="G414">
        <f t="shared" si="359"/>
        <v>1.1843804304033521</v>
      </c>
      <c r="H414">
        <f t="shared" si="360"/>
        <v>0.92626575101906661</v>
      </c>
      <c r="I414">
        <f t="shared" si="361"/>
        <v>0.92626575101906672</v>
      </c>
      <c r="J414">
        <f t="shared" si="351"/>
        <v>6.8729710848876782E+19</v>
      </c>
      <c r="K414">
        <f t="shared" si="352"/>
        <v>6.8729710848876782E+19</v>
      </c>
      <c r="L414">
        <f t="shared" si="365"/>
        <v>1</v>
      </c>
      <c r="M414">
        <f t="shared" si="362"/>
        <v>1.957212223186441E-20</v>
      </c>
      <c r="N414" s="9">
        <f t="shared" si="353"/>
        <v>1.957212223186441E-20</v>
      </c>
      <c r="O414">
        <f t="shared" si="354"/>
        <v>1.957212223186441E-20</v>
      </c>
      <c r="Q414">
        <f t="shared" si="366"/>
        <v>45.676713251959093</v>
      </c>
      <c r="R414">
        <f t="shared" si="367"/>
        <v>-710542.73576010019</v>
      </c>
      <c r="S414">
        <f t="shared" si="389"/>
        <v>-45.380180734226201</v>
      </c>
      <c r="T414" s="9" t="e">
        <f t="shared" si="368"/>
        <v>#N/A</v>
      </c>
      <c r="U414">
        <f t="shared" si="390"/>
        <v>-1.0000000000000001E+300</v>
      </c>
      <c r="V414">
        <f t="shared" si="391"/>
        <v>0</v>
      </c>
      <c r="W414">
        <f t="shared" si="392"/>
        <v>0</v>
      </c>
      <c r="X414">
        <f t="shared" si="369"/>
        <v>1.9572122231864411</v>
      </c>
      <c r="Y414">
        <f t="shared" si="370"/>
        <v>7.8539816339744828</v>
      </c>
      <c r="Z414">
        <f t="shared" si="371"/>
        <v>-1.9572122231864411</v>
      </c>
      <c r="AA414">
        <f t="shared" si="393"/>
        <v>0.79633360872059888</v>
      </c>
      <c r="AB414">
        <f t="shared" si="372"/>
        <v>8.6503152426950809</v>
      </c>
      <c r="AC414">
        <f t="shared" si="394"/>
        <v>0.2199384203652614</v>
      </c>
      <c r="AD414">
        <f t="shared" si="373"/>
        <v>7.6594097367636449E-2</v>
      </c>
      <c r="AE414" s="9">
        <f t="shared" si="395"/>
        <v>8.9468477604279784</v>
      </c>
      <c r="AF414">
        <f t="shared" si="396"/>
        <v>0</v>
      </c>
      <c r="AH414">
        <f t="shared" si="374"/>
        <v>7.8539816339744828</v>
      </c>
      <c r="AI414">
        <f t="shared" si="375"/>
        <v>0.79633360872059911</v>
      </c>
      <c r="AJ414">
        <f t="shared" si="376"/>
        <v>0.2199384203652599</v>
      </c>
      <c r="AK414">
        <f t="shared" si="377"/>
        <v>7.6594097367636449E-2</v>
      </c>
      <c r="AL414" s="9">
        <f t="shared" si="397"/>
        <v>8.9468477604279784</v>
      </c>
      <c r="AM414" t="e">
        <f t="shared" si="378"/>
        <v>#N/A</v>
      </c>
      <c r="AN414" t="e">
        <f t="shared" si="398"/>
        <v>#N/A</v>
      </c>
      <c r="AO414">
        <f t="shared" si="379"/>
        <v>0</v>
      </c>
      <c r="AP414">
        <f t="shared" si="380"/>
        <v>0</v>
      </c>
      <c r="AQ414">
        <f t="shared" si="381"/>
        <v>-1.4988010832439613E-15</v>
      </c>
      <c r="AR414">
        <f t="shared" si="399"/>
        <v>0</v>
      </c>
      <c r="AS414">
        <f t="shared" si="382"/>
        <v>0</v>
      </c>
      <c r="AT414">
        <f t="shared" si="400"/>
        <v>0</v>
      </c>
      <c r="AU414">
        <f t="shared" si="401"/>
        <v>0</v>
      </c>
      <c r="AV414">
        <f t="shared" si="383"/>
        <v>1.957212223186441E-20</v>
      </c>
      <c r="AW414" t="b">
        <f t="shared" si="402"/>
        <v>1</v>
      </c>
      <c r="AX414">
        <f t="shared" si="384"/>
        <v>7.8539816339744828</v>
      </c>
      <c r="AY414">
        <f t="shared" si="385"/>
        <v>0.79633360872059866</v>
      </c>
      <c r="AZ414">
        <f t="shared" si="386"/>
        <v>0.2199384203652614</v>
      </c>
      <c r="BA414">
        <f t="shared" si="387"/>
        <v>7.6594097367636338E-2</v>
      </c>
      <c r="BB414">
        <f t="shared" si="388"/>
        <v>-1.2337005501361696E-20</v>
      </c>
      <c r="BD414" s="15">
        <f t="shared" si="403"/>
        <v>8.9468477604279784</v>
      </c>
      <c r="BE414" s="10">
        <f t="shared" si="404"/>
        <v>0</v>
      </c>
      <c r="BF414">
        <f t="shared" si="405"/>
        <v>0</v>
      </c>
      <c r="BG414">
        <f t="shared" si="406"/>
        <v>0</v>
      </c>
      <c r="BH414">
        <f t="shared" si="407"/>
        <v>0</v>
      </c>
      <c r="BI414">
        <f t="shared" si="408"/>
        <v>0</v>
      </c>
    </row>
    <row r="415" spans="1:61" x14ac:dyDescent="0.3">
      <c r="A415">
        <f t="shared" si="355"/>
        <v>0.378</v>
      </c>
      <c r="B415">
        <f t="shared" si="356"/>
        <v>1.1875220230569419</v>
      </c>
      <c r="C415">
        <f t="shared" si="357"/>
        <v>1.9540706305328512</v>
      </c>
      <c r="D415">
        <f t="shared" si="358"/>
        <v>1.9540706305328512</v>
      </c>
      <c r="E415">
        <f t="shared" si="363"/>
        <v>0.92744515333466138</v>
      </c>
      <c r="F415">
        <f t="shared" si="364"/>
        <v>0.92744515333466138</v>
      </c>
      <c r="G415">
        <f t="shared" si="359"/>
        <v>1.1875220230569419</v>
      </c>
      <c r="H415">
        <f t="shared" si="360"/>
        <v>0.92744515333466138</v>
      </c>
      <c r="I415">
        <f t="shared" si="361"/>
        <v>0.92744515333466138</v>
      </c>
      <c r="J415">
        <f t="shared" si="351"/>
        <v>6.8642309475508371E+19</v>
      </c>
      <c r="K415">
        <f t="shared" si="352"/>
        <v>6.8642309475508371E+19</v>
      </c>
      <c r="L415">
        <f t="shared" si="365"/>
        <v>1</v>
      </c>
      <c r="M415">
        <f t="shared" si="362"/>
        <v>1.9540706305328513E-20</v>
      </c>
      <c r="N415" s="9">
        <f t="shared" si="353"/>
        <v>1.9540706305328513E-20</v>
      </c>
      <c r="O415">
        <f t="shared" si="354"/>
        <v>1.9540706305328513E-20</v>
      </c>
      <c r="Q415">
        <f t="shared" si="366"/>
        <v>45.675440774711468</v>
      </c>
      <c r="R415">
        <f t="shared" si="367"/>
        <v>0</v>
      </c>
      <c r="S415">
        <f t="shared" si="389"/>
        <v>-45.38178716027447</v>
      </c>
      <c r="T415" s="9" t="e">
        <f t="shared" si="368"/>
        <v>#N/A</v>
      </c>
      <c r="U415">
        <f t="shared" si="390"/>
        <v>-1.0000000000000001E+300</v>
      </c>
      <c r="V415">
        <f t="shared" si="391"/>
        <v>0</v>
      </c>
      <c r="W415">
        <f t="shared" si="392"/>
        <v>0</v>
      </c>
      <c r="X415">
        <f t="shared" si="369"/>
        <v>1.9540706305328512</v>
      </c>
      <c r="Y415">
        <f t="shared" si="370"/>
        <v>7.8539816339744828</v>
      </c>
      <c r="Z415">
        <f t="shared" si="371"/>
        <v>-1.9540706305328512</v>
      </c>
      <c r="AA415">
        <f t="shared" si="393"/>
        <v>0.78790934247940903</v>
      </c>
      <c r="AB415">
        <f t="shared" si="372"/>
        <v>8.641890976453892</v>
      </c>
      <c r="AC415">
        <f t="shared" si="394"/>
        <v>0.21833199431698769</v>
      </c>
      <c r="AD415">
        <f t="shared" si="373"/>
        <v>7.5321620120008162E-2</v>
      </c>
      <c r="AE415" s="9">
        <f t="shared" si="395"/>
        <v>8.9355445908908866</v>
      </c>
      <c r="AF415">
        <f t="shared" si="396"/>
        <v>0</v>
      </c>
      <c r="AH415">
        <f t="shared" si="374"/>
        <v>7.8539816339744828</v>
      </c>
      <c r="AI415">
        <f t="shared" si="375"/>
        <v>0.78790934247940925</v>
      </c>
      <c r="AJ415">
        <f t="shared" si="376"/>
        <v>0.21833199431699057</v>
      </c>
      <c r="AK415">
        <f t="shared" si="377"/>
        <v>7.5321620120008162E-2</v>
      </c>
      <c r="AL415" s="9">
        <f t="shared" si="397"/>
        <v>8.9355445908908901</v>
      </c>
      <c r="AM415" t="e">
        <f t="shared" si="378"/>
        <v>#N/A</v>
      </c>
      <c r="AN415" t="e">
        <f t="shared" si="398"/>
        <v>#N/A</v>
      </c>
      <c r="AO415">
        <f t="shared" si="379"/>
        <v>0</v>
      </c>
      <c r="AP415">
        <f t="shared" si="380"/>
        <v>0</v>
      </c>
      <c r="AQ415">
        <f t="shared" si="381"/>
        <v>2.886579864025407E-15</v>
      </c>
      <c r="AR415">
        <f t="shared" si="399"/>
        <v>0</v>
      </c>
      <c r="AS415">
        <f t="shared" si="382"/>
        <v>0</v>
      </c>
      <c r="AT415">
        <f t="shared" si="400"/>
        <v>0</v>
      </c>
      <c r="AU415">
        <f t="shared" si="401"/>
        <v>0</v>
      </c>
      <c r="AV415">
        <f t="shared" si="383"/>
        <v>1.954070630532851E-20</v>
      </c>
      <c r="AW415" t="b">
        <f t="shared" si="402"/>
        <v>1</v>
      </c>
      <c r="AX415">
        <f t="shared" si="384"/>
        <v>7.8539816339744828</v>
      </c>
      <c r="AY415">
        <f t="shared" si="385"/>
        <v>0.78790934247940891</v>
      </c>
      <c r="AZ415">
        <f t="shared" si="386"/>
        <v>0.21833199431698769</v>
      </c>
      <c r="BA415">
        <f t="shared" si="387"/>
        <v>7.5321620120008162E-2</v>
      </c>
      <c r="BB415">
        <f t="shared" si="388"/>
        <v>-1.2337005501361696E-20</v>
      </c>
      <c r="BD415" s="15">
        <f t="shared" si="403"/>
        <v>8.9355445908908866</v>
      </c>
      <c r="BE415" s="10">
        <f t="shared" si="404"/>
        <v>0</v>
      </c>
      <c r="BF415">
        <f t="shared" si="405"/>
        <v>0</v>
      </c>
      <c r="BG415">
        <f t="shared" si="406"/>
        <v>0</v>
      </c>
      <c r="BH415">
        <f t="shared" si="407"/>
        <v>0</v>
      </c>
      <c r="BI415">
        <f t="shared" si="408"/>
        <v>0</v>
      </c>
    </row>
    <row r="416" spans="1:61" x14ac:dyDescent="0.3">
      <c r="A416">
        <f t="shared" si="355"/>
        <v>0.379</v>
      </c>
      <c r="B416">
        <f t="shared" si="356"/>
        <v>1.1906636157105317</v>
      </c>
      <c r="C416">
        <f t="shared" si="357"/>
        <v>1.9509290378792614</v>
      </c>
      <c r="D416">
        <f t="shared" si="358"/>
        <v>1.9509290378792614</v>
      </c>
      <c r="E416">
        <f t="shared" si="363"/>
        <v>0.92861540214101734</v>
      </c>
      <c r="F416">
        <f t="shared" si="364"/>
        <v>0.92861540214101734</v>
      </c>
      <c r="G416">
        <f t="shared" si="359"/>
        <v>1.1906636157105317</v>
      </c>
      <c r="H416">
        <f t="shared" si="360"/>
        <v>0.92861540214101734</v>
      </c>
      <c r="I416">
        <f t="shared" si="361"/>
        <v>0.92861540214101734</v>
      </c>
      <c r="J416">
        <f t="shared" si="351"/>
        <v>6.8555805869662478E+19</v>
      </c>
      <c r="K416">
        <f t="shared" si="352"/>
        <v>6.8555805869662478E+19</v>
      </c>
      <c r="L416">
        <f t="shared" si="365"/>
        <v>1</v>
      </c>
      <c r="M416">
        <f t="shared" si="362"/>
        <v>1.9509290378792614E-20</v>
      </c>
      <c r="N416" s="9">
        <f t="shared" si="353"/>
        <v>1.9509290378792614E-20</v>
      </c>
      <c r="O416">
        <f t="shared" si="354"/>
        <v>1.9509290378792614E-20</v>
      </c>
      <c r="Q416">
        <f t="shared" si="366"/>
        <v>45.674179771714584</v>
      </c>
      <c r="R416">
        <f t="shared" si="367"/>
        <v>0</v>
      </c>
      <c r="S416">
        <f t="shared" si="389"/>
        <v>-45.383396171080172</v>
      </c>
      <c r="T416" s="9" t="e">
        <f t="shared" si="368"/>
        <v>#N/A</v>
      </c>
      <c r="U416">
        <f t="shared" si="390"/>
        <v>-1.0000000000000001E+300</v>
      </c>
      <c r="V416">
        <f t="shared" si="391"/>
        <v>0</v>
      </c>
      <c r="W416">
        <f t="shared" si="392"/>
        <v>0</v>
      </c>
      <c r="X416">
        <f t="shared" si="369"/>
        <v>1.9509290378792614</v>
      </c>
      <c r="Y416">
        <f t="shared" si="370"/>
        <v>7.8539816339744828</v>
      </c>
      <c r="Z416">
        <f t="shared" si="371"/>
        <v>-1.9509290378792614</v>
      </c>
      <c r="AA416">
        <f t="shared" si="393"/>
        <v>0.77952610623832241</v>
      </c>
      <c r="AB416">
        <f t="shared" si="372"/>
        <v>8.6335077402128046</v>
      </c>
      <c r="AC416">
        <f t="shared" si="394"/>
        <v>0.21672298351128702</v>
      </c>
      <c r="AD416">
        <f t="shared" si="373"/>
        <v>7.4060617123124214E-2</v>
      </c>
      <c r="AE416" s="9">
        <f t="shared" si="395"/>
        <v>8.9242913408472155</v>
      </c>
      <c r="AF416">
        <f t="shared" si="396"/>
        <v>0</v>
      </c>
      <c r="AH416">
        <f t="shared" si="374"/>
        <v>7.8539816339744828</v>
      </c>
      <c r="AI416">
        <f t="shared" si="375"/>
        <v>0.77952610623832264</v>
      </c>
      <c r="AJ416">
        <f t="shared" si="376"/>
        <v>0.21672298351128916</v>
      </c>
      <c r="AK416">
        <f t="shared" si="377"/>
        <v>7.4060617123124214E-2</v>
      </c>
      <c r="AL416" s="9">
        <f t="shared" si="397"/>
        <v>8.9242913408472173</v>
      </c>
      <c r="AM416" t="e">
        <f t="shared" si="378"/>
        <v>#N/A</v>
      </c>
      <c r="AN416" t="e">
        <f t="shared" si="398"/>
        <v>#N/A</v>
      </c>
      <c r="AO416">
        <f t="shared" si="379"/>
        <v>0</v>
      </c>
      <c r="AP416">
        <f t="shared" si="380"/>
        <v>0</v>
      </c>
      <c r="AQ416">
        <f t="shared" si="381"/>
        <v>2.1371793224034263E-15</v>
      </c>
      <c r="AR416">
        <f t="shared" si="399"/>
        <v>0</v>
      </c>
      <c r="AS416">
        <f t="shared" si="382"/>
        <v>0</v>
      </c>
      <c r="AT416">
        <f t="shared" si="400"/>
        <v>0</v>
      </c>
      <c r="AU416">
        <f t="shared" si="401"/>
        <v>0</v>
      </c>
      <c r="AV416">
        <f t="shared" si="383"/>
        <v>1.9509290378792614E-20</v>
      </c>
      <c r="AW416" t="b">
        <f t="shared" si="402"/>
        <v>1</v>
      </c>
      <c r="AX416">
        <f t="shared" si="384"/>
        <v>7.8539816339744828</v>
      </c>
      <c r="AY416">
        <f t="shared" si="385"/>
        <v>0.7795261062383223</v>
      </c>
      <c r="AZ416">
        <f t="shared" si="386"/>
        <v>0.21672298351128702</v>
      </c>
      <c r="BA416">
        <f t="shared" si="387"/>
        <v>7.4060617123124214E-2</v>
      </c>
      <c r="BB416">
        <f t="shared" si="388"/>
        <v>-1.2337005501361696E-20</v>
      </c>
      <c r="BD416" s="15">
        <f t="shared" si="403"/>
        <v>8.9242913408472155</v>
      </c>
      <c r="BE416" s="10">
        <f t="shared" si="404"/>
        <v>0</v>
      </c>
      <c r="BF416">
        <f t="shared" si="405"/>
        <v>0</v>
      </c>
      <c r="BG416">
        <f t="shared" si="406"/>
        <v>0</v>
      </c>
      <c r="BH416">
        <f t="shared" si="407"/>
        <v>0</v>
      </c>
      <c r="BI416">
        <f t="shared" si="408"/>
        <v>0</v>
      </c>
    </row>
    <row r="417" spans="1:61" x14ac:dyDescent="0.3">
      <c r="A417">
        <f t="shared" si="355"/>
        <v>0.38</v>
      </c>
      <c r="B417">
        <f t="shared" si="356"/>
        <v>1.1938052083641213</v>
      </c>
      <c r="C417">
        <f t="shared" si="357"/>
        <v>1.9477874452256718</v>
      </c>
      <c r="D417">
        <f t="shared" si="358"/>
        <v>1.9477874452256718</v>
      </c>
      <c r="E417">
        <f t="shared" si="363"/>
        <v>0.92977648588825135</v>
      </c>
      <c r="F417">
        <f t="shared" si="364"/>
        <v>0.92977648588825135</v>
      </c>
      <c r="G417">
        <f t="shared" si="359"/>
        <v>1.1938052083641213</v>
      </c>
      <c r="H417">
        <f t="shared" si="360"/>
        <v>0.92977648588825135</v>
      </c>
      <c r="I417">
        <f t="shared" si="361"/>
        <v>0.92977648588825135</v>
      </c>
      <c r="J417">
        <f t="shared" si="351"/>
        <v>6.8470194937162129E+19</v>
      </c>
      <c r="K417">
        <f t="shared" si="352"/>
        <v>6.8470194937162129E+19</v>
      </c>
      <c r="L417">
        <f t="shared" si="365"/>
        <v>1</v>
      </c>
      <c r="M417">
        <f t="shared" si="362"/>
        <v>1.9477874452256717E-20</v>
      </c>
      <c r="N417" s="9">
        <f t="shared" si="353"/>
        <v>1.9477874452256717E-20</v>
      </c>
      <c r="O417">
        <f t="shared" si="354"/>
        <v>1.9477874452256717E-20</v>
      </c>
      <c r="Q417">
        <f t="shared" si="366"/>
        <v>45.672930214066611</v>
      </c>
      <c r="R417">
        <f t="shared" si="367"/>
        <v>0</v>
      </c>
      <c r="S417">
        <f t="shared" si="389"/>
        <v>-45.385007774974511</v>
      </c>
      <c r="T417" s="9" t="e">
        <f t="shared" si="368"/>
        <v>#N/A</v>
      </c>
      <c r="U417">
        <f t="shared" si="390"/>
        <v>-1.0000000000000001E+300</v>
      </c>
      <c r="V417">
        <f t="shared" si="391"/>
        <v>0</v>
      </c>
      <c r="W417">
        <f t="shared" si="392"/>
        <v>0</v>
      </c>
      <c r="X417">
        <f t="shared" si="369"/>
        <v>1.9477874452256718</v>
      </c>
      <c r="Y417">
        <f t="shared" si="370"/>
        <v>7.8539816339744828</v>
      </c>
      <c r="Z417">
        <f t="shared" si="371"/>
        <v>-1.9477874452256718</v>
      </c>
      <c r="AA417">
        <f t="shared" si="393"/>
        <v>0.77118360474940095</v>
      </c>
      <c r="AB417">
        <f t="shared" si="372"/>
        <v>8.6251652387238842</v>
      </c>
      <c r="AC417">
        <f t="shared" si="394"/>
        <v>0.21511137961694549</v>
      </c>
      <c r="AD417">
        <f t="shared" si="373"/>
        <v>7.2811059475150333E-2</v>
      </c>
      <c r="AE417" s="9">
        <f t="shared" si="395"/>
        <v>8.9130876778159802</v>
      </c>
      <c r="AF417">
        <f t="shared" si="396"/>
        <v>0</v>
      </c>
      <c r="AH417">
        <f t="shared" si="374"/>
        <v>7.8539816339744828</v>
      </c>
      <c r="AI417">
        <f t="shared" si="375"/>
        <v>0.77118360474940117</v>
      </c>
      <c r="AJ417">
        <f t="shared" si="376"/>
        <v>0.2151113796169497</v>
      </c>
      <c r="AK417">
        <f t="shared" si="377"/>
        <v>7.2811059475150333E-2</v>
      </c>
      <c r="AL417" s="9">
        <f t="shared" si="397"/>
        <v>8.9130876778159838</v>
      </c>
      <c r="AM417" t="e">
        <f t="shared" si="378"/>
        <v>#N/A</v>
      </c>
      <c r="AN417" t="e">
        <f t="shared" si="398"/>
        <v>#N/A</v>
      </c>
      <c r="AO417">
        <f t="shared" si="379"/>
        <v>0</v>
      </c>
      <c r="AP417">
        <f t="shared" si="380"/>
        <v>0</v>
      </c>
      <c r="AQ417">
        <f t="shared" si="381"/>
        <v>4.2188474935755949E-15</v>
      </c>
      <c r="AR417">
        <f t="shared" si="399"/>
        <v>0</v>
      </c>
      <c r="AS417">
        <f t="shared" si="382"/>
        <v>0</v>
      </c>
      <c r="AT417">
        <f t="shared" si="400"/>
        <v>0</v>
      </c>
      <c r="AU417">
        <f t="shared" si="401"/>
        <v>0</v>
      </c>
      <c r="AV417">
        <f t="shared" si="383"/>
        <v>1.9477874452256717E-20</v>
      </c>
      <c r="AW417" t="b">
        <f t="shared" si="402"/>
        <v>1</v>
      </c>
      <c r="AX417">
        <f t="shared" si="384"/>
        <v>7.8539816339744828</v>
      </c>
      <c r="AY417">
        <f t="shared" si="385"/>
        <v>0.77118360474940084</v>
      </c>
      <c r="AZ417">
        <f t="shared" si="386"/>
        <v>0.21511137961694549</v>
      </c>
      <c r="BA417">
        <f t="shared" si="387"/>
        <v>7.2811059475150333E-2</v>
      </c>
      <c r="BB417">
        <f t="shared" si="388"/>
        <v>-1.2337005501361696E-20</v>
      </c>
      <c r="BD417" s="15">
        <f t="shared" si="403"/>
        <v>8.9130876778159802</v>
      </c>
      <c r="BE417" s="10">
        <f t="shared" si="404"/>
        <v>0</v>
      </c>
      <c r="BF417">
        <f t="shared" si="405"/>
        <v>0</v>
      </c>
      <c r="BG417">
        <f t="shared" si="406"/>
        <v>0</v>
      </c>
      <c r="BH417">
        <f t="shared" si="407"/>
        <v>0</v>
      </c>
      <c r="BI417">
        <f t="shared" si="408"/>
        <v>0</v>
      </c>
    </row>
    <row r="418" spans="1:61" x14ac:dyDescent="0.3">
      <c r="A418">
        <f t="shared" si="355"/>
        <v>0.38100000000000001</v>
      </c>
      <c r="B418">
        <f t="shared" si="356"/>
        <v>1.1969468010177111</v>
      </c>
      <c r="C418">
        <f t="shared" si="357"/>
        <v>1.944645852572082</v>
      </c>
      <c r="D418">
        <f t="shared" si="358"/>
        <v>1.944645852572082</v>
      </c>
      <c r="E418">
        <f t="shared" si="363"/>
        <v>0.93092839311693565</v>
      </c>
      <c r="F418">
        <f t="shared" si="364"/>
        <v>0.93092839311693576</v>
      </c>
      <c r="G418">
        <f t="shared" si="359"/>
        <v>1.1969468010177111</v>
      </c>
      <c r="H418">
        <f t="shared" si="360"/>
        <v>0.93092839311693565</v>
      </c>
      <c r="I418">
        <f t="shared" si="361"/>
        <v>0.93092839311693576</v>
      </c>
      <c r="J418">
        <f t="shared" si="351"/>
        <v>6.8385471651160007E+19</v>
      </c>
      <c r="K418">
        <f t="shared" si="352"/>
        <v>6.8385471651160007E+19</v>
      </c>
      <c r="L418">
        <f t="shared" si="365"/>
        <v>1</v>
      </c>
      <c r="M418">
        <f t="shared" si="362"/>
        <v>1.944645852572082E-20</v>
      </c>
      <c r="N418" s="9">
        <f t="shared" si="353"/>
        <v>1.944645852572082E-20</v>
      </c>
      <c r="O418">
        <f t="shared" si="354"/>
        <v>1.944645852572082E-20</v>
      </c>
      <c r="Q418">
        <f t="shared" si="366"/>
        <v>45.67169207319985</v>
      </c>
      <c r="R418">
        <f t="shared" si="367"/>
        <v>0</v>
      </c>
      <c r="S418">
        <f t="shared" si="389"/>
        <v>-45.386621980329053</v>
      </c>
      <c r="T418" s="9" t="e">
        <f t="shared" si="368"/>
        <v>#N/A</v>
      </c>
      <c r="U418">
        <f t="shared" si="390"/>
        <v>-1.0000000000000001E+300</v>
      </c>
      <c r="V418">
        <f t="shared" si="391"/>
        <v>0</v>
      </c>
      <c r="W418">
        <f t="shared" si="392"/>
        <v>0</v>
      </c>
      <c r="X418">
        <f t="shared" si="369"/>
        <v>1.944645852572082</v>
      </c>
      <c r="Y418">
        <f t="shared" si="370"/>
        <v>7.8539816339744828</v>
      </c>
      <c r="Z418">
        <f t="shared" si="371"/>
        <v>-1.944645852572082</v>
      </c>
      <c r="AA418">
        <f t="shared" si="393"/>
        <v>0.7628815458476248</v>
      </c>
      <c r="AB418">
        <f t="shared" si="372"/>
        <v>8.6168631798221078</v>
      </c>
      <c r="AC418">
        <f t="shared" si="394"/>
        <v>0.21349717426240436</v>
      </c>
      <c r="AD418">
        <f t="shared" si="373"/>
        <v>7.1572918608388464E-2</v>
      </c>
      <c r="AE418" s="9">
        <f t="shared" si="395"/>
        <v>8.9019332726929008</v>
      </c>
      <c r="AF418">
        <f t="shared" si="396"/>
        <v>0</v>
      </c>
      <c r="AH418">
        <f t="shared" si="374"/>
        <v>7.8539816339744828</v>
      </c>
      <c r="AI418">
        <f t="shared" si="375"/>
        <v>0.76288154584762513</v>
      </c>
      <c r="AJ418">
        <f t="shared" si="376"/>
        <v>0.21349717426240744</v>
      </c>
      <c r="AK418">
        <f t="shared" si="377"/>
        <v>7.1572918608388464E-2</v>
      </c>
      <c r="AL418" s="9">
        <f t="shared" si="397"/>
        <v>8.9019332726929044</v>
      </c>
      <c r="AM418" t="e">
        <f t="shared" si="378"/>
        <v>#N/A</v>
      </c>
      <c r="AN418" t="e">
        <f t="shared" si="398"/>
        <v>#N/A</v>
      </c>
      <c r="AO418">
        <f t="shared" si="379"/>
        <v>0</v>
      </c>
      <c r="AP418">
        <f t="shared" si="380"/>
        <v>0</v>
      </c>
      <c r="AQ418">
        <f t="shared" si="381"/>
        <v>3.0808688933348094E-15</v>
      </c>
      <c r="AR418">
        <f t="shared" si="399"/>
        <v>0</v>
      </c>
      <c r="AS418">
        <f t="shared" si="382"/>
        <v>0</v>
      </c>
      <c r="AT418">
        <f t="shared" si="400"/>
        <v>0</v>
      </c>
      <c r="AU418">
        <f t="shared" si="401"/>
        <v>0</v>
      </c>
      <c r="AV418">
        <f t="shared" si="383"/>
        <v>1.944645852572082E-20</v>
      </c>
      <c r="AW418" t="b">
        <f t="shared" si="402"/>
        <v>1</v>
      </c>
      <c r="AX418">
        <f t="shared" si="384"/>
        <v>7.8539816339744828</v>
      </c>
      <c r="AY418">
        <f t="shared" si="385"/>
        <v>0.76288154584762491</v>
      </c>
      <c r="AZ418">
        <f t="shared" si="386"/>
        <v>0.21349717426240453</v>
      </c>
      <c r="BA418">
        <f t="shared" si="387"/>
        <v>7.1572918608388339E-2</v>
      </c>
      <c r="BB418">
        <f t="shared" si="388"/>
        <v>-1.2337005501361696E-20</v>
      </c>
      <c r="BD418" s="15">
        <f t="shared" si="403"/>
        <v>8.9019332726929008</v>
      </c>
      <c r="BE418" s="10">
        <f t="shared" si="404"/>
        <v>0</v>
      </c>
      <c r="BF418">
        <f t="shared" si="405"/>
        <v>0</v>
      </c>
      <c r="BG418">
        <f t="shared" si="406"/>
        <v>0</v>
      </c>
      <c r="BH418">
        <f t="shared" si="407"/>
        <v>0</v>
      </c>
      <c r="BI418">
        <f t="shared" si="408"/>
        <v>0</v>
      </c>
    </row>
    <row r="419" spans="1:61" x14ac:dyDescent="0.3">
      <c r="A419">
        <f t="shared" si="355"/>
        <v>0.38200000000000001</v>
      </c>
      <c r="B419">
        <f t="shared" si="356"/>
        <v>1.2000883936713009</v>
      </c>
      <c r="C419">
        <f t="shared" si="357"/>
        <v>1.9415042599184922</v>
      </c>
      <c r="D419">
        <f t="shared" si="358"/>
        <v>1.9415042599184922</v>
      </c>
      <c r="E419">
        <f t="shared" si="363"/>
        <v>0.93207111245821095</v>
      </c>
      <c r="F419">
        <f t="shared" si="364"/>
        <v>0.93207111245821095</v>
      </c>
      <c r="G419">
        <f t="shared" si="359"/>
        <v>1.2000883936713009</v>
      </c>
      <c r="H419">
        <f t="shared" si="360"/>
        <v>0.93207111245821095</v>
      </c>
      <c r="I419">
        <f t="shared" si="361"/>
        <v>0.93207111245821095</v>
      </c>
      <c r="J419">
        <f t="shared" si="351"/>
        <v>6.8301631051367236E+19</v>
      </c>
      <c r="K419">
        <f t="shared" si="352"/>
        <v>6.8301631051367236E+19</v>
      </c>
      <c r="L419">
        <f t="shared" si="365"/>
        <v>1</v>
      </c>
      <c r="M419">
        <f t="shared" si="362"/>
        <v>1.9415042599184921E-20</v>
      </c>
      <c r="N419" s="9">
        <f t="shared" si="353"/>
        <v>1.9415042599184921E-20</v>
      </c>
      <c r="O419">
        <f t="shared" si="354"/>
        <v>1.9415042599184921E-20</v>
      </c>
      <c r="Q419">
        <f t="shared" si="366"/>
        <v>45.670465320877945</v>
      </c>
      <c r="R419">
        <f t="shared" si="367"/>
        <v>0</v>
      </c>
      <c r="S419">
        <f t="shared" si="389"/>
        <v>-45.388238795555957</v>
      </c>
      <c r="T419" s="9" t="e">
        <f t="shared" si="368"/>
        <v>#N/A</v>
      </c>
      <c r="U419">
        <f t="shared" si="390"/>
        <v>-1.0000000000000001E+300</v>
      </c>
      <c r="V419">
        <f t="shared" si="391"/>
        <v>0</v>
      </c>
      <c r="W419">
        <f t="shared" si="392"/>
        <v>0</v>
      </c>
      <c r="X419">
        <f t="shared" si="369"/>
        <v>1.9415042599184922</v>
      </c>
      <c r="Y419">
        <f t="shared" si="370"/>
        <v>7.8539816339744828</v>
      </c>
      <c r="Z419">
        <f t="shared" si="371"/>
        <v>-1.9415042599184922</v>
      </c>
      <c r="AA419">
        <f t="shared" si="393"/>
        <v>0.75461964041069263</v>
      </c>
      <c r="AB419">
        <f t="shared" si="372"/>
        <v>8.6086012743851761</v>
      </c>
      <c r="AC419">
        <f t="shared" si="394"/>
        <v>0.21188035903549901</v>
      </c>
      <c r="AD419">
        <f t="shared" si="373"/>
        <v>7.0346166286485864E-2</v>
      </c>
      <c r="AE419" s="9">
        <f t="shared" si="395"/>
        <v>8.8908277997071608</v>
      </c>
      <c r="AF419">
        <f t="shared" si="396"/>
        <v>0</v>
      </c>
      <c r="AH419">
        <f t="shared" si="374"/>
        <v>7.8539816339744828</v>
      </c>
      <c r="AI419">
        <f t="shared" si="375"/>
        <v>0.75461964041069285</v>
      </c>
      <c r="AJ419">
        <f t="shared" si="376"/>
        <v>0.21188035903550428</v>
      </c>
      <c r="AK419">
        <f t="shared" si="377"/>
        <v>7.0346166286485864E-2</v>
      </c>
      <c r="AL419" s="9">
        <f t="shared" si="397"/>
        <v>8.8908277997071661</v>
      </c>
      <c r="AM419" t="e">
        <f t="shared" si="378"/>
        <v>#N/A</v>
      </c>
      <c r="AN419" t="e">
        <f t="shared" si="398"/>
        <v>#N/A</v>
      </c>
      <c r="AO419">
        <f t="shared" si="379"/>
        <v>0</v>
      </c>
      <c r="AP419">
        <f t="shared" si="380"/>
        <v>0</v>
      </c>
      <c r="AQ419">
        <f t="shared" si="381"/>
        <v>5.2735593669694936E-15</v>
      </c>
      <c r="AR419">
        <f t="shared" si="399"/>
        <v>0</v>
      </c>
      <c r="AS419">
        <f t="shared" si="382"/>
        <v>0</v>
      </c>
      <c r="AT419">
        <f t="shared" si="400"/>
        <v>0</v>
      </c>
      <c r="AU419">
        <f t="shared" si="401"/>
        <v>0</v>
      </c>
      <c r="AV419">
        <f t="shared" si="383"/>
        <v>1.9415042599184921E-20</v>
      </c>
      <c r="AW419" t="b">
        <f t="shared" si="402"/>
        <v>1</v>
      </c>
      <c r="AX419">
        <f t="shared" si="384"/>
        <v>7.8539816339744828</v>
      </c>
      <c r="AY419">
        <f t="shared" si="385"/>
        <v>0.7546196404106924</v>
      </c>
      <c r="AZ419">
        <f t="shared" si="386"/>
        <v>0.21188035903549901</v>
      </c>
      <c r="BA419">
        <f t="shared" si="387"/>
        <v>7.0346166286485864E-2</v>
      </c>
      <c r="BB419">
        <f t="shared" si="388"/>
        <v>-1.2337005501361696E-20</v>
      </c>
      <c r="BD419" s="15">
        <f t="shared" si="403"/>
        <v>8.8908277997071608</v>
      </c>
      <c r="BE419" s="10">
        <f t="shared" si="404"/>
        <v>0</v>
      </c>
      <c r="BF419">
        <f t="shared" si="405"/>
        <v>0</v>
      </c>
      <c r="BG419">
        <f t="shared" si="406"/>
        <v>0</v>
      </c>
      <c r="BH419">
        <f t="shared" si="407"/>
        <v>0</v>
      </c>
      <c r="BI419">
        <f t="shared" si="408"/>
        <v>0</v>
      </c>
    </row>
    <row r="420" spans="1:61" x14ac:dyDescent="0.3">
      <c r="A420">
        <f t="shared" si="355"/>
        <v>0.38300000000000001</v>
      </c>
      <c r="B420">
        <f t="shared" si="356"/>
        <v>1.2032299863248908</v>
      </c>
      <c r="C420">
        <f t="shared" si="357"/>
        <v>1.9383626672649024</v>
      </c>
      <c r="D420">
        <f t="shared" si="358"/>
        <v>1.9383626672649024</v>
      </c>
      <c r="E420">
        <f t="shared" si="363"/>
        <v>0.93320463263389852</v>
      </c>
      <c r="F420">
        <f t="shared" si="364"/>
        <v>0.93320463263389863</v>
      </c>
      <c r="G420">
        <f t="shared" si="359"/>
        <v>1.2032299863248908</v>
      </c>
      <c r="H420">
        <f t="shared" si="360"/>
        <v>0.93320463263389852</v>
      </c>
      <c r="I420">
        <f t="shared" si="361"/>
        <v>0.93320463263389863</v>
      </c>
      <c r="J420">
        <f t="shared" si="351"/>
        <v>6.8218668243295248E+19</v>
      </c>
      <c r="K420">
        <f t="shared" si="352"/>
        <v>6.8218668243295248E+19</v>
      </c>
      <c r="L420">
        <f t="shared" si="365"/>
        <v>1</v>
      </c>
      <c r="M420">
        <f t="shared" si="362"/>
        <v>1.9383626672649021E-20</v>
      </c>
      <c r="N420" s="9">
        <f t="shared" si="353"/>
        <v>1.9383626672649021E-20</v>
      </c>
      <c r="O420">
        <f t="shared" si="354"/>
        <v>1.9383626672649021E-20</v>
      </c>
      <c r="Q420">
        <f t="shared" si="366"/>
        <v>45.669249929193143</v>
      </c>
      <c r="R420">
        <f t="shared" si="367"/>
        <v>-710542.73576010019</v>
      </c>
      <c r="S420">
        <f t="shared" si="389"/>
        <v>-45.389858229108263</v>
      </c>
      <c r="T420" s="9" t="e">
        <f t="shared" si="368"/>
        <v>#N/A</v>
      </c>
      <c r="U420">
        <f t="shared" si="390"/>
        <v>-1.0000000000000001E+300</v>
      </c>
      <c r="V420">
        <f t="shared" si="391"/>
        <v>0</v>
      </c>
      <c r="W420">
        <f t="shared" si="392"/>
        <v>0</v>
      </c>
      <c r="X420">
        <f t="shared" si="369"/>
        <v>1.9383626672649024</v>
      </c>
      <c r="Y420">
        <f t="shared" si="370"/>
        <v>7.8539816339744828</v>
      </c>
      <c r="Z420">
        <f t="shared" si="371"/>
        <v>-1.9383626672649024</v>
      </c>
      <c r="AA420">
        <f t="shared" si="393"/>
        <v>0.74639760231944552</v>
      </c>
      <c r="AB420">
        <f t="shared" si="372"/>
        <v>8.6003792362939286</v>
      </c>
      <c r="AC420">
        <f t="shared" si="394"/>
        <v>0.21026092548319605</v>
      </c>
      <c r="AD420">
        <f t="shared" si="373"/>
        <v>6.9130774601686193E-2</v>
      </c>
      <c r="AE420" s="9">
        <f t="shared" si="395"/>
        <v>8.8797709363788098</v>
      </c>
      <c r="AF420">
        <f t="shared" si="396"/>
        <v>0</v>
      </c>
      <c r="AH420">
        <f t="shared" si="374"/>
        <v>7.8539816339744828</v>
      </c>
      <c r="AI420">
        <f t="shared" si="375"/>
        <v>0.74639760231944574</v>
      </c>
      <c r="AJ420">
        <f t="shared" si="376"/>
        <v>0.21026092548319752</v>
      </c>
      <c r="AK420">
        <f t="shared" si="377"/>
        <v>6.9130774601686193E-2</v>
      </c>
      <c r="AL420" s="9">
        <f t="shared" si="397"/>
        <v>8.8797709363788115</v>
      </c>
      <c r="AM420" t="e">
        <f t="shared" si="378"/>
        <v>#N/A</v>
      </c>
      <c r="AN420" t="e">
        <f t="shared" si="398"/>
        <v>#N/A</v>
      </c>
      <c r="AO420">
        <f t="shared" si="379"/>
        <v>0</v>
      </c>
      <c r="AP420">
        <f t="shared" si="380"/>
        <v>0</v>
      </c>
      <c r="AQ420">
        <f t="shared" si="381"/>
        <v>1.4710455076283324E-15</v>
      </c>
      <c r="AR420">
        <f t="shared" si="399"/>
        <v>0</v>
      </c>
      <c r="AS420">
        <f t="shared" si="382"/>
        <v>0</v>
      </c>
      <c r="AT420">
        <f t="shared" si="400"/>
        <v>0</v>
      </c>
      <c r="AU420">
        <f t="shared" si="401"/>
        <v>0</v>
      </c>
      <c r="AV420">
        <f t="shared" si="383"/>
        <v>1.9383626672649021E-20</v>
      </c>
      <c r="AW420" t="b">
        <f t="shared" si="402"/>
        <v>1</v>
      </c>
      <c r="AX420">
        <f t="shared" si="384"/>
        <v>7.8539816339744828</v>
      </c>
      <c r="AY420">
        <f t="shared" si="385"/>
        <v>0.7463976023194453</v>
      </c>
      <c r="AZ420">
        <f t="shared" si="386"/>
        <v>0.21026092548319605</v>
      </c>
      <c r="BA420">
        <f t="shared" si="387"/>
        <v>6.9130774601686082E-2</v>
      </c>
      <c r="BB420">
        <f t="shared" si="388"/>
        <v>-1.2337005501361696E-20</v>
      </c>
      <c r="BD420" s="15">
        <f t="shared" si="403"/>
        <v>8.8797709363788098</v>
      </c>
      <c r="BE420" s="10">
        <f t="shared" si="404"/>
        <v>0</v>
      </c>
      <c r="BF420">
        <f t="shared" si="405"/>
        <v>0</v>
      </c>
      <c r="BG420">
        <f t="shared" si="406"/>
        <v>0</v>
      </c>
      <c r="BH420">
        <f t="shared" si="407"/>
        <v>0</v>
      </c>
      <c r="BI420">
        <f t="shared" si="408"/>
        <v>0</v>
      </c>
    </row>
    <row r="421" spans="1:61" x14ac:dyDescent="0.3">
      <c r="A421">
        <f t="shared" si="355"/>
        <v>0.38400000000000001</v>
      </c>
      <c r="B421">
        <f t="shared" si="356"/>
        <v>1.2063715789784806</v>
      </c>
      <c r="C421">
        <f t="shared" si="357"/>
        <v>1.9352210746113125</v>
      </c>
      <c r="D421">
        <f t="shared" si="358"/>
        <v>1.9352210746113125</v>
      </c>
      <c r="E421">
        <f t="shared" si="363"/>
        <v>0.93432894245661202</v>
      </c>
      <c r="F421">
        <f t="shared" si="364"/>
        <v>0.93432894245661213</v>
      </c>
      <c r="G421">
        <f t="shared" si="359"/>
        <v>1.2063715789784806</v>
      </c>
      <c r="H421">
        <f t="shared" si="360"/>
        <v>0.93432894245661202</v>
      </c>
      <c r="I421">
        <f t="shared" si="361"/>
        <v>0.93432894245661213</v>
      </c>
      <c r="J421">
        <f t="shared" ref="J421:J484" si="409">x_m_zeta/H421</f>
        <v>6.8136578397510631E+19</v>
      </c>
      <c r="K421">
        <f t="shared" ref="K421:K484" si="410">(J421)^alpha</f>
        <v>6.8136578397510631E+19</v>
      </c>
      <c r="L421">
        <f t="shared" si="365"/>
        <v>1</v>
      </c>
      <c r="M421">
        <f t="shared" si="362"/>
        <v>1.9352210746113125E-20</v>
      </c>
      <c r="N421" s="9">
        <f t="shared" si="353"/>
        <v>1.9352210746113125E-20</v>
      </c>
      <c r="O421">
        <f t="shared" si="354"/>
        <v>1.9352210746113125E-20</v>
      </c>
      <c r="Q421">
        <f t="shared" si="366"/>
        <v>45.668045870563581</v>
      </c>
      <c r="R421">
        <f t="shared" si="367"/>
        <v>0</v>
      </c>
      <c r="S421">
        <f t="shared" si="389"/>
        <v>-45.391480289480128</v>
      </c>
      <c r="T421" s="9" t="e">
        <f t="shared" si="368"/>
        <v>#N/A</v>
      </c>
      <c r="U421">
        <f t="shared" si="390"/>
        <v>-1.0000000000000001E+300</v>
      </c>
      <c r="V421">
        <f t="shared" si="391"/>
        <v>0</v>
      </c>
      <c r="W421">
        <f t="shared" si="392"/>
        <v>0</v>
      </c>
      <c r="X421">
        <f t="shared" si="369"/>
        <v>1.9352210746113125</v>
      </c>
      <c r="Y421">
        <f t="shared" si="370"/>
        <v>7.8539816339744828</v>
      </c>
      <c r="Z421">
        <f t="shared" si="371"/>
        <v>-1.9352210746113125</v>
      </c>
      <c r="AA421">
        <f t="shared" si="393"/>
        <v>0.73821514841891289</v>
      </c>
      <c r="AB421">
        <f t="shared" si="372"/>
        <v>8.5921967823933958</v>
      </c>
      <c r="AC421">
        <f t="shared" si="394"/>
        <v>0.20863886511132801</v>
      </c>
      <c r="AD421">
        <f t="shared" si="373"/>
        <v>6.7926715972121424E-2</v>
      </c>
      <c r="AE421" s="9">
        <f t="shared" si="395"/>
        <v>8.8687623634768435</v>
      </c>
      <c r="AF421">
        <f t="shared" si="396"/>
        <v>0</v>
      </c>
      <c r="AH421">
        <f t="shared" si="374"/>
        <v>7.8539816339744828</v>
      </c>
      <c r="AI421">
        <f t="shared" si="375"/>
        <v>0.73821514841891289</v>
      </c>
      <c r="AJ421">
        <f t="shared" si="376"/>
        <v>0.20863886511133245</v>
      </c>
      <c r="AK421">
        <f t="shared" si="377"/>
        <v>6.7926715972121424E-2</v>
      </c>
      <c r="AL421" s="9">
        <f t="shared" si="397"/>
        <v>8.8687623634768489</v>
      </c>
      <c r="AM421" t="e">
        <f t="shared" si="378"/>
        <v>#N/A</v>
      </c>
      <c r="AN421" t="e">
        <f t="shared" si="398"/>
        <v>#N/A</v>
      </c>
      <c r="AO421">
        <f t="shared" si="379"/>
        <v>0</v>
      </c>
      <c r="AP421">
        <f t="shared" si="380"/>
        <v>0</v>
      </c>
      <c r="AQ421">
        <f t="shared" si="381"/>
        <v>4.4408920985006262E-15</v>
      </c>
      <c r="AR421">
        <f t="shared" si="399"/>
        <v>0</v>
      </c>
      <c r="AS421">
        <f t="shared" si="382"/>
        <v>0</v>
      </c>
      <c r="AT421">
        <f t="shared" si="400"/>
        <v>0</v>
      </c>
      <c r="AU421">
        <f t="shared" si="401"/>
        <v>0</v>
      </c>
      <c r="AV421">
        <f t="shared" si="383"/>
        <v>1.9352210746113125E-20</v>
      </c>
      <c r="AW421" t="b">
        <f t="shared" si="402"/>
        <v>1</v>
      </c>
      <c r="AX421">
        <f t="shared" si="384"/>
        <v>7.8539816339744828</v>
      </c>
      <c r="AY421">
        <f t="shared" si="385"/>
        <v>0.73821514841891256</v>
      </c>
      <c r="AZ421">
        <f t="shared" si="386"/>
        <v>0.20863886511132801</v>
      </c>
      <c r="BA421">
        <f t="shared" si="387"/>
        <v>6.7926715972121299E-2</v>
      </c>
      <c r="BB421">
        <f t="shared" si="388"/>
        <v>-1.2337005501361696E-20</v>
      </c>
      <c r="BD421" s="15">
        <f t="shared" si="403"/>
        <v>8.8687623634768435</v>
      </c>
      <c r="BE421" s="10">
        <f t="shared" si="404"/>
        <v>0</v>
      </c>
      <c r="BF421">
        <f t="shared" si="405"/>
        <v>0</v>
      </c>
      <c r="BG421">
        <f t="shared" si="406"/>
        <v>0</v>
      </c>
      <c r="BH421">
        <f t="shared" si="407"/>
        <v>0</v>
      </c>
      <c r="BI421">
        <f t="shared" si="408"/>
        <v>0</v>
      </c>
    </row>
    <row r="422" spans="1:61" x14ac:dyDescent="0.3">
      <c r="A422">
        <f t="shared" si="355"/>
        <v>0.38500000000000001</v>
      </c>
      <c r="B422">
        <f t="shared" si="356"/>
        <v>1.2095131716320704</v>
      </c>
      <c r="C422">
        <f t="shared" si="357"/>
        <v>1.9320794819577227</v>
      </c>
      <c r="D422">
        <f t="shared" si="358"/>
        <v>1.9320794819577227</v>
      </c>
      <c r="E422">
        <f t="shared" si="363"/>
        <v>0.93544403082986738</v>
      </c>
      <c r="F422">
        <f t="shared" si="364"/>
        <v>0.93544403082986738</v>
      </c>
      <c r="G422">
        <f t="shared" si="359"/>
        <v>1.2095131716320704</v>
      </c>
      <c r="H422">
        <f t="shared" si="360"/>
        <v>0.93544403082986738</v>
      </c>
      <c r="I422">
        <f t="shared" si="361"/>
        <v>0.93544403082986738</v>
      </c>
      <c r="J422">
        <f t="shared" si="409"/>
        <v>6.8055356748902679E+19</v>
      </c>
      <c r="K422">
        <f t="shared" si="410"/>
        <v>6.8055356748902679E+19</v>
      </c>
      <c r="L422">
        <f t="shared" si="365"/>
        <v>0</v>
      </c>
      <c r="M422">
        <f t="shared" si="362"/>
        <v>1.9320794819577228E-20</v>
      </c>
      <c r="N422" s="9">
        <f t="shared" ref="N422:N485" si="411">L422*M422</f>
        <v>0</v>
      </c>
      <c r="O422">
        <f t="shared" ref="O422:O485" si="412">N422*EXP(-N422)</f>
        <v>0</v>
      </c>
      <c r="Q422">
        <f t="shared" si="366"/>
        <v>45.666853117730604</v>
      </c>
      <c r="R422">
        <f t="shared" si="367"/>
        <v>0</v>
      </c>
      <c r="S422">
        <f t="shared" si="389"/>
        <v>-45.393104985207131</v>
      </c>
      <c r="T422" s="9" t="e">
        <f t="shared" si="368"/>
        <v>#N/A</v>
      </c>
      <c r="U422">
        <f t="shared" si="390"/>
        <v>-1.0000000000000001E+300</v>
      </c>
      <c r="V422">
        <f t="shared" si="391"/>
        <v>0</v>
      </c>
      <c r="W422">
        <f t="shared" si="392"/>
        <v>0</v>
      </c>
      <c r="X422">
        <f t="shared" si="369"/>
        <v>1.9320794819577227</v>
      </c>
      <c r="Y422">
        <f t="shared" si="370"/>
        <v>7.8539816339744828</v>
      </c>
      <c r="Z422">
        <f t="shared" si="371"/>
        <v>-1.9320794819577227</v>
      </c>
      <c r="AA422">
        <f t="shared" si="393"/>
        <v>0.73007199847996362</v>
      </c>
      <c r="AB422">
        <f t="shared" si="372"/>
        <v>8.584053632454447</v>
      </c>
      <c r="AC422">
        <f t="shared" si="394"/>
        <v>0.20701416938432612</v>
      </c>
      <c r="AD422">
        <f t="shared" si="373"/>
        <v>6.6733963139145536E-2</v>
      </c>
      <c r="AE422" s="9">
        <f t="shared" si="395"/>
        <v>8.8578017649779195</v>
      </c>
      <c r="AF422">
        <f t="shared" si="396"/>
        <v>0</v>
      </c>
      <c r="AH422">
        <f t="shared" si="374"/>
        <v>7.8539816339744828</v>
      </c>
      <c r="AI422">
        <f t="shared" si="375"/>
        <v>0.73007199847996374</v>
      </c>
      <c r="AJ422">
        <f t="shared" si="376"/>
        <v>0.2070141693843297</v>
      </c>
      <c r="AK422">
        <f t="shared" si="377"/>
        <v>6.6733963139145536E-2</v>
      </c>
      <c r="AL422" s="9">
        <f t="shared" si="397"/>
        <v>8.857801764977923</v>
      </c>
      <c r="AM422" t="e">
        <f t="shared" si="378"/>
        <v>#N/A</v>
      </c>
      <c r="AN422" t="e">
        <f t="shared" si="398"/>
        <v>#N/A</v>
      </c>
      <c r="AO422">
        <f t="shared" si="379"/>
        <v>0</v>
      </c>
      <c r="AP422">
        <f t="shared" si="380"/>
        <v>0</v>
      </c>
      <c r="AQ422">
        <f t="shared" si="381"/>
        <v>3.5804692544161298E-15</v>
      </c>
      <c r="AR422">
        <f t="shared" si="399"/>
        <v>0</v>
      </c>
      <c r="AS422">
        <f t="shared" si="382"/>
        <v>0</v>
      </c>
      <c r="AT422">
        <f t="shared" si="400"/>
        <v>0</v>
      </c>
      <c r="AU422">
        <f t="shared" si="401"/>
        <v>0</v>
      </c>
      <c r="AV422">
        <f t="shared" si="383"/>
        <v>1.9320794819577225E-20</v>
      </c>
      <c r="AW422" t="b">
        <f t="shared" si="402"/>
        <v>1</v>
      </c>
      <c r="AX422">
        <f t="shared" si="384"/>
        <v>7.8539816339744828</v>
      </c>
      <c r="AY422">
        <f t="shared" si="385"/>
        <v>0.73007199847996329</v>
      </c>
      <c r="AZ422">
        <f t="shared" si="386"/>
        <v>0.20701416938432612</v>
      </c>
      <c r="BA422">
        <f t="shared" si="387"/>
        <v>6.6733963139145536E-2</v>
      </c>
      <c r="BB422">
        <f t="shared" si="388"/>
        <v>-1.2337005501361696E-20</v>
      </c>
      <c r="BD422" s="15">
        <f t="shared" si="403"/>
        <v>8.8578017649779177</v>
      </c>
      <c r="BE422" s="10">
        <f t="shared" si="404"/>
        <v>0</v>
      </c>
      <c r="BF422">
        <f t="shared" si="405"/>
        <v>0</v>
      </c>
      <c r="BG422">
        <f t="shared" si="406"/>
        <v>0</v>
      </c>
      <c r="BH422">
        <f t="shared" si="407"/>
        <v>0</v>
      </c>
      <c r="BI422">
        <f t="shared" si="408"/>
        <v>0</v>
      </c>
    </row>
    <row r="423" spans="1:61" x14ac:dyDescent="0.3">
      <c r="A423">
        <f t="shared" ref="A423:A486" si="413">ROUND(A422+1/1000,3)</f>
        <v>0.38600000000000001</v>
      </c>
      <c r="B423">
        <f t="shared" si="356"/>
        <v>1.2126547642856602</v>
      </c>
      <c r="C423">
        <f t="shared" si="357"/>
        <v>1.9289378893041329</v>
      </c>
      <c r="D423">
        <f t="shared" si="358"/>
        <v>1.9289378893041329</v>
      </c>
      <c r="E423">
        <f t="shared" si="363"/>
        <v>0.9365498867481924</v>
      </c>
      <c r="F423">
        <f t="shared" si="364"/>
        <v>0.9365498867481924</v>
      </c>
      <c r="G423">
        <f t="shared" si="359"/>
        <v>1.2126547642856602</v>
      </c>
      <c r="H423">
        <f t="shared" si="360"/>
        <v>0.9365498867481924</v>
      </c>
      <c r="I423">
        <f t="shared" si="361"/>
        <v>0.9365498867481924</v>
      </c>
      <c r="J423">
        <f t="shared" si="409"/>
        <v>6.7974998595963486E+19</v>
      </c>
      <c r="K423">
        <f t="shared" si="410"/>
        <v>6.7974998595963486E+19</v>
      </c>
      <c r="L423">
        <f t="shared" si="365"/>
        <v>1</v>
      </c>
      <c r="M423">
        <f t="shared" si="362"/>
        <v>1.9289378893041328E-20</v>
      </c>
      <c r="N423" s="9">
        <f t="shared" si="411"/>
        <v>1.9289378893041328E-20</v>
      </c>
      <c r="O423">
        <f t="shared" si="412"/>
        <v>1.9289378893041328E-20</v>
      </c>
      <c r="Q423">
        <f t="shared" si="366"/>
        <v>45.66567164375617</v>
      </c>
      <c r="R423">
        <f t="shared" si="367"/>
        <v>0</v>
      </c>
      <c r="S423">
        <f t="shared" si="389"/>
        <v>-45.39473232486651</v>
      </c>
      <c r="T423" s="9" t="e">
        <f t="shared" si="368"/>
        <v>#N/A</v>
      </c>
      <c r="U423">
        <f t="shared" si="390"/>
        <v>-1.0000000000000001E+300</v>
      </c>
      <c r="V423">
        <f t="shared" si="391"/>
        <v>0</v>
      </c>
      <c r="W423">
        <f t="shared" si="392"/>
        <v>0</v>
      </c>
      <c r="X423">
        <f t="shared" si="369"/>
        <v>1.9289378893041329</v>
      </c>
      <c r="Y423">
        <f t="shared" si="370"/>
        <v>7.8539816339744828</v>
      </c>
      <c r="Z423">
        <f t="shared" si="371"/>
        <v>-1.9289378893041329</v>
      </c>
      <c r="AA423">
        <f t="shared" si="393"/>
        <v>0.72196787516155358</v>
      </c>
      <c r="AB423">
        <f t="shared" si="372"/>
        <v>8.575949509136036</v>
      </c>
      <c r="AC423">
        <f t="shared" si="394"/>
        <v>0.2053868297249507</v>
      </c>
      <c r="AD423">
        <f t="shared" si="373"/>
        <v>6.5552489164707989E-2</v>
      </c>
      <c r="AE423" s="9">
        <f t="shared" si="395"/>
        <v>8.8468888280256941</v>
      </c>
      <c r="AF423">
        <f t="shared" si="396"/>
        <v>0</v>
      </c>
      <c r="AH423">
        <f t="shared" si="374"/>
        <v>7.8539816339744828</v>
      </c>
      <c r="AI423">
        <f t="shared" si="375"/>
        <v>0.7219678751615537</v>
      </c>
      <c r="AJ423">
        <f t="shared" si="376"/>
        <v>0.20538682972495081</v>
      </c>
      <c r="AK423">
        <f t="shared" si="377"/>
        <v>6.5552489164707989E-2</v>
      </c>
      <c r="AL423" s="9">
        <f t="shared" si="397"/>
        <v>8.8468888280256941</v>
      </c>
      <c r="AM423" t="e">
        <f t="shared" si="378"/>
        <v>#N/A</v>
      </c>
      <c r="AN423" t="e">
        <f t="shared" si="398"/>
        <v>#N/A</v>
      </c>
      <c r="AO423">
        <f t="shared" si="379"/>
        <v>0</v>
      </c>
      <c r="AP423">
        <f t="shared" si="380"/>
        <v>0</v>
      </c>
      <c r="AQ423">
        <f t="shared" si="381"/>
        <v>0</v>
      </c>
      <c r="AR423">
        <f t="shared" si="399"/>
        <v>0</v>
      </c>
      <c r="AS423">
        <f t="shared" si="382"/>
        <v>0</v>
      </c>
      <c r="AT423">
        <f t="shared" si="400"/>
        <v>0</v>
      </c>
      <c r="AU423">
        <f t="shared" si="401"/>
        <v>0</v>
      </c>
      <c r="AV423">
        <f t="shared" si="383"/>
        <v>1.9289378893041328E-20</v>
      </c>
      <c r="AW423" t="b">
        <f t="shared" si="402"/>
        <v>1</v>
      </c>
      <c r="AX423">
        <f t="shared" si="384"/>
        <v>7.8539816339744828</v>
      </c>
      <c r="AY423">
        <f t="shared" si="385"/>
        <v>0.72196787516155347</v>
      </c>
      <c r="AZ423">
        <f t="shared" si="386"/>
        <v>0.2053868297249507</v>
      </c>
      <c r="BA423">
        <f t="shared" si="387"/>
        <v>6.5552489164707989E-2</v>
      </c>
      <c r="BB423">
        <f t="shared" si="388"/>
        <v>-1.2337005501361696E-20</v>
      </c>
      <c r="BD423" s="15">
        <f t="shared" si="403"/>
        <v>8.8468888280256941</v>
      </c>
      <c r="BE423" s="10">
        <f t="shared" si="404"/>
        <v>0</v>
      </c>
      <c r="BF423">
        <f t="shared" si="405"/>
        <v>0</v>
      </c>
      <c r="BG423">
        <f t="shared" si="406"/>
        <v>0</v>
      </c>
      <c r="BH423">
        <f t="shared" si="407"/>
        <v>0</v>
      </c>
      <c r="BI423">
        <f t="shared" si="408"/>
        <v>0</v>
      </c>
    </row>
    <row r="424" spans="1:61" x14ac:dyDescent="0.3">
      <c r="A424">
        <f t="shared" si="413"/>
        <v>0.38700000000000001</v>
      </c>
      <c r="B424">
        <f t="shared" si="356"/>
        <v>1.21579635693925</v>
      </c>
      <c r="C424">
        <f t="shared" si="357"/>
        <v>1.9257962966505431</v>
      </c>
      <c r="D424">
        <f t="shared" si="358"/>
        <v>1.9257962966505431</v>
      </c>
      <c r="E424">
        <f t="shared" si="363"/>
        <v>0.93764649929723565</v>
      </c>
      <c r="F424">
        <f t="shared" si="364"/>
        <v>0.93764649929723576</v>
      </c>
      <c r="G424">
        <f t="shared" si="359"/>
        <v>1.21579635693925</v>
      </c>
      <c r="H424">
        <f t="shared" si="360"/>
        <v>0.93764649929723565</v>
      </c>
      <c r="I424">
        <f t="shared" si="361"/>
        <v>0.93764649929723576</v>
      </c>
      <c r="J424">
        <f t="shared" si="409"/>
        <v>6.789549930008023E+19</v>
      </c>
      <c r="K424">
        <f t="shared" si="410"/>
        <v>6.789549930008023E+19</v>
      </c>
      <c r="L424">
        <f t="shared" si="365"/>
        <v>1</v>
      </c>
      <c r="M424">
        <f t="shared" si="362"/>
        <v>1.9257962966505429E-20</v>
      </c>
      <c r="N424" s="9">
        <f t="shared" si="411"/>
        <v>1.9257962966505429E-20</v>
      </c>
      <c r="O424">
        <f t="shared" si="412"/>
        <v>1.9257962966505429E-20</v>
      </c>
      <c r="Q424">
        <f t="shared" si="366"/>
        <v>45.664501422020223</v>
      </c>
      <c r="R424">
        <f t="shared" si="367"/>
        <v>-710542.73576010019</v>
      </c>
      <c r="S424">
        <f t="shared" si="389"/>
        <v>-45.39636231707744</v>
      </c>
      <c r="T424" s="9" t="e">
        <f t="shared" si="368"/>
        <v>#N/A</v>
      </c>
      <c r="U424">
        <f t="shared" si="390"/>
        <v>-1.0000000000000001E+300</v>
      </c>
      <c r="V424">
        <f t="shared" si="391"/>
        <v>0</v>
      </c>
      <c r="W424">
        <f t="shared" si="392"/>
        <v>0</v>
      </c>
      <c r="X424">
        <f t="shared" si="369"/>
        <v>1.9257962966505431</v>
      </c>
      <c r="Y424">
        <f t="shared" si="370"/>
        <v>7.8539816339744828</v>
      </c>
      <c r="Z424">
        <f t="shared" si="371"/>
        <v>-1.9257962966505431</v>
      </c>
      <c r="AA424">
        <f t="shared" si="393"/>
        <v>0.7139025039735577</v>
      </c>
      <c r="AB424">
        <f t="shared" si="372"/>
        <v>8.5678841379480399</v>
      </c>
      <c r="AC424">
        <f t="shared" si="394"/>
        <v>0.20375683751401963</v>
      </c>
      <c r="AD424">
        <f t="shared" si="373"/>
        <v>6.4382267428766432E-2</v>
      </c>
      <c r="AE424" s="9">
        <f t="shared" si="395"/>
        <v>8.8360232428908265</v>
      </c>
      <c r="AF424">
        <f t="shared" si="396"/>
        <v>0</v>
      </c>
      <c r="AH424">
        <f t="shared" si="374"/>
        <v>7.8539816339744828</v>
      </c>
      <c r="AI424">
        <f t="shared" si="375"/>
        <v>0.71390250397355781</v>
      </c>
      <c r="AJ424">
        <f t="shared" si="376"/>
        <v>0.20375683751402107</v>
      </c>
      <c r="AK424">
        <f t="shared" si="377"/>
        <v>6.4382267428766432E-2</v>
      </c>
      <c r="AL424" s="9">
        <f t="shared" si="397"/>
        <v>8.8360232428908283</v>
      </c>
      <c r="AM424" t="e">
        <f t="shared" si="378"/>
        <v>#N/A</v>
      </c>
      <c r="AN424" t="e">
        <f t="shared" si="398"/>
        <v>#N/A</v>
      </c>
      <c r="AO424">
        <f t="shared" si="379"/>
        <v>0</v>
      </c>
      <c r="AP424">
        <f t="shared" si="380"/>
        <v>0</v>
      </c>
      <c r="AQ424">
        <f t="shared" si="381"/>
        <v>1.4432899320127035E-15</v>
      </c>
      <c r="AR424">
        <f t="shared" si="399"/>
        <v>0</v>
      </c>
      <c r="AS424">
        <f t="shared" si="382"/>
        <v>0</v>
      </c>
      <c r="AT424">
        <f t="shared" si="400"/>
        <v>0</v>
      </c>
      <c r="AU424">
        <f t="shared" si="401"/>
        <v>0</v>
      </c>
      <c r="AV424">
        <f t="shared" si="383"/>
        <v>1.9257962966505429E-20</v>
      </c>
      <c r="AW424" t="b">
        <f t="shared" si="402"/>
        <v>1</v>
      </c>
      <c r="AX424">
        <f t="shared" si="384"/>
        <v>7.8539816339744828</v>
      </c>
      <c r="AY424">
        <f t="shared" si="385"/>
        <v>0.71390250397355748</v>
      </c>
      <c r="AZ424">
        <f t="shared" si="386"/>
        <v>0.20375683751401963</v>
      </c>
      <c r="BA424">
        <f t="shared" si="387"/>
        <v>6.4382267428766307E-2</v>
      </c>
      <c r="BB424">
        <f t="shared" si="388"/>
        <v>-1.2337005501361696E-20</v>
      </c>
      <c r="BD424" s="15">
        <f t="shared" si="403"/>
        <v>8.8360232428908247</v>
      </c>
      <c r="BE424" s="10">
        <f t="shared" si="404"/>
        <v>0</v>
      </c>
      <c r="BF424">
        <f t="shared" si="405"/>
        <v>0</v>
      </c>
      <c r="BG424">
        <f t="shared" si="406"/>
        <v>0</v>
      </c>
      <c r="BH424">
        <f t="shared" si="407"/>
        <v>0</v>
      </c>
      <c r="BI424">
        <f t="shared" si="408"/>
        <v>0</v>
      </c>
    </row>
    <row r="425" spans="1:61" x14ac:dyDescent="0.3">
      <c r="A425">
        <f t="shared" si="413"/>
        <v>0.38800000000000001</v>
      </c>
      <c r="B425">
        <f t="shared" si="356"/>
        <v>1.2189379495928399</v>
      </c>
      <c r="C425">
        <f t="shared" si="357"/>
        <v>1.9226547039969533</v>
      </c>
      <c r="D425">
        <f t="shared" si="358"/>
        <v>1.9226547039969533</v>
      </c>
      <c r="E425">
        <f t="shared" si="363"/>
        <v>0.93873385765387407</v>
      </c>
      <c r="F425">
        <f t="shared" si="364"/>
        <v>0.93873385765387418</v>
      </c>
      <c r="G425">
        <f t="shared" si="359"/>
        <v>1.2189379495928399</v>
      </c>
      <c r="H425">
        <f t="shared" si="360"/>
        <v>0.93873385765387407</v>
      </c>
      <c r="I425">
        <f t="shared" si="361"/>
        <v>0.93873385765387418</v>
      </c>
      <c r="J425">
        <f t="shared" si="409"/>
        <v>6.7816854284839608E+19</v>
      </c>
      <c r="K425">
        <f t="shared" si="410"/>
        <v>6.7816854284839608E+19</v>
      </c>
      <c r="L425" t="e">
        <f t="shared" si="365"/>
        <v>#NUM!</v>
      </c>
      <c r="M425">
        <f t="shared" si="362"/>
        <v>1.9226547039969532E-20</v>
      </c>
      <c r="N425" s="9" t="e">
        <f t="shared" si="411"/>
        <v>#NUM!</v>
      </c>
      <c r="O425" t="e">
        <f t="shared" si="412"/>
        <v>#NUM!</v>
      </c>
      <c r="Q425">
        <f t="shared" si="366"/>
        <v>45.6633424262182</v>
      </c>
      <c r="R425">
        <f t="shared" si="367"/>
        <v>0</v>
      </c>
      <c r="S425">
        <f t="shared" si="389"/>
        <v>-45.397994970501323</v>
      </c>
      <c r="T425" s="9" t="e">
        <f t="shared" si="368"/>
        <v>#N/A</v>
      </c>
      <c r="U425">
        <f t="shared" si="390"/>
        <v>-1.0000000000000001E+300</v>
      </c>
      <c r="V425">
        <f t="shared" si="391"/>
        <v>0</v>
      </c>
      <c r="W425">
        <f t="shared" si="392"/>
        <v>0</v>
      </c>
      <c r="X425">
        <f t="shared" si="369"/>
        <v>1.9226547039969533</v>
      </c>
      <c r="Y425">
        <f t="shared" si="370"/>
        <v>7.8539816339744828</v>
      </c>
      <c r="Z425">
        <f t="shared" si="371"/>
        <v>-1.9226547039969533</v>
      </c>
      <c r="AA425">
        <f t="shared" si="393"/>
        <v>0.70587561324017711</v>
      </c>
      <c r="AB425">
        <f t="shared" si="372"/>
        <v>8.5598572472146603</v>
      </c>
      <c r="AC425">
        <f t="shared" si="394"/>
        <v>0.20212418409013433</v>
      </c>
      <c r="AD425">
        <f t="shared" si="373"/>
        <v>6.3223271626739005E-2</v>
      </c>
      <c r="AE425" s="9">
        <f t="shared" si="395"/>
        <v>8.8252047029315346</v>
      </c>
      <c r="AF425">
        <f t="shared" si="396"/>
        <v>0</v>
      </c>
      <c r="AH425">
        <f t="shared" si="374"/>
        <v>7.8539816339744828</v>
      </c>
      <c r="AI425">
        <f t="shared" si="375"/>
        <v>0.70587561324017722</v>
      </c>
      <c r="AJ425">
        <f t="shared" si="376"/>
        <v>0.20212418409013821</v>
      </c>
      <c r="AK425">
        <f t="shared" si="377"/>
        <v>6.3223271626739005E-2</v>
      </c>
      <c r="AL425" s="9">
        <f t="shared" si="397"/>
        <v>8.8252047029315381</v>
      </c>
      <c r="AM425" t="e">
        <f t="shared" si="378"/>
        <v>#N/A</v>
      </c>
      <c r="AN425" t="e">
        <f t="shared" si="398"/>
        <v>#N/A</v>
      </c>
      <c r="AO425">
        <f t="shared" si="379"/>
        <v>0</v>
      </c>
      <c r="AP425">
        <f t="shared" si="380"/>
        <v>0</v>
      </c>
      <c r="AQ425">
        <f t="shared" si="381"/>
        <v>3.8857805861880479E-15</v>
      </c>
      <c r="AR425">
        <f t="shared" si="399"/>
        <v>0</v>
      </c>
      <c r="AS425">
        <f t="shared" si="382"/>
        <v>0</v>
      </c>
      <c r="AT425">
        <f t="shared" si="400"/>
        <v>0</v>
      </c>
      <c r="AU425">
        <f t="shared" si="401"/>
        <v>0</v>
      </c>
      <c r="AV425">
        <f t="shared" si="383"/>
        <v>1.9226547039969532E-20</v>
      </c>
      <c r="AW425" t="b">
        <f t="shared" si="402"/>
        <v>1</v>
      </c>
      <c r="AX425">
        <f t="shared" si="384"/>
        <v>7.8539816339744828</v>
      </c>
      <c r="AY425">
        <f t="shared" si="385"/>
        <v>0.70587561324017689</v>
      </c>
      <c r="AZ425">
        <f t="shared" si="386"/>
        <v>0.20212418409013433</v>
      </c>
      <c r="BA425">
        <f t="shared" si="387"/>
        <v>6.3223271626738881E-2</v>
      </c>
      <c r="BB425">
        <f t="shared" si="388"/>
        <v>-1.2337005501361696E-20</v>
      </c>
      <c r="BD425" s="15">
        <f t="shared" si="403"/>
        <v>8.8252047029315346</v>
      </c>
      <c r="BE425" s="10">
        <f t="shared" si="404"/>
        <v>0</v>
      </c>
      <c r="BF425">
        <f t="shared" si="405"/>
        <v>0</v>
      </c>
      <c r="BG425">
        <f t="shared" si="406"/>
        <v>0</v>
      </c>
      <c r="BH425">
        <f t="shared" si="407"/>
        <v>0</v>
      </c>
      <c r="BI425">
        <f t="shared" si="408"/>
        <v>0</v>
      </c>
    </row>
    <row r="426" spans="1:61" x14ac:dyDescent="0.3">
      <c r="A426">
        <f t="shared" si="413"/>
        <v>0.38900000000000001</v>
      </c>
      <c r="B426">
        <f t="shared" si="356"/>
        <v>1.2220795422464295</v>
      </c>
      <c r="C426">
        <f t="shared" si="357"/>
        <v>1.9195131113433637</v>
      </c>
      <c r="D426">
        <f t="shared" si="358"/>
        <v>1.9195131113433637</v>
      </c>
      <c r="E426">
        <f t="shared" si="363"/>
        <v>0.93981195108631965</v>
      </c>
      <c r="F426">
        <f t="shared" si="364"/>
        <v>0.93981195108631965</v>
      </c>
      <c r="G426">
        <f t="shared" si="359"/>
        <v>1.2220795422464295</v>
      </c>
      <c r="H426">
        <f t="shared" si="360"/>
        <v>0.93981195108631965</v>
      </c>
      <c r="I426">
        <f t="shared" si="361"/>
        <v>0.93981195108631965</v>
      </c>
      <c r="J426">
        <f t="shared" si="409"/>
        <v>6.7739059035344118E+19</v>
      </c>
      <c r="K426">
        <f t="shared" si="410"/>
        <v>6.7739059035344118E+19</v>
      </c>
      <c r="L426">
        <f t="shared" si="365"/>
        <v>1</v>
      </c>
      <c r="M426">
        <f t="shared" si="362"/>
        <v>1.9195131113433636E-20</v>
      </c>
      <c r="N426" s="9">
        <f t="shared" si="411"/>
        <v>1.9195131113433636E-20</v>
      </c>
      <c r="O426">
        <f t="shared" si="412"/>
        <v>1.9195131113433636E-20</v>
      </c>
      <c r="Q426">
        <f t="shared" si="366"/>
        <v>45.662194630358456</v>
      </c>
      <c r="R426">
        <f t="shared" si="367"/>
        <v>0</v>
      </c>
      <c r="S426">
        <f t="shared" si="389"/>
        <v>-45.399630293842058</v>
      </c>
      <c r="T426" s="9" t="e">
        <f t="shared" si="368"/>
        <v>#N/A</v>
      </c>
      <c r="U426">
        <f t="shared" si="390"/>
        <v>-1.0000000000000001E+300</v>
      </c>
      <c r="V426">
        <f t="shared" si="391"/>
        <v>0</v>
      </c>
      <c r="W426">
        <f t="shared" si="392"/>
        <v>0</v>
      </c>
      <c r="X426">
        <f t="shared" si="369"/>
        <v>1.9195131113433637</v>
      </c>
      <c r="Y426">
        <f t="shared" si="370"/>
        <v>7.8539816339744828</v>
      </c>
      <c r="Z426">
        <f t="shared" si="371"/>
        <v>-1.9195131113433637</v>
      </c>
      <c r="AA426">
        <f t="shared" si="393"/>
        <v>0.69788693406391056</v>
      </c>
      <c r="AB426">
        <f t="shared" si="372"/>
        <v>8.5518685680383939</v>
      </c>
      <c r="AC426">
        <f t="shared" si="394"/>
        <v>0.20048886074940356</v>
      </c>
      <c r="AD426">
        <f t="shared" si="373"/>
        <v>6.2075475766995299E-2</v>
      </c>
      <c r="AE426" s="9">
        <f t="shared" si="395"/>
        <v>8.8144329045547938</v>
      </c>
      <c r="AF426">
        <f t="shared" si="396"/>
        <v>0</v>
      </c>
      <c r="AH426">
        <f t="shared" si="374"/>
        <v>7.8539816339744828</v>
      </c>
      <c r="AI426">
        <f t="shared" si="375"/>
        <v>0.69788693406391078</v>
      </c>
      <c r="AJ426">
        <f t="shared" si="376"/>
        <v>0.20048886074940242</v>
      </c>
      <c r="AK426">
        <f t="shared" si="377"/>
        <v>6.2075475766995299E-2</v>
      </c>
      <c r="AL426" s="9">
        <f t="shared" si="397"/>
        <v>8.814432904554792</v>
      </c>
      <c r="AM426" t="e">
        <f t="shared" si="378"/>
        <v>#N/A</v>
      </c>
      <c r="AN426" t="e">
        <f t="shared" si="398"/>
        <v>#N/A</v>
      </c>
      <c r="AO426">
        <f t="shared" si="379"/>
        <v>0</v>
      </c>
      <c r="AP426">
        <f t="shared" si="380"/>
        <v>0</v>
      </c>
      <c r="AQ426">
        <f t="shared" si="381"/>
        <v>-1.1379786002407855E-15</v>
      </c>
      <c r="AR426">
        <f t="shared" si="399"/>
        <v>0</v>
      </c>
      <c r="AS426">
        <f t="shared" si="382"/>
        <v>0</v>
      </c>
      <c r="AT426">
        <f t="shared" si="400"/>
        <v>0</v>
      </c>
      <c r="AU426">
        <f t="shared" si="401"/>
        <v>0</v>
      </c>
      <c r="AV426">
        <f t="shared" si="383"/>
        <v>1.9195131113433636E-20</v>
      </c>
      <c r="AW426" t="b">
        <f t="shared" si="402"/>
        <v>1</v>
      </c>
      <c r="AX426">
        <f t="shared" si="384"/>
        <v>7.8539816339744828</v>
      </c>
      <c r="AY426">
        <f t="shared" si="385"/>
        <v>0.69788693406391045</v>
      </c>
      <c r="AZ426">
        <f t="shared" si="386"/>
        <v>0.20048886074940375</v>
      </c>
      <c r="BA426">
        <f t="shared" si="387"/>
        <v>6.2075475766995299E-2</v>
      </c>
      <c r="BB426">
        <f t="shared" si="388"/>
        <v>-1.2337005501361696E-20</v>
      </c>
      <c r="BD426" s="15">
        <f t="shared" si="403"/>
        <v>8.8144329045547938</v>
      </c>
      <c r="BE426" s="10">
        <f t="shared" si="404"/>
        <v>0</v>
      </c>
      <c r="BF426">
        <f t="shared" si="405"/>
        <v>0</v>
      </c>
      <c r="BG426">
        <f t="shared" si="406"/>
        <v>0</v>
      </c>
      <c r="BH426">
        <f t="shared" si="407"/>
        <v>0</v>
      </c>
      <c r="BI426">
        <f t="shared" si="408"/>
        <v>0</v>
      </c>
    </row>
    <row r="427" spans="1:61" x14ac:dyDescent="0.3">
      <c r="A427">
        <f t="shared" si="413"/>
        <v>0.39</v>
      </c>
      <c r="B427">
        <f t="shared" si="356"/>
        <v>1.2252211349000193</v>
      </c>
      <c r="C427">
        <f t="shared" si="357"/>
        <v>1.9163715186897738</v>
      </c>
      <c r="D427">
        <f t="shared" si="358"/>
        <v>1.9163715186897738</v>
      </c>
      <c r="E427">
        <f t="shared" si="363"/>
        <v>0.94088076895422545</v>
      </c>
      <c r="F427">
        <f t="shared" si="364"/>
        <v>0.94088076895422545</v>
      </c>
      <c r="G427">
        <f t="shared" si="359"/>
        <v>1.2252211349000193</v>
      </c>
      <c r="H427">
        <f t="shared" si="360"/>
        <v>0.94088076895422545</v>
      </c>
      <c r="I427">
        <f t="shared" si="361"/>
        <v>0.94088076895422545</v>
      </c>
      <c r="J427">
        <f t="shared" si="409"/>
        <v>6.7662109097540018E+19</v>
      </c>
      <c r="K427">
        <f t="shared" si="410"/>
        <v>6.7662109097540018E+19</v>
      </c>
      <c r="L427">
        <f t="shared" si="365"/>
        <v>1</v>
      </c>
      <c r="M427">
        <f t="shared" si="362"/>
        <v>1.9163715186897736E-20</v>
      </c>
      <c r="N427" s="9">
        <f t="shared" si="411"/>
        <v>1.9163715186897736E-20</v>
      </c>
      <c r="O427">
        <f t="shared" si="412"/>
        <v>1.9163715186897736E-20</v>
      </c>
      <c r="Q427">
        <f t="shared" si="366"/>
        <v>45.661058008759845</v>
      </c>
      <c r="R427">
        <f t="shared" si="367"/>
        <v>0</v>
      </c>
      <c r="S427">
        <f t="shared" si="389"/>
        <v>-45.401268295846293</v>
      </c>
      <c r="T427" s="9" t="e">
        <f t="shared" si="368"/>
        <v>#N/A</v>
      </c>
      <c r="U427">
        <f t="shared" si="390"/>
        <v>-1.0000000000000001E+300</v>
      </c>
      <c r="V427">
        <f t="shared" si="391"/>
        <v>0</v>
      </c>
      <c r="W427">
        <f t="shared" si="392"/>
        <v>0</v>
      </c>
      <c r="X427">
        <f t="shared" si="369"/>
        <v>1.9163715186897738</v>
      </c>
      <c r="Y427">
        <f t="shared" si="370"/>
        <v>7.8539816339744828</v>
      </c>
      <c r="Z427">
        <f t="shared" si="371"/>
        <v>-1.9163715186897738</v>
      </c>
      <c r="AA427">
        <f t="shared" si="393"/>
        <v>0.68993620029007741</v>
      </c>
      <c r="AB427">
        <f t="shared" si="372"/>
        <v>8.5439178342645601</v>
      </c>
      <c r="AC427">
        <f t="shared" si="394"/>
        <v>0.19885085874516517</v>
      </c>
      <c r="AD427">
        <f t="shared" si="373"/>
        <v>6.093885416838489E-2</v>
      </c>
      <c r="AE427" s="9">
        <f t="shared" si="395"/>
        <v>8.8037075471781101</v>
      </c>
      <c r="AF427">
        <f t="shared" si="396"/>
        <v>0</v>
      </c>
      <c r="AH427">
        <f t="shared" si="374"/>
        <v>7.8539816339744828</v>
      </c>
      <c r="AI427">
        <f t="shared" si="375"/>
        <v>0.68993620029007752</v>
      </c>
      <c r="AJ427">
        <f t="shared" si="376"/>
        <v>0.19885085874516761</v>
      </c>
      <c r="AK427">
        <f t="shared" si="377"/>
        <v>6.093885416838489E-2</v>
      </c>
      <c r="AL427" s="9">
        <f t="shared" si="397"/>
        <v>8.8037075471781119</v>
      </c>
      <c r="AM427" t="e">
        <f t="shared" si="378"/>
        <v>#N/A</v>
      </c>
      <c r="AN427" t="e">
        <f t="shared" si="398"/>
        <v>#N/A</v>
      </c>
      <c r="AO427">
        <f t="shared" si="379"/>
        <v>0</v>
      </c>
      <c r="AP427">
        <f t="shared" si="380"/>
        <v>0</v>
      </c>
      <c r="AQ427">
        <f t="shared" si="381"/>
        <v>2.4424906541753444E-15</v>
      </c>
      <c r="AR427">
        <f t="shared" si="399"/>
        <v>0</v>
      </c>
      <c r="AS427">
        <f t="shared" si="382"/>
        <v>0</v>
      </c>
      <c r="AT427">
        <f t="shared" si="400"/>
        <v>0</v>
      </c>
      <c r="AU427">
        <f t="shared" si="401"/>
        <v>0</v>
      </c>
      <c r="AV427">
        <f t="shared" si="383"/>
        <v>1.9163715186897736E-20</v>
      </c>
      <c r="AW427" t="b">
        <f t="shared" si="402"/>
        <v>1</v>
      </c>
      <c r="AX427">
        <f t="shared" si="384"/>
        <v>7.8539816339744828</v>
      </c>
      <c r="AY427">
        <f t="shared" si="385"/>
        <v>0.68993620029007718</v>
      </c>
      <c r="AZ427">
        <f t="shared" si="386"/>
        <v>0.19885085874516517</v>
      </c>
      <c r="BA427">
        <f t="shared" si="387"/>
        <v>6.093885416838489E-2</v>
      </c>
      <c r="BB427">
        <f t="shared" si="388"/>
        <v>-1.2337005501361696E-20</v>
      </c>
      <c r="BD427" s="15">
        <f t="shared" si="403"/>
        <v>8.8037075471781101</v>
      </c>
      <c r="BE427" s="10">
        <f t="shared" si="404"/>
        <v>0</v>
      </c>
      <c r="BF427">
        <f t="shared" si="405"/>
        <v>0</v>
      </c>
      <c r="BG427">
        <f t="shared" si="406"/>
        <v>0</v>
      </c>
      <c r="BH427">
        <f t="shared" si="407"/>
        <v>0</v>
      </c>
      <c r="BI427">
        <f t="shared" si="408"/>
        <v>0</v>
      </c>
    </row>
    <row r="428" spans="1:61" x14ac:dyDescent="0.3">
      <c r="A428">
        <f t="shared" si="413"/>
        <v>0.39100000000000001</v>
      </c>
      <c r="B428">
        <f t="shared" si="356"/>
        <v>1.2283627275536091</v>
      </c>
      <c r="C428">
        <f t="shared" si="357"/>
        <v>1.913229926036184</v>
      </c>
      <c r="D428">
        <f t="shared" si="358"/>
        <v>1.913229926036184</v>
      </c>
      <c r="E428">
        <f t="shared" si="363"/>
        <v>0.94194030070879065</v>
      </c>
      <c r="F428">
        <f t="shared" si="364"/>
        <v>0.94194030070879065</v>
      </c>
      <c r="G428">
        <f t="shared" si="359"/>
        <v>1.2283627275536091</v>
      </c>
      <c r="H428">
        <f t="shared" si="360"/>
        <v>0.94194030070879065</v>
      </c>
      <c r="I428">
        <f t="shared" si="361"/>
        <v>0.94194030070879065</v>
      </c>
      <c r="J428">
        <f t="shared" si="409"/>
        <v>6.7586000077556736E+19</v>
      </c>
      <c r="K428">
        <f t="shared" si="410"/>
        <v>6.7586000077556736E+19</v>
      </c>
      <c r="L428">
        <f t="shared" si="365"/>
        <v>1</v>
      </c>
      <c r="M428">
        <f t="shared" si="362"/>
        <v>1.9132299260361839E-20</v>
      </c>
      <c r="N428" s="9">
        <f t="shared" si="411"/>
        <v>1.9132299260361839E-20</v>
      </c>
      <c r="O428">
        <f t="shared" si="412"/>
        <v>1.9132299260361839E-20</v>
      </c>
      <c r="Q428">
        <f t="shared" si="366"/>
        <v>45.659932536049261</v>
      </c>
      <c r="R428">
        <f t="shared" si="367"/>
        <v>0</v>
      </c>
      <c r="S428">
        <f t="shared" si="389"/>
        <v>-45.402908985303753</v>
      </c>
      <c r="T428" s="9" t="e">
        <f t="shared" si="368"/>
        <v>#N/A</v>
      </c>
      <c r="U428">
        <f t="shared" si="390"/>
        <v>-1.0000000000000001E+300</v>
      </c>
      <c r="V428">
        <f t="shared" si="391"/>
        <v>0</v>
      </c>
      <c r="W428">
        <f t="shared" si="392"/>
        <v>0</v>
      </c>
      <c r="X428">
        <f t="shared" si="369"/>
        <v>1.913229926036184</v>
      </c>
      <c r="Y428">
        <f t="shared" si="370"/>
        <v>7.8539816339744828</v>
      </c>
      <c r="Z428">
        <f t="shared" si="371"/>
        <v>-1.913229926036184</v>
      </c>
      <c r="AA428">
        <f t="shared" si="393"/>
        <v>0.68202314847188994</v>
      </c>
      <c r="AB428">
        <f t="shared" si="372"/>
        <v>8.5360047824463727</v>
      </c>
      <c r="AC428">
        <f t="shared" si="394"/>
        <v>0.19721016928770527</v>
      </c>
      <c r="AD428">
        <f t="shared" si="373"/>
        <v>5.9813381457803592E-2</v>
      </c>
      <c r="AE428" s="9">
        <f t="shared" si="395"/>
        <v>8.7930283331918826</v>
      </c>
      <c r="AF428">
        <f t="shared" si="396"/>
        <v>0</v>
      </c>
      <c r="AH428">
        <f t="shared" si="374"/>
        <v>7.8539816339744828</v>
      </c>
      <c r="AI428">
        <f t="shared" si="375"/>
        <v>0.68202314847188994</v>
      </c>
      <c r="AJ428">
        <f t="shared" si="376"/>
        <v>0.19721016928770752</v>
      </c>
      <c r="AK428">
        <f t="shared" si="377"/>
        <v>5.9813381457803592E-2</v>
      </c>
      <c r="AL428" s="9">
        <f t="shared" si="397"/>
        <v>8.7930283331918844</v>
      </c>
      <c r="AM428" t="e">
        <f t="shared" si="378"/>
        <v>#N/A</v>
      </c>
      <c r="AN428" t="e">
        <f t="shared" si="398"/>
        <v>#N/A</v>
      </c>
      <c r="AO428">
        <f t="shared" si="379"/>
        <v>0</v>
      </c>
      <c r="AP428">
        <f t="shared" si="380"/>
        <v>0</v>
      </c>
      <c r="AQ428">
        <f t="shared" si="381"/>
        <v>2.248201624865942E-15</v>
      </c>
      <c r="AR428">
        <f t="shared" si="399"/>
        <v>0</v>
      </c>
      <c r="AS428">
        <f t="shared" si="382"/>
        <v>0</v>
      </c>
      <c r="AT428">
        <f t="shared" si="400"/>
        <v>0</v>
      </c>
      <c r="AU428">
        <f t="shared" si="401"/>
        <v>0</v>
      </c>
      <c r="AV428">
        <f t="shared" si="383"/>
        <v>1.9132299260361839E-20</v>
      </c>
      <c r="AW428" t="b">
        <f t="shared" si="402"/>
        <v>1</v>
      </c>
      <c r="AX428">
        <f t="shared" si="384"/>
        <v>7.8539816339744828</v>
      </c>
      <c r="AY428">
        <f t="shared" si="385"/>
        <v>0.68202314847188961</v>
      </c>
      <c r="AZ428">
        <f t="shared" si="386"/>
        <v>0.19721016928770527</v>
      </c>
      <c r="BA428">
        <f t="shared" si="387"/>
        <v>5.9813381457803592E-2</v>
      </c>
      <c r="BB428">
        <f t="shared" si="388"/>
        <v>-1.2337005501361696E-20</v>
      </c>
      <c r="BD428" s="15">
        <f t="shared" si="403"/>
        <v>8.7930283331918826</v>
      </c>
      <c r="BE428" s="10">
        <f t="shared" si="404"/>
        <v>0</v>
      </c>
      <c r="BF428">
        <f t="shared" si="405"/>
        <v>0</v>
      </c>
      <c r="BG428">
        <f t="shared" si="406"/>
        <v>0</v>
      </c>
      <c r="BH428">
        <f t="shared" si="407"/>
        <v>0</v>
      </c>
      <c r="BI428">
        <f t="shared" si="408"/>
        <v>0</v>
      </c>
    </row>
    <row r="429" spans="1:61" x14ac:dyDescent="0.3">
      <c r="A429">
        <f t="shared" si="413"/>
        <v>0.39200000000000002</v>
      </c>
      <c r="B429">
        <f t="shared" si="356"/>
        <v>1.2315043202071989</v>
      </c>
      <c r="C429">
        <f t="shared" si="357"/>
        <v>1.9100883333825942</v>
      </c>
      <c r="D429">
        <f t="shared" si="358"/>
        <v>1.9100883333825942</v>
      </c>
      <c r="E429">
        <f t="shared" si="363"/>
        <v>0.94299053589286441</v>
      </c>
      <c r="F429">
        <f t="shared" si="364"/>
        <v>0.94299053589286452</v>
      </c>
      <c r="G429">
        <f t="shared" si="359"/>
        <v>1.2315043202071989</v>
      </c>
      <c r="H429">
        <f t="shared" si="360"/>
        <v>0.94299053589286441</v>
      </c>
      <c r="I429">
        <f t="shared" si="361"/>
        <v>0.94299053589286452</v>
      </c>
      <c r="J429">
        <f t="shared" si="409"/>
        <v>6.7510727641057624E+19</v>
      </c>
      <c r="K429">
        <f t="shared" si="410"/>
        <v>6.7510727641057624E+19</v>
      </c>
      <c r="L429" t="e">
        <f t="shared" si="365"/>
        <v>#NUM!</v>
      </c>
      <c r="M429">
        <f t="shared" si="362"/>
        <v>1.9100883333825943E-20</v>
      </c>
      <c r="N429" s="9" t="e">
        <f t="shared" si="411"/>
        <v>#NUM!</v>
      </c>
      <c r="O429" t="e">
        <f t="shared" si="412"/>
        <v>#NUM!</v>
      </c>
      <c r="Q429">
        <f t="shared" si="366"/>
        <v>45.658818187159255</v>
      </c>
      <c r="R429">
        <f t="shared" si="367"/>
        <v>0</v>
      </c>
      <c r="S429">
        <f t="shared" si="389"/>
        <v>-45.404552371047487</v>
      </c>
      <c r="T429" s="9" t="e">
        <f t="shared" si="368"/>
        <v>#N/A</v>
      </c>
      <c r="U429">
        <f t="shared" si="390"/>
        <v>-1.0000000000000001E+300</v>
      </c>
      <c r="V429">
        <f t="shared" si="391"/>
        <v>0</v>
      </c>
      <c r="W429">
        <f t="shared" si="392"/>
        <v>0</v>
      </c>
      <c r="X429">
        <f t="shared" si="369"/>
        <v>1.9100883333825942</v>
      </c>
      <c r="Y429">
        <f t="shared" si="370"/>
        <v>7.8539816339744828</v>
      </c>
      <c r="Z429">
        <f t="shared" si="371"/>
        <v>-1.9100883333825942</v>
      </c>
      <c r="AA429">
        <f t="shared" si="393"/>
        <v>0.67414751783605475</v>
      </c>
      <c r="AB429">
        <f t="shared" si="372"/>
        <v>8.5281291518105373</v>
      </c>
      <c r="AC429">
        <f t="shared" si="394"/>
        <v>0.19556678354397525</v>
      </c>
      <c r="AD429">
        <f t="shared" si="373"/>
        <v>5.8699032567796836E-2</v>
      </c>
      <c r="AE429" s="9">
        <f t="shared" si="395"/>
        <v>8.7823949679223094</v>
      </c>
      <c r="AF429">
        <f t="shared" si="396"/>
        <v>0</v>
      </c>
      <c r="AH429">
        <f t="shared" si="374"/>
        <v>7.8539816339744828</v>
      </c>
      <c r="AI429">
        <f t="shared" si="375"/>
        <v>0.67414751783605487</v>
      </c>
      <c r="AJ429">
        <f t="shared" si="376"/>
        <v>0.19556678354397405</v>
      </c>
      <c r="AK429">
        <f t="shared" si="377"/>
        <v>5.8699032567796836E-2</v>
      </c>
      <c r="AL429" s="9">
        <f t="shared" si="397"/>
        <v>8.7823949679223077</v>
      </c>
      <c r="AM429" t="e">
        <f t="shared" si="378"/>
        <v>#N/A</v>
      </c>
      <c r="AN429" t="e">
        <f t="shared" si="398"/>
        <v>#N/A</v>
      </c>
      <c r="AO429">
        <f t="shared" si="379"/>
        <v>0</v>
      </c>
      <c r="AP429">
        <f t="shared" si="380"/>
        <v>0</v>
      </c>
      <c r="AQ429">
        <f t="shared" si="381"/>
        <v>-1.1934897514720433E-15</v>
      </c>
      <c r="AR429">
        <f t="shared" si="399"/>
        <v>0</v>
      </c>
      <c r="AS429">
        <f t="shared" si="382"/>
        <v>0</v>
      </c>
      <c r="AT429">
        <f t="shared" si="400"/>
        <v>0</v>
      </c>
      <c r="AU429">
        <f t="shared" si="401"/>
        <v>0</v>
      </c>
      <c r="AV429">
        <f t="shared" si="383"/>
        <v>1.910088333382594E-20</v>
      </c>
      <c r="AW429" t="b">
        <f t="shared" si="402"/>
        <v>1</v>
      </c>
      <c r="AX429">
        <f t="shared" si="384"/>
        <v>7.8539816339744828</v>
      </c>
      <c r="AY429">
        <f t="shared" si="385"/>
        <v>0.67414751783605453</v>
      </c>
      <c r="AZ429">
        <f t="shared" si="386"/>
        <v>0.19556678354397525</v>
      </c>
      <c r="BA429">
        <f t="shared" si="387"/>
        <v>5.8699032567796718E-2</v>
      </c>
      <c r="BB429">
        <f t="shared" si="388"/>
        <v>-1.2337005501361696E-20</v>
      </c>
      <c r="BD429" s="15">
        <f t="shared" si="403"/>
        <v>8.7823949679223094</v>
      </c>
      <c r="BE429" s="10">
        <f t="shared" si="404"/>
        <v>0</v>
      </c>
      <c r="BF429">
        <f t="shared" si="405"/>
        <v>0</v>
      </c>
      <c r="BG429">
        <f t="shared" si="406"/>
        <v>0</v>
      </c>
      <c r="BH429">
        <f t="shared" si="407"/>
        <v>0</v>
      </c>
      <c r="BI429">
        <f t="shared" si="408"/>
        <v>0</v>
      </c>
    </row>
    <row r="430" spans="1:61" x14ac:dyDescent="0.3">
      <c r="A430">
        <f t="shared" si="413"/>
        <v>0.39300000000000002</v>
      </c>
      <c r="B430">
        <f t="shared" si="356"/>
        <v>1.2346459128607887</v>
      </c>
      <c r="C430">
        <f t="shared" si="357"/>
        <v>1.9069467407290044</v>
      </c>
      <c r="D430">
        <f t="shared" si="358"/>
        <v>1.9069467407290044</v>
      </c>
      <c r="E430">
        <f t="shared" si="363"/>
        <v>0.94403146414104977</v>
      </c>
      <c r="F430">
        <f t="shared" si="364"/>
        <v>0.94403146414104977</v>
      </c>
      <c r="G430">
        <f t="shared" si="359"/>
        <v>1.2346459128607887</v>
      </c>
      <c r="H430">
        <f t="shared" si="360"/>
        <v>0.94403146414104977</v>
      </c>
      <c r="I430">
        <f t="shared" si="361"/>
        <v>0.94403146414104977</v>
      </c>
      <c r="J430">
        <f t="shared" si="409"/>
        <v>6.7436287512601666E+19</v>
      </c>
      <c r="K430">
        <f t="shared" si="410"/>
        <v>6.7436287512601666E+19</v>
      </c>
      <c r="L430">
        <f t="shared" si="365"/>
        <v>1</v>
      </c>
      <c r="M430">
        <f t="shared" si="362"/>
        <v>1.9069467407290043E-20</v>
      </c>
      <c r="N430" s="9">
        <f t="shared" si="411"/>
        <v>1.9069467407290043E-20</v>
      </c>
      <c r="O430">
        <f t="shared" si="412"/>
        <v>1.9069467407290043E-20</v>
      </c>
      <c r="Q430">
        <f t="shared" si="366"/>
        <v>45.657714937325657</v>
      </c>
      <c r="R430">
        <f t="shared" si="367"/>
        <v>0</v>
      </c>
      <c r="S430">
        <f t="shared" si="389"/>
        <v>-45.406198461954155</v>
      </c>
      <c r="T430" s="9" t="e">
        <f t="shared" si="368"/>
        <v>#N/A</v>
      </c>
      <c r="U430">
        <f t="shared" si="390"/>
        <v>-1.0000000000000001E+300</v>
      </c>
      <c r="V430">
        <f t="shared" si="391"/>
        <v>0</v>
      </c>
      <c r="W430">
        <f t="shared" si="392"/>
        <v>0</v>
      </c>
      <c r="X430">
        <f t="shared" si="369"/>
        <v>1.9069467407290044</v>
      </c>
      <c r="Y430">
        <f t="shared" si="370"/>
        <v>7.8539816339744828</v>
      </c>
      <c r="Z430">
        <f t="shared" si="371"/>
        <v>-1.9069467407290044</v>
      </c>
      <c r="AA430">
        <f t="shared" si="393"/>
        <v>0.66630905024890175</v>
      </c>
      <c r="AB430">
        <f t="shared" si="372"/>
        <v>8.5202906842233848</v>
      </c>
      <c r="AC430">
        <f t="shared" si="394"/>
        <v>0.19392069263730649</v>
      </c>
      <c r="AD430">
        <f t="shared" si="373"/>
        <v>5.7595782734198693E-2</v>
      </c>
      <c r="AE430" s="9">
        <f t="shared" si="395"/>
        <v>8.7718071595948892</v>
      </c>
      <c r="AF430">
        <f t="shared" si="396"/>
        <v>0</v>
      </c>
      <c r="AH430">
        <f t="shared" si="374"/>
        <v>7.8539816339744828</v>
      </c>
      <c r="AI430">
        <f t="shared" si="375"/>
        <v>0.66630905024890197</v>
      </c>
      <c r="AJ430">
        <f t="shared" si="376"/>
        <v>0.19392069263730605</v>
      </c>
      <c r="AK430">
        <f t="shared" si="377"/>
        <v>5.7595782734198693E-2</v>
      </c>
      <c r="AL430" s="9">
        <f t="shared" si="397"/>
        <v>8.7718071595948892</v>
      </c>
      <c r="AM430" t="e">
        <f t="shared" si="378"/>
        <v>#N/A</v>
      </c>
      <c r="AN430" t="e">
        <f t="shared" si="398"/>
        <v>#N/A</v>
      </c>
      <c r="AO430">
        <f t="shared" si="379"/>
        <v>0</v>
      </c>
      <c r="AP430">
        <f t="shared" si="380"/>
        <v>0</v>
      </c>
      <c r="AQ430">
        <f t="shared" si="381"/>
        <v>-4.4408920985006262E-16</v>
      </c>
      <c r="AR430">
        <f t="shared" si="399"/>
        <v>0</v>
      </c>
      <c r="AS430">
        <f t="shared" si="382"/>
        <v>0</v>
      </c>
      <c r="AT430">
        <f t="shared" si="400"/>
        <v>0</v>
      </c>
      <c r="AU430">
        <f t="shared" si="401"/>
        <v>0</v>
      </c>
      <c r="AV430">
        <f t="shared" si="383"/>
        <v>1.9069467407290043E-20</v>
      </c>
      <c r="AW430" t="b">
        <f t="shared" si="402"/>
        <v>1</v>
      </c>
      <c r="AX430">
        <f t="shared" si="384"/>
        <v>7.8539816339744828</v>
      </c>
      <c r="AY430">
        <f t="shared" si="385"/>
        <v>0.66630905024890164</v>
      </c>
      <c r="AZ430">
        <f t="shared" si="386"/>
        <v>0.19392069263730649</v>
      </c>
      <c r="BA430">
        <f t="shared" si="387"/>
        <v>5.7595782734198693E-2</v>
      </c>
      <c r="BB430">
        <f t="shared" si="388"/>
        <v>-1.2337005501361696E-20</v>
      </c>
      <c r="BD430" s="15">
        <f t="shared" si="403"/>
        <v>8.7718071595948892</v>
      </c>
      <c r="BE430" s="10">
        <f t="shared" si="404"/>
        <v>0</v>
      </c>
      <c r="BF430">
        <f t="shared" si="405"/>
        <v>0</v>
      </c>
      <c r="BG430">
        <f t="shared" si="406"/>
        <v>0</v>
      </c>
      <c r="BH430">
        <f t="shared" si="407"/>
        <v>0</v>
      </c>
      <c r="BI430">
        <f t="shared" si="408"/>
        <v>0</v>
      </c>
    </row>
    <row r="431" spans="1:61" x14ac:dyDescent="0.3">
      <c r="A431">
        <f t="shared" si="413"/>
        <v>0.39400000000000002</v>
      </c>
      <c r="B431">
        <f t="shared" si="356"/>
        <v>1.2377875055143785</v>
      </c>
      <c r="C431">
        <f t="shared" si="357"/>
        <v>1.9038051480754146</v>
      </c>
      <c r="D431">
        <f t="shared" si="358"/>
        <v>1.9038051480754146</v>
      </c>
      <c r="E431">
        <f t="shared" si="363"/>
        <v>0.94506307517980481</v>
      </c>
      <c r="F431">
        <f t="shared" si="364"/>
        <v>0.94506307517980492</v>
      </c>
      <c r="G431">
        <f t="shared" si="359"/>
        <v>1.2377875055143785</v>
      </c>
      <c r="H431">
        <f t="shared" si="360"/>
        <v>0.94506307517980481</v>
      </c>
      <c r="I431">
        <f t="shared" si="361"/>
        <v>0.94506307517980492</v>
      </c>
      <c r="J431">
        <f t="shared" si="409"/>
        <v>6.7362675475016319E+19</v>
      </c>
      <c r="K431">
        <f t="shared" si="410"/>
        <v>6.7362675475016319E+19</v>
      </c>
      <c r="L431">
        <f t="shared" si="365"/>
        <v>1</v>
      </c>
      <c r="M431">
        <f t="shared" si="362"/>
        <v>1.9038051480754143E-20</v>
      </c>
      <c r="N431" s="9">
        <f t="shared" si="411"/>
        <v>1.9038051480754143E-20</v>
      </c>
      <c r="O431">
        <f t="shared" si="412"/>
        <v>1.9038051480754143E-20</v>
      </c>
      <c r="Q431">
        <f t="shared" si="366"/>
        <v>45.65662276208527</v>
      </c>
      <c r="R431">
        <f t="shared" si="367"/>
        <v>0</v>
      </c>
      <c r="S431">
        <f t="shared" si="389"/>
        <v>-45.407847266944337</v>
      </c>
      <c r="T431" s="9" t="e">
        <f t="shared" si="368"/>
        <v>#N/A</v>
      </c>
      <c r="U431">
        <f t="shared" si="390"/>
        <v>-1.0000000000000001E+300</v>
      </c>
      <c r="V431">
        <f t="shared" si="391"/>
        <v>0</v>
      </c>
      <c r="W431">
        <f t="shared" si="392"/>
        <v>0</v>
      </c>
      <c r="X431">
        <f t="shared" si="369"/>
        <v>1.9038051480754146</v>
      </c>
      <c r="Y431">
        <f t="shared" si="370"/>
        <v>7.8539816339744828</v>
      </c>
      <c r="Z431">
        <f t="shared" si="371"/>
        <v>-1.9038051480754146</v>
      </c>
      <c r="AA431">
        <f t="shared" si="393"/>
        <v>0.65850749018302845</v>
      </c>
      <c r="AB431">
        <f t="shared" si="372"/>
        <v>8.5124891241575114</v>
      </c>
      <c r="AC431">
        <f t="shared" si="394"/>
        <v>0.19227188764712269</v>
      </c>
      <c r="AD431">
        <f t="shared" si="373"/>
        <v>5.6503607493808589E-2</v>
      </c>
      <c r="AE431" s="9">
        <f t="shared" si="395"/>
        <v>8.7612646192984425</v>
      </c>
      <c r="AF431">
        <f t="shared" si="396"/>
        <v>0</v>
      </c>
      <c r="AH431">
        <f t="shared" si="374"/>
        <v>7.8539816339744828</v>
      </c>
      <c r="AI431">
        <f t="shared" si="375"/>
        <v>0.65850749018302857</v>
      </c>
      <c r="AJ431">
        <f t="shared" si="376"/>
        <v>0.19227188764712366</v>
      </c>
      <c r="AK431">
        <f t="shared" si="377"/>
        <v>5.6503607493808589E-2</v>
      </c>
      <c r="AL431" s="9">
        <f t="shared" si="397"/>
        <v>8.7612646192984442</v>
      </c>
      <c r="AM431" t="e">
        <f t="shared" si="378"/>
        <v>#N/A</v>
      </c>
      <c r="AN431" t="e">
        <f t="shared" si="398"/>
        <v>#N/A</v>
      </c>
      <c r="AO431">
        <f t="shared" si="379"/>
        <v>0</v>
      </c>
      <c r="AP431">
        <f t="shared" si="380"/>
        <v>0</v>
      </c>
      <c r="AQ431">
        <f t="shared" si="381"/>
        <v>9.7144514654701197E-16</v>
      </c>
      <c r="AR431">
        <f t="shared" si="399"/>
        <v>0</v>
      </c>
      <c r="AS431">
        <f t="shared" si="382"/>
        <v>0</v>
      </c>
      <c r="AT431">
        <f t="shared" si="400"/>
        <v>0</v>
      </c>
      <c r="AU431">
        <f t="shared" si="401"/>
        <v>0</v>
      </c>
      <c r="AV431">
        <f t="shared" si="383"/>
        <v>1.9038051480754143E-20</v>
      </c>
      <c r="AW431" t="b">
        <f t="shared" si="402"/>
        <v>1</v>
      </c>
      <c r="AX431">
        <f t="shared" si="384"/>
        <v>7.8539816339744828</v>
      </c>
      <c r="AY431">
        <f t="shared" si="385"/>
        <v>0.65850749018302834</v>
      </c>
      <c r="AZ431">
        <f t="shared" si="386"/>
        <v>0.19227188764712269</v>
      </c>
      <c r="BA431">
        <f t="shared" si="387"/>
        <v>5.6503607493808471E-2</v>
      </c>
      <c r="BB431">
        <f t="shared" si="388"/>
        <v>-1.2337005501361696E-20</v>
      </c>
      <c r="BD431" s="15">
        <f t="shared" si="403"/>
        <v>8.7612646192984425</v>
      </c>
      <c r="BE431" s="10">
        <f t="shared" si="404"/>
        <v>0</v>
      </c>
      <c r="BF431">
        <f t="shared" si="405"/>
        <v>0</v>
      </c>
      <c r="BG431">
        <f t="shared" si="406"/>
        <v>0</v>
      </c>
      <c r="BH431">
        <f t="shared" si="407"/>
        <v>0</v>
      </c>
      <c r="BI431">
        <f t="shared" si="408"/>
        <v>0</v>
      </c>
    </row>
    <row r="432" spans="1:61" x14ac:dyDescent="0.3">
      <c r="A432">
        <f t="shared" si="413"/>
        <v>0.39500000000000002</v>
      </c>
      <c r="B432">
        <f t="shared" si="356"/>
        <v>1.2409290981679684</v>
      </c>
      <c r="C432">
        <f t="shared" si="357"/>
        <v>1.9006635554218247</v>
      </c>
      <c r="D432">
        <f t="shared" si="358"/>
        <v>1.9006635554218247</v>
      </c>
      <c r="E432">
        <f t="shared" si="363"/>
        <v>0.9460853588275453</v>
      </c>
      <c r="F432">
        <f t="shared" si="364"/>
        <v>0.94608535882754541</v>
      </c>
      <c r="G432">
        <f t="shared" si="359"/>
        <v>1.2409290981679684</v>
      </c>
      <c r="H432">
        <f t="shared" si="360"/>
        <v>0.9460853588275453</v>
      </c>
      <c r="I432">
        <f t="shared" si="361"/>
        <v>0.94608535882754541</v>
      </c>
      <c r="J432">
        <f t="shared" si="409"/>
        <v>6.7289887368780857E+19</v>
      </c>
      <c r="K432">
        <f t="shared" si="410"/>
        <v>6.7289887368780857E+19</v>
      </c>
      <c r="L432">
        <f t="shared" si="365"/>
        <v>1</v>
      </c>
      <c r="M432">
        <f t="shared" si="362"/>
        <v>1.9006635554218247E-20</v>
      </c>
      <c r="N432" s="9">
        <f t="shared" si="411"/>
        <v>1.9006635554218247E-20</v>
      </c>
      <c r="O432">
        <f t="shared" si="412"/>
        <v>1.9006635554218247E-20</v>
      </c>
      <c r="Q432">
        <f t="shared" si="366"/>
        <v>45.655541637273558</v>
      </c>
      <c r="R432">
        <f t="shared" si="367"/>
        <v>-710542.73576010019</v>
      </c>
      <c r="S432">
        <f t="shared" si="389"/>
        <v>-45.409498794982809</v>
      </c>
      <c r="T432" s="9" t="e">
        <f t="shared" si="368"/>
        <v>#N/A</v>
      </c>
      <c r="U432">
        <f t="shared" si="390"/>
        <v>-1.0000000000000001E+300</v>
      </c>
      <c r="V432">
        <f t="shared" si="391"/>
        <v>0</v>
      </c>
      <c r="W432">
        <f t="shared" si="392"/>
        <v>0</v>
      </c>
      <c r="X432">
        <f t="shared" si="369"/>
        <v>1.9006635554218247</v>
      </c>
      <c r="Y432">
        <f t="shared" si="370"/>
        <v>7.8539816339744828</v>
      </c>
      <c r="Z432">
        <f t="shared" si="371"/>
        <v>-1.9006635554218247</v>
      </c>
      <c r="AA432">
        <f t="shared" si="393"/>
        <v>0.65074258468445034</v>
      </c>
      <c r="AB432">
        <f t="shared" si="372"/>
        <v>8.5047242186589322</v>
      </c>
      <c r="AC432">
        <f t="shared" si="394"/>
        <v>0.1906203596086497</v>
      </c>
      <c r="AD432">
        <f t="shared" si="373"/>
        <v>5.5422482682101114E-2</v>
      </c>
      <c r="AE432" s="9">
        <f t="shared" si="395"/>
        <v>8.7507670609496824</v>
      </c>
      <c r="AF432">
        <f t="shared" si="396"/>
        <v>0</v>
      </c>
      <c r="AH432">
        <f t="shared" si="374"/>
        <v>7.8539816339744828</v>
      </c>
      <c r="AI432">
        <f t="shared" si="375"/>
        <v>0.65074258468445045</v>
      </c>
      <c r="AJ432">
        <f t="shared" si="376"/>
        <v>0.19062035960865131</v>
      </c>
      <c r="AK432">
        <f t="shared" si="377"/>
        <v>5.5422482682101114E-2</v>
      </c>
      <c r="AL432" s="9">
        <f t="shared" si="397"/>
        <v>8.7507670609496859</v>
      </c>
      <c r="AM432" t="e">
        <f t="shared" si="378"/>
        <v>#N/A</v>
      </c>
      <c r="AN432" t="e">
        <f t="shared" si="398"/>
        <v>#N/A</v>
      </c>
      <c r="AO432">
        <f t="shared" si="379"/>
        <v>0</v>
      </c>
      <c r="AP432">
        <f t="shared" si="380"/>
        <v>0</v>
      </c>
      <c r="AQ432">
        <f t="shared" si="381"/>
        <v>1.609823385706477E-15</v>
      </c>
      <c r="AR432">
        <f t="shared" si="399"/>
        <v>0</v>
      </c>
      <c r="AS432">
        <f t="shared" si="382"/>
        <v>0</v>
      </c>
      <c r="AT432">
        <f t="shared" si="400"/>
        <v>0</v>
      </c>
      <c r="AU432">
        <f t="shared" si="401"/>
        <v>0</v>
      </c>
      <c r="AV432">
        <f t="shared" si="383"/>
        <v>1.9006635554218247E-20</v>
      </c>
      <c r="AW432" t="b">
        <f t="shared" si="402"/>
        <v>1</v>
      </c>
      <c r="AX432">
        <f t="shared" si="384"/>
        <v>7.8539816339744828</v>
      </c>
      <c r="AY432">
        <f t="shared" si="385"/>
        <v>0.65074258468445023</v>
      </c>
      <c r="AZ432">
        <f t="shared" si="386"/>
        <v>0.1906203596086497</v>
      </c>
      <c r="BA432">
        <f t="shared" si="387"/>
        <v>5.5422482682100996E-2</v>
      </c>
      <c r="BB432">
        <f t="shared" si="388"/>
        <v>-1.2337005501361696E-20</v>
      </c>
      <c r="BD432" s="15">
        <f t="shared" si="403"/>
        <v>8.7507670609496824</v>
      </c>
      <c r="BE432" s="10">
        <f t="shared" si="404"/>
        <v>0</v>
      </c>
      <c r="BF432">
        <f t="shared" si="405"/>
        <v>0</v>
      </c>
      <c r="BG432">
        <f t="shared" si="406"/>
        <v>0</v>
      </c>
      <c r="BH432">
        <f t="shared" si="407"/>
        <v>0</v>
      </c>
      <c r="BI432">
        <f t="shared" si="408"/>
        <v>0</v>
      </c>
    </row>
    <row r="433" spans="1:61" x14ac:dyDescent="0.3">
      <c r="A433">
        <f t="shared" si="413"/>
        <v>0.39600000000000002</v>
      </c>
      <c r="B433">
        <f t="shared" si="356"/>
        <v>1.2440706908215582</v>
      </c>
      <c r="C433">
        <f t="shared" si="357"/>
        <v>1.8975219627682349</v>
      </c>
      <c r="D433">
        <f t="shared" si="358"/>
        <v>1.8975219627682349</v>
      </c>
      <c r="E433">
        <f t="shared" si="363"/>
        <v>0.94709830499474434</v>
      </c>
      <c r="F433">
        <f t="shared" si="364"/>
        <v>0.94709830499474434</v>
      </c>
      <c r="G433">
        <f t="shared" si="359"/>
        <v>1.2440706908215582</v>
      </c>
      <c r="H433">
        <f t="shared" si="360"/>
        <v>0.94709830499474434</v>
      </c>
      <c r="I433">
        <f t="shared" si="361"/>
        <v>0.94709830499474434</v>
      </c>
      <c r="J433">
        <f t="shared" si="409"/>
        <v>6.7217919091420414E+19</v>
      </c>
      <c r="K433">
        <f t="shared" si="410"/>
        <v>6.7217919091420414E+19</v>
      </c>
      <c r="L433">
        <f t="shared" si="365"/>
        <v>0</v>
      </c>
      <c r="M433">
        <f t="shared" si="362"/>
        <v>1.897521962768235E-20</v>
      </c>
      <c r="N433" s="9">
        <f t="shared" si="411"/>
        <v>0</v>
      </c>
      <c r="O433">
        <f t="shared" si="412"/>
        <v>0</v>
      </c>
      <c r="Q433">
        <f t="shared" si="366"/>
        <v>45.654471539022431</v>
      </c>
      <c r="R433">
        <f t="shared" si="367"/>
        <v>0</v>
      </c>
      <c r="S433">
        <f t="shared" si="389"/>
        <v>-45.411153055078834</v>
      </c>
      <c r="T433" s="9" t="e">
        <f t="shared" si="368"/>
        <v>#N/A</v>
      </c>
      <c r="U433">
        <f t="shared" si="390"/>
        <v>-1.0000000000000001E+300</v>
      </c>
      <c r="V433">
        <f t="shared" si="391"/>
        <v>0</v>
      </c>
      <c r="W433">
        <f t="shared" si="392"/>
        <v>0</v>
      </c>
      <c r="X433">
        <f t="shared" si="369"/>
        <v>1.8975219627682349</v>
      </c>
      <c r="Y433">
        <f t="shared" si="370"/>
        <v>7.8539816339744828</v>
      </c>
      <c r="Z433">
        <f t="shared" si="371"/>
        <v>-1.8975219627682349</v>
      </c>
      <c r="AA433">
        <f t="shared" si="393"/>
        <v>0.64301408334024834</v>
      </c>
      <c r="AB433">
        <f t="shared" si="372"/>
        <v>8.4969957173147304</v>
      </c>
      <c r="AC433">
        <f t="shared" si="394"/>
        <v>0.18896609951262316</v>
      </c>
      <c r="AD433">
        <f t="shared" si="373"/>
        <v>5.4352384430972969E-2</v>
      </c>
      <c r="AE433" s="9">
        <f t="shared" si="395"/>
        <v>8.7403142012583253</v>
      </c>
      <c r="AF433">
        <f t="shared" si="396"/>
        <v>0</v>
      </c>
      <c r="AH433">
        <f t="shared" si="374"/>
        <v>7.8539816339744828</v>
      </c>
      <c r="AI433">
        <f t="shared" si="375"/>
        <v>0.64301408334024834</v>
      </c>
      <c r="AJ433">
        <f t="shared" si="376"/>
        <v>0.18896609951262633</v>
      </c>
      <c r="AK433">
        <f t="shared" si="377"/>
        <v>5.4352384430972969E-2</v>
      </c>
      <c r="AL433" s="9">
        <f t="shared" si="397"/>
        <v>8.7403142012583288</v>
      </c>
      <c r="AM433" t="e">
        <f t="shared" si="378"/>
        <v>#N/A</v>
      </c>
      <c r="AN433" t="e">
        <f t="shared" si="398"/>
        <v>#N/A</v>
      </c>
      <c r="AO433">
        <f t="shared" si="379"/>
        <v>0</v>
      </c>
      <c r="AP433">
        <f t="shared" si="380"/>
        <v>0</v>
      </c>
      <c r="AQ433">
        <f t="shared" si="381"/>
        <v>3.1641356201816961E-15</v>
      </c>
      <c r="AR433">
        <f t="shared" si="399"/>
        <v>0</v>
      </c>
      <c r="AS433">
        <f t="shared" si="382"/>
        <v>0</v>
      </c>
      <c r="AT433">
        <f t="shared" si="400"/>
        <v>0</v>
      </c>
      <c r="AU433">
        <f t="shared" si="401"/>
        <v>0</v>
      </c>
      <c r="AV433">
        <f t="shared" si="383"/>
        <v>1.8975219627682347E-20</v>
      </c>
      <c r="AW433" t="b">
        <f t="shared" si="402"/>
        <v>1</v>
      </c>
      <c r="AX433">
        <f t="shared" si="384"/>
        <v>7.8539816339744828</v>
      </c>
      <c r="AY433">
        <f t="shared" si="385"/>
        <v>0.64301408334024801</v>
      </c>
      <c r="AZ433">
        <f t="shared" si="386"/>
        <v>0.18896609951262316</v>
      </c>
      <c r="BA433">
        <f t="shared" si="387"/>
        <v>5.4352384430972969E-2</v>
      </c>
      <c r="BB433">
        <f t="shared" si="388"/>
        <v>-1.2337005501361696E-20</v>
      </c>
      <c r="BD433" s="15">
        <f t="shared" si="403"/>
        <v>8.7403142012583253</v>
      </c>
      <c r="BE433" s="10">
        <f t="shared" si="404"/>
        <v>0</v>
      </c>
      <c r="BF433">
        <f t="shared" si="405"/>
        <v>0</v>
      </c>
      <c r="BG433">
        <f t="shared" si="406"/>
        <v>0</v>
      </c>
      <c r="BH433">
        <f t="shared" si="407"/>
        <v>0</v>
      </c>
      <c r="BI433">
        <f t="shared" si="408"/>
        <v>0</v>
      </c>
    </row>
    <row r="434" spans="1:61" x14ac:dyDescent="0.3">
      <c r="A434">
        <f t="shared" si="413"/>
        <v>0.39700000000000002</v>
      </c>
      <c r="B434">
        <f t="shared" si="356"/>
        <v>1.247212283475148</v>
      </c>
      <c r="C434">
        <f t="shared" si="357"/>
        <v>1.8943803701146451</v>
      </c>
      <c r="D434">
        <f t="shared" si="358"/>
        <v>1.8943803701146451</v>
      </c>
      <c r="E434">
        <f t="shared" si="363"/>
        <v>0.94810190368403202</v>
      </c>
      <c r="F434">
        <f t="shared" si="364"/>
        <v>0.94810190368403202</v>
      </c>
      <c r="G434">
        <f t="shared" si="359"/>
        <v>1.247212283475148</v>
      </c>
      <c r="H434">
        <f t="shared" si="360"/>
        <v>0.94810190368403202</v>
      </c>
      <c r="I434">
        <f t="shared" si="361"/>
        <v>0.94810190368403202</v>
      </c>
      <c r="J434">
        <f t="shared" si="409"/>
        <v>6.7146766596910424E+19</v>
      </c>
      <c r="K434">
        <f t="shared" si="410"/>
        <v>6.7146766596910424E+19</v>
      </c>
      <c r="L434">
        <f t="shared" si="365"/>
        <v>1</v>
      </c>
      <c r="M434">
        <f t="shared" si="362"/>
        <v>1.8943803701146451E-20</v>
      </c>
      <c r="N434" s="9">
        <f t="shared" si="411"/>
        <v>1.8943803701146451E-20</v>
      </c>
      <c r="O434">
        <f t="shared" si="412"/>
        <v>1.8943803701146451E-20</v>
      </c>
      <c r="Q434">
        <f t="shared" si="366"/>
        <v>45.653412443757979</v>
      </c>
      <c r="R434">
        <f t="shared" si="367"/>
        <v>-710542.73576010019</v>
      </c>
      <c r="S434">
        <f t="shared" si="389"/>
        <v>-45.412810056286467</v>
      </c>
      <c r="T434" s="9" t="e">
        <f t="shared" si="368"/>
        <v>#N/A</v>
      </c>
      <c r="U434">
        <f t="shared" si="390"/>
        <v>-1.0000000000000001E+300</v>
      </c>
      <c r="V434">
        <f t="shared" si="391"/>
        <v>0</v>
      </c>
      <c r="W434">
        <f t="shared" si="392"/>
        <v>0</v>
      </c>
      <c r="X434">
        <f t="shared" si="369"/>
        <v>1.8943803701146451</v>
      </c>
      <c r="Y434">
        <f t="shared" si="370"/>
        <v>7.8539816339744828</v>
      </c>
      <c r="Z434">
        <f t="shared" si="371"/>
        <v>-1.8943803701146451</v>
      </c>
      <c r="AA434">
        <f t="shared" si="393"/>
        <v>0.6353217382467059</v>
      </c>
      <c r="AB434">
        <f t="shared" si="372"/>
        <v>8.4893033722211886</v>
      </c>
      <c r="AC434">
        <f t="shared" si="394"/>
        <v>0.18730909830499368</v>
      </c>
      <c r="AD434">
        <f t="shared" si="373"/>
        <v>5.3293289166523553E-2</v>
      </c>
      <c r="AE434" s="9">
        <f t="shared" si="395"/>
        <v>8.7299057596927057</v>
      </c>
      <c r="AF434">
        <f t="shared" si="396"/>
        <v>0</v>
      </c>
      <c r="AH434">
        <f t="shared" si="374"/>
        <v>7.8539816339744828</v>
      </c>
      <c r="AI434">
        <f t="shared" si="375"/>
        <v>0.63532173824670601</v>
      </c>
      <c r="AJ434">
        <f t="shared" si="376"/>
        <v>0.18730909830499343</v>
      </c>
      <c r="AK434">
        <f t="shared" si="377"/>
        <v>5.3293289166523553E-2</v>
      </c>
      <c r="AL434" s="9">
        <f t="shared" si="397"/>
        <v>8.7299057596927057</v>
      </c>
      <c r="AM434" t="e">
        <f t="shared" si="378"/>
        <v>#N/A</v>
      </c>
      <c r="AN434" t="e">
        <f t="shared" si="398"/>
        <v>#N/A</v>
      </c>
      <c r="AO434">
        <f t="shared" si="379"/>
        <v>0</v>
      </c>
      <c r="AP434">
        <f t="shared" si="380"/>
        <v>0</v>
      </c>
      <c r="AQ434">
        <f t="shared" si="381"/>
        <v>-2.4980018054066022E-16</v>
      </c>
      <c r="AR434">
        <f t="shared" si="399"/>
        <v>0</v>
      </c>
      <c r="AS434">
        <f t="shared" si="382"/>
        <v>0</v>
      </c>
      <c r="AT434">
        <f t="shared" si="400"/>
        <v>0</v>
      </c>
      <c r="AU434">
        <f t="shared" si="401"/>
        <v>0</v>
      </c>
      <c r="AV434">
        <f t="shared" si="383"/>
        <v>1.8943803701146451E-20</v>
      </c>
      <c r="AW434" t="b">
        <f t="shared" si="402"/>
        <v>1</v>
      </c>
      <c r="AX434">
        <f t="shared" si="384"/>
        <v>7.8539816339744828</v>
      </c>
      <c r="AY434">
        <f t="shared" si="385"/>
        <v>0.63532173824670579</v>
      </c>
      <c r="AZ434">
        <f t="shared" si="386"/>
        <v>0.18730909830499368</v>
      </c>
      <c r="BA434">
        <f t="shared" si="387"/>
        <v>5.3293289166523553E-2</v>
      </c>
      <c r="BB434">
        <f t="shared" si="388"/>
        <v>-1.2337005501361696E-20</v>
      </c>
      <c r="BD434" s="15">
        <f t="shared" si="403"/>
        <v>8.7299057596927057</v>
      </c>
      <c r="BE434" s="10">
        <f t="shared" si="404"/>
        <v>0</v>
      </c>
      <c r="BF434">
        <f t="shared" si="405"/>
        <v>0</v>
      </c>
      <c r="BG434">
        <f t="shared" si="406"/>
        <v>0</v>
      </c>
      <c r="BH434">
        <f t="shared" si="407"/>
        <v>0</v>
      </c>
      <c r="BI434">
        <f t="shared" si="408"/>
        <v>0</v>
      </c>
    </row>
    <row r="435" spans="1:61" x14ac:dyDescent="0.3">
      <c r="A435">
        <f t="shared" si="413"/>
        <v>0.39800000000000002</v>
      </c>
      <c r="B435">
        <f t="shared" si="356"/>
        <v>1.2503538761287378</v>
      </c>
      <c r="C435">
        <f t="shared" si="357"/>
        <v>1.8912387774610553</v>
      </c>
      <c r="D435">
        <f t="shared" si="358"/>
        <v>1.8912387774610553</v>
      </c>
      <c r="E435">
        <f t="shared" si="363"/>
        <v>0.9490961449902946</v>
      </c>
      <c r="F435">
        <f t="shared" si="364"/>
        <v>0.94909614499029471</v>
      </c>
      <c r="G435">
        <f t="shared" si="359"/>
        <v>1.2503538761287378</v>
      </c>
      <c r="H435">
        <f t="shared" si="360"/>
        <v>0.9490961449902946</v>
      </c>
      <c r="I435">
        <f t="shared" si="361"/>
        <v>0.94909614499029471</v>
      </c>
      <c r="J435">
        <f t="shared" si="409"/>
        <v>6.707642589509111E+19</v>
      </c>
      <c r="K435">
        <f t="shared" si="410"/>
        <v>6.707642589509111E+19</v>
      </c>
      <c r="L435">
        <f t="shared" si="365"/>
        <v>1</v>
      </c>
      <c r="M435">
        <f t="shared" si="362"/>
        <v>1.8912387774610551E-20</v>
      </c>
      <c r="N435" s="9">
        <f t="shared" si="411"/>
        <v>1.8912387774610551E-20</v>
      </c>
      <c r="O435">
        <f t="shared" si="412"/>
        <v>1.8912387774610551E-20</v>
      </c>
      <c r="Q435">
        <f t="shared" si="366"/>
        <v>45.652364328198331</v>
      </c>
      <c r="R435">
        <f t="shared" si="367"/>
        <v>0</v>
      </c>
      <c r="S435">
        <f t="shared" si="389"/>
        <v>-45.414469807704833</v>
      </c>
      <c r="T435" s="9" t="e">
        <f t="shared" si="368"/>
        <v>#N/A</v>
      </c>
      <c r="U435">
        <f t="shared" si="390"/>
        <v>-1.0000000000000001E+300</v>
      </c>
      <c r="V435">
        <f t="shared" si="391"/>
        <v>0</v>
      </c>
      <c r="W435">
        <f t="shared" si="392"/>
        <v>0</v>
      </c>
      <c r="X435">
        <f t="shared" si="369"/>
        <v>1.8912387774610553</v>
      </c>
      <c r="Y435">
        <f t="shared" si="370"/>
        <v>7.8539816339744828</v>
      </c>
      <c r="Z435">
        <f t="shared" si="371"/>
        <v>-1.8912387774610553</v>
      </c>
      <c r="AA435">
        <f t="shared" si="393"/>
        <v>0.62766530397792597</v>
      </c>
      <c r="AB435">
        <f t="shared" si="372"/>
        <v>8.4816469379524086</v>
      </c>
      <c r="AC435">
        <f t="shared" si="394"/>
        <v>0.18564934688662926</v>
      </c>
      <c r="AD435">
        <f t="shared" si="373"/>
        <v>5.2245173606868991E-2</v>
      </c>
      <c r="AE435" s="9">
        <f t="shared" si="395"/>
        <v>8.7195414584459066</v>
      </c>
      <c r="AF435">
        <f t="shared" si="396"/>
        <v>0</v>
      </c>
      <c r="AH435">
        <f t="shared" si="374"/>
        <v>7.8539816339744828</v>
      </c>
      <c r="AI435">
        <f t="shared" si="375"/>
        <v>0.62766530397792608</v>
      </c>
      <c r="AJ435">
        <f t="shared" si="376"/>
        <v>0.1856493468866276</v>
      </c>
      <c r="AK435">
        <f t="shared" si="377"/>
        <v>5.2245173606868991E-2</v>
      </c>
      <c r="AL435" s="9">
        <f t="shared" si="397"/>
        <v>8.7195414584459048</v>
      </c>
      <c r="AM435" t="e">
        <f t="shared" si="378"/>
        <v>#N/A</v>
      </c>
      <c r="AN435" t="e">
        <f t="shared" si="398"/>
        <v>#N/A</v>
      </c>
      <c r="AO435">
        <f t="shared" si="379"/>
        <v>0</v>
      </c>
      <c r="AP435">
        <f t="shared" si="380"/>
        <v>0</v>
      </c>
      <c r="AQ435">
        <f t="shared" si="381"/>
        <v>-1.6653345369377348E-15</v>
      </c>
      <c r="AR435">
        <f t="shared" si="399"/>
        <v>0</v>
      </c>
      <c r="AS435">
        <f t="shared" si="382"/>
        <v>0</v>
      </c>
      <c r="AT435">
        <f t="shared" si="400"/>
        <v>0</v>
      </c>
      <c r="AU435">
        <f t="shared" si="401"/>
        <v>0</v>
      </c>
      <c r="AV435">
        <f t="shared" si="383"/>
        <v>1.8912387774610551E-20</v>
      </c>
      <c r="AW435" t="b">
        <f t="shared" si="402"/>
        <v>1</v>
      </c>
      <c r="AX435">
        <f t="shared" si="384"/>
        <v>7.8539816339744828</v>
      </c>
      <c r="AY435">
        <f t="shared" si="385"/>
        <v>0.62766530397792586</v>
      </c>
      <c r="AZ435">
        <f t="shared" si="386"/>
        <v>0.18564934688662926</v>
      </c>
      <c r="BA435">
        <f t="shared" si="387"/>
        <v>5.224517360686888E-2</v>
      </c>
      <c r="BB435">
        <f t="shared" si="388"/>
        <v>-1.2337005501361696E-20</v>
      </c>
      <c r="BD435" s="15">
        <f t="shared" si="403"/>
        <v>8.7195414584459066</v>
      </c>
      <c r="BE435" s="10">
        <f t="shared" si="404"/>
        <v>0</v>
      </c>
      <c r="BF435">
        <f t="shared" si="405"/>
        <v>0</v>
      </c>
      <c r="BG435">
        <f t="shared" si="406"/>
        <v>0</v>
      </c>
      <c r="BH435">
        <f t="shared" si="407"/>
        <v>0</v>
      </c>
      <c r="BI435">
        <f t="shared" si="408"/>
        <v>0</v>
      </c>
    </row>
    <row r="436" spans="1:61" x14ac:dyDescent="0.3">
      <c r="A436">
        <f t="shared" si="413"/>
        <v>0.39900000000000002</v>
      </c>
      <c r="B436">
        <f t="shared" si="356"/>
        <v>1.2534954687823274</v>
      </c>
      <c r="C436">
        <f t="shared" si="357"/>
        <v>1.8880971848074657</v>
      </c>
      <c r="D436">
        <f t="shared" si="358"/>
        <v>1.8880971848074657</v>
      </c>
      <c r="E436">
        <f t="shared" si="363"/>
        <v>0.9500810191007717</v>
      </c>
      <c r="F436">
        <f t="shared" si="364"/>
        <v>0.9500810191007717</v>
      </c>
      <c r="G436">
        <f t="shared" si="359"/>
        <v>1.2534954687823274</v>
      </c>
      <c r="H436">
        <f t="shared" si="360"/>
        <v>0.9500810191007717</v>
      </c>
      <c r="I436">
        <f t="shared" si="361"/>
        <v>0.9500810191007717</v>
      </c>
      <c r="J436">
        <f t="shared" si="409"/>
        <v>6.7006893051092255E+19</v>
      </c>
      <c r="K436">
        <f t="shared" si="410"/>
        <v>6.7006893051092255E+19</v>
      </c>
      <c r="L436" t="e">
        <f t="shared" si="365"/>
        <v>#NUM!</v>
      </c>
      <c r="M436">
        <f t="shared" si="362"/>
        <v>1.8880971848074657E-20</v>
      </c>
      <c r="N436" s="9" t="e">
        <f t="shared" si="411"/>
        <v>#NUM!</v>
      </c>
      <c r="O436" t="e">
        <f t="shared" si="412"/>
        <v>#NUM!</v>
      </c>
      <c r="Q436">
        <f t="shared" si="366"/>
        <v>45.651327169351447</v>
      </c>
      <c r="R436">
        <f t="shared" si="367"/>
        <v>-710542.73576010019</v>
      </c>
      <c r="S436">
        <f t="shared" si="389"/>
        <v>-45.416132318478446</v>
      </c>
      <c r="T436" s="9" t="e">
        <f t="shared" si="368"/>
        <v>#N/A</v>
      </c>
      <c r="U436">
        <f t="shared" si="390"/>
        <v>-1.0000000000000001E+300</v>
      </c>
      <c r="V436">
        <f t="shared" si="391"/>
        <v>0</v>
      </c>
      <c r="W436">
        <f t="shared" si="392"/>
        <v>0</v>
      </c>
      <c r="X436">
        <f t="shared" si="369"/>
        <v>1.8880971848074657</v>
      </c>
      <c r="Y436">
        <f t="shared" si="370"/>
        <v>7.8539816339744828</v>
      </c>
      <c r="Z436">
        <f t="shared" si="371"/>
        <v>-1.8880971848074657</v>
      </c>
      <c r="AA436">
        <f t="shared" si="393"/>
        <v>0.62004453755491939</v>
      </c>
      <c r="AB436">
        <f t="shared" si="372"/>
        <v>8.4740261715294025</v>
      </c>
      <c r="AC436">
        <f t="shared" si="394"/>
        <v>0.18398683611301581</v>
      </c>
      <c r="AD436">
        <f t="shared" si="373"/>
        <v>5.1208014759991136E-2</v>
      </c>
      <c r="AE436" s="9">
        <f t="shared" si="395"/>
        <v>8.70922102240241</v>
      </c>
      <c r="AF436">
        <f t="shared" si="396"/>
        <v>0</v>
      </c>
      <c r="AH436">
        <f t="shared" si="374"/>
        <v>7.8539816339744828</v>
      </c>
      <c r="AI436">
        <f t="shared" si="375"/>
        <v>0.62004453755491951</v>
      </c>
      <c r="AJ436">
        <f t="shared" si="376"/>
        <v>0.18398683611301436</v>
      </c>
      <c r="AK436">
        <f t="shared" si="377"/>
        <v>5.1208014759991136E-2</v>
      </c>
      <c r="AL436" s="9">
        <f t="shared" si="397"/>
        <v>8.7092210224024083</v>
      </c>
      <c r="AM436" t="e">
        <f t="shared" si="378"/>
        <v>#N/A</v>
      </c>
      <c r="AN436" t="e">
        <f t="shared" si="398"/>
        <v>#N/A</v>
      </c>
      <c r="AO436">
        <f t="shared" si="379"/>
        <v>0</v>
      </c>
      <c r="AP436">
        <f t="shared" si="380"/>
        <v>0</v>
      </c>
      <c r="AQ436">
        <f t="shared" si="381"/>
        <v>-1.4432899320127035E-15</v>
      </c>
      <c r="AR436">
        <f t="shared" si="399"/>
        <v>0</v>
      </c>
      <c r="AS436">
        <f t="shared" si="382"/>
        <v>0</v>
      </c>
      <c r="AT436">
        <f t="shared" si="400"/>
        <v>0</v>
      </c>
      <c r="AU436">
        <f t="shared" si="401"/>
        <v>0</v>
      </c>
      <c r="AV436">
        <f t="shared" si="383"/>
        <v>1.8880971848074654E-20</v>
      </c>
      <c r="AW436" t="b">
        <f t="shared" si="402"/>
        <v>1</v>
      </c>
      <c r="AX436">
        <f t="shared" si="384"/>
        <v>7.8539816339744828</v>
      </c>
      <c r="AY436">
        <f t="shared" si="385"/>
        <v>0.62004453755491928</v>
      </c>
      <c r="AZ436">
        <f t="shared" si="386"/>
        <v>0.18398683611301581</v>
      </c>
      <c r="BA436">
        <f t="shared" si="387"/>
        <v>5.1208014759991136E-2</v>
      </c>
      <c r="BB436">
        <f t="shared" si="388"/>
        <v>-1.2337005501361696E-20</v>
      </c>
      <c r="BD436" s="15">
        <f t="shared" si="403"/>
        <v>8.70922102240241</v>
      </c>
      <c r="BE436" s="10">
        <f t="shared" si="404"/>
        <v>0</v>
      </c>
      <c r="BF436">
        <f t="shared" si="405"/>
        <v>0</v>
      </c>
      <c r="BG436">
        <f t="shared" si="406"/>
        <v>0</v>
      </c>
      <c r="BH436">
        <f t="shared" si="407"/>
        <v>0</v>
      </c>
      <c r="BI436">
        <f t="shared" si="408"/>
        <v>0</v>
      </c>
    </row>
    <row r="437" spans="1:61" x14ac:dyDescent="0.3">
      <c r="A437">
        <f t="shared" si="413"/>
        <v>0.4</v>
      </c>
      <c r="B437">
        <f t="shared" si="356"/>
        <v>1.2566370614359172</v>
      </c>
      <c r="C437">
        <f t="shared" si="357"/>
        <v>1.8849555921538759</v>
      </c>
      <c r="D437">
        <f t="shared" si="358"/>
        <v>1.8849555921538759</v>
      </c>
      <c r="E437">
        <f t="shared" si="363"/>
        <v>0.95105651629515353</v>
      </c>
      <c r="F437">
        <f t="shared" si="364"/>
        <v>0.95105651629515364</v>
      </c>
      <c r="G437">
        <f t="shared" si="359"/>
        <v>1.2566370614359172</v>
      </c>
      <c r="H437">
        <f t="shared" si="360"/>
        <v>0.95105651629515353</v>
      </c>
      <c r="I437">
        <f t="shared" si="361"/>
        <v>0.95105651629515364</v>
      </c>
      <c r="J437">
        <f t="shared" si="409"/>
        <v>6.693816418476766E+19</v>
      </c>
      <c r="K437">
        <f t="shared" si="410"/>
        <v>6.693816418476766E+19</v>
      </c>
      <c r="L437" t="e">
        <f t="shared" si="365"/>
        <v>#NUM!</v>
      </c>
      <c r="M437">
        <f t="shared" si="362"/>
        <v>1.8849555921538758E-20</v>
      </c>
      <c r="N437" s="9" t="e">
        <f t="shared" si="411"/>
        <v>#NUM!</v>
      </c>
      <c r="O437" t="e">
        <f t="shared" si="412"/>
        <v>#NUM!</v>
      </c>
      <c r="Q437">
        <f t="shared" si="366"/>
        <v>45.650300944513077</v>
      </c>
      <c r="R437">
        <f t="shared" si="367"/>
        <v>0</v>
      </c>
      <c r="S437">
        <f t="shared" si="389"/>
        <v>-45.417797597797502</v>
      </c>
      <c r="T437" s="9" t="e">
        <f t="shared" si="368"/>
        <v>#N/A</v>
      </c>
      <c r="U437">
        <f t="shared" si="390"/>
        <v>-1.0000000000000001E+300</v>
      </c>
      <c r="V437">
        <f t="shared" si="391"/>
        <v>0</v>
      </c>
      <c r="W437">
        <f t="shared" si="392"/>
        <v>0</v>
      </c>
      <c r="X437">
        <f t="shared" si="369"/>
        <v>1.8849555921538759</v>
      </c>
      <c r="Y437">
        <f t="shared" si="370"/>
        <v>7.8539816339744828</v>
      </c>
      <c r="Z437">
        <f t="shared" si="371"/>
        <v>-1.8849555921538759</v>
      </c>
      <c r="AA437">
        <f t="shared" si="393"/>
        <v>0.61245919841515539</v>
      </c>
      <c r="AB437">
        <f t="shared" si="372"/>
        <v>8.4664408323896385</v>
      </c>
      <c r="AC437">
        <f t="shared" si="394"/>
        <v>0.18232155679395459</v>
      </c>
      <c r="AD437">
        <f t="shared" si="373"/>
        <v>5.0181789921618536E-2</v>
      </c>
      <c r="AE437" s="9">
        <f t="shared" si="395"/>
        <v>8.6989441791052116</v>
      </c>
      <c r="AF437">
        <f t="shared" si="396"/>
        <v>0</v>
      </c>
      <c r="AH437">
        <f t="shared" si="374"/>
        <v>7.8539816339744828</v>
      </c>
      <c r="AI437">
        <f t="shared" si="375"/>
        <v>0.61245919841515539</v>
      </c>
      <c r="AJ437">
        <f t="shared" si="376"/>
        <v>0.18232155679395845</v>
      </c>
      <c r="AK437">
        <f t="shared" si="377"/>
        <v>5.0181789921618536E-2</v>
      </c>
      <c r="AL437" s="9">
        <f t="shared" si="397"/>
        <v>8.6989441791052151</v>
      </c>
      <c r="AM437" t="e">
        <f t="shared" si="378"/>
        <v>#N/A</v>
      </c>
      <c r="AN437" t="e">
        <f t="shared" si="398"/>
        <v>#N/A</v>
      </c>
      <c r="AO437">
        <f t="shared" si="379"/>
        <v>0</v>
      </c>
      <c r="AP437">
        <f t="shared" si="380"/>
        <v>0</v>
      </c>
      <c r="AQ437">
        <f t="shared" si="381"/>
        <v>3.858025010572419E-15</v>
      </c>
      <c r="AR437">
        <f t="shared" si="399"/>
        <v>0</v>
      </c>
      <c r="AS437">
        <f t="shared" si="382"/>
        <v>0</v>
      </c>
      <c r="AT437">
        <f t="shared" si="400"/>
        <v>0</v>
      </c>
      <c r="AU437">
        <f t="shared" si="401"/>
        <v>0</v>
      </c>
      <c r="AV437">
        <f t="shared" si="383"/>
        <v>1.8849555921538758E-20</v>
      </c>
      <c r="AW437" t="b">
        <f t="shared" si="402"/>
        <v>1</v>
      </c>
      <c r="AX437">
        <f t="shared" si="384"/>
        <v>7.8539816339744828</v>
      </c>
      <c r="AY437">
        <f t="shared" si="385"/>
        <v>0.61245919841515528</v>
      </c>
      <c r="AZ437">
        <f t="shared" si="386"/>
        <v>0.18232155679395459</v>
      </c>
      <c r="BA437">
        <f t="shared" si="387"/>
        <v>5.0181789921618418E-2</v>
      </c>
      <c r="BB437">
        <f t="shared" si="388"/>
        <v>-1.2337005501361696E-20</v>
      </c>
      <c r="BD437" s="15">
        <f t="shared" si="403"/>
        <v>8.6989441791052116</v>
      </c>
      <c r="BE437" s="10">
        <f t="shared" si="404"/>
        <v>0</v>
      </c>
      <c r="BF437">
        <f t="shared" si="405"/>
        <v>0</v>
      </c>
      <c r="BG437">
        <f t="shared" si="406"/>
        <v>0</v>
      </c>
      <c r="BH437">
        <f t="shared" si="407"/>
        <v>0</v>
      </c>
      <c r="BI437">
        <f t="shared" si="408"/>
        <v>0</v>
      </c>
    </row>
    <row r="438" spans="1:61" x14ac:dyDescent="0.3">
      <c r="A438">
        <f t="shared" si="413"/>
        <v>0.40100000000000002</v>
      </c>
      <c r="B438">
        <f t="shared" si="356"/>
        <v>1.2597786540895071</v>
      </c>
      <c r="C438">
        <f t="shared" si="357"/>
        <v>1.881813999500286</v>
      </c>
      <c r="D438">
        <f t="shared" si="358"/>
        <v>1.881813999500286</v>
      </c>
      <c r="E438">
        <f t="shared" si="363"/>
        <v>0.95202262694567663</v>
      </c>
      <c r="F438">
        <f t="shared" si="364"/>
        <v>0.95202262694567663</v>
      </c>
      <c r="G438">
        <f t="shared" si="359"/>
        <v>1.2597786540895071</v>
      </c>
      <c r="H438">
        <f t="shared" si="360"/>
        <v>0.95202262694567663</v>
      </c>
      <c r="I438">
        <f t="shared" si="361"/>
        <v>0.95202262694567663</v>
      </c>
      <c r="J438">
        <f t="shared" si="409"/>
        <v>6.6870235470139474E+19</v>
      </c>
      <c r="K438">
        <f t="shared" si="410"/>
        <v>6.6870235470139474E+19</v>
      </c>
      <c r="L438">
        <f t="shared" si="365"/>
        <v>1</v>
      </c>
      <c r="M438">
        <f t="shared" si="362"/>
        <v>1.8818139995002858E-20</v>
      </c>
      <c r="N438" s="9">
        <f t="shared" si="411"/>
        <v>1.8818139995002858E-20</v>
      </c>
      <c r="O438">
        <f t="shared" si="412"/>
        <v>1.8818139995002858E-20</v>
      </c>
      <c r="Q438">
        <f t="shared" si="366"/>
        <v>45.649285631264597</v>
      </c>
      <c r="R438">
        <f t="shared" si="367"/>
        <v>-710542.73576010019</v>
      </c>
      <c r="S438">
        <f t="shared" si="389"/>
        <v>-45.419465654898204</v>
      </c>
      <c r="T438" s="9" t="e">
        <f t="shared" si="368"/>
        <v>#N/A</v>
      </c>
      <c r="U438">
        <f t="shared" si="390"/>
        <v>-1.0000000000000001E+300</v>
      </c>
      <c r="V438">
        <f t="shared" si="391"/>
        <v>0</v>
      </c>
      <c r="W438">
        <f t="shared" si="392"/>
        <v>0</v>
      </c>
      <c r="X438">
        <f t="shared" si="369"/>
        <v>1.881813999500286</v>
      </c>
      <c r="Y438">
        <f t="shared" si="370"/>
        <v>7.8539816339744828</v>
      </c>
      <c r="Z438">
        <f t="shared" si="371"/>
        <v>-1.881813999500286</v>
      </c>
      <c r="AA438">
        <f t="shared" si="393"/>
        <v>0.60490904838257131</v>
      </c>
      <c r="AB438">
        <f t="shared" si="372"/>
        <v>8.4588906823570547</v>
      </c>
      <c r="AC438">
        <f t="shared" si="394"/>
        <v>0.18065349969325756</v>
      </c>
      <c r="AD438">
        <f t="shared" si="373"/>
        <v>4.9166476673140926E-2</v>
      </c>
      <c r="AE438" s="9">
        <f t="shared" si="395"/>
        <v>8.6887106587234531</v>
      </c>
      <c r="AF438">
        <f t="shared" si="396"/>
        <v>0</v>
      </c>
      <c r="AH438">
        <f t="shared" si="374"/>
        <v>7.8539816339744828</v>
      </c>
      <c r="AI438">
        <f t="shared" si="375"/>
        <v>0.60490904838257142</v>
      </c>
      <c r="AJ438">
        <f t="shared" si="376"/>
        <v>0.18065349969325695</v>
      </c>
      <c r="AK438">
        <f t="shared" si="377"/>
        <v>4.9166476673140926E-2</v>
      </c>
      <c r="AL438" s="9">
        <f t="shared" si="397"/>
        <v>8.6887106587234531</v>
      </c>
      <c r="AM438" t="e">
        <f t="shared" si="378"/>
        <v>#N/A</v>
      </c>
      <c r="AN438" t="e">
        <f t="shared" si="398"/>
        <v>#N/A</v>
      </c>
      <c r="AO438">
        <f t="shared" si="379"/>
        <v>0</v>
      </c>
      <c r="AP438">
        <f t="shared" si="380"/>
        <v>0</v>
      </c>
      <c r="AQ438">
        <f t="shared" si="381"/>
        <v>-6.106226635438361E-16</v>
      </c>
      <c r="AR438">
        <f t="shared" si="399"/>
        <v>0</v>
      </c>
      <c r="AS438">
        <f t="shared" si="382"/>
        <v>0</v>
      </c>
      <c r="AT438">
        <f t="shared" si="400"/>
        <v>0</v>
      </c>
      <c r="AU438">
        <f t="shared" si="401"/>
        <v>0</v>
      </c>
      <c r="AV438">
        <f t="shared" si="383"/>
        <v>1.8818139995002858E-20</v>
      </c>
      <c r="AW438" t="b">
        <f t="shared" si="402"/>
        <v>1</v>
      </c>
      <c r="AX438">
        <f t="shared" si="384"/>
        <v>7.8539816339744828</v>
      </c>
      <c r="AY438">
        <f t="shared" si="385"/>
        <v>0.60490904838257109</v>
      </c>
      <c r="AZ438">
        <f t="shared" si="386"/>
        <v>0.18065349969325756</v>
      </c>
      <c r="BA438">
        <f t="shared" si="387"/>
        <v>4.9166476673140926E-2</v>
      </c>
      <c r="BB438">
        <f t="shared" si="388"/>
        <v>-1.2337005501361696E-20</v>
      </c>
      <c r="BD438" s="15">
        <f t="shared" si="403"/>
        <v>8.6887106587234531</v>
      </c>
      <c r="BE438" s="10">
        <f t="shared" si="404"/>
        <v>0</v>
      </c>
      <c r="BF438">
        <f t="shared" si="405"/>
        <v>0</v>
      </c>
      <c r="BG438">
        <f t="shared" si="406"/>
        <v>0</v>
      </c>
      <c r="BH438">
        <f t="shared" si="407"/>
        <v>0</v>
      </c>
      <c r="BI438">
        <f t="shared" si="408"/>
        <v>0</v>
      </c>
    </row>
    <row r="439" spans="1:61" x14ac:dyDescent="0.3">
      <c r="A439">
        <f t="shared" si="413"/>
        <v>0.40200000000000002</v>
      </c>
      <c r="B439">
        <f t="shared" si="356"/>
        <v>1.2629202467430969</v>
      </c>
      <c r="C439">
        <f t="shared" si="357"/>
        <v>1.8786724068466962</v>
      </c>
      <c r="D439">
        <f t="shared" si="358"/>
        <v>1.8786724068466962</v>
      </c>
      <c r="E439">
        <f t="shared" si="363"/>
        <v>0.95297934151721886</v>
      </c>
      <c r="F439">
        <f t="shared" si="364"/>
        <v>0.95297934151721886</v>
      </c>
      <c r="G439">
        <f t="shared" si="359"/>
        <v>1.2629202467430969</v>
      </c>
      <c r="H439">
        <f t="shared" si="360"/>
        <v>0.95297934151721886</v>
      </c>
      <c r="I439">
        <f t="shared" si="361"/>
        <v>0.95297934151721886</v>
      </c>
      <c r="J439">
        <f t="shared" si="409"/>
        <v>6.6803103134852022E+19</v>
      </c>
      <c r="K439">
        <f t="shared" si="410"/>
        <v>6.6803103134852022E+19</v>
      </c>
      <c r="L439">
        <f t="shared" si="365"/>
        <v>1</v>
      </c>
      <c r="M439">
        <f t="shared" si="362"/>
        <v>1.8786724068466962E-20</v>
      </c>
      <c r="N439" s="9">
        <f t="shared" si="411"/>
        <v>1.8786724068466962E-20</v>
      </c>
      <c r="O439">
        <f t="shared" si="412"/>
        <v>1.8786724068466962E-20</v>
      </c>
      <c r="Q439">
        <f t="shared" si="366"/>
        <v>45.648281207471015</v>
      </c>
      <c r="R439">
        <f t="shared" si="367"/>
        <v>0</v>
      </c>
      <c r="S439">
        <f t="shared" si="389"/>
        <v>-45.421136499063017</v>
      </c>
      <c r="T439" s="9" t="e">
        <f t="shared" si="368"/>
        <v>#N/A</v>
      </c>
      <c r="U439">
        <f t="shared" si="390"/>
        <v>-1.0000000000000001E+300</v>
      </c>
      <c r="V439">
        <f t="shared" si="391"/>
        <v>0</v>
      </c>
      <c r="W439">
        <f t="shared" si="392"/>
        <v>0</v>
      </c>
      <c r="X439">
        <f t="shared" si="369"/>
        <v>1.8786724068466962</v>
      </c>
      <c r="Y439">
        <f t="shared" si="370"/>
        <v>7.8539816339744828</v>
      </c>
      <c r="Z439">
        <f t="shared" si="371"/>
        <v>-1.8786724068466962</v>
      </c>
      <c r="AA439">
        <f t="shared" si="393"/>
        <v>0.59739385163802583</v>
      </c>
      <c r="AB439">
        <f t="shared" si="372"/>
        <v>8.451375485612509</v>
      </c>
      <c r="AC439">
        <f t="shared" si="394"/>
        <v>0.17898265552843995</v>
      </c>
      <c r="AD439">
        <f t="shared" si="373"/>
        <v>4.8162052879555731E-2</v>
      </c>
      <c r="AE439" s="9">
        <f t="shared" si="395"/>
        <v>8.6785201940205052</v>
      </c>
      <c r="AF439">
        <f t="shared" si="396"/>
        <v>0</v>
      </c>
      <c r="AH439">
        <f t="shared" si="374"/>
        <v>7.8539816339744828</v>
      </c>
      <c r="AI439">
        <f t="shared" si="375"/>
        <v>0.59739385163802583</v>
      </c>
      <c r="AJ439">
        <f t="shared" si="376"/>
        <v>0.1789826555284435</v>
      </c>
      <c r="AK439">
        <f t="shared" si="377"/>
        <v>4.8162052879555731E-2</v>
      </c>
      <c r="AL439" s="9">
        <f t="shared" si="397"/>
        <v>8.6785201940205088</v>
      </c>
      <c r="AM439" t="e">
        <f t="shared" si="378"/>
        <v>#N/A</v>
      </c>
      <c r="AN439" t="e">
        <f t="shared" si="398"/>
        <v>#N/A</v>
      </c>
      <c r="AO439">
        <f t="shared" si="379"/>
        <v>0</v>
      </c>
      <c r="AP439">
        <f t="shared" si="380"/>
        <v>0</v>
      </c>
      <c r="AQ439">
        <f t="shared" si="381"/>
        <v>3.5527136788005009E-15</v>
      </c>
      <c r="AR439">
        <f t="shared" si="399"/>
        <v>0</v>
      </c>
      <c r="AS439">
        <f t="shared" si="382"/>
        <v>0</v>
      </c>
      <c r="AT439">
        <f t="shared" si="400"/>
        <v>0</v>
      </c>
      <c r="AU439">
        <f t="shared" si="401"/>
        <v>0</v>
      </c>
      <c r="AV439">
        <f t="shared" si="383"/>
        <v>1.8786724068466962E-20</v>
      </c>
      <c r="AW439" t="b">
        <f t="shared" si="402"/>
        <v>1</v>
      </c>
      <c r="AX439">
        <f t="shared" si="384"/>
        <v>7.8539816339744828</v>
      </c>
      <c r="AY439">
        <f t="shared" si="385"/>
        <v>0.59739385163802561</v>
      </c>
      <c r="AZ439">
        <f t="shared" si="386"/>
        <v>0.17898265552843995</v>
      </c>
      <c r="BA439">
        <f t="shared" si="387"/>
        <v>4.8162052879555731E-2</v>
      </c>
      <c r="BB439">
        <f t="shared" si="388"/>
        <v>-1.2337005501361696E-20</v>
      </c>
      <c r="BD439" s="15">
        <f t="shared" si="403"/>
        <v>8.6785201940205052</v>
      </c>
      <c r="BE439" s="10">
        <f t="shared" si="404"/>
        <v>0</v>
      </c>
      <c r="BF439">
        <f t="shared" si="405"/>
        <v>0</v>
      </c>
      <c r="BG439">
        <f t="shared" si="406"/>
        <v>0</v>
      </c>
      <c r="BH439">
        <f t="shared" si="407"/>
        <v>0</v>
      </c>
      <c r="BI439">
        <f t="shared" si="408"/>
        <v>0</v>
      </c>
    </row>
    <row r="440" spans="1:61" x14ac:dyDescent="0.3">
      <c r="A440">
        <f t="shared" si="413"/>
        <v>0.40300000000000002</v>
      </c>
      <c r="B440">
        <f t="shared" si="356"/>
        <v>1.2660618393966867</v>
      </c>
      <c r="C440">
        <f t="shared" si="357"/>
        <v>1.8755308141931064</v>
      </c>
      <c r="D440">
        <f t="shared" si="358"/>
        <v>1.8755308141931064</v>
      </c>
      <c r="E440">
        <f t="shared" si="363"/>
        <v>0.95392665056739356</v>
      </c>
      <c r="F440">
        <f t="shared" si="364"/>
        <v>0.95392665056739356</v>
      </c>
      <c r="G440">
        <f t="shared" si="359"/>
        <v>1.2660618393966867</v>
      </c>
      <c r="H440">
        <f t="shared" si="360"/>
        <v>0.95392665056739356</v>
      </c>
      <c r="I440">
        <f t="shared" si="361"/>
        <v>0.95392665056739356</v>
      </c>
      <c r="J440">
        <f t="shared" si="409"/>
        <v>6.673676345963511E+19</v>
      </c>
      <c r="K440">
        <f t="shared" si="410"/>
        <v>6.673676345963511E+19</v>
      </c>
      <c r="L440">
        <f t="shared" si="365"/>
        <v>1</v>
      </c>
      <c r="M440">
        <f t="shared" si="362"/>
        <v>1.8755308141931065E-20</v>
      </c>
      <c r="N440" s="9">
        <f t="shared" si="411"/>
        <v>1.8755308141931065E-20</v>
      </c>
      <c r="O440">
        <f t="shared" si="412"/>
        <v>1.8755308141931065E-20</v>
      </c>
      <c r="Q440">
        <f t="shared" si="366"/>
        <v>45.647287651278909</v>
      </c>
      <c r="R440">
        <f t="shared" si="367"/>
        <v>0</v>
      </c>
      <c r="S440">
        <f t="shared" si="389"/>
        <v>-45.422810139621049</v>
      </c>
      <c r="T440" s="9" t="e">
        <f t="shared" si="368"/>
        <v>#N/A</v>
      </c>
      <c r="U440">
        <f t="shared" si="390"/>
        <v>-1.0000000000000001E+300</v>
      </c>
      <c r="V440">
        <f t="shared" si="391"/>
        <v>0</v>
      </c>
      <c r="W440">
        <f t="shared" si="392"/>
        <v>0</v>
      </c>
      <c r="X440">
        <f t="shared" si="369"/>
        <v>1.8755308141931064</v>
      </c>
      <c r="Y440">
        <f t="shared" si="370"/>
        <v>7.8539816339744828</v>
      </c>
      <c r="Z440">
        <f t="shared" si="371"/>
        <v>-1.8755308141931064</v>
      </c>
      <c r="AA440">
        <f t="shared" si="393"/>
        <v>0.58991337469019334</v>
      </c>
      <c r="AB440">
        <f t="shared" si="372"/>
        <v>8.4438950086646756</v>
      </c>
      <c r="AC440">
        <f t="shared" si="394"/>
        <v>0.17730901497041029</v>
      </c>
      <c r="AD440">
        <f t="shared" si="373"/>
        <v>4.7168496687446403E-2</v>
      </c>
      <c r="AE440" s="9">
        <f t="shared" si="395"/>
        <v>8.6683725203225315</v>
      </c>
      <c r="AF440">
        <f t="shared" si="396"/>
        <v>0</v>
      </c>
      <c r="AH440">
        <f t="shared" si="374"/>
        <v>7.8539816339744828</v>
      </c>
      <c r="AI440">
        <f t="shared" si="375"/>
        <v>0.58991337469019345</v>
      </c>
      <c r="AJ440">
        <f t="shared" si="376"/>
        <v>0.17730901497041174</v>
      </c>
      <c r="AK440">
        <f t="shared" si="377"/>
        <v>4.7168496687446403E-2</v>
      </c>
      <c r="AL440" s="9">
        <f t="shared" si="397"/>
        <v>8.6683725203225332</v>
      </c>
      <c r="AM440" t="e">
        <f t="shared" si="378"/>
        <v>#N/A</v>
      </c>
      <c r="AN440" t="e">
        <f t="shared" si="398"/>
        <v>#N/A</v>
      </c>
      <c r="AO440">
        <f t="shared" si="379"/>
        <v>0</v>
      </c>
      <c r="AP440">
        <f t="shared" si="380"/>
        <v>0</v>
      </c>
      <c r="AQ440">
        <f t="shared" si="381"/>
        <v>1.4432899320127035E-15</v>
      </c>
      <c r="AR440">
        <f t="shared" si="399"/>
        <v>0</v>
      </c>
      <c r="AS440">
        <f t="shared" si="382"/>
        <v>0</v>
      </c>
      <c r="AT440">
        <f t="shared" si="400"/>
        <v>0</v>
      </c>
      <c r="AU440">
        <f t="shared" si="401"/>
        <v>0</v>
      </c>
      <c r="AV440">
        <f t="shared" si="383"/>
        <v>1.8755308141931062E-20</v>
      </c>
      <c r="AW440" t="b">
        <f t="shared" si="402"/>
        <v>1</v>
      </c>
      <c r="AX440">
        <f t="shared" si="384"/>
        <v>7.8539816339744828</v>
      </c>
      <c r="AY440">
        <f t="shared" si="385"/>
        <v>0.58991337469019323</v>
      </c>
      <c r="AZ440">
        <f t="shared" si="386"/>
        <v>0.17730901497041029</v>
      </c>
      <c r="BA440">
        <f t="shared" si="387"/>
        <v>4.7168496687446403E-2</v>
      </c>
      <c r="BB440">
        <f t="shared" si="388"/>
        <v>-1.2337005501361696E-20</v>
      </c>
      <c r="BD440" s="15">
        <f t="shared" si="403"/>
        <v>8.6683725203225315</v>
      </c>
      <c r="BE440" s="10">
        <f t="shared" si="404"/>
        <v>0</v>
      </c>
      <c r="BF440">
        <f t="shared" si="405"/>
        <v>0</v>
      </c>
      <c r="BG440">
        <f t="shared" si="406"/>
        <v>0</v>
      </c>
      <c r="BH440">
        <f t="shared" si="407"/>
        <v>0</v>
      </c>
      <c r="BI440">
        <f t="shared" si="408"/>
        <v>0</v>
      </c>
    </row>
    <row r="441" spans="1:61" x14ac:dyDescent="0.3">
      <c r="A441">
        <f t="shared" si="413"/>
        <v>0.40400000000000003</v>
      </c>
      <c r="B441">
        <f t="shared" si="356"/>
        <v>1.2692034320502765</v>
      </c>
      <c r="C441">
        <f t="shared" si="357"/>
        <v>1.8723892215395166</v>
      </c>
      <c r="D441">
        <f t="shared" si="358"/>
        <v>1.8723892215395166</v>
      </c>
      <c r="E441">
        <f t="shared" si="363"/>
        <v>0.95486454474664295</v>
      </c>
      <c r="F441">
        <f t="shared" si="364"/>
        <v>0.95486454474664306</v>
      </c>
      <c r="G441">
        <f t="shared" si="359"/>
        <v>1.2692034320502765</v>
      </c>
      <c r="H441">
        <f t="shared" si="360"/>
        <v>0.95486454474664295</v>
      </c>
      <c r="I441">
        <f t="shared" si="361"/>
        <v>0.95486454474664306</v>
      </c>
      <c r="J441">
        <f t="shared" si="409"/>
        <v>6.6671212777776521E+19</v>
      </c>
      <c r="K441">
        <f t="shared" si="410"/>
        <v>6.6671212777776521E+19</v>
      </c>
      <c r="L441" t="e">
        <f t="shared" si="365"/>
        <v>#NUM!</v>
      </c>
      <c r="M441">
        <f t="shared" si="362"/>
        <v>1.8723892215395165E-20</v>
      </c>
      <c r="N441" s="9" t="e">
        <f t="shared" si="411"/>
        <v>#NUM!</v>
      </c>
      <c r="O441" t="e">
        <f t="shared" si="412"/>
        <v>#NUM!</v>
      </c>
      <c r="Q441">
        <f t="shared" si="366"/>
        <v>45.646304941114451</v>
      </c>
      <c r="R441">
        <f t="shared" si="367"/>
        <v>0</v>
      </c>
      <c r="S441">
        <f t="shared" si="389"/>
        <v>-45.424486585948301</v>
      </c>
      <c r="T441" s="9" t="e">
        <f t="shared" si="368"/>
        <v>#N/A</v>
      </c>
      <c r="U441">
        <f t="shared" si="390"/>
        <v>-1.0000000000000001E+300</v>
      </c>
      <c r="V441">
        <f t="shared" si="391"/>
        <v>0</v>
      </c>
      <c r="W441">
        <f t="shared" si="392"/>
        <v>0</v>
      </c>
      <c r="X441">
        <f t="shared" si="369"/>
        <v>1.8723892215395166</v>
      </c>
      <c r="Y441">
        <f t="shared" si="370"/>
        <v>7.8539816339744828</v>
      </c>
      <c r="Z441">
        <f t="shared" si="371"/>
        <v>-1.8723892215395166</v>
      </c>
      <c r="AA441">
        <f t="shared" si="393"/>
        <v>0.58246738634689099</v>
      </c>
      <c r="AB441">
        <f t="shared" si="372"/>
        <v>8.4364490203213744</v>
      </c>
      <c r="AC441">
        <f t="shared" si="394"/>
        <v>0.17563256864315796</v>
      </c>
      <c r="AD441">
        <f t="shared" si="373"/>
        <v>4.618578652299217E-2</v>
      </c>
      <c r="AE441" s="9">
        <f t="shared" si="395"/>
        <v>8.6582673754875241</v>
      </c>
      <c r="AF441">
        <f t="shared" si="396"/>
        <v>0</v>
      </c>
      <c r="AH441">
        <f t="shared" si="374"/>
        <v>7.8539816339744828</v>
      </c>
      <c r="AI441">
        <f t="shared" si="375"/>
        <v>0.58246738634689099</v>
      </c>
      <c r="AJ441">
        <f t="shared" si="376"/>
        <v>0.17563256864315946</v>
      </c>
      <c r="AK441">
        <f t="shared" si="377"/>
        <v>4.618578652299217E-2</v>
      </c>
      <c r="AL441" s="9">
        <f t="shared" si="397"/>
        <v>8.6582673754875259</v>
      </c>
      <c r="AM441" t="e">
        <f t="shared" si="378"/>
        <v>#N/A</v>
      </c>
      <c r="AN441" t="e">
        <f t="shared" si="398"/>
        <v>#N/A</v>
      </c>
      <c r="AO441">
        <f t="shared" si="379"/>
        <v>0</v>
      </c>
      <c r="AP441">
        <f t="shared" si="380"/>
        <v>0</v>
      </c>
      <c r="AQ441">
        <f t="shared" si="381"/>
        <v>1.4988010832439613E-15</v>
      </c>
      <c r="AR441">
        <f t="shared" si="399"/>
        <v>0</v>
      </c>
      <c r="AS441">
        <f t="shared" si="382"/>
        <v>0</v>
      </c>
      <c r="AT441">
        <f t="shared" si="400"/>
        <v>0</v>
      </c>
      <c r="AU441">
        <f t="shared" si="401"/>
        <v>0</v>
      </c>
      <c r="AV441">
        <f t="shared" si="383"/>
        <v>1.8723892215395165E-20</v>
      </c>
      <c r="AW441" t="b">
        <f t="shared" si="402"/>
        <v>1</v>
      </c>
      <c r="AX441">
        <f t="shared" si="384"/>
        <v>7.8539816339744828</v>
      </c>
      <c r="AY441">
        <f t="shared" si="385"/>
        <v>0.58246738634689066</v>
      </c>
      <c r="AZ441">
        <f t="shared" si="386"/>
        <v>0.17563256864315796</v>
      </c>
      <c r="BA441">
        <f t="shared" si="387"/>
        <v>4.6185786522992052E-2</v>
      </c>
      <c r="BB441">
        <f t="shared" si="388"/>
        <v>-1.2337005501361696E-20</v>
      </c>
      <c r="BD441" s="15">
        <f t="shared" si="403"/>
        <v>8.6582673754875223</v>
      </c>
      <c r="BE441" s="10">
        <f t="shared" si="404"/>
        <v>0</v>
      </c>
      <c r="BF441">
        <f t="shared" si="405"/>
        <v>0</v>
      </c>
      <c r="BG441">
        <f t="shared" si="406"/>
        <v>0</v>
      </c>
      <c r="BH441">
        <f t="shared" si="407"/>
        <v>0</v>
      </c>
      <c r="BI441">
        <f t="shared" si="408"/>
        <v>0</v>
      </c>
    </row>
    <row r="442" spans="1:61" x14ac:dyDescent="0.3">
      <c r="A442">
        <f t="shared" si="413"/>
        <v>0.40500000000000003</v>
      </c>
      <c r="B442">
        <f t="shared" si="356"/>
        <v>1.2723450247038663</v>
      </c>
      <c r="C442">
        <f t="shared" si="357"/>
        <v>1.8692476288859268</v>
      </c>
      <c r="D442">
        <f t="shared" si="358"/>
        <v>1.8692476288859268</v>
      </c>
      <c r="E442">
        <f t="shared" si="363"/>
        <v>0.95579301479833012</v>
      </c>
      <c r="F442">
        <f t="shared" si="364"/>
        <v>0.95579301479833023</v>
      </c>
      <c r="G442">
        <f t="shared" si="359"/>
        <v>1.2723450247038663</v>
      </c>
      <c r="H442">
        <f t="shared" si="360"/>
        <v>0.95579301479833012</v>
      </c>
      <c r="I442">
        <f t="shared" si="361"/>
        <v>0.95579301479833023</v>
      </c>
      <c r="J442">
        <f t="shared" si="409"/>
        <v>6.6606447474603753E+19</v>
      </c>
      <c r="K442">
        <f t="shared" si="410"/>
        <v>6.6606447474603753E+19</v>
      </c>
      <c r="L442" t="e">
        <f t="shared" si="365"/>
        <v>#NUM!</v>
      </c>
      <c r="M442">
        <f t="shared" si="362"/>
        <v>1.8692476288859266E-20</v>
      </c>
      <c r="N442" s="9" t="e">
        <f t="shared" si="411"/>
        <v>#NUM!</v>
      </c>
      <c r="O442" t="e">
        <f t="shared" si="412"/>
        <v>#NUM!</v>
      </c>
      <c r="Q442">
        <f t="shared" si="366"/>
        <v>45.645333055681469</v>
      </c>
      <c r="R442">
        <f t="shared" si="367"/>
        <v>0</v>
      </c>
      <c r="S442">
        <f t="shared" si="389"/>
        <v>-45.42616584746802</v>
      </c>
      <c r="T442" s="9" t="e">
        <f t="shared" si="368"/>
        <v>#N/A</v>
      </c>
      <c r="U442">
        <f t="shared" si="390"/>
        <v>-1.0000000000000001E+300</v>
      </c>
      <c r="V442">
        <f t="shared" si="391"/>
        <v>0</v>
      </c>
      <c r="W442">
        <f t="shared" si="392"/>
        <v>0</v>
      </c>
      <c r="X442">
        <f t="shared" si="369"/>
        <v>1.8692476288859268</v>
      </c>
      <c r="Y442">
        <f t="shared" si="370"/>
        <v>7.8539816339744828</v>
      </c>
      <c r="Z442">
        <f t="shared" si="371"/>
        <v>-1.8692476288859268</v>
      </c>
      <c r="AA442">
        <f t="shared" si="393"/>
        <v>0.57505565768682887</v>
      </c>
      <c r="AB442">
        <f t="shared" si="372"/>
        <v>8.4290372916613112</v>
      </c>
      <c r="AC442">
        <f t="shared" si="394"/>
        <v>0.17395330712343798</v>
      </c>
      <c r="AD442">
        <f t="shared" si="373"/>
        <v>4.5213901090009237E-2</v>
      </c>
      <c r="AE442" s="9">
        <f t="shared" si="395"/>
        <v>8.64820449987476</v>
      </c>
      <c r="AF442">
        <f t="shared" si="396"/>
        <v>0</v>
      </c>
      <c r="AH442">
        <f t="shared" si="374"/>
        <v>7.8539816339744828</v>
      </c>
      <c r="AI442">
        <f t="shared" si="375"/>
        <v>0.57505565768682898</v>
      </c>
      <c r="AJ442">
        <f t="shared" si="376"/>
        <v>0.17395330712344048</v>
      </c>
      <c r="AK442">
        <f t="shared" si="377"/>
        <v>4.5213901090009237E-2</v>
      </c>
      <c r="AL442" s="9">
        <f t="shared" si="397"/>
        <v>8.6482044998747618</v>
      </c>
      <c r="AM442" t="e">
        <f t="shared" si="378"/>
        <v>#N/A</v>
      </c>
      <c r="AN442" t="e">
        <f t="shared" si="398"/>
        <v>#N/A</v>
      </c>
      <c r="AO442">
        <f t="shared" si="379"/>
        <v>0</v>
      </c>
      <c r="AP442">
        <f t="shared" si="380"/>
        <v>0</v>
      </c>
      <c r="AQ442">
        <f t="shared" si="381"/>
        <v>2.4980018054066022E-15</v>
      </c>
      <c r="AR442">
        <f t="shared" si="399"/>
        <v>0</v>
      </c>
      <c r="AS442">
        <f t="shared" si="382"/>
        <v>0</v>
      </c>
      <c r="AT442">
        <f t="shared" si="400"/>
        <v>0</v>
      </c>
      <c r="AU442">
        <f t="shared" si="401"/>
        <v>0</v>
      </c>
      <c r="AV442">
        <f t="shared" si="383"/>
        <v>1.8692476288859266E-20</v>
      </c>
      <c r="AW442" t="b">
        <f t="shared" si="402"/>
        <v>1</v>
      </c>
      <c r="AX442">
        <f t="shared" si="384"/>
        <v>7.8539816339744828</v>
      </c>
      <c r="AY442">
        <f t="shared" si="385"/>
        <v>0.57505565768682854</v>
      </c>
      <c r="AZ442">
        <f t="shared" si="386"/>
        <v>0.17395330712343798</v>
      </c>
      <c r="BA442">
        <f t="shared" si="387"/>
        <v>4.5213901090009119E-2</v>
      </c>
      <c r="BB442">
        <f t="shared" si="388"/>
        <v>-1.2337005501361696E-20</v>
      </c>
      <c r="BD442" s="15">
        <f t="shared" si="403"/>
        <v>8.6482044998747583</v>
      </c>
      <c r="BE442" s="10">
        <f t="shared" si="404"/>
        <v>0</v>
      </c>
      <c r="BF442">
        <f t="shared" si="405"/>
        <v>0</v>
      </c>
      <c r="BG442">
        <f t="shared" si="406"/>
        <v>0</v>
      </c>
      <c r="BH442">
        <f t="shared" si="407"/>
        <v>0</v>
      </c>
      <c r="BI442">
        <f t="shared" si="408"/>
        <v>0</v>
      </c>
    </row>
    <row r="443" spans="1:61" x14ac:dyDescent="0.3">
      <c r="A443">
        <f t="shared" si="413"/>
        <v>0.40600000000000003</v>
      </c>
      <c r="B443">
        <f t="shared" si="356"/>
        <v>1.2754866173574562</v>
      </c>
      <c r="C443">
        <f t="shared" si="357"/>
        <v>1.866106036232337</v>
      </c>
      <c r="D443">
        <f t="shared" si="358"/>
        <v>1.866106036232337</v>
      </c>
      <c r="E443">
        <f t="shared" si="363"/>
        <v>0.95671205155883055</v>
      </c>
      <c r="F443">
        <f t="shared" si="364"/>
        <v>0.95671205155883055</v>
      </c>
      <c r="G443">
        <f t="shared" si="359"/>
        <v>1.2754866173574562</v>
      </c>
      <c r="H443">
        <f t="shared" si="360"/>
        <v>0.95671205155883055</v>
      </c>
      <c r="I443">
        <f t="shared" si="361"/>
        <v>0.95671205155883055</v>
      </c>
      <c r="J443">
        <f t="shared" si="409"/>
        <v>6.6542463986974679E+19</v>
      </c>
      <c r="K443">
        <f t="shared" si="410"/>
        <v>6.6542463986974679E+19</v>
      </c>
      <c r="L443">
        <f t="shared" si="365"/>
        <v>1</v>
      </c>
      <c r="M443">
        <f t="shared" si="362"/>
        <v>1.8661060362323369E-20</v>
      </c>
      <c r="N443" s="9">
        <f t="shared" si="411"/>
        <v>1.8661060362323369E-20</v>
      </c>
      <c r="O443">
        <f t="shared" si="412"/>
        <v>1.8661060362323369E-20</v>
      </c>
      <c r="Q443">
        <f t="shared" si="366"/>
        <v>45.64437197395948</v>
      </c>
      <c r="R443">
        <f t="shared" si="367"/>
        <v>0</v>
      </c>
      <c r="S443">
        <f t="shared" si="389"/>
        <v>-45.427847933651009</v>
      </c>
      <c r="T443" s="9" t="e">
        <f t="shared" si="368"/>
        <v>#N/A</v>
      </c>
      <c r="U443">
        <f t="shared" si="390"/>
        <v>-1.0000000000000001E+300</v>
      </c>
      <c r="V443">
        <f t="shared" si="391"/>
        <v>0</v>
      </c>
      <c r="W443">
        <f t="shared" si="392"/>
        <v>0</v>
      </c>
      <c r="X443">
        <f t="shared" si="369"/>
        <v>1.866106036232337</v>
      </c>
      <c r="Y443">
        <f t="shared" si="370"/>
        <v>7.8539816339744828</v>
      </c>
      <c r="Z443">
        <f t="shared" si="371"/>
        <v>-1.866106036232337</v>
      </c>
      <c r="AA443">
        <f t="shared" si="393"/>
        <v>0.567677962031779</v>
      </c>
      <c r="AB443">
        <f t="shared" si="372"/>
        <v>8.4216595960062612</v>
      </c>
      <c r="AC443">
        <f t="shared" si="394"/>
        <v>0.17227122094045313</v>
      </c>
      <c r="AD443">
        <f t="shared" si="373"/>
        <v>4.4252819368022341E-2</v>
      </c>
      <c r="AE443" s="9">
        <f t="shared" si="395"/>
        <v>8.6381836363147375</v>
      </c>
      <c r="AF443">
        <f t="shared" si="396"/>
        <v>0</v>
      </c>
      <c r="AH443">
        <f t="shared" si="374"/>
        <v>7.8539816339744828</v>
      </c>
      <c r="AI443">
        <f t="shared" si="375"/>
        <v>0.56767796203177912</v>
      </c>
      <c r="AJ443">
        <f t="shared" si="376"/>
        <v>0.172271220940452</v>
      </c>
      <c r="AK443">
        <f t="shared" si="377"/>
        <v>4.4252819368022341E-2</v>
      </c>
      <c r="AL443" s="9">
        <f t="shared" si="397"/>
        <v>8.6381836363147357</v>
      </c>
      <c r="AM443" t="e">
        <f t="shared" si="378"/>
        <v>#N/A</v>
      </c>
      <c r="AN443" t="e">
        <f t="shared" si="398"/>
        <v>#N/A</v>
      </c>
      <c r="AO443">
        <f t="shared" si="379"/>
        <v>0</v>
      </c>
      <c r="AP443">
        <f t="shared" si="380"/>
        <v>0</v>
      </c>
      <c r="AQ443">
        <f t="shared" si="381"/>
        <v>-1.1379786002407855E-15</v>
      </c>
      <c r="AR443">
        <f t="shared" si="399"/>
        <v>0</v>
      </c>
      <c r="AS443">
        <f t="shared" si="382"/>
        <v>0</v>
      </c>
      <c r="AT443">
        <f t="shared" si="400"/>
        <v>0</v>
      </c>
      <c r="AU443">
        <f t="shared" si="401"/>
        <v>0</v>
      </c>
      <c r="AV443">
        <f t="shared" si="383"/>
        <v>1.8661060362323369E-20</v>
      </c>
      <c r="AW443" t="b">
        <f t="shared" si="402"/>
        <v>1</v>
      </c>
      <c r="AX443">
        <f t="shared" si="384"/>
        <v>7.8539816339744828</v>
      </c>
      <c r="AY443">
        <f t="shared" si="385"/>
        <v>0.56767796203177889</v>
      </c>
      <c r="AZ443">
        <f t="shared" si="386"/>
        <v>0.17227122094045313</v>
      </c>
      <c r="BA443">
        <f t="shared" si="387"/>
        <v>4.4252819368022341E-2</v>
      </c>
      <c r="BB443">
        <f t="shared" si="388"/>
        <v>-1.2337005501361696E-20</v>
      </c>
      <c r="BD443" s="15">
        <f t="shared" si="403"/>
        <v>8.6381836363147375</v>
      </c>
      <c r="BE443" s="10">
        <f t="shared" si="404"/>
        <v>0</v>
      </c>
      <c r="BF443">
        <f t="shared" si="405"/>
        <v>0</v>
      </c>
      <c r="BG443">
        <f t="shared" si="406"/>
        <v>0</v>
      </c>
      <c r="BH443">
        <f t="shared" si="407"/>
        <v>0</v>
      </c>
      <c r="BI443">
        <f t="shared" si="408"/>
        <v>0</v>
      </c>
    </row>
    <row r="444" spans="1:61" x14ac:dyDescent="0.3">
      <c r="A444">
        <f t="shared" si="413"/>
        <v>0.40699999999999997</v>
      </c>
      <c r="B444">
        <f t="shared" si="356"/>
        <v>1.2786282100110458</v>
      </c>
      <c r="C444">
        <f t="shared" si="357"/>
        <v>1.8629644435787474</v>
      </c>
      <c r="D444">
        <f t="shared" si="358"/>
        <v>1.8629644435787474</v>
      </c>
      <c r="E444">
        <f t="shared" si="363"/>
        <v>0.95762164595762223</v>
      </c>
      <c r="F444">
        <f t="shared" si="364"/>
        <v>0.95762164595762223</v>
      </c>
      <c r="G444">
        <f t="shared" si="359"/>
        <v>1.2786282100110458</v>
      </c>
      <c r="H444">
        <f t="shared" si="360"/>
        <v>0.95762164595762223</v>
      </c>
      <c r="I444">
        <f t="shared" si="361"/>
        <v>0.95762164595762223</v>
      </c>
      <c r="J444">
        <f t="shared" si="409"/>
        <v>6.6479258802777088E+19</v>
      </c>
      <c r="K444">
        <f t="shared" si="410"/>
        <v>6.6479258802777088E+19</v>
      </c>
      <c r="L444">
        <f t="shared" si="365"/>
        <v>1</v>
      </c>
      <c r="M444">
        <f t="shared" si="362"/>
        <v>1.8629644435787473E-20</v>
      </c>
      <c r="N444" s="9">
        <f t="shared" si="411"/>
        <v>1.8629644435787473E-20</v>
      </c>
      <c r="O444">
        <f t="shared" si="412"/>
        <v>1.8629644435787473E-20</v>
      </c>
      <c r="Q444">
        <f t="shared" si="366"/>
        <v>45.643421675201829</v>
      </c>
      <c r="R444">
        <f t="shared" si="367"/>
        <v>0</v>
      </c>
      <c r="S444">
        <f t="shared" si="389"/>
        <v>-45.429532854015925</v>
      </c>
      <c r="T444" s="9" t="e">
        <f t="shared" si="368"/>
        <v>#N/A</v>
      </c>
      <c r="U444">
        <f t="shared" si="390"/>
        <v>-1.0000000000000001E+300</v>
      </c>
      <c r="V444">
        <f t="shared" si="391"/>
        <v>0</v>
      </c>
      <c r="W444">
        <f t="shared" si="392"/>
        <v>0</v>
      </c>
      <c r="X444">
        <f t="shared" si="369"/>
        <v>1.8629644435787474</v>
      </c>
      <c r="Y444">
        <f t="shared" si="370"/>
        <v>7.8539816339744828</v>
      </c>
      <c r="Z444">
        <f t="shared" si="371"/>
        <v>-1.8629644435787474</v>
      </c>
      <c r="AA444">
        <f t="shared" si="393"/>
        <v>0.56033407491915399</v>
      </c>
      <c r="AB444">
        <f t="shared" si="372"/>
        <v>8.4143157088936373</v>
      </c>
      <c r="AC444">
        <f t="shared" si="394"/>
        <v>0.17058630057553367</v>
      </c>
      <c r="AD444">
        <f t="shared" si="373"/>
        <v>4.3302520610367032E-2</v>
      </c>
      <c r="AE444" s="9">
        <f t="shared" si="395"/>
        <v>8.6282045300795396</v>
      </c>
      <c r="AF444">
        <f t="shared" si="396"/>
        <v>0</v>
      </c>
      <c r="AH444">
        <f t="shared" si="374"/>
        <v>7.8539816339744828</v>
      </c>
      <c r="AI444">
        <f t="shared" si="375"/>
        <v>0.56033407491915399</v>
      </c>
      <c r="AJ444">
        <f t="shared" si="376"/>
        <v>0.17058630057553614</v>
      </c>
      <c r="AK444">
        <f t="shared" si="377"/>
        <v>4.3302520610367032E-2</v>
      </c>
      <c r="AL444" s="9">
        <f t="shared" si="397"/>
        <v>8.6282045300795414</v>
      </c>
      <c r="AM444" t="e">
        <f t="shared" si="378"/>
        <v>#N/A</v>
      </c>
      <c r="AN444" t="e">
        <f t="shared" si="398"/>
        <v>#N/A</v>
      </c>
      <c r="AO444">
        <f t="shared" si="379"/>
        <v>0</v>
      </c>
      <c r="AP444">
        <f t="shared" si="380"/>
        <v>0</v>
      </c>
      <c r="AQ444">
        <f t="shared" si="381"/>
        <v>2.4702462297909733E-15</v>
      </c>
      <c r="AR444">
        <f t="shared" si="399"/>
        <v>0</v>
      </c>
      <c r="AS444">
        <f t="shared" si="382"/>
        <v>0</v>
      </c>
      <c r="AT444">
        <f t="shared" si="400"/>
        <v>0</v>
      </c>
      <c r="AU444">
        <f t="shared" si="401"/>
        <v>0</v>
      </c>
      <c r="AV444">
        <f t="shared" si="383"/>
        <v>1.8629644435787473E-20</v>
      </c>
      <c r="AW444" t="b">
        <f t="shared" si="402"/>
        <v>1</v>
      </c>
      <c r="AX444">
        <f t="shared" si="384"/>
        <v>7.8539816339744828</v>
      </c>
      <c r="AY444">
        <f t="shared" si="385"/>
        <v>0.56033407491915377</v>
      </c>
      <c r="AZ444">
        <f t="shared" si="386"/>
        <v>0.17058630057553384</v>
      </c>
      <c r="BA444">
        <f t="shared" si="387"/>
        <v>4.3302520610367032E-2</v>
      </c>
      <c r="BB444">
        <f t="shared" si="388"/>
        <v>-1.2337005501361696E-20</v>
      </c>
      <c r="BD444" s="15">
        <f t="shared" si="403"/>
        <v>8.6282045300795396</v>
      </c>
      <c r="BE444" s="10">
        <f t="shared" si="404"/>
        <v>0</v>
      </c>
      <c r="BF444">
        <f t="shared" si="405"/>
        <v>0</v>
      </c>
      <c r="BG444">
        <f t="shared" si="406"/>
        <v>0</v>
      </c>
      <c r="BH444">
        <f t="shared" si="407"/>
        <v>0</v>
      </c>
      <c r="BI444">
        <f t="shared" si="408"/>
        <v>0</v>
      </c>
    </row>
    <row r="445" spans="1:61" x14ac:dyDescent="0.3">
      <c r="A445">
        <f t="shared" si="413"/>
        <v>0.40799999999999997</v>
      </c>
      <c r="B445">
        <f t="shared" si="356"/>
        <v>1.2817698026646356</v>
      </c>
      <c r="C445">
        <f t="shared" si="357"/>
        <v>1.8598228509251575</v>
      </c>
      <c r="D445">
        <f t="shared" si="358"/>
        <v>1.8598228509251575</v>
      </c>
      <c r="E445">
        <f t="shared" si="363"/>
        <v>0.95852178901737584</v>
      </c>
      <c r="F445">
        <f t="shared" si="364"/>
        <v>0.95852178901737595</v>
      </c>
      <c r="G445">
        <f t="shared" si="359"/>
        <v>1.2817698026646356</v>
      </c>
      <c r="H445">
        <f t="shared" si="360"/>
        <v>0.95852178901737584</v>
      </c>
      <c r="I445">
        <f t="shared" si="361"/>
        <v>0.95852178901737595</v>
      </c>
      <c r="J445">
        <f t="shared" si="409"/>
        <v>6.6416828460436906E+19</v>
      </c>
      <c r="K445">
        <f t="shared" si="410"/>
        <v>6.6416828460436906E+19</v>
      </c>
      <c r="L445" t="e">
        <f t="shared" si="365"/>
        <v>#NUM!</v>
      </c>
      <c r="M445">
        <f t="shared" si="362"/>
        <v>1.8598228509251573E-20</v>
      </c>
      <c r="N445" s="9" t="e">
        <f t="shared" si="411"/>
        <v>#NUM!</v>
      </c>
      <c r="O445" t="e">
        <f t="shared" si="412"/>
        <v>#NUM!</v>
      </c>
      <c r="Q445">
        <f t="shared" si="366"/>
        <v>45.642482138933779</v>
      </c>
      <c r="R445">
        <f t="shared" si="367"/>
        <v>0</v>
      </c>
      <c r="S445">
        <f t="shared" si="389"/>
        <v>-45.431220618129643</v>
      </c>
      <c r="T445" s="9" t="e">
        <f t="shared" si="368"/>
        <v>#N/A</v>
      </c>
      <c r="U445">
        <f t="shared" si="390"/>
        <v>-1.0000000000000001E+300</v>
      </c>
      <c r="V445">
        <f t="shared" si="391"/>
        <v>0</v>
      </c>
      <c r="W445">
        <f t="shared" si="392"/>
        <v>0</v>
      </c>
      <c r="X445">
        <f t="shared" si="369"/>
        <v>1.8598228509251575</v>
      </c>
      <c r="Y445">
        <f t="shared" si="370"/>
        <v>7.8539816339744828</v>
      </c>
      <c r="Z445">
        <f t="shared" si="371"/>
        <v>-1.8598228509251575</v>
      </c>
      <c r="AA445">
        <f t="shared" si="393"/>
        <v>0.55302377407498604</v>
      </c>
      <c r="AB445">
        <f t="shared" si="372"/>
        <v>8.4070054080494696</v>
      </c>
      <c r="AC445">
        <f t="shared" si="394"/>
        <v>0.16889853646181388</v>
      </c>
      <c r="AD445">
        <f t="shared" si="373"/>
        <v>4.2362984342320886E-2</v>
      </c>
      <c r="AE445" s="9">
        <f t="shared" si="395"/>
        <v>8.618266928853604</v>
      </c>
      <c r="AF445">
        <f t="shared" si="396"/>
        <v>0</v>
      </c>
      <c r="AH445">
        <f t="shared" si="374"/>
        <v>7.8539816339744828</v>
      </c>
      <c r="AI445">
        <f t="shared" si="375"/>
        <v>0.55302377407498615</v>
      </c>
      <c r="AJ445">
        <f t="shared" si="376"/>
        <v>0.16889853646181763</v>
      </c>
      <c r="AK445">
        <f t="shared" si="377"/>
        <v>4.2362984342320886E-2</v>
      </c>
      <c r="AL445" s="9">
        <f t="shared" si="397"/>
        <v>8.6182669288536076</v>
      </c>
      <c r="AM445" t="e">
        <f t="shared" si="378"/>
        <v>#N/A</v>
      </c>
      <c r="AN445" t="e">
        <f t="shared" si="398"/>
        <v>#N/A</v>
      </c>
      <c r="AO445">
        <f t="shared" si="379"/>
        <v>0</v>
      </c>
      <c r="AP445">
        <f t="shared" si="380"/>
        <v>0</v>
      </c>
      <c r="AQ445">
        <f t="shared" si="381"/>
        <v>3.7470027081099033E-15</v>
      </c>
      <c r="AR445">
        <f t="shared" si="399"/>
        <v>0</v>
      </c>
      <c r="AS445">
        <f t="shared" si="382"/>
        <v>0</v>
      </c>
      <c r="AT445">
        <f t="shared" si="400"/>
        <v>0</v>
      </c>
      <c r="AU445">
        <f t="shared" si="401"/>
        <v>0</v>
      </c>
      <c r="AV445">
        <f t="shared" si="383"/>
        <v>1.8598228509251573E-20</v>
      </c>
      <c r="AW445" t="b">
        <f t="shared" si="402"/>
        <v>1</v>
      </c>
      <c r="AX445">
        <f t="shared" si="384"/>
        <v>7.8539816339744828</v>
      </c>
      <c r="AY445">
        <f t="shared" si="385"/>
        <v>0.55302377407498593</v>
      </c>
      <c r="AZ445">
        <f t="shared" si="386"/>
        <v>0.16889853646181388</v>
      </c>
      <c r="BA445">
        <f t="shared" si="387"/>
        <v>4.2362984342320775E-2</v>
      </c>
      <c r="BB445">
        <f t="shared" si="388"/>
        <v>-1.2337005501361696E-20</v>
      </c>
      <c r="BD445" s="15">
        <f t="shared" si="403"/>
        <v>8.6182669288536022</v>
      </c>
      <c r="BE445" s="10">
        <f t="shared" si="404"/>
        <v>0</v>
      </c>
      <c r="BF445">
        <f t="shared" si="405"/>
        <v>0</v>
      </c>
      <c r="BG445">
        <f t="shared" si="406"/>
        <v>0</v>
      </c>
      <c r="BH445">
        <f t="shared" si="407"/>
        <v>0</v>
      </c>
      <c r="BI445">
        <f t="shared" si="408"/>
        <v>0</v>
      </c>
    </row>
    <row r="446" spans="1:61" x14ac:dyDescent="0.3">
      <c r="A446">
        <f t="shared" si="413"/>
        <v>0.40899999999999997</v>
      </c>
      <c r="B446">
        <f t="shared" si="356"/>
        <v>1.2849113953182254</v>
      </c>
      <c r="C446">
        <f t="shared" si="357"/>
        <v>1.8566812582715677</v>
      </c>
      <c r="D446">
        <f t="shared" si="358"/>
        <v>1.8566812582715677</v>
      </c>
      <c r="E446">
        <f t="shared" si="363"/>
        <v>0.95941247185404288</v>
      </c>
      <c r="F446">
        <f t="shared" si="364"/>
        <v>0.95941247185404288</v>
      </c>
      <c r="G446">
        <f t="shared" si="359"/>
        <v>1.2849113953182254</v>
      </c>
      <c r="H446">
        <f t="shared" si="360"/>
        <v>0.95941247185404288</v>
      </c>
      <c r="I446">
        <f t="shared" si="361"/>
        <v>0.95941247185404288</v>
      </c>
      <c r="J446">
        <f t="shared" si="409"/>
        <v>6.6355169548435005E+19</v>
      </c>
      <c r="K446">
        <f t="shared" si="410"/>
        <v>6.6355169548435005E+19</v>
      </c>
      <c r="L446">
        <f t="shared" si="365"/>
        <v>1</v>
      </c>
      <c r="M446">
        <f t="shared" si="362"/>
        <v>1.8566812582715676E-20</v>
      </c>
      <c r="N446" s="9">
        <f t="shared" si="411"/>
        <v>1.8566812582715676E-20</v>
      </c>
      <c r="O446">
        <f t="shared" si="412"/>
        <v>1.8566812582715676E-20</v>
      </c>
      <c r="Q446">
        <f t="shared" si="366"/>
        <v>45.641553344950722</v>
      </c>
      <c r="R446">
        <f t="shared" si="367"/>
        <v>-710542.73576010019</v>
      </c>
      <c r="S446">
        <f t="shared" si="389"/>
        <v>-45.432911235607556</v>
      </c>
      <c r="T446" s="9" t="e">
        <f t="shared" si="368"/>
        <v>#N/A</v>
      </c>
      <c r="U446">
        <f t="shared" si="390"/>
        <v>-1.0000000000000001E+300</v>
      </c>
      <c r="V446">
        <f t="shared" si="391"/>
        <v>0</v>
      </c>
      <c r="W446">
        <f t="shared" si="392"/>
        <v>0</v>
      </c>
      <c r="X446">
        <f t="shared" si="369"/>
        <v>1.8566812582715677</v>
      </c>
      <c r="Y446">
        <f t="shared" si="370"/>
        <v>7.8539816339744828</v>
      </c>
      <c r="Z446">
        <f t="shared" si="371"/>
        <v>-1.8566812582715677</v>
      </c>
      <c r="AA446">
        <f t="shared" si="393"/>
        <v>0.54574683938730817</v>
      </c>
      <c r="AB446">
        <f t="shared" si="372"/>
        <v>8.3997284733617903</v>
      </c>
      <c r="AC446">
        <f t="shared" si="394"/>
        <v>0.16720791898390641</v>
      </c>
      <c r="AD446">
        <f t="shared" si="373"/>
        <v>4.1434190359265453E-2</v>
      </c>
      <c r="AE446" s="9">
        <f t="shared" si="395"/>
        <v>8.6083705827049624</v>
      </c>
      <c r="AF446">
        <f t="shared" si="396"/>
        <v>0</v>
      </c>
      <c r="AH446">
        <f t="shared" si="374"/>
        <v>7.8539816339744828</v>
      </c>
      <c r="AI446">
        <f t="shared" si="375"/>
        <v>0.54574683938730817</v>
      </c>
      <c r="AJ446">
        <f t="shared" si="376"/>
        <v>0.1672079189839053</v>
      </c>
      <c r="AK446">
        <f t="shared" si="377"/>
        <v>4.1434190359265453E-2</v>
      </c>
      <c r="AL446" s="9">
        <f t="shared" si="397"/>
        <v>8.6083705827049606</v>
      </c>
      <c r="AM446" t="e">
        <f t="shared" si="378"/>
        <v>#N/A</v>
      </c>
      <c r="AN446" t="e">
        <f t="shared" si="398"/>
        <v>#N/A</v>
      </c>
      <c r="AO446">
        <f t="shared" si="379"/>
        <v>0</v>
      </c>
      <c r="AP446">
        <f t="shared" si="380"/>
        <v>0</v>
      </c>
      <c r="AQ446">
        <f t="shared" si="381"/>
        <v>-1.1102230246251565E-15</v>
      </c>
      <c r="AR446">
        <f t="shared" si="399"/>
        <v>0</v>
      </c>
      <c r="AS446">
        <f t="shared" si="382"/>
        <v>0</v>
      </c>
      <c r="AT446">
        <f t="shared" si="400"/>
        <v>0</v>
      </c>
      <c r="AU446">
        <f t="shared" si="401"/>
        <v>0</v>
      </c>
      <c r="AV446">
        <f t="shared" si="383"/>
        <v>1.8566812582715676E-20</v>
      </c>
      <c r="AW446" t="b">
        <f t="shared" si="402"/>
        <v>1</v>
      </c>
      <c r="AX446">
        <f t="shared" si="384"/>
        <v>7.8539816339744828</v>
      </c>
      <c r="AY446">
        <f t="shared" si="385"/>
        <v>0.54574683938730795</v>
      </c>
      <c r="AZ446">
        <f t="shared" si="386"/>
        <v>0.16720791898390661</v>
      </c>
      <c r="BA446">
        <f t="shared" si="387"/>
        <v>4.1434190359265453E-2</v>
      </c>
      <c r="BB446">
        <f t="shared" si="388"/>
        <v>-1.2337005501361696E-20</v>
      </c>
      <c r="BD446" s="15">
        <f t="shared" si="403"/>
        <v>8.6083705827049624</v>
      </c>
      <c r="BE446" s="10">
        <f t="shared" si="404"/>
        <v>0</v>
      </c>
      <c r="BF446">
        <f t="shared" si="405"/>
        <v>0</v>
      </c>
      <c r="BG446">
        <f t="shared" si="406"/>
        <v>0</v>
      </c>
      <c r="BH446">
        <f t="shared" si="407"/>
        <v>0</v>
      </c>
      <c r="BI446">
        <f t="shared" si="408"/>
        <v>0</v>
      </c>
    </row>
    <row r="447" spans="1:61" x14ac:dyDescent="0.3">
      <c r="A447">
        <f t="shared" si="413"/>
        <v>0.41</v>
      </c>
      <c r="B447">
        <f t="shared" si="356"/>
        <v>1.288052987971815</v>
      </c>
      <c r="C447">
        <f t="shared" si="357"/>
        <v>1.8535396656179781</v>
      </c>
      <c r="D447">
        <f t="shared" si="358"/>
        <v>1.8535396656179781</v>
      </c>
      <c r="E447">
        <f t="shared" si="363"/>
        <v>0.96029368567694295</v>
      </c>
      <c r="F447">
        <f t="shared" si="364"/>
        <v>0.96029368567694307</v>
      </c>
      <c r="G447">
        <f t="shared" si="359"/>
        <v>1.288052987971815</v>
      </c>
      <c r="H447">
        <f t="shared" si="360"/>
        <v>0.96029368567694295</v>
      </c>
      <c r="I447">
        <f t="shared" si="361"/>
        <v>0.96029368567694307</v>
      </c>
      <c r="J447">
        <f t="shared" si="409"/>
        <v>6.6294278704832569E+19</v>
      </c>
      <c r="K447">
        <f t="shared" si="410"/>
        <v>6.6294278704832569E+19</v>
      </c>
      <c r="L447">
        <f t="shared" si="365"/>
        <v>1</v>
      </c>
      <c r="M447">
        <f t="shared" si="362"/>
        <v>1.853539665617978E-20</v>
      </c>
      <c r="N447" s="9">
        <f t="shared" si="411"/>
        <v>1.853539665617978E-20</v>
      </c>
      <c r="O447">
        <f t="shared" si="412"/>
        <v>1.853539665617978E-20</v>
      </c>
      <c r="Q447">
        <f t="shared" si="366"/>
        <v>45.640635273316335</v>
      </c>
      <c r="R447">
        <f t="shared" si="367"/>
        <v>-710542.73576010019</v>
      </c>
      <c r="S447">
        <f t="shared" si="389"/>
        <v>-45.434604716113888</v>
      </c>
      <c r="T447" s="9" t="e">
        <f t="shared" si="368"/>
        <v>#N/A</v>
      </c>
      <c r="U447">
        <f t="shared" si="390"/>
        <v>-1.0000000000000001E+300</v>
      </c>
      <c r="V447">
        <f t="shared" si="391"/>
        <v>0</v>
      </c>
      <c r="W447">
        <f t="shared" si="392"/>
        <v>0</v>
      </c>
      <c r="X447">
        <f t="shared" si="369"/>
        <v>1.8535396656179781</v>
      </c>
      <c r="Y447">
        <f t="shared" si="370"/>
        <v>7.8539816339744828</v>
      </c>
      <c r="Z447">
        <f t="shared" si="371"/>
        <v>-1.8535396656179781</v>
      </c>
      <c r="AA447">
        <f t="shared" si="393"/>
        <v>0.53850305287991895</v>
      </c>
      <c r="AB447">
        <f t="shared" si="372"/>
        <v>8.3924846868544023</v>
      </c>
      <c r="AC447">
        <f t="shared" si="394"/>
        <v>0.16551443847757352</v>
      </c>
      <c r="AD447">
        <f t="shared" si="373"/>
        <v>4.0516118724877308E-2</v>
      </c>
      <c r="AE447" s="9">
        <f t="shared" si="395"/>
        <v>8.5985152440568537</v>
      </c>
      <c r="AF447">
        <f t="shared" si="396"/>
        <v>0</v>
      </c>
      <c r="AH447">
        <f t="shared" si="374"/>
        <v>7.8539816339744828</v>
      </c>
      <c r="AI447">
        <f t="shared" si="375"/>
        <v>0.53850305287991918</v>
      </c>
      <c r="AJ447">
        <f t="shared" si="376"/>
        <v>0.16551443847757241</v>
      </c>
      <c r="AK447">
        <f t="shared" si="377"/>
        <v>4.0516118724877308E-2</v>
      </c>
      <c r="AL447" s="9">
        <f t="shared" si="397"/>
        <v>8.598515244056852</v>
      </c>
      <c r="AM447" t="e">
        <f t="shared" si="378"/>
        <v>#N/A</v>
      </c>
      <c r="AN447" t="e">
        <f t="shared" si="398"/>
        <v>#N/A</v>
      </c>
      <c r="AO447">
        <f t="shared" si="379"/>
        <v>0</v>
      </c>
      <c r="AP447">
        <f t="shared" si="380"/>
        <v>0</v>
      </c>
      <c r="AQ447">
        <f t="shared" si="381"/>
        <v>-1.1102230246251565E-15</v>
      </c>
      <c r="AR447">
        <f t="shared" si="399"/>
        <v>0</v>
      </c>
      <c r="AS447">
        <f t="shared" si="382"/>
        <v>0</v>
      </c>
      <c r="AT447">
        <f t="shared" si="400"/>
        <v>0</v>
      </c>
      <c r="AU447">
        <f t="shared" si="401"/>
        <v>0</v>
      </c>
      <c r="AV447">
        <f t="shared" si="383"/>
        <v>1.853539665617978E-20</v>
      </c>
      <c r="AW447" t="b">
        <f t="shared" si="402"/>
        <v>1</v>
      </c>
      <c r="AX447">
        <f t="shared" si="384"/>
        <v>7.8539816339744828</v>
      </c>
      <c r="AY447">
        <f t="shared" si="385"/>
        <v>0.53850305287991884</v>
      </c>
      <c r="AZ447">
        <f t="shared" si="386"/>
        <v>0.16551443847757352</v>
      </c>
      <c r="BA447">
        <f t="shared" si="387"/>
        <v>4.051611872487719E-2</v>
      </c>
      <c r="BB447">
        <f t="shared" si="388"/>
        <v>-1.2337005501361696E-20</v>
      </c>
      <c r="BD447" s="15">
        <f t="shared" si="403"/>
        <v>8.5985152440568537</v>
      </c>
      <c r="BE447" s="10">
        <f t="shared" si="404"/>
        <v>0</v>
      </c>
      <c r="BF447">
        <f t="shared" si="405"/>
        <v>0</v>
      </c>
      <c r="BG447">
        <f t="shared" si="406"/>
        <v>0</v>
      </c>
      <c r="BH447">
        <f t="shared" si="407"/>
        <v>0</v>
      </c>
      <c r="BI447">
        <f t="shared" si="408"/>
        <v>0</v>
      </c>
    </row>
    <row r="448" spans="1:61" x14ac:dyDescent="0.3">
      <c r="A448">
        <f t="shared" si="413"/>
        <v>0.41099999999999998</v>
      </c>
      <c r="B448">
        <f t="shared" si="356"/>
        <v>1.2911945806254048</v>
      </c>
      <c r="C448">
        <f t="shared" si="357"/>
        <v>1.8503980729643883</v>
      </c>
      <c r="D448">
        <f t="shared" si="358"/>
        <v>1.8503980729643883</v>
      </c>
      <c r="E448">
        <f t="shared" si="363"/>
        <v>0.96116542178885189</v>
      </c>
      <c r="F448">
        <f t="shared" si="364"/>
        <v>0.96116542178885189</v>
      </c>
      <c r="G448">
        <f t="shared" si="359"/>
        <v>1.2911945806254048</v>
      </c>
      <c r="H448">
        <f t="shared" si="360"/>
        <v>0.96116542178885189</v>
      </c>
      <c r="I448">
        <f t="shared" si="361"/>
        <v>0.96116542178885189</v>
      </c>
      <c r="J448">
        <f t="shared" si="409"/>
        <v>6.6234152616804557E+19</v>
      </c>
      <c r="K448">
        <f t="shared" si="410"/>
        <v>6.6234152616804557E+19</v>
      </c>
      <c r="L448">
        <f t="shared" si="365"/>
        <v>1</v>
      </c>
      <c r="M448">
        <f t="shared" si="362"/>
        <v>1.850398072964388E-20</v>
      </c>
      <c r="N448" s="9">
        <f t="shared" si="411"/>
        <v>1.850398072964388E-20</v>
      </c>
      <c r="O448">
        <f t="shared" si="412"/>
        <v>1.850398072964388E-20</v>
      </c>
      <c r="Q448">
        <f t="shared" si="366"/>
        <v>45.639727904360804</v>
      </c>
      <c r="R448">
        <f t="shared" si="367"/>
        <v>0</v>
      </c>
      <c r="S448">
        <f t="shared" si="389"/>
        <v>-45.436301069362067</v>
      </c>
      <c r="T448" s="9" t="e">
        <f t="shared" si="368"/>
        <v>#N/A</v>
      </c>
      <c r="U448">
        <f t="shared" si="390"/>
        <v>-1.0000000000000001E+300</v>
      </c>
      <c r="V448">
        <f t="shared" si="391"/>
        <v>0</v>
      </c>
      <c r="W448">
        <f t="shared" si="392"/>
        <v>0</v>
      </c>
      <c r="X448">
        <f t="shared" si="369"/>
        <v>1.8503980729643883</v>
      </c>
      <c r="Y448">
        <f t="shared" si="370"/>
        <v>7.8539816339744828</v>
      </c>
      <c r="Z448">
        <f t="shared" si="371"/>
        <v>-1.8503980729643883</v>
      </c>
      <c r="AA448">
        <f t="shared" si="393"/>
        <v>0.53129219868653155</v>
      </c>
      <c r="AB448">
        <f t="shared" si="372"/>
        <v>8.3852738326610137</v>
      </c>
      <c r="AC448">
        <f t="shared" si="394"/>
        <v>0.16381808522939509</v>
      </c>
      <c r="AD448">
        <f t="shared" si="373"/>
        <v>3.9608749769346044E-2</v>
      </c>
      <c r="AE448" s="9">
        <f t="shared" si="395"/>
        <v>8.5887006676597544</v>
      </c>
      <c r="AF448">
        <f t="shared" si="396"/>
        <v>0</v>
      </c>
      <c r="AH448">
        <f t="shared" si="374"/>
        <v>7.8539816339744828</v>
      </c>
      <c r="AI448">
        <f t="shared" si="375"/>
        <v>0.53129219868653155</v>
      </c>
      <c r="AJ448">
        <f t="shared" si="376"/>
        <v>0.16381808522939423</v>
      </c>
      <c r="AK448">
        <f t="shared" si="377"/>
        <v>3.9608749769346044E-2</v>
      </c>
      <c r="AL448" s="9">
        <f t="shared" si="397"/>
        <v>8.5887006676597544</v>
      </c>
      <c r="AM448" t="e">
        <f t="shared" si="378"/>
        <v>#N/A</v>
      </c>
      <c r="AN448" t="e">
        <f t="shared" si="398"/>
        <v>#N/A</v>
      </c>
      <c r="AO448">
        <f t="shared" si="379"/>
        <v>0</v>
      </c>
      <c r="AP448">
        <f t="shared" si="380"/>
        <v>0</v>
      </c>
      <c r="AQ448">
        <f t="shared" si="381"/>
        <v>-8.6042284408449632E-16</v>
      </c>
      <c r="AR448">
        <f t="shared" si="399"/>
        <v>0</v>
      </c>
      <c r="AS448">
        <f t="shared" si="382"/>
        <v>0</v>
      </c>
      <c r="AT448">
        <f t="shared" si="400"/>
        <v>0</v>
      </c>
      <c r="AU448">
        <f t="shared" si="401"/>
        <v>0</v>
      </c>
      <c r="AV448">
        <f t="shared" si="383"/>
        <v>1.8503980729643883E-20</v>
      </c>
      <c r="AW448" t="b">
        <f t="shared" si="402"/>
        <v>1</v>
      </c>
      <c r="AX448">
        <f t="shared" si="384"/>
        <v>7.8539816339744828</v>
      </c>
      <c r="AY448">
        <f t="shared" si="385"/>
        <v>0.53129219868653144</v>
      </c>
      <c r="AZ448">
        <f t="shared" si="386"/>
        <v>0.16381808522939509</v>
      </c>
      <c r="BA448">
        <f t="shared" si="387"/>
        <v>3.9608749769346044E-2</v>
      </c>
      <c r="BB448">
        <f t="shared" si="388"/>
        <v>-1.2337005501361696E-20</v>
      </c>
      <c r="BD448" s="15">
        <f t="shared" si="403"/>
        <v>8.5887006676597544</v>
      </c>
      <c r="BE448" s="10">
        <f t="shared" si="404"/>
        <v>0</v>
      </c>
      <c r="BF448">
        <f t="shared" si="405"/>
        <v>0</v>
      </c>
      <c r="BG448">
        <f t="shared" si="406"/>
        <v>0</v>
      </c>
      <c r="BH448">
        <f t="shared" si="407"/>
        <v>0</v>
      </c>
      <c r="BI448">
        <f t="shared" si="408"/>
        <v>0</v>
      </c>
    </row>
    <row r="449" spans="1:61" x14ac:dyDescent="0.3">
      <c r="A449">
        <f t="shared" si="413"/>
        <v>0.41199999999999998</v>
      </c>
      <c r="B449">
        <f t="shared" si="356"/>
        <v>1.2943361732789946</v>
      </c>
      <c r="C449">
        <f t="shared" si="357"/>
        <v>1.8472564803107985</v>
      </c>
      <c r="D449">
        <f t="shared" si="358"/>
        <v>1.8472564803107985</v>
      </c>
      <c r="E449">
        <f t="shared" si="363"/>
        <v>0.96202767158608582</v>
      </c>
      <c r="F449">
        <f t="shared" si="364"/>
        <v>0.96202767158608593</v>
      </c>
      <c r="G449">
        <f t="shared" si="359"/>
        <v>1.2943361732789946</v>
      </c>
      <c r="H449">
        <f t="shared" si="360"/>
        <v>0.96202767158608582</v>
      </c>
      <c r="I449">
        <f t="shared" si="361"/>
        <v>0.96202767158608593</v>
      </c>
      <c r="J449">
        <f t="shared" si="409"/>
        <v>6.6174788020181631E+19</v>
      </c>
      <c r="K449">
        <f t="shared" si="410"/>
        <v>6.6174788020181631E+19</v>
      </c>
      <c r="L449">
        <f t="shared" si="365"/>
        <v>1</v>
      </c>
      <c r="M449">
        <f t="shared" si="362"/>
        <v>1.8472564803107983E-20</v>
      </c>
      <c r="N449" s="9">
        <f t="shared" si="411"/>
        <v>1.8472564803107983E-20</v>
      </c>
      <c r="O449">
        <f t="shared" si="412"/>
        <v>1.8472564803107983E-20</v>
      </c>
      <c r="Q449">
        <f t="shared" si="366"/>
        <v>45.63883121867908</v>
      </c>
      <c r="R449">
        <f t="shared" si="367"/>
        <v>-710542.73576010019</v>
      </c>
      <c r="S449">
        <f t="shared" si="389"/>
        <v>-45.438000305115025</v>
      </c>
      <c r="T449" s="9" t="e">
        <f t="shared" si="368"/>
        <v>#N/A</v>
      </c>
      <c r="U449">
        <f t="shared" si="390"/>
        <v>-1.0000000000000001E+300</v>
      </c>
      <c r="V449">
        <f t="shared" si="391"/>
        <v>0</v>
      </c>
      <c r="W449">
        <f t="shared" si="392"/>
        <v>0</v>
      </c>
      <c r="X449">
        <f t="shared" si="369"/>
        <v>1.8472564803107985</v>
      </c>
      <c r="Y449">
        <f t="shared" si="370"/>
        <v>7.8539816339744828</v>
      </c>
      <c r="Z449">
        <f t="shared" si="371"/>
        <v>-1.8472564803107985</v>
      </c>
      <c r="AA449">
        <f t="shared" si="393"/>
        <v>0.52411406302530206</v>
      </c>
      <c r="AB449">
        <f t="shared" si="372"/>
        <v>8.3780956969997842</v>
      </c>
      <c r="AC449">
        <f t="shared" si="394"/>
        <v>0.16211884947643532</v>
      </c>
      <c r="AD449">
        <f t="shared" si="373"/>
        <v>3.8712064087624107E-2</v>
      </c>
      <c r="AE449" s="9">
        <f t="shared" si="395"/>
        <v>8.578926610563844</v>
      </c>
      <c r="AF449">
        <f t="shared" si="396"/>
        <v>0</v>
      </c>
      <c r="AH449">
        <f t="shared" si="374"/>
        <v>7.8539816339744828</v>
      </c>
      <c r="AI449">
        <f t="shared" si="375"/>
        <v>0.52411406302530217</v>
      </c>
      <c r="AJ449">
        <f t="shared" si="376"/>
        <v>0.1621188494764354</v>
      </c>
      <c r="AK449">
        <f t="shared" si="377"/>
        <v>3.8712064087624107E-2</v>
      </c>
      <c r="AL449" s="9">
        <f t="shared" si="397"/>
        <v>8.578926610563844</v>
      </c>
      <c r="AM449" t="e">
        <f t="shared" si="378"/>
        <v>#N/A</v>
      </c>
      <c r="AN449" t="e">
        <f t="shared" si="398"/>
        <v>#N/A</v>
      </c>
      <c r="AO449">
        <f t="shared" si="379"/>
        <v>0</v>
      </c>
      <c r="AP449">
        <f t="shared" si="380"/>
        <v>0</v>
      </c>
      <c r="AQ449">
        <f t="shared" si="381"/>
        <v>0</v>
      </c>
      <c r="AR449">
        <f t="shared" si="399"/>
        <v>0</v>
      </c>
      <c r="AS449">
        <f t="shared" si="382"/>
        <v>0</v>
      </c>
      <c r="AT449">
        <f t="shared" si="400"/>
        <v>0</v>
      </c>
      <c r="AU449">
        <f t="shared" si="401"/>
        <v>0</v>
      </c>
      <c r="AV449">
        <f t="shared" si="383"/>
        <v>1.8472564803107983E-20</v>
      </c>
      <c r="AW449" t="b">
        <f t="shared" si="402"/>
        <v>1</v>
      </c>
      <c r="AX449">
        <f t="shared" si="384"/>
        <v>7.8539816339744828</v>
      </c>
      <c r="AY449">
        <f t="shared" si="385"/>
        <v>0.52411406302530195</v>
      </c>
      <c r="AZ449">
        <f t="shared" si="386"/>
        <v>0.16211884947643532</v>
      </c>
      <c r="BA449">
        <f t="shared" si="387"/>
        <v>3.8712064087623989E-2</v>
      </c>
      <c r="BB449">
        <f t="shared" si="388"/>
        <v>-1.2337005501361696E-20</v>
      </c>
      <c r="BD449" s="15">
        <f t="shared" si="403"/>
        <v>8.578926610563844</v>
      </c>
      <c r="BE449" s="10">
        <f t="shared" si="404"/>
        <v>0</v>
      </c>
      <c r="BF449">
        <f t="shared" si="405"/>
        <v>0</v>
      </c>
      <c r="BG449">
        <f t="shared" si="406"/>
        <v>0</v>
      </c>
      <c r="BH449">
        <f t="shared" si="407"/>
        <v>0</v>
      </c>
      <c r="BI449">
        <f t="shared" si="408"/>
        <v>0</v>
      </c>
    </row>
    <row r="450" spans="1:61" x14ac:dyDescent="0.3">
      <c r="A450">
        <f t="shared" si="413"/>
        <v>0.41299999999999998</v>
      </c>
      <c r="B450">
        <f t="shared" si="356"/>
        <v>1.2974777659325845</v>
      </c>
      <c r="C450">
        <f t="shared" si="357"/>
        <v>1.8441148876572087</v>
      </c>
      <c r="D450">
        <f t="shared" si="358"/>
        <v>1.8441148876572087</v>
      </c>
      <c r="E450">
        <f t="shared" si="363"/>
        <v>0.96288042655858752</v>
      </c>
      <c r="F450">
        <f t="shared" si="364"/>
        <v>0.96288042655858763</v>
      </c>
      <c r="G450">
        <f t="shared" si="359"/>
        <v>1.2974777659325845</v>
      </c>
      <c r="H450">
        <f t="shared" si="360"/>
        <v>0.96288042655858752</v>
      </c>
      <c r="I450">
        <f t="shared" si="361"/>
        <v>0.96288042655858763</v>
      </c>
      <c r="J450">
        <f t="shared" si="409"/>
        <v>6.6116181698999943E+19</v>
      </c>
      <c r="K450">
        <f t="shared" si="410"/>
        <v>6.6116181698999943E+19</v>
      </c>
      <c r="L450" t="e">
        <f t="shared" si="365"/>
        <v>#NUM!</v>
      </c>
      <c r="M450">
        <f t="shared" si="362"/>
        <v>1.8441148876572087E-20</v>
      </c>
      <c r="N450" s="9" t="e">
        <f t="shared" si="411"/>
        <v>#NUM!</v>
      </c>
      <c r="O450" t="e">
        <f t="shared" si="412"/>
        <v>#NUM!</v>
      </c>
      <c r="Q450">
        <f t="shared" si="366"/>
        <v>45.637945197129163</v>
      </c>
      <c r="R450">
        <f t="shared" si="367"/>
        <v>0</v>
      </c>
      <c r="S450">
        <f t="shared" si="389"/>
        <v>-45.439702433185552</v>
      </c>
      <c r="T450" s="9" t="e">
        <f t="shared" si="368"/>
        <v>#N/A</v>
      </c>
      <c r="U450">
        <f t="shared" si="390"/>
        <v>-1.0000000000000001E+300</v>
      </c>
      <c r="V450">
        <f t="shared" si="391"/>
        <v>0</v>
      </c>
      <c r="W450">
        <f t="shared" si="392"/>
        <v>0</v>
      </c>
      <c r="X450">
        <f t="shared" si="369"/>
        <v>1.8441148876572087</v>
      </c>
      <c r="Y450">
        <f t="shared" si="370"/>
        <v>7.8539816339744828</v>
      </c>
      <c r="Z450">
        <f t="shared" si="371"/>
        <v>-1.8441148876572087</v>
      </c>
      <c r="AA450">
        <f t="shared" si="393"/>
        <v>0.51696843417372373</v>
      </c>
      <c r="AB450">
        <f t="shared" si="372"/>
        <v>8.3709500681482059</v>
      </c>
      <c r="AC450">
        <f t="shared" si="394"/>
        <v>0.16041672140590485</v>
      </c>
      <c r="AD450">
        <f t="shared" si="373"/>
        <v>3.7826042537701339E-2</v>
      </c>
      <c r="AE450" s="9">
        <f t="shared" si="395"/>
        <v>8.5691928320918134</v>
      </c>
      <c r="AF450">
        <f t="shared" si="396"/>
        <v>0</v>
      </c>
      <c r="AH450">
        <f t="shared" si="374"/>
        <v>7.8539816339744828</v>
      </c>
      <c r="AI450">
        <f t="shared" si="375"/>
        <v>0.51696843417372385</v>
      </c>
      <c r="AJ450">
        <f t="shared" si="376"/>
        <v>0.1604167214059089</v>
      </c>
      <c r="AK450">
        <f t="shared" si="377"/>
        <v>3.7826042537701339E-2</v>
      </c>
      <c r="AL450" s="9">
        <f t="shared" si="397"/>
        <v>8.5691928320918169</v>
      </c>
      <c r="AM450" t="e">
        <f t="shared" si="378"/>
        <v>#N/A</v>
      </c>
      <c r="AN450" t="e">
        <f t="shared" si="398"/>
        <v>#N/A</v>
      </c>
      <c r="AO450">
        <f t="shared" si="379"/>
        <v>0</v>
      </c>
      <c r="AP450">
        <f t="shared" si="380"/>
        <v>0</v>
      </c>
      <c r="AQ450">
        <f t="shared" si="381"/>
        <v>4.0523140398818214E-15</v>
      </c>
      <c r="AR450">
        <f t="shared" si="399"/>
        <v>0</v>
      </c>
      <c r="AS450">
        <f t="shared" si="382"/>
        <v>0</v>
      </c>
      <c r="AT450">
        <f t="shared" si="400"/>
        <v>0</v>
      </c>
      <c r="AU450">
        <f t="shared" si="401"/>
        <v>0</v>
      </c>
      <c r="AV450">
        <f t="shared" si="383"/>
        <v>1.8441148876572087E-20</v>
      </c>
      <c r="AW450" t="b">
        <f t="shared" si="402"/>
        <v>1</v>
      </c>
      <c r="AX450">
        <f t="shared" si="384"/>
        <v>7.8539816339744828</v>
      </c>
      <c r="AY450">
        <f t="shared" si="385"/>
        <v>0.51696843417372373</v>
      </c>
      <c r="AZ450">
        <f t="shared" si="386"/>
        <v>0.16041672140590485</v>
      </c>
      <c r="BA450">
        <f t="shared" si="387"/>
        <v>3.7826042537701221E-2</v>
      </c>
      <c r="BB450">
        <f t="shared" si="388"/>
        <v>-1.2337005501361696E-20</v>
      </c>
      <c r="BD450" s="15">
        <f t="shared" si="403"/>
        <v>8.5691928320918116</v>
      </c>
      <c r="BE450" s="10">
        <f t="shared" si="404"/>
        <v>0</v>
      </c>
      <c r="BF450">
        <f t="shared" si="405"/>
        <v>0</v>
      </c>
      <c r="BG450">
        <f t="shared" si="406"/>
        <v>0</v>
      </c>
      <c r="BH450">
        <f t="shared" si="407"/>
        <v>0</v>
      </c>
      <c r="BI450">
        <f t="shared" si="408"/>
        <v>0</v>
      </c>
    </row>
    <row r="451" spans="1:61" x14ac:dyDescent="0.3">
      <c r="A451">
        <f t="shared" si="413"/>
        <v>0.41399999999999998</v>
      </c>
      <c r="B451">
        <f t="shared" si="356"/>
        <v>1.3006193585861743</v>
      </c>
      <c r="C451">
        <f t="shared" si="357"/>
        <v>1.8409732950036188</v>
      </c>
      <c r="D451">
        <f t="shared" si="358"/>
        <v>1.8409732950036188</v>
      </c>
      <c r="E451">
        <f t="shared" si="363"/>
        <v>0.96372367829000971</v>
      </c>
      <c r="F451">
        <f t="shared" si="364"/>
        <v>0.96372367829000971</v>
      </c>
      <c r="G451">
        <f t="shared" si="359"/>
        <v>1.3006193585861743</v>
      </c>
      <c r="H451">
        <f t="shared" si="360"/>
        <v>0.96372367829000971</v>
      </c>
      <c r="I451">
        <f t="shared" si="361"/>
        <v>0.96372367829000971</v>
      </c>
      <c r="J451">
        <f t="shared" si="409"/>
        <v>6.6058330485059002E+19</v>
      </c>
      <c r="K451">
        <f t="shared" si="410"/>
        <v>6.6058330485059002E+19</v>
      </c>
      <c r="L451">
        <f t="shared" si="365"/>
        <v>1</v>
      </c>
      <c r="M451">
        <f t="shared" si="362"/>
        <v>1.8409732950036187E-20</v>
      </c>
      <c r="N451" s="9">
        <f t="shared" si="411"/>
        <v>1.8409732950036187E-20</v>
      </c>
      <c r="O451">
        <f t="shared" si="412"/>
        <v>1.8409732950036187E-20</v>
      </c>
      <c r="Q451">
        <f t="shared" si="366"/>
        <v>45.637069820830369</v>
      </c>
      <c r="R451">
        <f t="shared" si="367"/>
        <v>0</v>
      </c>
      <c r="S451">
        <f t="shared" si="389"/>
        <v>-45.44140746343664</v>
      </c>
      <c r="T451" s="9" t="e">
        <f t="shared" si="368"/>
        <v>#N/A</v>
      </c>
      <c r="U451">
        <f t="shared" si="390"/>
        <v>-1.0000000000000001E+300</v>
      </c>
      <c r="V451">
        <f t="shared" si="391"/>
        <v>0</v>
      </c>
      <c r="W451">
        <f t="shared" si="392"/>
        <v>0</v>
      </c>
      <c r="X451">
        <f t="shared" si="369"/>
        <v>1.8409732950036188</v>
      </c>
      <c r="Y451">
        <f t="shared" si="370"/>
        <v>7.8539816339744828</v>
      </c>
      <c r="Z451">
        <f t="shared" si="371"/>
        <v>-1.8409732950036188</v>
      </c>
      <c r="AA451">
        <f t="shared" si="393"/>
        <v>0.5098551024438871</v>
      </c>
      <c r="AB451">
        <f t="shared" si="372"/>
        <v>8.3638367364183708</v>
      </c>
      <c r="AC451">
        <f t="shared" si="394"/>
        <v>0.15871169115482101</v>
      </c>
      <c r="AD451">
        <f t="shared" si="373"/>
        <v>3.6950666238909573E-2</v>
      </c>
      <c r="AE451" s="9">
        <f t="shared" si="395"/>
        <v>8.5594990938121018</v>
      </c>
      <c r="AF451">
        <f t="shared" si="396"/>
        <v>0</v>
      </c>
      <c r="AH451">
        <f t="shared" si="374"/>
        <v>7.8539816339744828</v>
      </c>
      <c r="AI451">
        <f t="shared" si="375"/>
        <v>0.50985510244388721</v>
      </c>
      <c r="AJ451">
        <f t="shared" si="376"/>
        <v>0.15871169115482076</v>
      </c>
      <c r="AK451">
        <f t="shared" si="377"/>
        <v>3.6950666238909573E-2</v>
      </c>
      <c r="AL451" s="9">
        <f t="shared" si="397"/>
        <v>8.5594990938121018</v>
      </c>
      <c r="AM451" t="e">
        <f t="shared" si="378"/>
        <v>#N/A</v>
      </c>
      <c r="AN451" t="e">
        <f t="shared" si="398"/>
        <v>#N/A</v>
      </c>
      <c r="AO451">
        <f t="shared" si="379"/>
        <v>0</v>
      </c>
      <c r="AP451">
        <f t="shared" si="380"/>
        <v>0</v>
      </c>
      <c r="AQ451">
        <f t="shared" si="381"/>
        <v>-2.4980018054066022E-16</v>
      </c>
      <c r="AR451">
        <f t="shared" si="399"/>
        <v>0</v>
      </c>
      <c r="AS451">
        <f t="shared" si="382"/>
        <v>0</v>
      </c>
      <c r="AT451">
        <f t="shared" si="400"/>
        <v>0</v>
      </c>
      <c r="AU451">
        <f t="shared" si="401"/>
        <v>0</v>
      </c>
      <c r="AV451">
        <f t="shared" si="383"/>
        <v>1.8409732950036187E-20</v>
      </c>
      <c r="AW451" t="b">
        <f t="shared" si="402"/>
        <v>1</v>
      </c>
      <c r="AX451">
        <f t="shared" si="384"/>
        <v>7.8539816339744828</v>
      </c>
      <c r="AY451">
        <f t="shared" si="385"/>
        <v>0.50985510244388699</v>
      </c>
      <c r="AZ451">
        <f t="shared" si="386"/>
        <v>0.15871169115482101</v>
      </c>
      <c r="BA451">
        <f t="shared" si="387"/>
        <v>3.6950666238909573E-2</v>
      </c>
      <c r="BB451">
        <f t="shared" si="388"/>
        <v>-1.2337005501361696E-20</v>
      </c>
      <c r="BD451" s="15">
        <f t="shared" si="403"/>
        <v>8.5594990938121001</v>
      </c>
      <c r="BE451" s="10">
        <f t="shared" si="404"/>
        <v>0</v>
      </c>
      <c r="BF451">
        <f t="shared" si="405"/>
        <v>0</v>
      </c>
      <c r="BG451">
        <f t="shared" si="406"/>
        <v>0</v>
      </c>
      <c r="BH451">
        <f t="shared" si="407"/>
        <v>0</v>
      </c>
      <c r="BI451">
        <f t="shared" si="408"/>
        <v>0</v>
      </c>
    </row>
    <row r="452" spans="1:61" x14ac:dyDescent="0.3">
      <c r="A452">
        <f t="shared" si="413"/>
        <v>0.41499999999999998</v>
      </c>
      <c r="B452">
        <f t="shared" si="356"/>
        <v>1.3037609512397641</v>
      </c>
      <c r="C452">
        <f t="shared" si="357"/>
        <v>1.837831702350029</v>
      </c>
      <c r="D452">
        <f t="shared" si="358"/>
        <v>1.837831702350029</v>
      </c>
      <c r="E452">
        <f t="shared" si="363"/>
        <v>0.96455741845779808</v>
      </c>
      <c r="F452">
        <f t="shared" si="364"/>
        <v>0.96455741845779808</v>
      </c>
      <c r="G452">
        <f t="shared" si="359"/>
        <v>1.3037609512397641</v>
      </c>
      <c r="H452">
        <f t="shared" si="360"/>
        <v>0.96455741845779808</v>
      </c>
      <c r="I452">
        <f t="shared" si="361"/>
        <v>0.96455741845779808</v>
      </c>
      <c r="J452">
        <f t="shared" si="409"/>
        <v>6.6001231257487368E+19</v>
      </c>
      <c r="K452">
        <f t="shared" si="410"/>
        <v>6.6001231257487368E+19</v>
      </c>
      <c r="L452" t="e">
        <f t="shared" si="365"/>
        <v>#NUM!</v>
      </c>
      <c r="M452">
        <f t="shared" si="362"/>
        <v>1.8378317023500288E-20</v>
      </c>
      <c r="N452" s="9" t="e">
        <f t="shared" si="411"/>
        <v>#NUM!</v>
      </c>
      <c r="O452" t="e">
        <f t="shared" si="412"/>
        <v>#NUM!</v>
      </c>
      <c r="Q452">
        <f t="shared" si="366"/>
        <v>45.636205071161712</v>
      </c>
      <c r="R452">
        <f t="shared" si="367"/>
        <v>0</v>
      </c>
      <c r="S452">
        <f t="shared" si="389"/>
        <v>-45.443115405781796</v>
      </c>
      <c r="T452" s="9" t="e">
        <f t="shared" si="368"/>
        <v>#N/A</v>
      </c>
      <c r="U452">
        <f t="shared" si="390"/>
        <v>-1.0000000000000001E+300</v>
      </c>
      <c r="V452">
        <f t="shared" si="391"/>
        <v>0</v>
      </c>
      <c r="W452">
        <f t="shared" si="392"/>
        <v>0</v>
      </c>
      <c r="X452">
        <f t="shared" si="369"/>
        <v>1.837831702350029</v>
      </c>
      <c r="Y452">
        <f t="shared" si="370"/>
        <v>7.8539816339744828</v>
      </c>
      <c r="Z452">
        <f t="shared" si="371"/>
        <v>-1.837831702350029</v>
      </c>
      <c r="AA452">
        <f t="shared" si="393"/>
        <v>0.50277386015809655</v>
      </c>
      <c r="AB452">
        <f t="shared" si="372"/>
        <v>8.3567554941325799</v>
      </c>
      <c r="AC452">
        <f t="shared" si="394"/>
        <v>0.15700374880966469</v>
      </c>
      <c r="AD452">
        <f t="shared" si="373"/>
        <v>3.608591657025402E-2</v>
      </c>
      <c r="AE452" s="9">
        <f t="shared" si="395"/>
        <v>8.5498451595124987</v>
      </c>
      <c r="AF452">
        <f t="shared" si="396"/>
        <v>0</v>
      </c>
      <c r="AH452">
        <f t="shared" si="374"/>
        <v>7.8539816339744828</v>
      </c>
      <c r="AI452">
        <f t="shared" si="375"/>
        <v>0.50277386015809666</v>
      </c>
      <c r="AJ452">
        <f t="shared" si="376"/>
        <v>0.1570037488096645</v>
      </c>
      <c r="AK452">
        <f t="shared" si="377"/>
        <v>3.608591657025402E-2</v>
      </c>
      <c r="AL452" s="9">
        <f t="shared" si="397"/>
        <v>8.5498451595124987</v>
      </c>
      <c r="AM452" t="e">
        <f t="shared" si="378"/>
        <v>#N/A</v>
      </c>
      <c r="AN452" t="e">
        <f t="shared" si="398"/>
        <v>#N/A</v>
      </c>
      <c r="AO452">
        <f t="shared" si="379"/>
        <v>0</v>
      </c>
      <c r="AP452">
        <f t="shared" si="380"/>
        <v>0</v>
      </c>
      <c r="AQ452">
        <f t="shared" si="381"/>
        <v>0</v>
      </c>
      <c r="AR452">
        <f t="shared" si="399"/>
        <v>0</v>
      </c>
      <c r="AS452">
        <f t="shared" si="382"/>
        <v>0</v>
      </c>
      <c r="AT452">
        <f t="shared" si="400"/>
        <v>0</v>
      </c>
      <c r="AU452">
        <f t="shared" si="401"/>
        <v>0</v>
      </c>
      <c r="AV452">
        <f t="shared" si="383"/>
        <v>1.8378317023500288E-20</v>
      </c>
      <c r="AW452" t="b">
        <f t="shared" si="402"/>
        <v>1</v>
      </c>
      <c r="AX452">
        <f t="shared" si="384"/>
        <v>7.8539816339744828</v>
      </c>
      <c r="AY452">
        <f t="shared" si="385"/>
        <v>0.50277386015809644</v>
      </c>
      <c r="AZ452">
        <f t="shared" si="386"/>
        <v>0.15700374880966469</v>
      </c>
      <c r="BA452">
        <f t="shared" si="387"/>
        <v>3.608591657025402E-2</v>
      </c>
      <c r="BB452">
        <f t="shared" si="388"/>
        <v>-1.2337005501361696E-20</v>
      </c>
      <c r="BD452" s="15">
        <f t="shared" si="403"/>
        <v>8.5498451595124987</v>
      </c>
      <c r="BE452" s="10">
        <f t="shared" si="404"/>
        <v>0</v>
      </c>
      <c r="BF452">
        <f t="shared" si="405"/>
        <v>0</v>
      </c>
      <c r="BG452">
        <f t="shared" si="406"/>
        <v>0</v>
      </c>
      <c r="BH452">
        <f t="shared" si="407"/>
        <v>0</v>
      </c>
      <c r="BI452">
        <f t="shared" si="408"/>
        <v>0</v>
      </c>
    </row>
    <row r="453" spans="1:61" x14ac:dyDescent="0.3">
      <c r="A453">
        <f t="shared" si="413"/>
        <v>0.41599999999999998</v>
      </c>
      <c r="B453">
        <f t="shared" si="356"/>
        <v>1.3069025438933539</v>
      </c>
      <c r="C453">
        <f t="shared" si="357"/>
        <v>1.8346901096964392</v>
      </c>
      <c r="D453">
        <f t="shared" si="358"/>
        <v>1.8346901096964392</v>
      </c>
      <c r="E453">
        <f t="shared" si="363"/>
        <v>0.96538163883327388</v>
      </c>
      <c r="F453">
        <f t="shared" si="364"/>
        <v>0.96538163883327388</v>
      </c>
      <c r="G453">
        <f t="shared" si="359"/>
        <v>1.3069025438933539</v>
      </c>
      <c r="H453">
        <f t="shared" si="360"/>
        <v>0.96538163883327388</v>
      </c>
      <c r="I453">
        <f t="shared" si="361"/>
        <v>0.96538163883327388</v>
      </c>
      <c r="J453">
        <f t="shared" si="409"/>
        <v>6.5944880942315995E+19</v>
      </c>
      <c r="K453">
        <f t="shared" si="410"/>
        <v>6.5944880942315995E+19</v>
      </c>
      <c r="L453">
        <f t="shared" si="365"/>
        <v>1</v>
      </c>
      <c r="M453">
        <f t="shared" si="362"/>
        <v>1.8346901096964391E-20</v>
      </c>
      <c r="N453" s="9">
        <f t="shared" si="411"/>
        <v>1.8346901096964391E-20</v>
      </c>
      <c r="O453">
        <f t="shared" si="412"/>
        <v>1.8346901096964391E-20</v>
      </c>
      <c r="Q453">
        <f t="shared" si="366"/>
        <v>45.635350929760229</v>
      </c>
      <c r="R453">
        <f t="shared" si="367"/>
        <v>0</v>
      </c>
      <c r="S453">
        <f t="shared" si="389"/>
        <v>-45.444826270185423</v>
      </c>
      <c r="T453" s="9" t="e">
        <f t="shared" si="368"/>
        <v>#N/A</v>
      </c>
      <c r="U453">
        <f t="shared" si="390"/>
        <v>-1.0000000000000001E+300</v>
      </c>
      <c r="V453">
        <f t="shared" si="391"/>
        <v>0</v>
      </c>
      <c r="W453">
        <f t="shared" si="392"/>
        <v>0</v>
      </c>
      <c r="X453">
        <f t="shared" si="369"/>
        <v>1.8346901096964392</v>
      </c>
      <c r="Y453">
        <f t="shared" si="370"/>
        <v>7.8539816339744828</v>
      </c>
      <c r="Z453">
        <f t="shared" si="371"/>
        <v>-1.8346901096964392</v>
      </c>
      <c r="AA453">
        <f t="shared" si="393"/>
        <v>0.4957245016248395</v>
      </c>
      <c r="AB453">
        <f t="shared" si="372"/>
        <v>8.3497061355993232</v>
      </c>
      <c r="AC453">
        <f t="shared" si="394"/>
        <v>0.15529288440603525</v>
      </c>
      <c r="AD453">
        <f t="shared" si="373"/>
        <v>3.5231775168771226E-2</v>
      </c>
      <c r="AE453" s="9">
        <f t="shared" si="395"/>
        <v>8.5402307951741303</v>
      </c>
      <c r="AF453">
        <f t="shared" si="396"/>
        <v>0</v>
      </c>
      <c r="AH453">
        <f t="shared" si="374"/>
        <v>7.8539816339744828</v>
      </c>
      <c r="AI453">
        <f t="shared" si="375"/>
        <v>0.4957245016248395</v>
      </c>
      <c r="AJ453">
        <f t="shared" si="376"/>
        <v>0.1552928844060375</v>
      </c>
      <c r="AK453">
        <f t="shared" si="377"/>
        <v>3.5231775168771226E-2</v>
      </c>
      <c r="AL453" s="9">
        <f t="shared" si="397"/>
        <v>8.5402307951741321</v>
      </c>
      <c r="AM453" t="e">
        <f t="shared" si="378"/>
        <v>#N/A</v>
      </c>
      <c r="AN453" t="e">
        <f t="shared" si="398"/>
        <v>#N/A</v>
      </c>
      <c r="AO453">
        <f t="shared" si="379"/>
        <v>0</v>
      </c>
      <c r="AP453">
        <f t="shared" si="380"/>
        <v>0</v>
      </c>
      <c r="AQ453">
        <f t="shared" si="381"/>
        <v>2.248201624865942E-15</v>
      </c>
      <c r="AR453">
        <f t="shared" si="399"/>
        <v>0</v>
      </c>
      <c r="AS453">
        <f t="shared" si="382"/>
        <v>0</v>
      </c>
      <c r="AT453">
        <f t="shared" si="400"/>
        <v>0</v>
      </c>
      <c r="AU453">
        <f t="shared" si="401"/>
        <v>0</v>
      </c>
      <c r="AV453">
        <f t="shared" si="383"/>
        <v>1.8346901096964391E-20</v>
      </c>
      <c r="AW453" t="b">
        <f t="shared" si="402"/>
        <v>1</v>
      </c>
      <c r="AX453">
        <f t="shared" si="384"/>
        <v>7.8539816339744828</v>
      </c>
      <c r="AY453">
        <f t="shared" si="385"/>
        <v>0.49572450162483928</v>
      </c>
      <c r="AZ453">
        <f t="shared" si="386"/>
        <v>0.15529288440603545</v>
      </c>
      <c r="BA453">
        <f t="shared" si="387"/>
        <v>3.5231775168771226E-2</v>
      </c>
      <c r="BB453">
        <f t="shared" si="388"/>
        <v>-1.2337005501361696E-20</v>
      </c>
      <c r="BD453" s="15">
        <f t="shared" si="403"/>
        <v>8.5402307951741285</v>
      </c>
      <c r="BE453" s="10">
        <f t="shared" si="404"/>
        <v>0</v>
      </c>
      <c r="BF453">
        <f t="shared" si="405"/>
        <v>0</v>
      </c>
      <c r="BG453">
        <f t="shared" si="406"/>
        <v>0</v>
      </c>
      <c r="BH453">
        <f t="shared" si="407"/>
        <v>0</v>
      </c>
      <c r="BI453">
        <f t="shared" si="408"/>
        <v>0</v>
      </c>
    </row>
    <row r="454" spans="1:61" x14ac:dyDescent="0.3">
      <c r="A454">
        <f t="shared" si="413"/>
        <v>0.41699999999999998</v>
      </c>
      <c r="B454">
        <f t="shared" si="356"/>
        <v>1.3100441365469437</v>
      </c>
      <c r="C454">
        <f t="shared" si="357"/>
        <v>1.8315485170428494</v>
      </c>
      <c r="D454">
        <f t="shared" si="358"/>
        <v>1.8315485170428494</v>
      </c>
      <c r="E454">
        <f t="shared" si="363"/>
        <v>0.96619633128171467</v>
      </c>
      <c r="F454">
        <f t="shared" si="364"/>
        <v>0.96619633128171478</v>
      </c>
      <c r="G454">
        <f t="shared" si="359"/>
        <v>1.3100441365469437</v>
      </c>
      <c r="H454">
        <f t="shared" si="360"/>
        <v>0.96619633128171467</v>
      </c>
      <c r="I454">
        <f t="shared" si="361"/>
        <v>0.96619633128171478</v>
      </c>
      <c r="J454">
        <f t="shared" si="409"/>
        <v>6.5889276512059294E+19</v>
      </c>
      <c r="K454">
        <f t="shared" si="410"/>
        <v>6.5889276512059294E+19</v>
      </c>
      <c r="L454">
        <f t="shared" si="365"/>
        <v>1</v>
      </c>
      <c r="M454">
        <f t="shared" si="362"/>
        <v>1.8315485170428494E-20</v>
      </c>
      <c r="N454" s="9">
        <f t="shared" si="411"/>
        <v>1.8315485170428494E-20</v>
      </c>
      <c r="O454">
        <f t="shared" si="412"/>
        <v>1.8315485170428494E-20</v>
      </c>
      <c r="Q454">
        <f t="shared" si="366"/>
        <v>45.634507378519373</v>
      </c>
      <c r="R454">
        <f t="shared" si="367"/>
        <v>0</v>
      </c>
      <c r="S454">
        <f t="shared" si="389"/>
        <v>-45.446540066663161</v>
      </c>
      <c r="T454" s="9" t="e">
        <f t="shared" si="368"/>
        <v>#N/A</v>
      </c>
      <c r="U454">
        <f t="shared" si="390"/>
        <v>-1.0000000000000001E+300</v>
      </c>
      <c r="V454">
        <f t="shared" si="391"/>
        <v>0</v>
      </c>
      <c r="W454">
        <f t="shared" si="392"/>
        <v>0</v>
      </c>
      <c r="X454">
        <f t="shared" si="369"/>
        <v>1.8315485170428494</v>
      </c>
      <c r="Y454">
        <f t="shared" si="370"/>
        <v>7.8539816339744828</v>
      </c>
      <c r="Z454">
        <f t="shared" si="371"/>
        <v>-1.8315485170428494</v>
      </c>
      <c r="AA454">
        <f t="shared" si="393"/>
        <v>0.48870682311509994</v>
      </c>
      <c r="AB454">
        <f t="shared" si="372"/>
        <v>8.342688457089583</v>
      </c>
      <c r="AC454">
        <f t="shared" si="394"/>
        <v>0.15357908792830058</v>
      </c>
      <c r="AD454">
        <f t="shared" si="373"/>
        <v>3.4388223927914921E-2</v>
      </c>
      <c r="AE454" s="9">
        <f t="shared" si="395"/>
        <v>8.5306557689457971</v>
      </c>
      <c r="AF454">
        <f t="shared" si="396"/>
        <v>0</v>
      </c>
      <c r="AH454">
        <f t="shared" si="374"/>
        <v>7.8539816339744828</v>
      </c>
      <c r="AI454">
        <f t="shared" si="375"/>
        <v>0.4887068231151</v>
      </c>
      <c r="AJ454">
        <f t="shared" si="376"/>
        <v>0.15357908792829988</v>
      </c>
      <c r="AK454">
        <f t="shared" si="377"/>
        <v>3.4388223927914921E-2</v>
      </c>
      <c r="AL454" s="9">
        <f t="shared" si="397"/>
        <v>8.5306557689457971</v>
      </c>
      <c r="AM454" t="e">
        <f t="shared" si="378"/>
        <v>#N/A</v>
      </c>
      <c r="AN454" t="e">
        <f t="shared" si="398"/>
        <v>#N/A</v>
      </c>
      <c r="AO454">
        <f t="shared" si="379"/>
        <v>0</v>
      </c>
      <c r="AP454">
        <f t="shared" si="380"/>
        <v>0</v>
      </c>
      <c r="AQ454">
        <f t="shared" si="381"/>
        <v>-6.9388939039072284E-16</v>
      </c>
      <c r="AR454">
        <f t="shared" si="399"/>
        <v>0</v>
      </c>
      <c r="AS454">
        <f t="shared" si="382"/>
        <v>0</v>
      </c>
      <c r="AT454">
        <f t="shared" si="400"/>
        <v>0</v>
      </c>
      <c r="AU454">
        <f t="shared" si="401"/>
        <v>0</v>
      </c>
      <c r="AV454">
        <f t="shared" si="383"/>
        <v>1.8315485170428491E-20</v>
      </c>
      <c r="AW454" t="b">
        <f t="shared" si="402"/>
        <v>1</v>
      </c>
      <c r="AX454">
        <f t="shared" si="384"/>
        <v>7.8539816339744828</v>
      </c>
      <c r="AY454">
        <f t="shared" si="385"/>
        <v>0.48870682311509978</v>
      </c>
      <c r="AZ454">
        <f t="shared" si="386"/>
        <v>0.15357908792830058</v>
      </c>
      <c r="BA454">
        <f t="shared" si="387"/>
        <v>3.4388223927914803E-2</v>
      </c>
      <c r="BB454">
        <f t="shared" si="388"/>
        <v>-1.2337005501361696E-20</v>
      </c>
      <c r="BD454" s="15">
        <f t="shared" si="403"/>
        <v>8.5306557689457971</v>
      </c>
      <c r="BE454" s="10">
        <f t="shared" si="404"/>
        <v>0</v>
      </c>
      <c r="BF454">
        <f t="shared" si="405"/>
        <v>0</v>
      </c>
      <c r="BG454">
        <f t="shared" si="406"/>
        <v>0</v>
      </c>
      <c r="BH454">
        <f t="shared" si="407"/>
        <v>0</v>
      </c>
      <c r="BI454">
        <f t="shared" si="408"/>
        <v>0</v>
      </c>
    </row>
    <row r="455" spans="1:61" x14ac:dyDescent="0.3">
      <c r="A455">
        <f t="shared" si="413"/>
        <v>0.41799999999999998</v>
      </c>
      <c r="B455">
        <f t="shared" si="356"/>
        <v>1.3131857292005336</v>
      </c>
      <c r="C455">
        <f t="shared" si="357"/>
        <v>1.8284069243892596</v>
      </c>
      <c r="D455">
        <f t="shared" si="358"/>
        <v>1.8284069243892596</v>
      </c>
      <c r="E455">
        <f t="shared" si="363"/>
        <v>0.967001487762435</v>
      </c>
      <c r="F455">
        <f t="shared" si="364"/>
        <v>0.96700148776243511</v>
      </c>
      <c r="G455">
        <f t="shared" si="359"/>
        <v>1.3131857292005336</v>
      </c>
      <c r="H455">
        <f t="shared" si="360"/>
        <v>0.967001487762435</v>
      </c>
      <c r="I455">
        <f t="shared" si="361"/>
        <v>0.96700148776243511</v>
      </c>
      <c r="J455">
        <f t="shared" si="409"/>
        <v>6.5834414985303613E+19</v>
      </c>
      <c r="K455">
        <f t="shared" si="410"/>
        <v>6.5834414985303613E+19</v>
      </c>
      <c r="L455">
        <f t="shared" si="365"/>
        <v>1</v>
      </c>
      <c r="M455">
        <f t="shared" si="362"/>
        <v>1.8284069243892595E-20</v>
      </c>
      <c r="N455" s="9">
        <f t="shared" si="411"/>
        <v>1.8284069243892595E-20</v>
      </c>
      <c r="O455">
        <f t="shared" si="412"/>
        <v>1.8284069243892595E-20</v>
      </c>
      <c r="Q455">
        <f t="shared" si="366"/>
        <v>45.633674399587427</v>
      </c>
      <c r="R455">
        <f t="shared" si="367"/>
        <v>0</v>
      </c>
      <c r="S455">
        <f t="shared" si="389"/>
        <v>-45.448256805282213</v>
      </c>
      <c r="T455" s="9" t="e">
        <f t="shared" si="368"/>
        <v>#N/A</v>
      </c>
      <c r="U455">
        <f t="shared" si="390"/>
        <v>-1.0000000000000001E+300</v>
      </c>
      <c r="V455">
        <f t="shared" si="391"/>
        <v>0</v>
      </c>
      <c r="W455">
        <f t="shared" si="392"/>
        <v>0</v>
      </c>
      <c r="X455">
        <f t="shared" si="369"/>
        <v>1.8284069243892596</v>
      </c>
      <c r="Y455">
        <f t="shared" si="370"/>
        <v>7.8539816339744828</v>
      </c>
      <c r="Z455">
        <f t="shared" si="371"/>
        <v>-1.8284069243892596</v>
      </c>
      <c r="AA455">
        <f t="shared" si="393"/>
        <v>0.48172062283901307</v>
      </c>
      <c r="AB455">
        <f t="shared" si="372"/>
        <v>8.3357022568134962</v>
      </c>
      <c r="AC455">
        <f t="shared" si="394"/>
        <v>0.15186234930924603</v>
      </c>
      <c r="AD455">
        <f t="shared" si="373"/>
        <v>3.3555244995967327E-2</v>
      </c>
      <c r="AE455" s="9">
        <f t="shared" si="395"/>
        <v>8.5211198511187103</v>
      </c>
      <c r="AF455">
        <f t="shared" si="396"/>
        <v>0</v>
      </c>
      <c r="AH455">
        <f t="shared" si="374"/>
        <v>7.8539816339744828</v>
      </c>
      <c r="AI455">
        <f t="shared" si="375"/>
        <v>0.48172062283901312</v>
      </c>
      <c r="AJ455">
        <f t="shared" si="376"/>
        <v>0.15186234930924769</v>
      </c>
      <c r="AK455">
        <f t="shared" si="377"/>
        <v>3.3555244995967327E-2</v>
      </c>
      <c r="AL455" s="9">
        <f t="shared" si="397"/>
        <v>8.5211198511187121</v>
      </c>
      <c r="AM455" t="e">
        <f t="shared" si="378"/>
        <v>#N/A</v>
      </c>
      <c r="AN455" t="e">
        <f t="shared" si="398"/>
        <v>#N/A</v>
      </c>
      <c r="AO455">
        <f t="shared" si="379"/>
        <v>0</v>
      </c>
      <c r="AP455">
        <f t="shared" si="380"/>
        <v>0</v>
      </c>
      <c r="AQ455">
        <f t="shared" si="381"/>
        <v>1.6653345369377348E-15</v>
      </c>
      <c r="AR455">
        <f t="shared" si="399"/>
        <v>0</v>
      </c>
      <c r="AS455">
        <f t="shared" si="382"/>
        <v>0</v>
      </c>
      <c r="AT455">
        <f t="shared" si="400"/>
        <v>0</v>
      </c>
      <c r="AU455">
        <f t="shared" si="401"/>
        <v>0</v>
      </c>
      <c r="AV455">
        <f t="shared" si="383"/>
        <v>1.8284069243892595E-20</v>
      </c>
      <c r="AW455" t="b">
        <f t="shared" si="402"/>
        <v>1</v>
      </c>
      <c r="AX455">
        <f t="shared" si="384"/>
        <v>7.8539816339744828</v>
      </c>
      <c r="AY455">
        <f t="shared" si="385"/>
        <v>0.4817206228390129</v>
      </c>
      <c r="AZ455">
        <f t="shared" si="386"/>
        <v>0.15186234930924619</v>
      </c>
      <c r="BA455">
        <f t="shared" si="387"/>
        <v>3.3555244995967209E-2</v>
      </c>
      <c r="BB455">
        <f t="shared" si="388"/>
        <v>-1.2337005501361696E-20</v>
      </c>
      <c r="BD455" s="15">
        <f t="shared" si="403"/>
        <v>8.5211198511187085</v>
      </c>
      <c r="BE455" s="10">
        <f t="shared" si="404"/>
        <v>0</v>
      </c>
      <c r="BF455">
        <f t="shared" si="405"/>
        <v>0</v>
      </c>
      <c r="BG455">
        <f t="shared" si="406"/>
        <v>0</v>
      </c>
      <c r="BH455">
        <f t="shared" si="407"/>
        <v>0</v>
      </c>
      <c r="BI455">
        <f t="shared" si="408"/>
        <v>0</v>
      </c>
    </row>
    <row r="456" spans="1:61" x14ac:dyDescent="0.3">
      <c r="A456">
        <f t="shared" si="413"/>
        <v>0.41899999999999998</v>
      </c>
      <c r="B456">
        <f t="shared" si="356"/>
        <v>1.3163273218541232</v>
      </c>
      <c r="C456">
        <f t="shared" si="357"/>
        <v>1.82526533173567</v>
      </c>
      <c r="D456">
        <f t="shared" si="358"/>
        <v>1.82526533173567</v>
      </c>
      <c r="E456">
        <f t="shared" si="363"/>
        <v>0.96779710032886546</v>
      </c>
      <c r="F456">
        <f t="shared" si="364"/>
        <v>0.96779710032886546</v>
      </c>
      <c r="G456">
        <f t="shared" si="359"/>
        <v>1.3163273218541232</v>
      </c>
      <c r="H456">
        <f t="shared" si="360"/>
        <v>0.96779710032886546</v>
      </c>
      <c r="I456">
        <f t="shared" si="361"/>
        <v>0.96779710032886546</v>
      </c>
      <c r="J456">
        <f t="shared" si="409"/>
        <v>6.5780293426303173E+19</v>
      </c>
      <c r="K456">
        <f t="shared" si="410"/>
        <v>6.5780293426303173E+19</v>
      </c>
      <c r="L456">
        <f t="shared" si="365"/>
        <v>1</v>
      </c>
      <c r="M456">
        <f t="shared" si="362"/>
        <v>1.8252653317356698E-20</v>
      </c>
      <c r="N456" s="9">
        <f t="shared" si="411"/>
        <v>1.8252653317356698E-20</v>
      </c>
      <c r="O456">
        <f t="shared" si="412"/>
        <v>1.8252653317356698E-20</v>
      </c>
      <c r="Q456">
        <f t="shared" si="366"/>
        <v>45.632851975365938</v>
      </c>
      <c r="R456">
        <f t="shared" si="367"/>
        <v>0</v>
      </c>
      <c r="S456">
        <f t="shared" si="389"/>
        <v>-45.449976496161739</v>
      </c>
      <c r="T456" s="9" t="e">
        <f t="shared" si="368"/>
        <v>#N/A</v>
      </c>
      <c r="U456">
        <f t="shared" si="390"/>
        <v>-1.0000000000000001E+300</v>
      </c>
      <c r="V456">
        <f t="shared" si="391"/>
        <v>0</v>
      </c>
      <c r="W456">
        <f t="shared" si="392"/>
        <v>0</v>
      </c>
      <c r="X456">
        <f t="shared" si="369"/>
        <v>1.82526533173567</v>
      </c>
      <c r="Y456">
        <f t="shared" si="370"/>
        <v>7.8539816339744828</v>
      </c>
      <c r="Z456">
        <f t="shared" si="371"/>
        <v>-1.82526533173567</v>
      </c>
      <c r="AA456">
        <f t="shared" si="393"/>
        <v>0.47476570092285303</v>
      </c>
      <c r="AB456">
        <f t="shared" si="372"/>
        <v>8.3287473348973364</v>
      </c>
      <c r="AC456">
        <f t="shared" si="394"/>
        <v>0.15014265842971961</v>
      </c>
      <c r="AD456">
        <f t="shared" si="373"/>
        <v>3.2732820774477533E-2</v>
      </c>
      <c r="AE456" s="9">
        <f t="shared" si="395"/>
        <v>8.5116228141015338</v>
      </c>
      <c r="AF456">
        <f t="shared" si="396"/>
        <v>0</v>
      </c>
      <c r="AH456">
        <f t="shared" si="374"/>
        <v>7.8539816339744828</v>
      </c>
      <c r="AI456">
        <f t="shared" si="375"/>
        <v>0.47476570092285325</v>
      </c>
      <c r="AJ456">
        <f t="shared" si="376"/>
        <v>0.15014265842972208</v>
      </c>
      <c r="AK456">
        <f t="shared" si="377"/>
        <v>3.2732820774477533E-2</v>
      </c>
      <c r="AL456" s="9">
        <f t="shared" si="397"/>
        <v>8.5116228141015355</v>
      </c>
      <c r="AM456" t="e">
        <f t="shared" si="378"/>
        <v>#N/A</v>
      </c>
      <c r="AN456" t="e">
        <f t="shared" si="398"/>
        <v>#N/A</v>
      </c>
      <c r="AO456">
        <f t="shared" si="379"/>
        <v>0</v>
      </c>
      <c r="AP456">
        <f t="shared" si="380"/>
        <v>0</v>
      </c>
      <c r="AQ456">
        <f t="shared" si="381"/>
        <v>2.4702462297909733E-15</v>
      </c>
      <c r="AR456">
        <f t="shared" si="399"/>
        <v>0</v>
      </c>
      <c r="AS456">
        <f t="shared" si="382"/>
        <v>0</v>
      </c>
      <c r="AT456">
        <f t="shared" si="400"/>
        <v>0</v>
      </c>
      <c r="AU456">
        <f t="shared" si="401"/>
        <v>0</v>
      </c>
      <c r="AV456">
        <f t="shared" si="383"/>
        <v>1.8252653317356698E-20</v>
      </c>
      <c r="AW456" t="b">
        <f t="shared" si="402"/>
        <v>1</v>
      </c>
      <c r="AX456">
        <f t="shared" si="384"/>
        <v>7.8539816339744828</v>
      </c>
      <c r="AY456">
        <f t="shared" si="385"/>
        <v>0.47476570092285286</v>
      </c>
      <c r="AZ456">
        <f t="shared" si="386"/>
        <v>0.15014265842971961</v>
      </c>
      <c r="BA456">
        <f t="shared" si="387"/>
        <v>3.2732820774477533E-2</v>
      </c>
      <c r="BB456">
        <f t="shared" si="388"/>
        <v>-1.2337005501361696E-20</v>
      </c>
      <c r="BD456" s="15">
        <f t="shared" si="403"/>
        <v>8.5116228141015338</v>
      </c>
      <c r="BE456" s="10">
        <f t="shared" si="404"/>
        <v>0</v>
      </c>
      <c r="BF456">
        <f t="shared" si="405"/>
        <v>0</v>
      </c>
      <c r="BG456">
        <f t="shared" si="406"/>
        <v>0</v>
      </c>
      <c r="BH456">
        <f t="shared" si="407"/>
        <v>0</v>
      </c>
      <c r="BI456">
        <f t="shared" si="408"/>
        <v>0</v>
      </c>
    </row>
    <row r="457" spans="1:61" x14ac:dyDescent="0.3">
      <c r="A457">
        <f t="shared" si="413"/>
        <v>0.42</v>
      </c>
      <c r="B457">
        <f t="shared" si="356"/>
        <v>1.319468914507713</v>
      </c>
      <c r="C457">
        <f t="shared" si="357"/>
        <v>1.8221237390820801</v>
      </c>
      <c r="D457">
        <f t="shared" si="358"/>
        <v>1.8221237390820801</v>
      </c>
      <c r="E457">
        <f t="shared" si="363"/>
        <v>0.96858316112863108</v>
      </c>
      <c r="F457">
        <f t="shared" si="364"/>
        <v>0.96858316112863108</v>
      </c>
      <c r="G457">
        <f t="shared" si="359"/>
        <v>1.319468914507713</v>
      </c>
      <c r="H457">
        <f t="shared" si="360"/>
        <v>0.96858316112863108</v>
      </c>
      <c r="I457">
        <f t="shared" si="361"/>
        <v>0.96858316112863108</v>
      </c>
      <c r="J457">
        <f t="shared" si="409"/>
        <v>6.5726908944583254E+19</v>
      </c>
      <c r="K457">
        <f t="shared" si="410"/>
        <v>6.5726908944583254E+19</v>
      </c>
      <c r="L457">
        <f t="shared" si="365"/>
        <v>1</v>
      </c>
      <c r="M457">
        <f t="shared" si="362"/>
        <v>1.8221237390820802E-20</v>
      </c>
      <c r="N457" s="9">
        <f t="shared" si="411"/>
        <v>1.8221237390820802E-20</v>
      </c>
      <c r="O457">
        <f t="shared" si="412"/>
        <v>1.8221237390820802E-20</v>
      </c>
      <c r="Q457">
        <f t="shared" si="366"/>
        <v>45.632040088508184</v>
      </c>
      <c r="R457">
        <f t="shared" si="367"/>
        <v>0</v>
      </c>
      <c r="S457">
        <f t="shared" si="389"/>
        <v>-45.451699149473185</v>
      </c>
      <c r="T457" s="9" t="e">
        <f t="shared" si="368"/>
        <v>#N/A</v>
      </c>
      <c r="U457">
        <f t="shared" si="390"/>
        <v>-1.0000000000000001E+300</v>
      </c>
      <c r="V457">
        <f t="shared" si="391"/>
        <v>0</v>
      </c>
      <c r="W457">
        <f t="shared" si="392"/>
        <v>0</v>
      </c>
      <c r="X457">
        <f t="shared" si="369"/>
        <v>1.8221237390820801</v>
      </c>
      <c r="Y457">
        <f t="shared" si="370"/>
        <v>7.8539816339744828</v>
      </c>
      <c r="Z457">
        <f t="shared" si="371"/>
        <v>-1.8221237390820801</v>
      </c>
      <c r="AA457">
        <f t="shared" si="393"/>
        <v>0.46784185938634859</v>
      </c>
      <c r="AB457">
        <f t="shared" si="372"/>
        <v>8.3218234933608315</v>
      </c>
      <c r="AC457">
        <f t="shared" si="394"/>
        <v>0.14842000511827341</v>
      </c>
      <c r="AD457">
        <f t="shared" si="373"/>
        <v>3.1920933916725437E-2</v>
      </c>
      <c r="AE457" s="9">
        <f t="shared" si="395"/>
        <v>8.5021644323958299</v>
      </c>
      <c r="AF457">
        <f t="shared" si="396"/>
        <v>0</v>
      </c>
      <c r="AH457">
        <f t="shared" si="374"/>
        <v>7.8539816339744828</v>
      </c>
      <c r="AI457">
        <f t="shared" si="375"/>
        <v>0.46784185938634876</v>
      </c>
      <c r="AJ457">
        <f t="shared" si="376"/>
        <v>0.14842000511827536</v>
      </c>
      <c r="AK457">
        <f t="shared" si="377"/>
        <v>3.1920933916725437E-2</v>
      </c>
      <c r="AL457" s="9">
        <f t="shared" si="397"/>
        <v>8.5021644323958316</v>
      </c>
      <c r="AM457" t="e">
        <f t="shared" si="378"/>
        <v>#N/A</v>
      </c>
      <c r="AN457" t="e">
        <f t="shared" si="398"/>
        <v>#N/A</v>
      </c>
      <c r="AO457">
        <f t="shared" si="379"/>
        <v>0</v>
      </c>
      <c r="AP457">
        <f t="shared" si="380"/>
        <v>0</v>
      </c>
      <c r="AQ457">
        <f t="shared" si="381"/>
        <v>1.9428902930940239E-15</v>
      </c>
      <c r="AR457">
        <f t="shared" si="399"/>
        <v>0</v>
      </c>
      <c r="AS457">
        <f t="shared" si="382"/>
        <v>0</v>
      </c>
      <c r="AT457">
        <f t="shared" si="400"/>
        <v>0</v>
      </c>
      <c r="AU457">
        <f t="shared" si="401"/>
        <v>0</v>
      </c>
      <c r="AV457">
        <f t="shared" si="383"/>
        <v>1.8221237390820802E-20</v>
      </c>
      <c r="AW457" t="b">
        <f t="shared" si="402"/>
        <v>1</v>
      </c>
      <c r="AX457">
        <f t="shared" si="384"/>
        <v>7.8539816339744828</v>
      </c>
      <c r="AY457">
        <f t="shared" si="385"/>
        <v>0.46784185938634848</v>
      </c>
      <c r="AZ457">
        <f t="shared" si="386"/>
        <v>0.14842000511827341</v>
      </c>
      <c r="BA457">
        <f t="shared" si="387"/>
        <v>3.1920933916725437E-2</v>
      </c>
      <c r="BB457">
        <f t="shared" si="388"/>
        <v>-1.2337005501361696E-20</v>
      </c>
      <c r="BD457" s="15">
        <f t="shared" si="403"/>
        <v>8.5021644323958299</v>
      </c>
      <c r="BE457" s="10">
        <f t="shared" si="404"/>
        <v>0</v>
      </c>
      <c r="BF457">
        <f t="shared" si="405"/>
        <v>0</v>
      </c>
      <c r="BG457">
        <f t="shared" si="406"/>
        <v>0</v>
      </c>
      <c r="BH457">
        <f t="shared" si="407"/>
        <v>0</v>
      </c>
      <c r="BI457">
        <f t="shared" si="408"/>
        <v>0</v>
      </c>
    </row>
    <row r="458" spans="1:61" x14ac:dyDescent="0.3">
      <c r="A458">
        <f t="shared" si="413"/>
        <v>0.42099999999999999</v>
      </c>
      <c r="B458">
        <f t="shared" si="356"/>
        <v>1.3226105071613028</v>
      </c>
      <c r="C458">
        <f t="shared" si="357"/>
        <v>1.8189821464284903</v>
      </c>
      <c r="D458">
        <f t="shared" si="358"/>
        <v>1.8189821464284903</v>
      </c>
      <c r="E458">
        <f t="shared" si="363"/>
        <v>0.96935966240362925</v>
      </c>
      <c r="F458">
        <f t="shared" si="364"/>
        <v>0.96935966240362925</v>
      </c>
      <c r="G458">
        <f t="shared" si="359"/>
        <v>1.3226105071613028</v>
      </c>
      <c r="H458">
        <f t="shared" si="360"/>
        <v>0.96935966240362925</v>
      </c>
      <c r="I458">
        <f t="shared" si="361"/>
        <v>0.96935966240362925</v>
      </c>
      <c r="J458">
        <f t="shared" si="409"/>
        <v>6.5674258694550561E+19</v>
      </c>
      <c r="K458">
        <f t="shared" si="410"/>
        <v>6.5674258694550561E+19</v>
      </c>
      <c r="L458">
        <f t="shared" si="365"/>
        <v>1</v>
      </c>
      <c r="M458">
        <f t="shared" si="362"/>
        <v>1.8189821464284902E-20</v>
      </c>
      <c r="N458" s="9">
        <f t="shared" si="411"/>
        <v>1.8189821464284902E-20</v>
      </c>
      <c r="O458">
        <f t="shared" si="412"/>
        <v>1.8189821464284902E-20</v>
      </c>
      <c r="Q458">
        <f t="shared" si="366"/>
        <v>45.631238721917668</v>
      </c>
      <c r="R458">
        <f t="shared" si="367"/>
        <v>0</v>
      </c>
      <c r="S458">
        <f t="shared" si="389"/>
        <v>-45.453424775440652</v>
      </c>
      <c r="T458" s="9" t="e">
        <f t="shared" si="368"/>
        <v>#N/A</v>
      </c>
      <c r="U458">
        <f t="shared" si="390"/>
        <v>-1.0000000000000001E+300</v>
      </c>
      <c r="V458">
        <f t="shared" si="391"/>
        <v>0</v>
      </c>
      <c r="W458">
        <f t="shared" si="392"/>
        <v>0</v>
      </c>
      <c r="X458">
        <f t="shared" si="369"/>
        <v>1.8189821464284903</v>
      </c>
      <c r="Y458">
        <f t="shared" si="370"/>
        <v>7.8539816339744828</v>
      </c>
      <c r="Z458">
        <f t="shared" si="371"/>
        <v>-1.8189821464284903</v>
      </c>
      <c r="AA458">
        <f t="shared" si="393"/>
        <v>0.46094890212032485</v>
      </c>
      <c r="AB458">
        <f t="shared" si="372"/>
        <v>8.314930536094808</v>
      </c>
      <c r="AC458">
        <f t="shared" si="394"/>
        <v>0.14669437915080363</v>
      </c>
      <c r="AD458">
        <f t="shared" si="373"/>
        <v>3.1119567326210792E-2</v>
      </c>
      <c r="AE458" s="9">
        <f t="shared" si="395"/>
        <v>8.4927444825718226</v>
      </c>
      <c r="AF458">
        <f t="shared" si="396"/>
        <v>0</v>
      </c>
      <c r="AH458">
        <f t="shared" si="374"/>
        <v>7.8539816339744828</v>
      </c>
      <c r="AI458">
        <f t="shared" si="375"/>
        <v>0.46094890212032485</v>
      </c>
      <c r="AJ458">
        <f t="shared" si="376"/>
        <v>0.14669437915080863</v>
      </c>
      <c r="AK458">
        <f t="shared" si="377"/>
        <v>3.1119567326210792E-2</v>
      </c>
      <c r="AL458" s="9">
        <f t="shared" si="397"/>
        <v>8.4927444825718279</v>
      </c>
      <c r="AM458" t="e">
        <f t="shared" si="378"/>
        <v>#N/A</v>
      </c>
      <c r="AN458" t="e">
        <f t="shared" si="398"/>
        <v>#N/A</v>
      </c>
      <c r="AO458">
        <f t="shared" si="379"/>
        <v>0</v>
      </c>
      <c r="AP458">
        <f t="shared" si="380"/>
        <v>0</v>
      </c>
      <c r="AQ458">
        <f t="shared" si="381"/>
        <v>4.9960036108132044E-15</v>
      </c>
      <c r="AR458">
        <f t="shared" si="399"/>
        <v>0</v>
      </c>
      <c r="AS458">
        <f t="shared" si="382"/>
        <v>0</v>
      </c>
      <c r="AT458">
        <f t="shared" si="400"/>
        <v>0</v>
      </c>
      <c r="AU458">
        <f t="shared" si="401"/>
        <v>0</v>
      </c>
      <c r="AV458">
        <f t="shared" si="383"/>
        <v>1.8189821464284902E-20</v>
      </c>
      <c r="AW458" t="b">
        <f t="shared" si="402"/>
        <v>1</v>
      </c>
      <c r="AX458">
        <f t="shared" si="384"/>
        <v>7.8539816339744828</v>
      </c>
      <c r="AY458">
        <f t="shared" si="385"/>
        <v>0.46094890212032474</v>
      </c>
      <c r="AZ458">
        <f t="shared" si="386"/>
        <v>0.14669437915080363</v>
      </c>
      <c r="BA458">
        <f t="shared" si="387"/>
        <v>3.1119567326210792E-2</v>
      </c>
      <c r="BB458">
        <f t="shared" si="388"/>
        <v>-1.2337005501361696E-20</v>
      </c>
      <c r="BD458" s="15">
        <f t="shared" si="403"/>
        <v>8.4927444825718226</v>
      </c>
      <c r="BE458" s="10">
        <f t="shared" si="404"/>
        <v>0</v>
      </c>
      <c r="BF458">
        <f t="shared" si="405"/>
        <v>0</v>
      </c>
      <c r="BG458">
        <f t="shared" si="406"/>
        <v>0</v>
      </c>
      <c r="BH458">
        <f t="shared" si="407"/>
        <v>0</v>
      </c>
      <c r="BI458">
        <f t="shared" si="408"/>
        <v>0</v>
      </c>
    </row>
    <row r="459" spans="1:61" x14ac:dyDescent="0.3">
      <c r="A459">
        <f t="shared" si="413"/>
        <v>0.42199999999999999</v>
      </c>
      <c r="B459">
        <f t="shared" si="356"/>
        <v>1.3257520998148926</v>
      </c>
      <c r="C459">
        <f t="shared" si="357"/>
        <v>1.8158405537749005</v>
      </c>
      <c r="D459">
        <f t="shared" si="358"/>
        <v>1.8158405537749005</v>
      </c>
      <c r="E459">
        <f t="shared" si="363"/>
        <v>0.9701265964901058</v>
      </c>
      <c r="F459">
        <f t="shared" si="364"/>
        <v>0.9701265964901058</v>
      </c>
      <c r="G459">
        <f t="shared" si="359"/>
        <v>1.3257520998148926</v>
      </c>
      <c r="H459">
        <f t="shared" si="360"/>
        <v>0.9701265964901058</v>
      </c>
      <c r="I459">
        <f t="shared" si="361"/>
        <v>0.9701265964901058</v>
      </c>
      <c r="J459">
        <f t="shared" si="409"/>
        <v>6.5622339875110748E+19</v>
      </c>
      <c r="K459">
        <f t="shared" si="410"/>
        <v>6.5622339875110748E+19</v>
      </c>
      <c r="L459" t="e">
        <f t="shared" si="365"/>
        <v>#NUM!</v>
      </c>
      <c r="M459">
        <f t="shared" si="362"/>
        <v>1.8158405537749002E-20</v>
      </c>
      <c r="N459" s="9" t="e">
        <f t="shared" si="411"/>
        <v>#NUM!</v>
      </c>
      <c r="O459" t="e">
        <f t="shared" si="412"/>
        <v>#NUM!</v>
      </c>
      <c r="Q459">
        <f t="shared" si="366"/>
        <v>45.630447858746628</v>
      </c>
      <c r="R459">
        <f t="shared" si="367"/>
        <v>0</v>
      </c>
      <c r="S459">
        <f t="shared" si="389"/>
        <v>-45.455153384341273</v>
      </c>
      <c r="T459" s="9" t="e">
        <f t="shared" si="368"/>
        <v>#N/A</v>
      </c>
      <c r="U459">
        <f t="shared" si="390"/>
        <v>-1.0000000000000001E+300</v>
      </c>
      <c r="V459">
        <f t="shared" si="391"/>
        <v>0</v>
      </c>
      <c r="W459">
        <f t="shared" si="392"/>
        <v>0</v>
      </c>
      <c r="X459">
        <f t="shared" si="369"/>
        <v>1.8158405537749005</v>
      </c>
      <c r="Y459">
        <f t="shared" si="370"/>
        <v>7.8539816339744828</v>
      </c>
      <c r="Z459">
        <f t="shared" si="371"/>
        <v>-1.8158405537749005</v>
      </c>
      <c r="AA459">
        <f t="shared" si="393"/>
        <v>0.45408663486465961</v>
      </c>
      <c r="AB459">
        <f t="shared" si="372"/>
        <v>8.3080682688391416</v>
      </c>
      <c r="AC459">
        <f t="shared" si="394"/>
        <v>0.14496577025018584</v>
      </c>
      <c r="AD459">
        <f t="shared" si="373"/>
        <v>3.0328704155168612E-2</v>
      </c>
      <c r="AE459" s="9">
        <f t="shared" si="395"/>
        <v>8.4833627432444967</v>
      </c>
      <c r="AF459">
        <f t="shared" si="396"/>
        <v>0</v>
      </c>
      <c r="AH459">
        <f t="shared" si="374"/>
        <v>7.8539816339744828</v>
      </c>
      <c r="AI459">
        <f t="shared" si="375"/>
        <v>0.45408663486465978</v>
      </c>
      <c r="AJ459">
        <f t="shared" si="376"/>
        <v>0.14496577025018809</v>
      </c>
      <c r="AK459">
        <f t="shared" si="377"/>
        <v>3.0328704155168612E-2</v>
      </c>
      <c r="AL459" s="9">
        <f t="shared" si="397"/>
        <v>8.4833627432445002</v>
      </c>
      <c r="AM459" t="e">
        <f t="shared" si="378"/>
        <v>#N/A</v>
      </c>
      <c r="AN459" t="e">
        <f t="shared" si="398"/>
        <v>#N/A</v>
      </c>
      <c r="AO459">
        <f t="shared" si="379"/>
        <v>0</v>
      </c>
      <c r="AP459">
        <f t="shared" si="380"/>
        <v>0</v>
      </c>
      <c r="AQ459">
        <f t="shared" si="381"/>
        <v>2.248201624865942E-15</v>
      </c>
      <c r="AR459">
        <f t="shared" si="399"/>
        <v>0</v>
      </c>
      <c r="AS459">
        <f t="shared" si="382"/>
        <v>0</v>
      </c>
      <c r="AT459">
        <f t="shared" si="400"/>
        <v>0</v>
      </c>
      <c r="AU459">
        <f t="shared" si="401"/>
        <v>0</v>
      </c>
      <c r="AV459">
        <f t="shared" si="383"/>
        <v>1.8158405537749005E-20</v>
      </c>
      <c r="AW459" t="b">
        <f t="shared" si="402"/>
        <v>1</v>
      </c>
      <c r="AX459">
        <f t="shared" si="384"/>
        <v>7.8539816339744828</v>
      </c>
      <c r="AY459">
        <f t="shared" si="385"/>
        <v>0.45408663486465956</v>
      </c>
      <c r="AZ459">
        <f t="shared" si="386"/>
        <v>0.14496577025018584</v>
      </c>
      <c r="BA459">
        <f t="shared" si="387"/>
        <v>3.0328704155168612E-2</v>
      </c>
      <c r="BB459">
        <f t="shared" si="388"/>
        <v>-1.2337005501361696E-20</v>
      </c>
      <c r="BD459" s="15">
        <f t="shared" si="403"/>
        <v>8.4833627432444967</v>
      </c>
      <c r="BE459" s="10">
        <f t="shared" si="404"/>
        <v>0</v>
      </c>
      <c r="BF459">
        <f t="shared" si="405"/>
        <v>0</v>
      </c>
      <c r="BG459">
        <f t="shared" si="406"/>
        <v>0</v>
      </c>
      <c r="BH459">
        <f t="shared" si="407"/>
        <v>0</v>
      </c>
      <c r="BI459">
        <f t="shared" si="408"/>
        <v>0</v>
      </c>
    </row>
    <row r="460" spans="1:61" x14ac:dyDescent="0.3">
      <c r="A460">
        <f t="shared" si="413"/>
        <v>0.42299999999999999</v>
      </c>
      <c r="B460">
        <f t="shared" si="356"/>
        <v>1.3288936924684824</v>
      </c>
      <c r="C460">
        <f t="shared" si="357"/>
        <v>1.8126989611213107</v>
      </c>
      <c r="D460">
        <f t="shared" si="358"/>
        <v>1.8126989611213107</v>
      </c>
      <c r="E460">
        <f t="shared" si="363"/>
        <v>0.97088395581873099</v>
      </c>
      <c r="F460">
        <f t="shared" si="364"/>
        <v>0.97088395581873099</v>
      </c>
      <c r="G460">
        <f t="shared" si="359"/>
        <v>1.3288936924684824</v>
      </c>
      <c r="H460">
        <f t="shared" si="360"/>
        <v>0.97088395581873099</v>
      </c>
      <c r="I460">
        <f t="shared" si="361"/>
        <v>0.97088395581873099</v>
      </c>
      <c r="J460">
        <f t="shared" si="409"/>
        <v>6.5571149729292837E+19</v>
      </c>
      <c r="K460">
        <f t="shared" si="410"/>
        <v>6.5571149729292837E+19</v>
      </c>
      <c r="L460">
        <f t="shared" si="365"/>
        <v>1</v>
      </c>
      <c r="M460">
        <f t="shared" si="362"/>
        <v>1.8126989611213106E-20</v>
      </c>
      <c r="N460" s="9">
        <f t="shared" si="411"/>
        <v>1.8126989611213106E-20</v>
      </c>
      <c r="O460">
        <f t="shared" si="412"/>
        <v>1.8126989611213106E-20</v>
      </c>
      <c r="Q460">
        <f t="shared" si="366"/>
        <v>45.629667482394566</v>
      </c>
      <c r="R460">
        <f t="shared" si="367"/>
        <v>0</v>
      </c>
      <c r="S460">
        <f t="shared" si="389"/>
        <v>-45.45688498650555</v>
      </c>
      <c r="T460" s="9" t="e">
        <f t="shared" si="368"/>
        <v>#N/A</v>
      </c>
      <c r="U460">
        <f t="shared" si="390"/>
        <v>-1.0000000000000001E+300</v>
      </c>
      <c r="V460">
        <f t="shared" si="391"/>
        <v>0</v>
      </c>
      <c r="W460">
        <f t="shared" si="392"/>
        <v>0</v>
      </c>
      <c r="X460">
        <f t="shared" si="369"/>
        <v>1.8126989611213107</v>
      </c>
      <c r="Y460">
        <f t="shared" si="370"/>
        <v>7.8539816339744828</v>
      </c>
      <c r="Z460">
        <f t="shared" si="371"/>
        <v>-1.8126989611213107</v>
      </c>
      <c r="AA460">
        <f t="shared" si="393"/>
        <v>0.44725486518655344</v>
      </c>
      <c r="AB460">
        <f t="shared" si="372"/>
        <v>8.3012364991610355</v>
      </c>
      <c r="AC460">
        <f t="shared" si="394"/>
        <v>0.14323416808590794</v>
      </c>
      <c r="AD460">
        <f t="shared" si="373"/>
        <v>2.9548327803108603E-2</v>
      </c>
      <c r="AE460" s="9">
        <f t="shared" si="395"/>
        <v>8.4740189950500522</v>
      </c>
      <c r="AF460">
        <f t="shared" si="396"/>
        <v>0</v>
      </c>
      <c r="AH460">
        <f t="shared" si="374"/>
        <v>7.8539816339744828</v>
      </c>
      <c r="AI460">
        <f t="shared" si="375"/>
        <v>0.44725486518655355</v>
      </c>
      <c r="AJ460">
        <f t="shared" si="376"/>
        <v>0.14323416808591105</v>
      </c>
      <c r="AK460">
        <f t="shared" si="377"/>
        <v>2.9548327803108603E-2</v>
      </c>
      <c r="AL460" s="9">
        <f t="shared" si="397"/>
        <v>8.4740189950500557</v>
      </c>
      <c r="AM460" t="e">
        <f t="shared" si="378"/>
        <v>#N/A</v>
      </c>
      <c r="AN460" t="e">
        <f t="shared" si="398"/>
        <v>#N/A</v>
      </c>
      <c r="AO460">
        <f t="shared" si="379"/>
        <v>0</v>
      </c>
      <c r="AP460">
        <f t="shared" si="380"/>
        <v>0</v>
      </c>
      <c r="AQ460">
        <f t="shared" si="381"/>
        <v>3.1086244689504383E-15</v>
      </c>
      <c r="AR460">
        <f t="shared" si="399"/>
        <v>0</v>
      </c>
      <c r="AS460">
        <f t="shared" si="382"/>
        <v>0</v>
      </c>
      <c r="AT460">
        <f t="shared" si="400"/>
        <v>0</v>
      </c>
      <c r="AU460">
        <f t="shared" si="401"/>
        <v>0</v>
      </c>
      <c r="AV460">
        <f t="shared" si="383"/>
        <v>1.8126989611213106E-20</v>
      </c>
      <c r="AW460" t="b">
        <f t="shared" si="402"/>
        <v>1</v>
      </c>
      <c r="AX460">
        <f t="shared" si="384"/>
        <v>7.8539816339744828</v>
      </c>
      <c r="AY460">
        <f t="shared" si="385"/>
        <v>0.44725486518655333</v>
      </c>
      <c r="AZ460">
        <f t="shared" si="386"/>
        <v>0.14323416808590794</v>
      </c>
      <c r="BA460">
        <f t="shared" si="387"/>
        <v>2.9548327803108603E-2</v>
      </c>
      <c r="BB460">
        <f t="shared" si="388"/>
        <v>-1.2337005501361696E-20</v>
      </c>
      <c r="BD460" s="15">
        <f t="shared" si="403"/>
        <v>8.4740189950500522</v>
      </c>
      <c r="BE460" s="10">
        <f t="shared" si="404"/>
        <v>0</v>
      </c>
      <c r="BF460">
        <f t="shared" si="405"/>
        <v>0</v>
      </c>
      <c r="BG460">
        <f t="shared" si="406"/>
        <v>0</v>
      </c>
      <c r="BH460">
        <f t="shared" si="407"/>
        <v>0</v>
      </c>
      <c r="BI460">
        <f t="shared" si="408"/>
        <v>0</v>
      </c>
    </row>
    <row r="461" spans="1:61" x14ac:dyDescent="0.3">
      <c r="A461">
        <f t="shared" si="413"/>
        <v>0.42399999999999999</v>
      </c>
      <c r="B461">
        <f t="shared" si="356"/>
        <v>1.3320352851220723</v>
      </c>
      <c r="C461">
        <f t="shared" si="357"/>
        <v>1.8095573684677209</v>
      </c>
      <c r="D461">
        <f t="shared" si="358"/>
        <v>1.8095573684677209</v>
      </c>
      <c r="E461">
        <f t="shared" si="363"/>
        <v>0.97163173291467386</v>
      </c>
      <c r="F461">
        <f t="shared" si="364"/>
        <v>0.97163173291467397</v>
      </c>
      <c r="G461">
        <f t="shared" si="359"/>
        <v>1.3320352851220723</v>
      </c>
      <c r="H461">
        <f t="shared" si="360"/>
        <v>0.97163173291467386</v>
      </c>
      <c r="I461">
        <f t="shared" si="361"/>
        <v>0.97163173291467397</v>
      </c>
      <c r="J461">
        <f t="shared" si="409"/>
        <v>6.5520685543880614E+19</v>
      </c>
      <c r="K461">
        <f t="shared" si="410"/>
        <v>6.5520685543880614E+19</v>
      </c>
      <c r="L461" t="e">
        <f t="shared" si="365"/>
        <v>#NUM!</v>
      </c>
      <c r="M461">
        <f t="shared" si="362"/>
        <v>1.8095573684677209E-20</v>
      </c>
      <c r="N461" s="9" t="e">
        <f t="shared" si="411"/>
        <v>#NUM!</v>
      </c>
      <c r="O461" t="e">
        <f t="shared" si="412"/>
        <v>#NUM!</v>
      </c>
      <c r="Q461">
        <f t="shared" si="366"/>
        <v>45.628897576506837</v>
      </c>
      <c r="R461">
        <f t="shared" si="367"/>
        <v>-710542.73576010019</v>
      </c>
      <c r="S461">
        <f t="shared" si="389"/>
        <v>-45.45861959231776</v>
      </c>
      <c r="T461" s="9" t="e">
        <f t="shared" si="368"/>
        <v>#N/A</v>
      </c>
      <c r="U461">
        <f t="shared" si="390"/>
        <v>-1.0000000000000001E+300</v>
      </c>
      <c r="V461">
        <f t="shared" si="391"/>
        <v>0</v>
      </c>
      <c r="W461">
        <f t="shared" si="392"/>
        <v>0</v>
      </c>
      <c r="X461">
        <f t="shared" si="369"/>
        <v>1.8095573684677209</v>
      </c>
      <c r="Y461">
        <f t="shared" si="370"/>
        <v>7.8539816339744828</v>
      </c>
      <c r="Z461">
        <f t="shared" si="371"/>
        <v>-1.8095573684677209</v>
      </c>
      <c r="AA461">
        <f t="shared" si="393"/>
        <v>0.44045340245910719</v>
      </c>
      <c r="AB461">
        <f t="shared" si="372"/>
        <v>8.2944350364335904</v>
      </c>
      <c r="AC461">
        <f t="shared" si="394"/>
        <v>0.14149956227369942</v>
      </c>
      <c r="AD461">
        <f t="shared" si="373"/>
        <v>2.8778421915380263E-2</v>
      </c>
      <c r="AE461" s="9">
        <f t="shared" si="395"/>
        <v>8.4647130206226695</v>
      </c>
      <c r="AF461">
        <f t="shared" si="396"/>
        <v>0</v>
      </c>
      <c r="AH461">
        <f t="shared" si="374"/>
        <v>7.8539816339744828</v>
      </c>
      <c r="AI461">
        <f t="shared" si="375"/>
        <v>0.44045340245910736</v>
      </c>
      <c r="AJ461">
        <f t="shared" si="376"/>
        <v>0.14149956227370097</v>
      </c>
      <c r="AK461">
        <f t="shared" si="377"/>
        <v>2.8778421915380263E-2</v>
      </c>
      <c r="AL461" s="9">
        <f t="shared" si="397"/>
        <v>8.4647130206226713</v>
      </c>
      <c r="AM461" t="e">
        <f t="shared" si="378"/>
        <v>#N/A</v>
      </c>
      <c r="AN461" t="e">
        <f t="shared" si="398"/>
        <v>#N/A</v>
      </c>
      <c r="AO461">
        <f t="shared" si="379"/>
        <v>0</v>
      </c>
      <c r="AP461">
        <f t="shared" si="380"/>
        <v>0</v>
      </c>
      <c r="AQ461">
        <f t="shared" si="381"/>
        <v>1.5543122344752192E-15</v>
      </c>
      <c r="AR461">
        <f t="shared" si="399"/>
        <v>0</v>
      </c>
      <c r="AS461">
        <f t="shared" si="382"/>
        <v>0</v>
      </c>
      <c r="AT461">
        <f t="shared" si="400"/>
        <v>0</v>
      </c>
      <c r="AU461">
        <f t="shared" si="401"/>
        <v>0</v>
      </c>
      <c r="AV461">
        <f t="shared" si="383"/>
        <v>1.8095573684677206E-20</v>
      </c>
      <c r="AW461" t="b">
        <f t="shared" si="402"/>
        <v>1</v>
      </c>
      <c r="AX461">
        <f t="shared" si="384"/>
        <v>7.8539816339744828</v>
      </c>
      <c r="AY461">
        <f t="shared" si="385"/>
        <v>0.44045340245910702</v>
      </c>
      <c r="AZ461">
        <f t="shared" si="386"/>
        <v>0.14149956227369942</v>
      </c>
      <c r="BA461">
        <f t="shared" si="387"/>
        <v>2.8778421915380149E-2</v>
      </c>
      <c r="BB461">
        <f t="shared" si="388"/>
        <v>-1.2337005501361696E-20</v>
      </c>
      <c r="BD461" s="15">
        <f t="shared" si="403"/>
        <v>8.4647130206226695</v>
      </c>
      <c r="BE461" s="10">
        <f t="shared" si="404"/>
        <v>0</v>
      </c>
      <c r="BF461">
        <f t="shared" si="405"/>
        <v>0</v>
      </c>
      <c r="BG461">
        <f t="shared" si="406"/>
        <v>0</v>
      </c>
      <c r="BH461">
        <f t="shared" si="407"/>
        <v>0</v>
      </c>
      <c r="BI461">
        <f t="shared" si="408"/>
        <v>0</v>
      </c>
    </row>
    <row r="462" spans="1:61" x14ac:dyDescent="0.3">
      <c r="A462">
        <f t="shared" si="413"/>
        <v>0.42499999999999999</v>
      </c>
      <c r="B462">
        <f t="shared" si="356"/>
        <v>1.3351768777756621</v>
      </c>
      <c r="C462">
        <f t="shared" si="357"/>
        <v>1.806415775814131</v>
      </c>
      <c r="D462">
        <f t="shared" si="358"/>
        <v>1.806415775814131</v>
      </c>
      <c r="E462">
        <f t="shared" si="363"/>
        <v>0.97236992039767656</v>
      </c>
      <c r="F462">
        <f t="shared" si="364"/>
        <v>0.97236992039767667</v>
      </c>
      <c r="G462">
        <f t="shared" si="359"/>
        <v>1.3351768777756621</v>
      </c>
      <c r="H462">
        <f t="shared" si="360"/>
        <v>0.97236992039767656</v>
      </c>
      <c r="I462">
        <f t="shared" si="361"/>
        <v>0.97236992039767667</v>
      </c>
      <c r="J462">
        <f t="shared" si="409"/>
        <v>6.5470944649050726E+19</v>
      </c>
      <c r="K462">
        <f t="shared" si="410"/>
        <v>6.5470944649050726E+19</v>
      </c>
      <c r="L462" t="e">
        <f t="shared" si="365"/>
        <v>#NUM!</v>
      </c>
      <c r="M462">
        <f t="shared" si="362"/>
        <v>1.806415775814131E-20</v>
      </c>
      <c r="N462" s="9" t="e">
        <f t="shared" si="411"/>
        <v>#NUM!</v>
      </c>
      <c r="O462" t="e">
        <f t="shared" si="412"/>
        <v>#NUM!</v>
      </c>
      <c r="Q462">
        <f t="shared" si="366"/>
        <v>45.628138124973219</v>
      </c>
      <c r="R462">
        <f t="shared" si="367"/>
        <v>0</v>
      </c>
      <c r="S462">
        <f t="shared" si="389"/>
        <v>-45.460357212216302</v>
      </c>
      <c r="T462" s="9" t="e">
        <f t="shared" si="368"/>
        <v>#N/A</v>
      </c>
      <c r="U462">
        <f t="shared" si="390"/>
        <v>-1.0000000000000001E+300</v>
      </c>
      <c r="V462">
        <f t="shared" si="391"/>
        <v>0</v>
      </c>
      <c r="W462">
        <f t="shared" si="392"/>
        <v>0</v>
      </c>
      <c r="X462">
        <f t="shared" si="369"/>
        <v>1.806415775814131</v>
      </c>
      <c r="Y462">
        <f t="shared" si="370"/>
        <v>7.8539816339744828</v>
      </c>
      <c r="Z462">
        <f t="shared" si="371"/>
        <v>-1.806415775814131</v>
      </c>
      <c r="AA462">
        <f t="shared" si="393"/>
        <v>0.43368205784020164</v>
      </c>
      <c r="AB462">
        <f t="shared" si="372"/>
        <v>8.287663691814684</v>
      </c>
      <c r="AC462">
        <f t="shared" si="394"/>
        <v>0.13976194237515863</v>
      </c>
      <c r="AD462">
        <f t="shared" si="373"/>
        <v>2.801897038176138E-2</v>
      </c>
      <c r="AE462" s="9">
        <f t="shared" si="395"/>
        <v>8.4554446045716052</v>
      </c>
      <c r="AF462">
        <f t="shared" si="396"/>
        <v>0</v>
      </c>
      <c r="AH462">
        <f t="shared" si="374"/>
        <v>7.8539816339744828</v>
      </c>
      <c r="AI462">
        <f t="shared" si="375"/>
        <v>0.43368205784020181</v>
      </c>
      <c r="AJ462">
        <f t="shared" si="376"/>
        <v>0.13976194237515926</v>
      </c>
      <c r="AK462">
        <f t="shared" si="377"/>
        <v>2.801897038176138E-2</v>
      </c>
      <c r="AL462" s="9">
        <f t="shared" si="397"/>
        <v>8.4554446045716052</v>
      </c>
      <c r="AM462" t="e">
        <f t="shared" si="378"/>
        <v>#N/A</v>
      </c>
      <c r="AN462" t="e">
        <f t="shared" si="398"/>
        <v>#N/A</v>
      </c>
      <c r="AO462">
        <f t="shared" si="379"/>
        <v>0</v>
      </c>
      <c r="AP462">
        <f t="shared" si="380"/>
        <v>0</v>
      </c>
      <c r="AQ462">
        <f t="shared" si="381"/>
        <v>6.3837823915946501E-16</v>
      </c>
      <c r="AR462">
        <f t="shared" si="399"/>
        <v>0</v>
      </c>
      <c r="AS462">
        <f t="shared" si="382"/>
        <v>0</v>
      </c>
      <c r="AT462">
        <f t="shared" si="400"/>
        <v>0</v>
      </c>
      <c r="AU462">
        <f t="shared" si="401"/>
        <v>0</v>
      </c>
      <c r="AV462">
        <f t="shared" si="383"/>
        <v>1.806415775814131E-20</v>
      </c>
      <c r="AW462" t="b">
        <f t="shared" si="402"/>
        <v>1</v>
      </c>
      <c r="AX462">
        <f t="shared" si="384"/>
        <v>7.8539816339744828</v>
      </c>
      <c r="AY462">
        <f t="shared" si="385"/>
        <v>0.43368205784020147</v>
      </c>
      <c r="AZ462">
        <f t="shared" si="386"/>
        <v>0.13976194237515882</v>
      </c>
      <c r="BA462">
        <f t="shared" si="387"/>
        <v>2.8018970381761269E-2</v>
      </c>
      <c r="BB462">
        <f t="shared" si="388"/>
        <v>-1.2337005501361696E-20</v>
      </c>
      <c r="BD462" s="15">
        <f t="shared" si="403"/>
        <v>8.4554446045716052</v>
      </c>
      <c r="BE462" s="10">
        <f t="shared" si="404"/>
        <v>0</v>
      </c>
      <c r="BF462">
        <f t="shared" si="405"/>
        <v>0</v>
      </c>
      <c r="BG462">
        <f t="shared" si="406"/>
        <v>0</v>
      </c>
      <c r="BH462">
        <f t="shared" si="407"/>
        <v>0</v>
      </c>
      <c r="BI462">
        <f t="shared" si="408"/>
        <v>0</v>
      </c>
    </row>
    <row r="463" spans="1:61" x14ac:dyDescent="0.3">
      <c r="A463">
        <f t="shared" si="413"/>
        <v>0.42599999999999999</v>
      </c>
      <c r="B463">
        <f t="shared" si="356"/>
        <v>1.3383184704292519</v>
      </c>
      <c r="C463">
        <f t="shared" si="357"/>
        <v>1.8032741831605412</v>
      </c>
      <c r="D463">
        <f t="shared" si="358"/>
        <v>1.8032741831605412</v>
      </c>
      <c r="E463">
        <f t="shared" si="363"/>
        <v>0.97309851098212652</v>
      </c>
      <c r="F463">
        <f t="shared" si="364"/>
        <v>0.97309851098212663</v>
      </c>
      <c r="G463">
        <f t="shared" si="359"/>
        <v>1.3383184704292519</v>
      </c>
      <c r="H463">
        <f t="shared" si="360"/>
        <v>0.97309851098212652</v>
      </c>
      <c r="I463">
        <f t="shared" si="361"/>
        <v>0.97309851098212663</v>
      </c>
      <c r="J463">
        <f t="shared" si="409"/>
        <v>6.5421924418017591E+19</v>
      </c>
      <c r="K463">
        <f t="shared" si="410"/>
        <v>6.5421924418017591E+19</v>
      </c>
      <c r="L463">
        <f t="shared" si="365"/>
        <v>1</v>
      </c>
      <c r="M463">
        <f t="shared" si="362"/>
        <v>1.803274183160541E-20</v>
      </c>
      <c r="N463" s="9">
        <f t="shared" si="411"/>
        <v>1.803274183160541E-20</v>
      </c>
      <c r="O463">
        <f t="shared" si="412"/>
        <v>1.803274183160541E-20</v>
      </c>
      <c r="Q463">
        <f t="shared" si="366"/>
        <v>45.627389111926533</v>
      </c>
      <c r="R463">
        <f t="shared" si="367"/>
        <v>0</v>
      </c>
      <c r="S463">
        <f t="shared" si="389"/>
        <v>-45.462097856694086</v>
      </c>
      <c r="T463" s="9" t="e">
        <f t="shared" si="368"/>
        <v>#N/A</v>
      </c>
      <c r="U463">
        <f t="shared" si="390"/>
        <v>-1.0000000000000001E+300</v>
      </c>
      <c r="V463">
        <f t="shared" si="391"/>
        <v>0</v>
      </c>
      <c r="W463">
        <f t="shared" si="392"/>
        <v>0</v>
      </c>
      <c r="X463">
        <f t="shared" si="369"/>
        <v>1.8032741831605412</v>
      </c>
      <c r="Y463">
        <f t="shared" si="370"/>
        <v>7.8539816339744828</v>
      </c>
      <c r="Z463">
        <f t="shared" si="371"/>
        <v>-1.8032741831605412</v>
      </c>
      <c r="AA463">
        <f t="shared" si="393"/>
        <v>0.42694064425167449</v>
      </c>
      <c r="AB463">
        <f t="shared" si="372"/>
        <v>8.2809222782261571</v>
      </c>
      <c r="AC463">
        <f t="shared" si="394"/>
        <v>0.13802129789737461</v>
      </c>
      <c r="AD463">
        <f t="shared" si="373"/>
        <v>2.7269957335072082E-2</v>
      </c>
      <c r="AE463" s="9">
        <f t="shared" si="395"/>
        <v>8.4462135334586037</v>
      </c>
      <c r="AF463">
        <f t="shared" si="396"/>
        <v>0</v>
      </c>
      <c r="AH463">
        <f t="shared" si="374"/>
        <v>7.8539816339744828</v>
      </c>
      <c r="AI463">
        <f t="shared" si="375"/>
        <v>0.42694064425167444</v>
      </c>
      <c r="AJ463">
        <f t="shared" si="376"/>
        <v>0.1380212978973745</v>
      </c>
      <c r="AK463">
        <f t="shared" si="377"/>
        <v>2.7269957335072082E-2</v>
      </c>
      <c r="AL463" s="9">
        <f t="shared" si="397"/>
        <v>8.4462135334586037</v>
      </c>
      <c r="AM463" t="e">
        <f t="shared" si="378"/>
        <v>#N/A</v>
      </c>
      <c r="AN463" t="e">
        <f t="shared" si="398"/>
        <v>#N/A</v>
      </c>
      <c r="AO463">
        <f t="shared" si="379"/>
        <v>0</v>
      </c>
      <c r="AP463">
        <f t="shared" si="380"/>
        <v>0</v>
      </c>
      <c r="AQ463">
        <f t="shared" si="381"/>
        <v>0</v>
      </c>
      <c r="AR463">
        <f t="shared" si="399"/>
        <v>0</v>
      </c>
      <c r="AS463">
        <f t="shared" si="382"/>
        <v>0</v>
      </c>
      <c r="AT463">
        <f t="shared" si="400"/>
        <v>0</v>
      </c>
      <c r="AU463">
        <f t="shared" si="401"/>
        <v>0</v>
      </c>
      <c r="AV463">
        <f t="shared" si="383"/>
        <v>1.803274183160541E-20</v>
      </c>
      <c r="AW463" t="b">
        <f t="shared" si="402"/>
        <v>1</v>
      </c>
      <c r="AX463">
        <f t="shared" si="384"/>
        <v>7.8539816339744828</v>
      </c>
      <c r="AY463">
        <f t="shared" si="385"/>
        <v>0.42694064425167433</v>
      </c>
      <c r="AZ463">
        <f t="shared" si="386"/>
        <v>0.13802129789737461</v>
      </c>
      <c r="BA463">
        <f t="shared" si="387"/>
        <v>2.7269957335071968E-2</v>
      </c>
      <c r="BB463">
        <f t="shared" si="388"/>
        <v>-1.2337005501361696E-20</v>
      </c>
      <c r="BD463" s="15">
        <f t="shared" si="403"/>
        <v>8.4462135334586037</v>
      </c>
      <c r="BE463" s="10">
        <f t="shared" si="404"/>
        <v>0</v>
      </c>
      <c r="BF463">
        <f t="shared" si="405"/>
        <v>0</v>
      </c>
      <c r="BG463">
        <f t="shared" si="406"/>
        <v>0</v>
      </c>
      <c r="BH463">
        <f t="shared" si="407"/>
        <v>0</v>
      </c>
      <c r="BI463">
        <f t="shared" si="408"/>
        <v>0</v>
      </c>
    </row>
    <row r="464" spans="1:61" x14ac:dyDescent="0.3">
      <c r="A464">
        <f t="shared" si="413"/>
        <v>0.42699999999999999</v>
      </c>
      <c r="B464">
        <f t="shared" si="356"/>
        <v>1.3414600630828417</v>
      </c>
      <c r="C464">
        <f t="shared" si="357"/>
        <v>1.8001325905069514</v>
      </c>
      <c r="D464">
        <f t="shared" si="358"/>
        <v>1.8001325905069514</v>
      </c>
      <c r="E464">
        <f t="shared" si="363"/>
        <v>0.97381749747712887</v>
      </c>
      <c r="F464">
        <f t="shared" si="364"/>
        <v>0.97381749747712887</v>
      </c>
      <c r="G464">
        <f t="shared" si="359"/>
        <v>1.3414600630828417</v>
      </c>
      <c r="H464">
        <f t="shared" si="360"/>
        <v>0.97381749747712887</v>
      </c>
      <c r="I464">
        <f t="shared" si="361"/>
        <v>0.97381749747712887</v>
      </c>
      <c r="J464">
        <f t="shared" si="409"/>
        <v>6.5373622266684842E+19</v>
      </c>
      <c r="K464">
        <f t="shared" si="410"/>
        <v>6.5373622266684842E+19</v>
      </c>
      <c r="L464" t="e">
        <f t="shared" si="365"/>
        <v>#NUM!</v>
      </c>
      <c r="M464">
        <f t="shared" si="362"/>
        <v>1.8001325905069513E-20</v>
      </c>
      <c r="N464" s="9" t="e">
        <f t="shared" si="411"/>
        <v>#NUM!</v>
      </c>
      <c r="O464" t="e">
        <f t="shared" si="412"/>
        <v>#NUM!</v>
      </c>
      <c r="Q464">
        <f t="shared" si="366"/>
        <v>45.626650521741269</v>
      </c>
      <c r="R464">
        <f t="shared" si="367"/>
        <v>-710542.73576010019</v>
      </c>
      <c r="S464">
        <f t="shared" si="389"/>
        <v>-45.463841536298908</v>
      </c>
      <c r="T464" s="9" t="e">
        <f t="shared" si="368"/>
        <v>#N/A</v>
      </c>
      <c r="U464">
        <f t="shared" si="390"/>
        <v>-1.0000000000000001E+300</v>
      </c>
      <c r="V464">
        <f t="shared" si="391"/>
        <v>0</v>
      </c>
      <c r="W464">
        <f t="shared" si="392"/>
        <v>0</v>
      </c>
      <c r="X464">
        <f t="shared" si="369"/>
        <v>1.8001325905069514</v>
      </c>
      <c r="Y464">
        <f t="shared" si="370"/>
        <v>7.8539816339744828</v>
      </c>
      <c r="Z464">
        <f t="shared" si="371"/>
        <v>-1.8001325905069514</v>
      </c>
      <c r="AA464">
        <f t="shared" si="393"/>
        <v>0.42022897635878953</v>
      </c>
      <c r="AB464">
        <f t="shared" si="372"/>
        <v>8.274210610333272</v>
      </c>
      <c r="AC464">
        <f t="shared" si="394"/>
        <v>0.13627761829254775</v>
      </c>
      <c r="AD464">
        <f t="shared" si="373"/>
        <v>2.653136714981166E-2</v>
      </c>
      <c r="AE464" s="9">
        <f t="shared" si="395"/>
        <v>8.4370195957756309</v>
      </c>
      <c r="AF464">
        <f t="shared" si="396"/>
        <v>0</v>
      </c>
      <c r="AH464">
        <f t="shared" si="374"/>
        <v>7.8539816339744828</v>
      </c>
      <c r="AI464">
        <f t="shared" si="375"/>
        <v>0.4202289763587897</v>
      </c>
      <c r="AJ464">
        <f t="shared" si="376"/>
        <v>0.13627761829255292</v>
      </c>
      <c r="AK464">
        <f t="shared" si="377"/>
        <v>2.653136714981166E-2</v>
      </c>
      <c r="AL464" s="9">
        <f t="shared" si="397"/>
        <v>8.4370195957756362</v>
      </c>
      <c r="AM464" t="e">
        <f t="shared" si="378"/>
        <v>#N/A</v>
      </c>
      <c r="AN464" t="e">
        <f t="shared" si="398"/>
        <v>#N/A</v>
      </c>
      <c r="AO464">
        <f t="shared" si="379"/>
        <v>0</v>
      </c>
      <c r="AP464">
        <f t="shared" si="380"/>
        <v>0</v>
      </c>
      <c r="AQ464">
        <f t="shared" si="381"/>
        <v>5.1625370645069779E-15</v>
      </c>
      <c r="AR464">
        <f t="shared" si="399"/>
        <v>0</v>
      </c>
      <c r="AS464">
        <f t="shared" si="382"/>
        <v>0</v>
      </c>
      <c r="AT464">
        <f t="shared" si="400"/>
        <v>0</v>
      </c>
      <c r="AU464">
        <f t="shared" si="401"/>
        <v>0</v>
      </c>
      <c r="AV464">
        <f t="shared" si="383"/>
        <v>1.8001325905069513E-20</v>
      </c>
      <c r="AW464" t="b">
        <f t="shared" si="402"/>
        <v>1</v>
      </c>
      <c r="AX464">
        <f t="shared" si="384"/>
        <v>7.8539816339744828</v>
      </c>
      <c r="AY464">
        <f t="shared" si="385"/>
        <v>0.42022897635878936</v>
      </c>
      <c r="AZ464">
        <f t="shared" si="386"/>
        <v>0.13627761829254795</v>
      </c>
      <c r="BA464">
        <f t="shared" si="387"/>
        <v>2.653136714981166E-2</v>
      </c>
      <c r="BB464">
        <f t="shared" si="388"/>
        <v>-1.2337005501361696E-20</v>
      </c>
      <c r="BD464" s="15">
        <f t="shared" si="403"/>
        <v>8.4370195957756309</v>
      </c>
      <c r="BE464" s="10">
        <f t="shared" si="404"/>
        <v>0</v>
      </c>
      <c r="BF464">
        <f t="shared" si="405"/>
        <v>0</v>
      </c>
      <c r="BG464">
        <f t="shared" si="406"/>
        <v>0</v>
      </c>
      <c r="BH464">
        <f t="shared" si="407"/>
        <v>0</v>
      </c>
      <c r="BI464">
        <f t="shared" si="408"/>
        <v>0</v>
      </c>
    </row>
    <row r="465" spans="1:61" x14ac:dyDescent="0.3">
      <c r="A465">
        <f t="shared" si="413"/>
        <v>0.42799999999999999</v>
      </c>
      <c r="B465">
        <f t="shared" si="356"/>
        <v>1.3446016557364315</v>
      </c>
      <c r="C465">
        <f t="shared" si="357"/>
        <v>1.7969909978533616</v>
      </c>
      <c r="D465">
        <f t="shared" si="358"/>
        <v>1.7969909978533616</v>
      </c>
      <c r="E465">
        <f t="shared" si="363"/>
        <v>0.97452687278657713</v>
      </c>
      <c r="F465">
        <f t="shared" si="364"/>
        <v>0.97452687278657724</v>
      </c>
      <c r="G465">
        <f t="shared" si="359"/>
        <v>1.3446016557364315</v>
      </c>
      <c r="H465">
        <f t="shared" si="360"/>
        <v>0.97452687278657713</v>
      </c>
      <c r="I465">
        <f t="shared" si="361"/>
        <v>0.97452687278657724</v>
      </c>
      <c r="J465">
        <f t="shared" si="409"/>
        <v>6.5326035653303337E+19</v>
      </c>
      <c r="K465">
        <f t="shared" si="410"/>
        <v>6.5326035653303337E+19</v>
      </c>
      <c r="L465">
        <f t="shared" si="365"/>
        <v>1</v>
      </c>
      <c r="M465">
        <f t="shared" si="362"/>
        <v>1.7969909978533617E-20</v>
      </c>
      <c r="N465" s="9">
        <f t="shared" si="411"/>
        <v>1.7969909978533617E-20</v>
      </c>
      <c r="O465">
        <f t="shared" si="412"/>
        <v>1.7969909978533617E-20</v>
      </c>
      <c r="Q465">
        <f t="shared" si="366"/>
        <v>45.625922339032279</v>
      </c>
      <c r="R465">
        <f t="shared" si="367"/>
        <v>0</v>
      </c>
      <c r="S465">
        <f t="shared" si="389"/>
        <v>-45.465588261633854</v>
      </c>
      <c r="T465" s="9" t="e">
        <f t="shared" si="368"/>
        <v>#N/A</v>
      </c>
      <c r="U465">
        <f t="shared" si="390"/>
        <v>-1.0000000000000001E+300</v>
      </c>
      <c r="V465">
        <f t="shared" si="391"/>
        <v>0</v>
      </c>
      <c r="W465">
        <f t="shared" si="392"/>
        <v>0</v>
      </c>
      <c r="X465">
        <f t="shared" si="369"/>
        <v>1.7969909978533616</v>
      </c>
      <c r="Y465">
        <f t="shared" si="370"/>
        <v>7.8539816339744828</v>
      </c>
      <c r="Z465">
        <f t="shared" si="371"/>
        <v>-1.7969909978533616</v>
      </c>
      <c r="AA465">
        <f t="shared" si="393"/>
        <v>0.41354687054999395</v>
      </c>
      <c r="AB465">
        <f t="shared" si="372"/>
        <v>8.267528504524476</v>
      </c>
      <c r="AC465">
        <f t="shared" si="394"/>
        <v>0.13453089295760606</v>
      </c>
      <c r="AD465">
        <f t="shared" si="373"/>
        <v>2.5803184440819853E-2</v>
      </c>
      <c r="AE465" s="9">
        <f t="shared" si="395"/>
        <v>8.4278625819229021</v>
      </c>
      <c r="AF465">
        <f t="shared" si="396"/>
        <v>0</v>
      </c>
      <c r="AH465">
        <f t="shared" si="374"/>
        <v>7.8539816339744828</v>
      </c>
      <c r="AI465">
        <f t="shared" si="375"/>
        <v>0.41354687054999412</v>
      </c>
      <c r="AJ465">
        <f t="shared" si="376"/>
        <v>0.13453089295760634</v>
      </c>
      <c r="AK465">
        <f t="shared" si="377"/>
        <v>2.5803184440819853E-2</v>
      </c>
      <c r="AL465" s="9">
        <f t="shared" si="397"/>
        <v>8.4278625819229038</v>
      </c>
      <c r="AM465" t="e">
        <f t="shared" si="378"/>
        <v>#N/A</v>
      </c>
      <c r="AN465" t="e">
        <f t="shared" si="398"/>
        <v>#N/A</v>
      </c>
      <c r="AO465">
        <f t="shared" si="379"/>
        <v>0</v>
      </c>
      <c r="AP465">
        <f t="shared" si="380"/>
        <v>0</v>
      </c>
      <c r="AQ465">
        <f t="shared" si="381"/>
        <v>2.7755575615628914E-16</v>
      </c>
      <c r="AR465">
        <f t="shared" si="399"/>
        <v>0</v>
      </c>
      <c r="AS465">
        <f t="shared" si="382"/>
        <v>0</v>
      </c>
      <c r="AT465">
        <f t="shared" si="400"/>
        <v>0</v>
      </c>
      <c r="AU465">
        <f t="shared" si="401"/>
        <v>0</v>
      </c>
      <c r="AV465">
        <f t="shared" si="383"/>
        <v>1.7969909978533614E-20</v>
      </c>
      <c r="AW465" t="b">
        <f t="shared" si="402"/>
        <v>1</v>
      </c>
      <c r="AX465">
        <f t="shared" si="384"/>
        <v>7.8539816339744828</v>
      </c>
      <c r="AY465">
        <f t="shared" si="385"/>
        <v>0.41354687054999373</v>
      </c>
      <c r="AZ465">
        <f t="shared" si="386"/>
        <v>0.13453089295760606</v>
      </c>
      <c r="BA465">
        <f t="shared" si="387"/>
        <v>2.5803184440819738E-2</v>
      </c>
      <c r="BB465">
        <f t="shared" si="388"/>
        <v>-1.2337005501361696E-20</v>
      </c>
      <c r="BD465" s="15">
        <f t="shared" si="403"/>
        <v>8.4278625819229021</v>
      </c>
      <c r="BE465" s="10">
        <f t="shared" si="404"/>
        <v>0</v>
      </c>
      <c r="BF465">
        <f t="shared" si="405"/>
        <v>0</v>
      </c>
      <c r="BG465">
        <f t="shared" si="406"/>
        <v>0</v>
      </c>
      <c r="BH465">
        <f t="shared" si="407"/>
        <v>0</v>
      </c>
      <c r="BI465">
        <f t="shared" si="408"/>
        <v>0</v>
      </c>
    </row>
    <row r="466" spans="1:61" x14ac:dyDescent="0.3">
      <c r="A466">
        <f t="shared" si="413"/>
        <v>0.42899999999999999</v>
      </c>
      <c r="B466">
        <f t="shared" si="356"/>
        <v>1.3477432483900211</v>
      </c>
      <c r="C466">
        <f t="shared" si="357"/>
        <v>1.793849405199772</v>
      </c>
      <c r="D466">
        <f t="shared" si="358"/>
        <v>1.793849405199772</v>
      </c>
      <c r="E466">
        <f t="shared" si="363"/>
        <v>0.97522662990922337</v>
      </c>
      <c r="F466">
        <f t="shared" si="364"/>
        <v>0.97522662990922337</v>
      </c>
      <c r="G466">
        <f t="shared" si="359"/>
        <v>1.3477432483900211</v>
      </c>
      <c r="H466">
        <f t="shared" si="360"/>
        <v>0.97522662990922337</v>
      </c>
      <c r="I466">
        <f t="shared" si="361"/>
        <v>0.97522662990922337</v>
      </c>
      <c r="J466">
        <f t="shared" si="409"/>
        <v>6.5279162078135583E+19</v>
      </c>
      <c r="K466">
        <f t="shared" si="410"/>
        <v>6.5279162078135583E+19</v>
      </c>
      <c r="L466">
        <f t="shared" si="365"/>
        <v>0</v>
      </c>
      <c r="M466">
        <f t="shared" si="362"/>
        <v>1.7938494051997717E-20</v>
      </c>
      <c r="N466" s="9">
        <f t="shared" si="411"/>
        <v>0</v>
      </c>
      <c r="O466">
        <f t="shared" si="412"/>
        <v>0</v>
      </c>
      <c r="Q466">
        <f t="shared" si="366"/>
        <v>45.625204548653421</v>
      </c>
      <c r="R466">
        <f t="shared" si="367"/>
        <v>0</v>
      </c>
      <c r="S466">
        <f t="shared" si="389"/>
        <v>-45.467338043357643</v>
      </c>
      <c r="T466" s="9" t="e">
        <f t="shared" si="368"/>
        <v>#N/A</v>
      </c>
      <c r="U466">
        <f t="shared" si="390"/>
        <v>-1.0000000000000001E+300</v>
      </c>
      <c r="V466">
        <f t="shared" si="391"/>
        <v>0</v>
      </c>
      <c r="W466">
        <f t="shared" si="392"/>
        <v>0</v>
      </c>
      <c r="X466">
        <f t="shared" si="369"/>
        <v>1.793849405199772</v>
      </c>
      <c r="Y466">
        <f t="shared" si="370"/>
        <v>7.8539816339744828</v>
      </c>
      <c r="Z466">
        <f t="shared" si="371"/>
        <v>-1.793849405199772</v>
      </c>
      <c r="AA466">
        <f t="shared" si="393"/>
        <v>0.40689414491695891</v>
      </c>
      <c r="AB466">
        <f t="shared" si="372"/>
        <v>8.2608757788914424</v>
      </c>
      <c r="AC466">
        <f t="shared" si="394"/>
        <v>0.13278111123381858</v>
      </c>
      <c r="AD466">
        <f t="shared" si="373"/>
        <v>2.5085394061961204E-2</v>
      </c>
      <c r="AE466" s="9">
        <f t="shared" si="395"/>
        <v>8.4187422841872213</v>
      </c>
      <c r="AF466">
        <f t="shared" si="396"/>
        <v>0</v>
      </c>
      <c r="AH466">
        <f t="shared" si="374"/>
        <v>7.8539816339744828</v>
      </c>
      <c r="AI466">
        <f t="shared" si="375"/>
        <v>0.40689414491695897</v>
      </c>
      <c r="AJ466">
        <f t="shared" si="376"/>
        <v>0.13278111123381819</v>
      </c>
      <c r="AK466">
        <f t="shared" si="377"/>
        <v>2.5085394061961204E-2</v>
      </c>
      <c r="AL466" s="9">
        <f t="shared" si="397"/>
        <v>8.4187422841872213</v>
      </c>
      <c r="AM466" t="e">
        <f t="shared" si="378"/>
        <v>#N/A</v>
      </c>
      <c r="AN466" t="e">
        <f t="shared" si="398"/>
        <v>#N/A</v>
      </c>
      <c r="AO466">
        <f t="shared" si="379"/>
        <v>0</v>
      </c>
      <c r="AP466">
        <f t="shared" si="380"/>
        <v>0</v>
      </c>
      <c r="AQ466">
        <f t="shared" si="381"/>
        <v>-3.8857805861880479E-16</v>
      </c>
      <c r="AR466">
        <f t="shared" si="399"/>
        <v>0</v>
      </c>
      <c r="AS466">
        <f t="shared" si="382"/>
        <v>0</v>
      </c>
      <c r="AT466">
        <f t="shared" si="400"/>
        <v>0</v>
      </c>
      <c r="AU466">
        <f t="shared" si="401"/>
        <v>0</v>
      </c>
      <c r="AV466">
        <f t="shared" si="383"/>
        <v>1.793849405199772E-20</v>
      </c>
      <c r="AW466" t="b">
        <f t="shared" si="402"/>
        <v>1</v>
      </c>
      <c r="AX466">
        <f t="shared" si="384"/>
        <v>7.8539816339744828</v>
      </c>
      <c r="AY466">
        <f t="shared" si="385"/>
        <v>0.40689414491695874</v>
      </c>
      <c r="AZ466">
        <f t="shared" si="386"/>
        <v>0.13278111123381858</v>
      </c>
      <c r="BA466">
        <f t="shared" si="387"/>
        <v>2.5085394061961204E-2</v>
      </c>
      <c r="BB466">
        <f t="shared" si="388"/>
        <v>-1.2337005501361696E-20</v>
      </c>
      <c r="BD466" s="15">
        <f t="shared" si="403"/>
        <v>8.4187422841872213</v>
      </c>
      <c r="BE466" s="10">
        <f t="shared" si="404"/>
        <v>0</v>
      </c>
      <c r="BF466">
        <f t="shared" si="405"/>
        <v>0</v>
      </c>
      <c r="BG466">
        <f t="shared" si="406"/>
        <v>0</v>
      </c>
      <c r="BH466">
        <f t="shared" si="407"/>
        <v>0</v>
      </c>
      <c r="BI466">
        <f t="shared" si="408"/>
        <v>0</v>
      </c>
    </row>
    <row r="467" spans="1:61" x14ac:dyDescent="0.3">
      <c r="A467">
        <f t="shared" si="413"/>
        <v>0.43</v>
      </c>
      <c r="B467">
        <f t="shared" si="356"/>
        <v>1.350884841043611</v>
      </c>
      <c r="C467">
        <f t="shared" si="357"/>
        <v>1.7907078125461822</v>
      </c>
      <c r="D467">
        <f t="shared" si="358"/>
        <v>1.7907078125461822</v>
      </c>
      <c r="E467">
        <f t="shared" si="363"/>
        <v>0.97591676193874732</v>
      </c>
      <c r="F467">
        <f t="shared" si="364"/>
        <v>0.97591676193874743</v>
      </c>
      <c r="G467">
        <f t="shared" si="359"/>
        <v>1.350884841043611</v>
      </c>
      <c r="H467">
        <f t="shared" si="360"/>
        <v>0.97591676193874732</v>
      </c>
      <c r="I467">
        <f t="shared" si="361"/>
        <v>0.97591676193874743</v>
      </c>
      <c r="J467">
        <f t="shared" si="409"/>
        <v>6.5232999083126555E+19</v>
      </c>
      <c r="K467">
        <f t="shared" si="410"/>
        <v>6.5232999083126555E+19</v>
      </c>
      <c r="L467">
        <f t="shared" si="365"/>
        <v>0</v>
      </c>
      <c r="M467">
        <f t="shared" si="362"/>
        <v>1.7907078125461821E-20</v>
      </c>
      <c r="N467" s="9">
        <f t="shared" si="411"/>
        <v>0</v>
      </c>
      <c r="O467">
        <f t="shared" si="412"/>
        <v>0</v>
      </c>
      <c r="Q467">
        <f t="shared" si="366"/>
        <v>45.624497135696295</v>
      </c>
      <c r="R467">
        <f t="shared" si="367"/>
        <v>0</v>
      </c>
      <c r="S467">
        <f t="shared" si="389"/>
        <v>-45.469090892185058</v>
      </c>
      <c r="T467" s="9" t="e">
        <f t="shared" si="368"/>
        <v>#N/A</v>
      </c>
      <c r="U467">
        <f t="shared" si="390"/>
        <v>-1.0000000000000001E+300</v>
      </c>
      <c r="V467">
        <f t="shared" si="391"/>
        <v>0</v>
      </c>
      <c r="W467">
        <f t="shared" si="392"/>
        <v>0</v>
      </c>
      <c r="X467">
        <f t="shared" si="369"/>
        <v>1.7907078125461822</v>
      </c>
      <c r="Y467">
        <f t="shared" si="370"/>
        <v>7.8539816339744828</v>
      </c>
      <c r="Z467">
        <f t="shared" si="371"/>
        <v>-1.7907078125461822</v>
      </c>
      <c r="AA467">
        <f t="shared" si="393"/>
        <v>0.4002706192348956</v>
      </c>
      <c r="AB467">
        <f t="shared" si="372"/>
        <v>8.2542522532093781</v>
      </c>
      <c r="AC467">
        <f t="shared" si="394"/>
        <v>0.13102826240640419</v>
      </c>
      <c r="AD467">
        <f t="shared" si="373"/>
        <v>2.4377981104832799E-2</v>
      </c>
      <c r="AE467" s="9">
        <f t="shared" si="395"/>
        <v>8.4096584967206152</v>
      </c>
      <c r="AF467">
        <f t="shared" si="396"/>
        <v>0</v>
      </c>
      <c r="AH467">
        <f t="shared" si="374"/>
        <v>7.8539816339744828</v>
      </c>
      <c r="AI467">
        <f t="shared" si="375"/>
        <v>0.40027061923489571</v>
      </c>
      <c r="AJ467">
        <f t="shared" si="376"/>
        <v>0.13102826240640297</v>
      </c>
      <c r="AK467">
        <f t="shared" si="377"/>
        <v>2.4377981104832799E-2</v>
      </c>
      <c r="AL467" s="9">
        <f t="shared" si="397"/>
        <v>8.4096584967206134</v>
      </c>
      <c r="AM467" t="e">
        <f t="shared" si="378"/>
        <v>#N/A</v>
      </c>
      <c r="AN467" t="e">
        <f t="shared" si="398"/>
        <v>#N/A</v>
      </c>
      <c r="AO467">
        <f t="shared" si="379"/>
        <v>0</v>
      </c>
      <c r="AP467">
        <f t="shared" si="380"/>
        <v>0</v>
      </c>
      <c r="AQ467">
        <f t="shared" si="381"/>
        <v>-1.2212453270876722E-15</v>
      </c>
      <c r="AR467">
        <f t="shared" si="399"/>
        <v>0</v>
      </c>
      <c r="AS467">
        <f t="shared" si="382"/>
        <v>0</v>
      </c>
      <c r="AT467">
        <f t="shared" si="400"/>
        <v>0</v>
      </c>
      <c r="AU467">
        <f t="shared" si="401"/>
        <v>0</v>
      </c>
      <c r="AV467">
        <f t="shared" si="383"/>
        <v>1.7907078125461821E-20</v>
      </c>
      <c r="AW467" t="b">
        <f t="shared" si="402"/>
        <v>1</v>
      </c>
      <c r="AX467">
        <f t="shared" si="384"/>
        <v>7.8539816339744828</v>
      </c>
      <c r="AY467">
        <f t="shared" si="385"/>
        <v>0.40027061923489549</v>
      </c>
      <c r="AZ467">
        <f t="shared" si="386"/>
        <v>0.13102826240640419</v>
      </c>
      <c r="BA467">
        <f t="shared" si="387"/>
        <v>2.4377981104832688E-2</v>
      </c>
      <c r="BB467">
        <f t="shared" si="388"/>
        <v>-1.2337005501361696E-20</v>
      </c>
      <c r="BD467" s="15">
        <f t="shared" si="403"/>
        <v>8.4096584967206152</v>
      </c>
      <c r="BE467" s="10">
        <f t="shared" si="404"/>
        <v>0</v>
      </c>
      <c r="BF467">
        <f t="shared" si="405"/>
        <v>0</v>
      </c>
      <c r="BG467">
        <f t="shared" si="406"/>
        <v>0</v>
      </c>
      <c r="BH467">
        <f t="shared" si="407"/>
        <v>0</v>
      </c>
      <c r="BI467">
        <f t="shared" si="408"/>
        <v>0</v>
      </c>
    </row>
    <row r="468" spans="1:61" x14ac:dyDescent="0.3">
      <c r="A468">
        <f t="shared" si="413"/>
        <v>0.43099999999999999</v>
      </c>
      <c r="B468">
        <f t="shared" si="356"/>
        <v>1.3540264336972008</v>
      </c>
      <c r="C468">
        <f t="shared" si="357"/>
        <v>1.7875662198925923</v>
      </c>
      <c r="D468">
        <f t="shared" si="358"/>
        <v>1.7875662198925923</v>
      </c>
      <c r="E468">
        <f t="shared" si="363"/>
        <v>0.97659726206382458</v>
      </c>
      <c r="F468">
        <f t="shared" si="364"/>
        <v>0.97659726206382458</v>
      </c>
      <c r="G468">
        <f t="shared" si="359"/>
        <v>1.3540264336972008</v>
      </c>
      <c r="H468">
        <f t="shared" si="360"/>
        <v>0.97659726206382458</v>
      </c>
      <c r="I468">
        <f t="shared" si="361"/>
        <v>0.97659726206382458</v>
      </c>
      <c r="J468">
        <f t="shared" si="409"/>
        <v>6.5187544251580727E+19</v>
      </c>
      <c r="K468">
        <f t="shared" si="410"/>
        <v>6.5187544251580727E+19</v>
      </c>
      <c r="L468" t="e">
        <f t="shared" si="365"/>
        <v>#NUM!</v>
      </c>
      <c r="M468">
        <f t="shared" si="362"/>
        <v>1.7875662198925924E-20</v>
      </c>
      <c r="N468" s="9" t="e">
        <f t="shared" si="411"/>
        <v>#NUM!</v>
      </c>
      <c r="O468" t="e">
        <f t="shared" si="412"/>
        <v>#NUM!</v>
      </c>
      <c r="Q468">
        <f t="shared" si="366"/>
        <v>45.623800085488952</v>
      </c>
      <c r="R468">
        <f t="shared" si="367"/>
        <v>-710542.73576010019</v>
      </c>
      <c r="S468">
        <f t="shared" si="389"/>
        <v>-45.470846818887317</v>
      </c>
      <c r="T468" s="9" t="e">
        <f t="shared" si="368"/>
        <v>#N/A</v>
      </c>
      <c r="U468">
        <f t="shared" si="390"/>
        <v>-1.0000000000000001E+300</v>
      </c>
      <c r="V468">
        <f t="shared" si="391"/>
        <v>0</v>
      </c>
      <c r="W468">
        <f t="shared" si="392"/>
        <v>0</v>
      </c>
      <c r="X468">
        <f t="shared" si="369"/>
        <v>1.7875662198925923</v>
      </c>
      <c r="Y468">
        <f t="shared" si="370"/>
        <v>7.8539816339744828</v>
      </c>
      <c r="Z468">
        <f t="shared" si="371"/>
        <v>-1.7875662198925923</v>
      </c>
      <c r="AA468">
        <f t="shared" si="393"/>
        <v>0.39367611494315097</v>
      </c>
      <c r="AB468">
        <f t="shared" si="372"/>
        <v>8.2476577489176339</v>
      </c>
      <c r="AC468">
        <f t="shared" si="394"/>
        <v>0.12927233570413929</v>
      </c>
      <c r="AD468">
        <f t="shared" si="373"/>
        <v>2.3680930897494824E-2</v>
      </c>
      <c r="AE468" s="9">
        <f t="shared" si="395"/>
        <v>8.4006110155192673</v>
      </c>
      <c r="AF468">
        <f t="shared" si="396"/>
        <v>0</v>
      </c>
      <c r="AH468">
        <f t="shared" si="374"/>
        <v>7.8539816339744828</v>
      </c>
      <c r="AI468">
        <f t="shared" si="375"/>
        <v>0.39367611494315108</v>
      </c>
      <c r="AJ468">
        <f t="shared" si="376"/>
        <v>0.12927233570414387</v>
      </c>
      <c r="AK468">
        <f t="shared" si="377"/>
        <v>2.3680930897494824E-2</v>
      </c>
      <c r="AL468" s="9">
        <f t="shared" si="397"/>
        <v>8.4006110155192726</v>
      </c>
      <c r="AM468" t="e">
        <f t="shared" si="378"/>
        <v>#N/A</v>
      </c>
      <c r="AN468" t="e">
        <f t="shared" si="398"/>
        <v>#N/A</v>
      </c>
      <c r="AO468">
        <f t="shared" si="379"/>
        <v>0</v>
      </c>
      <c r="AP468">
        <f t="shared" si="380"/>
        <v>0</v>
      </c>
      <c r="AQ468">
        <f t="shared" si="381"/>
        <v>4.5796699765787707E-15</v>
      </c>
      <c r="AR468">
        <f t="shared" si="399"/>
        <v>0</v>
      </c>
      <c r="AS468">
        <f t="shared" si="382"/>
        <v>0</v>
      </c>
      <c r="AT468">
        <f t="shared" si="400"/>
        <v>0</v>
      </c>
      <c r="AU468">
        <f t="shared" si="401"/>
        <v>0</v>
      </c>
      <c r="AV468">
        <f t="shared" si="383"/>
        <v>1.7875662198925924E-20</v>
      </c>
      <c r="AW468" t="b">
        <f t="shared" si="402"/>
        <v>1</v>
      </c>
      <c r="AX468">
        <f t="shared" si="384"/>
        <v>7.8539816339744828</v>
      </c>
      <c r="AY468">
        <f t="shared" si="385"/>
        <v>0.39367611494315086</v>
      </c>
      <c r="AZ468">
        <f t="shared" si="386"/>
        <v>0.12927233570413929</v>
      </c>
      <c r="BA468">
        <f t="shared" si="387"/>
        <v>2.3680930897494824E-2</v>
      </c>
      <c r="BB468">
        <f t="shared" si="388"/>
        <v>-1.2337005501361696E-20</v>
      </c>
      <c r="BD468" s="15">
        <f t="shared" si="403"/>
        <v>8.4006110155192673</v>
      </c>
      <c r="BE468" s="10">
        <f t="shared" si="404"/>
        <v>0</v>
      </c>
      <c r="BF468">
        <f t="shared" si="405"/>
        <v>0</v>
      </c>
      <c r="BG468">
        <f t="shared" si="406"/>
        <v>0</v>
      </c>
      <c r="BH468">
        <f t="shared" si="407"/>
        <v>0</v>
      </c>
      <c r="BI468">
        <f t="shared" si="408"/>
        <v>0</v>
      </c>
    </row>
    <row r="469" spans="1:61" x14ac:dyDescent="0.3">
      <c r="A469">
        <f t="shared" si="413"/>
        <v>0.432</v>
      </c>
      <c r="B469">
        <f t="shared" si="356"/>
        <v>1.3571680263507906</v>
      </c>
      <c r="C469">
        <f t="shared" si="357"/>
        <v>1.7844246272390025</v>
      </c>
      <c r="D469">
        <f t="shared" si="358"/>
        <v>1.7844246272390025</v>
      </c>
      <c r="E469">
        <f t="shared" si="363"/>
        <v>0.97726812356819348</v>
      </c>
      <c r="F469">
        <f t="shared" si="364"/>
        <v>0.97726812356819348</v>
      </c>
      <c r="G469">
        <f t="shared" si="359"/>
        <v>1.3571680263507906</v>
      </c>
      <c r="H469">
        <f t="shared" si="360"/>
        <v>0.97726812356819348</v>
      </c>
      <c r="I469">
        <f t="shared" si="361"/>
        <v>0.97726812356819348</v>
      </c>
      <c r="J469">
        <f t="shared" si="409"/>
        <v>6.5142795207845364E+19</v>
      </c>
      <c r="K469">
        <f t="shared" si="410"/>
        <v>6.5142795207845364E+19</v>
      </c>
      <c r="L469">
        <f t="shared" si="365"/>
        <v>1</v>
      </c>
      <c r="M469">
        <f t="shared" si="362"/>
        <v>1.7844246272390024E-20</v>
      </c>
      <c r="N469" s="9">
        <f t="shared" si="411"/>
        <v>1.7844246272390024E-20</v>
      </c>
      <c r="O469">
        <f t="shared" si="412"/>
        <v>1.7844246272390024E-20</v>
      </c>
      <c r="Q469">
        <f t="shared" si="366"/>
        <v>45.623113383594685</v>
      </c>
      <c r="R469">
        <f t="shared" si="367"/>
        <v>0</v>
      </c>
      <c r="S469">
        <f t="shared" si="389"/>
        <v>-45.472605834292501</v>
      </c>
      <c r="T469" s="9" t="e">
        <f t="shared" si="368"/>
        <v>#N/A</v>
      </c>
      <c r="U469">
        <f t="shared" si="390"/>
        <v>-1.0000000000000001E+300</v>
      </c>
      <c r="V469">
        <f t="shared" si="391"/>
        <v>0</v>
      </c>
      <c r="W469">
        <f t="shared" si="392"/>
        <v>0</v>
      </c>
      <c r="X469">
        <f t="shared" si="369"/>
        <v>1.7844246272390025</v>
      </c>
      <c r="Y469">
        <f t="shared" si="370"/>
        <v>7.8539816339744828</v>
      </c>
      <c r="Z469">
        <f t="shared" si="371"/>
        <v>-1.7844246272390025</v>
      </c>
      <c r="AA469">
        <f t="shared" si="393"/>
        <v>0.38711045512606679</v>
      </c>
      <c r="AB469">
        <f t="shared" si="372"/>
        <v>8.2410920891005492</v>
      </c>
      <c r="AC469">
        <f t="shared" si="394"/>
        <v>0.1275133202989597</v>
      </c>
      <c r="AD469">
        <f t="shared" si="373"/>
        <v>2.2994229003224367E-2</v>
      </c>
      <c r="AE469" s="9">
        <f t="shared" si="395"/>
        <v>8.3915996384027327</v>
      </c>
      <c r="AF469">
        <f t="shared" si="396"/>
        <v>0</v>
      </c>
      <c r="AH469">
        <f t="shared" si="374"/>
        <v>7.8539816339744828</v>
      </c>
      <c r="AI469">
        <f t="shared" si="375"/>
        <v>0.38711045512606695</v>
      </c>
      <c r="AJ469">
        <f t="shared" si="376"/>
        <v>0.12751332029895934</v>
      </c>
      <c r="AK469">
        <f t="shared" si="377"/>
        <v>2.2994229003224367E-2</v>
      </c>
      <c r="AL469" s="9">
        <f t="shared" si="397"/>
        <v>8.3915996384027327</v>
      </c>
      <c r="AM469" t="e">
        <f t="shared" si="378"/>
        <v>#N/A</v>
      </c>
      <c r="AN469" t="e">
        <f t="shared" si="398"/>
        <v>#N/A</v>
      </c>
      <c r="AO469">
        <f t="shared" si="379"/>
        <v>0</v>
      </c>
      <c r="AP469">
        <f t="shared" si="380"/>
        <v>0</v>
      </c>
      <c r="AQ469">
        <f t="shared" si="381"/>
        <v>-3.6082248300317588E-16</v>
      </c>
      <c r="AR469">
        <f t="shared" si="399"/>
        <v>0</v>
      </c>
      <c r="AS469">
        <f t="shared" si="382"/>
        <v>0</v>
      </c>
      <c r="AT469">
        <f t="shared" si="400"/>
        <v>0</v>
      </c>
      <c r="AU469">
        <f t="shared" si="401"/>
        <v>0</v>
      </c>
      <c r="AV469">
        <f t="shared" si="383"/>
        <v>1.7844246272390024E-20</v>
      </c>
      <c r="AW469" t="b">
        <f t="shared" si="402"/>
        <v>1</v>
      </c>
      <c r="AX469">
        <f t="shared" si="384"/>
        <v>7.8539816339744828</v>
      </c>
      <c r="AY469">
        <f t="shared" si="385"/>
        <v>0.38711045512606668</v>
      </c>
      <c r="AZ469">
        <f t="shared" si="386"/>
        <v>0.1275133202989597</v>
      </c>
      <c r="BA469">
        <f t="shared" si="387"/>
        <v>2.2994229003224367E-2</v>
      </c>
      <c r="BB469">
        <f t="shared" si="388"/>
        <v>-1.2337005501361696E-20</v>
      </c>
      <c r="BD469" s="15">
        <f t="shared" si="403"/>
        <v>8.3915996384027327</v>
      </c>
      <c r="BE469" s="10">
        <f t="shared" si="404"/>
        <v>0</v>
      </c>
      <c r="BF469">
        <f t="shared" si="405"/>
        <v>0</v>
      </c>
      <c r="BG469">
        <f t="shared" si="406"/>
        <v>0</v>
      </c>
      <c r="BH469">
        <f t="shared" si="407"/>
        <v>0</v>
      </c>
      <c r="BI469">
        <f t="shared" si="408"/>
        <v>0</v>
      </c>
    </row>
    <row r="470" spans="1:61" x14ac:dyDescent="0.3">
      <c r="A470">
        <f t="shared" si="413"/>
        <v>0.433</v>
      </c>
      <c r="B470">
        <f t="shared" si="356"/>
        <v>1.3603096190043804</v>
      </c>
      <c r="C470">
        <f t="shared" si="357"/>
        <v>1.7812830345854127</v>
      </c>
      <c r="D470">
        <f t="shared" si="358"/>
        <v>1.7812830345854127</v>
      </c>
      <c r="E470">
        <f t="shared" si="363"/>
        <v>0.97792933983072183</v>
      </c>
      <c r="F470">
        <f t="shared" si="364"/>
        <v>0.97792933983072183</v>
      </c>
      <c r="G470">
        <f t="shared" si="359"/>
        <v>1.3603096190043804</v>
      </c>
      <c r="H470">
        <f t="shared" si="360"/>
        <v>0.97792933983072183</v>
      </c>
      <c r="I470">
        <f t="shared" si="361"/>
        <v>0.97792933983072183</v>
      </c>
      <c r="J470">
        <f t="shared" si="409"/>
        <v>6.5098749616999875E+19</v>
      </c>
      <c r="K470">
        <f t="shared" si="410"/>
        <v>6.5098749616999875E+19</v>
      </c>
      <c r="L470">
        <f t="shared" si="365"/>
        <v>1</v>
      </c>
      <c r="M470">
        <f t="shared" si="362"/>
        <v>1.7812830345854128E-20</v>
      </c>
      <c r="N470" s="9">
        <f t="shared" si="411"/>
        <v>1.7812830345854128E-20</v>
      </c>
      <c r="O470">
        <f t="shared" si="412"/>
        <v>1.7812830345854128E-20</v>
      </c>
      <c r="Q470">
        <f t="shared" si="366"/>
        <v>45.622437015810753</v>
      </c>
      <c r="R470">
        <f t="shared" si="367"/>
        <v>0</v>
      </c>
      <c r="S470">
        <f t="shared" si="389"/>
        <v>-45.474367949285899</v>
      </c>
      <c r="T470" s="9" t="e">
        <f t="shared" si="368"/>
        <v>#N/A</v>
      </c>
      <c r="U470">
        <f t="shared" si="390"/>
        <v>-1.0000000000000001E+300</v>
      </c>
      <c r="V470">
        <f t="shared" si="391"/>
        <v>0</v>
      </c>
      <c r="W470">
        <f t="shared" si="392"/>
        <v>0</v>
      </c>
      <c r="X470">
        <f t="shared" si="369"/>
        <v>1.7812830345854127</v>
      </c>
      <c r="Y470">
        <f t="shared" si="370"/>
        <v>7.8539816339744828</v>
      </c>
      <c r="Z470">
        <f t="shared" si="371"/>
        <v>-1.7812830345854127</v>
      </c>
      <c r="AA470">
        <f t="shared" si="393"/>
        <v>0.38057346449410739</v>
      </c>
      <c r="AB470">
        <f t="shared" si="372"/>
        <v>8.23455509846859</v>
      </c>
      <c r="AC470">
        <f t="shared" si="394"/>
        <v>0.12575120530556025</v>
      </c>
      <c r="AD470">
        <f t="shared" si="373"/>
        <v>2.2317861219290872E-2</v>
      </c>
      <c r="AE470" s="9">
        <f t="shared" si="395"/>
        <v>8.382624164993441</v>
      </c>
      <c r="AF470">
        <f t="shared" si="396"/>
        <v>0</v>
      </c>
      <c r="AH470">
        <f t="shared" si="374"/>
        <v>7.8539816339744828</v>
      </c>
      <c r="AI470">
        <f t="shared" si="375"/>
        <v>0.38057346449410756</v>
      </c>
      <c r="AJ470">
        <f t="shared" si="376"/>
        <v>0.12575120530556205</v>
      </c>
      <c r="AK470">
        <f t="shared" si="377"/>
        <v>2.2317861219290872E-2</v>
      </c>
      <c r="AL470" s="9">
        <f t="shared" si="397"/>
        <v>8.3826241649934428</v>
      </c>
      <c r="AM470" t="e">
        <f t="shared" si="378"/>
        <v>#N/A</v>
      </c>
      <c r="AN470" t="e">
        <f t="shared" si="398"/>
        <v>#N/A</v>
      </c>
      <c r="AO470">
        <f t="shared" si="379"/>
        <v>0</v>
      </c>
      <c r="AP470">
        <f t="shared" si="380"/>
        <v>0</v>
      </c>
      <c r="AQ470">
        <f t="shared" si="381"/>
        <v>1.8041124150158794E-15</v>
      </c>
      <c r="AR470">
        <f t="shared" si="399"/>
        <v>0</v>
      </c>
      <c r="AS470">
        <f t="shared" si="382"/>
        <v>0</v>
      </c>
      <c r="AT470">
        <f t="shared" si="400"/>
        <v>0</v>
      </c>
      <c r="AU470">
        <f t="shared" si="401"/>
        <v>0</v>
      </c>
      <c r="AV470">
        <f t="shared" si="383"/>
        <v>1.7812830345854125E-20</v>
      </c>
      <c r="AW470" t="b">
        <f t="shared" si="402"/>
        <v>1</v>
      </c>
      <c r="AX470">
        <f t="shared" si="384"/>
        <v>7.8539816339744828</v>
      </c>
      <c r="AY470">
        <f t="shared" si="385"/>
        <v>0.38057346449410723</v>
      </c>
      <c r="AZ470">
        <f t="shared" si="386"/>
        <v>0.12575120530556025</v>
      </c>
      <c r="BA470">
        <f t="shared" si="387"/>
        <v>2.2317861219290872E-2</v>
      </c>
      <c r="BB470">
        <f t="shared" si="388"/>
        <v>-1.2337005501361696E-20</v>
      </c>
      <c r="BD470" s="15">
        <f t="shared" si="403"/>
        <v>8.382624164993441</v>
      </c>
      <c r="BE470" s="10">
        <f t="shared" si="404"/>
        <v>0</v>
      </c>
      <c r="BF470">
        <f t="shared" si="405"/>
        <v>0</v>
      </c>
      <c r="BG470">
        <f t="shared" si="406"/>
        <v>0</v>
      </c>
      <c r="BH470">
        <f t="shared" si="407"/>
        <v>0</v>
      </c>
      <c r="BI470">
        <f t="shared" si="408"/>
        <v>0</v>
      </c>
    </row>
    <row r="471" spans="1:61" x14ac:dyDescent="0.3">
      <c r="A471">
        <f t="shared" si="413"/>
        <v>0.434</v>
      </c>
      <c r="B471">
        <f t="shared" si="356"/>
        <v>1.3634512116579702</v>
      </c>
      <c r="C471">
        <f t="shared" si="357"/>
        <v>1.7781414419318229</v>
      </c>
      <c r="D471">
        <f t="shared" si="358"/>
        <v>1.7781414419318229</v>
      </c>
      <c r="E471">
        <f t="shared" si="363"/>
        <v>0.97858090432547207</v>
      </c>
      <c r="F471">
        <f t="shared" si="364"/>
        <v>0.97858090432547207</v>
      </c>
      <c r="G471">
        <f t="shared" si="359"/>
        <v>1.3634512116579702</v>
      </c>
      <c r="H471">
        <f t="shared" si="360"/>
        <v>0.97858090432547207</v>
      </c>
      <c r="I471">
        <f t="shared" si="361"/>
        <v>0.97858090432547207</v>
      </c>
      <c r="J471">
        <f t="shared" si="409"/>
        <v>6.5055405184551223E+19</v>
      </c>
      <c r="K471">
        <f t="shared" si="410"/>
        <v>6.5055405184551223E+19</v>
      </c>
      <c r="L471">
        <f t="shared" si="365"/>
        <v>0</v>
      </c>
      <c r="M471">
        <f t="shared" si="362"/>
        <v>1.7781414419318228E-20</v>
      </c>
      <c r="N471" s="9">
        <f t="shared" si="411"/>
        <v>0</v>
      </c>
      <c r="O471">
        <f t="shared" si="412"/>
        <v>0</v>
      </c>
      <c r="Q471">
        <f t="shared" si="366"/>
        <v>45.621770968167212</v>
      </c>
      <c r="R471">
        <f t="shared" si="367"/>
        <v>0</v>
      </c>
      <c r="S471">
        <f t="shared" si="389"/>
        <v>-45.476133174810471</v>
      </c>
      <c r="T471" s="9" t="e">
        <f t="shared" si="368"/>
        <v>#N/A</v>
      </c>
      <c r="U471">
        <f t="shared" si="390"/>
        <v>-1.0000000000000001E+300</v>
      </c>
      <c r="V471">
        <f t="shared" si="391"/>
        <v>0</v>
      </c>
      <c r="W471">
        <f t="shared" si="392"/>
        <v>0</v>
      </c>
      <c r="X471">
        <f t="shared" si="369"/>
        <v>1.7781414419318229</v>
      </c>
      <c r="Y471">
        <f t="shared" si="370"/>
        <v>7.8539816339744828</v>
      </c>
      <c r="Z471">
        <f t="shared" si="371"/>
        <v>-1.7781414419318229</v>
      </c>
      <c r="AA471">
        <f t="shared" si="393"/>
        <v>0.37406496936524702</v>
      </c>
      <c r="AB471">
        <f t="shared" si="372"/>
        <v>8.2280466033397293</v>
      </c>
      <c r="AC471">
        <f t="shared" si="394"/>
        <v>0.1239859797809911</v>
      </c>
      <c r="AD471">
        <f t="shared" si="373"/>
        <v>2.1651813575754547E-2</v>
      </c>
      <c r="AE471" s="9">
        <f t="shared" si="395"/>
        <v>8.3736843966964756</v>
      </c>
      <c r="AF471">
        <f t="shared" si="396"/>
        <v>0</v>
      </c>
      <c r="AH471">
        <f t="shared" si="374"/>
        <v>7.8539816339744828</v>
      </c>
      <c r="AI471">
        <f t="shared" si="375"/>
        <v>0.37406496936524714</v>
      </c>
      <c r="AJ471">
        <f t="shared" si="376"/>
        <v>0.12398597978098991</v>
      </c>
      <c r="AK471">
        <f t="shared" si="377"/>
        <v>2.1651813575754547E-2</v>
      </c>
      <c r="AL471" s="9">
        <f t="shared" si="397"/>
        <v>8.3736843966964738</v>
      </c>
      <c r="AM471" t="e">
        <f t="shared" si="378"/>
        <v>#N/A</v>
      </c>
      <c r="AN471" t="e">
        <f t="shared" si="398"/>
        <v>#N/A</v>
      </c>
      <c r="AO471">
        <f t="shared" si="379"/>
        <v>0</v>
      </c>
      <c r="AP471">
        <f t="shared" si="380"/>
        <v>0</v>
      </c>
      <c r="AQ471">
        <f t="shared" si="381"/>
        <v>-1.1934897514720433E-15</v>
      </c>
      <c r="AR471">
        <f t="shared" si="399"/>
        <v>0</v>
      </c>
      <c r="AS471">
        <f t="shared" si="382"/>
        <v>0</v>
      </c>
      <c r="AT471">
        <f t="shared" si="400"/>
        <v>0</v>
      </c>
      <c r="AU471">
        <f t="shared" si="401"/>
        <v>0</v>
      </c>
      <c r="AV471">
        <f t="shared" si="383"/>
        <v>1.7781414419318228E-20</v>
      </c>
      <c r="AW471" t="b">
        <f t="shared" si="402"/>
        <v>1</v>
      </c>
      <c r="AX471">
        <f t="shared" si="384"/>
        <v>7.8539816339744828</v>
      </c>
      <c r="AY471">
        <f t="shared" si="385"/>
        <v>0.37406496936524691</v>
      </c>
      <c r="AZ471">
        <f t="shared" si="386"/>
        <v>0.1239859797809913</v>
      </c>
      <c r="BA471">
        <f t="shared" si="387"/>
        <v>2.1651813575754547E-2</v>
      </c>
      <c r="BB471">
        <f t="shared" si="388"/>
        <v>-1.2337005501361696E-20</v>
      </c>
      <c r="BD471" s="15">
        <f t="shared" si="403"/>
        <v>8.3736843966964756</v>
      </c>
      <c r="BE471" s="10">
        <f t="shared" si="404"/>
        <v>0</v>
      </c>
      <c r="BF471">
        <f t="shared" si="405"/>
        <v>0</v>
      </c>
      <c r="BG471">
        <f t="shared" si="406"/>
        <v>0</v>
      </c>
      <c r="BH471">
        <f t="shared" si="407"/>
        <v>0</v>
      </c>
      <c r="BI471">
        <f t="shared" si="408"/>
        <v>1.9428902930940239E-16</v>
      </c>
    </row>
    <row r="472" spans="1:61" x14ac:dyDescent="0.3">
      <c r="A472">
        <f t="shared" si="413"/>
        <v>0.435</v>
      </c>
      <c r="B472">
        <f t="shared" ref="B472:B535" si="414">th_max*A472</f>
        <v>1.36659280431156</v>
      </c>
      <c r="C472">
        <f t="shared" ref="C472:C535" si="415">th_max-B472</f>
        <v>1.7749998492782331</v>
      </c>
      <c r="D472">
        <f t="shared" ref="D472:D535" si="416">IF(use_th_l,B472,C472)</f>
        <v>1.7749998492782331</v>
      </c>
      <c r="E472">
        <f t="shared" si="363"/>
        <v>0.97922281062176575</v>
      </c>
      <c r="F472">
        <f t="shared" si="364"/>
        <v>0.97922281062176575</v>
      </c>
      <c r="G472">
        <f t="shared" ref="G472:G535" si="417">alpha*B472</f>
        <v>1.36659280431156</v>
      </c>
      <c r="H472">
        <f t="shared" ref="H472:H535" si="418">SIN(G472)</f>
        <v>0.97922281062176575</v>
      </c>
      <c r="I472">
        <f t="shared" ref="I472:I535" si="419">SIN(alpha*C472+add_r)</f>
        <v>0.97922281062176575</v>
      </c>
      <c r="J472">
        <f t="shared" si="409"/>
        <v>6.5012759656135295E+19</v>
      </c>
      <c r="K472">
        <f t="shared" si="410"/>
        <v>6.5012759656135295E+19</v>
      </c>
      <c r="L472">
        <f t="shared" si="365"/>
        <v>1</v>
      </c>
      <c r="M472">
        <f t="shared" ref="M472:M535" si="420">-SIN((alpha_m_1)*B472+add_l)</f>
        <v>1.7749998492782328E-20</v>
      </c>
      <c r="N472" s="9">
        <f t="shared" si="411"/>
        <v>1.7749998492782328E-20</v>
      </c>
      <c r="O472">
        <f t="shared" si="412"/>
        <v>1.7749998492782328E-20</v>
      </c>
      <c r="Q472">
        <f t="shared" si="366"/>
        <v>45.621115226925745</v>
      </c>
      <c r="R472">
        <f t="shared" si="367"/>
        <v>0</v>
      </c>
      <c r="S472">
        <f t="shared" si="389"/>
        <v>-45.47790152186721</v>
      </c>
      <c r="T472" s="9" t="e">
        <f t="shared" si="368"/>
        <v>#N/A</v>
      </c>
      <c r="U472">
        <f t="shared" si="390"/>
        <v>-1.0000000000000001E+300</v>
      </c>
      <c r="V472">
        <f t="shared" si="391"/>
        <v>0</v>
      </c>
      <c r="W472">
        <f t="shared" si="392"/>
        <v>0</v>
      </c>
      <c r="X472">
        <f t="shared" si="369"/>
        <v>1.7749998492782331</v>
      </c>
      <c r="Y472">
        <f t="shared" si="370"/>
        <v>7.8539816339744828</v>
      </c>
      <c r="Z472">
        <f t="shared" si="371"/>
        <v>-1.7749998492782331</v>
      </c>
      <c r="AA472">
        <f t="shared" si="393"/>
        <v>0.36758479764661373</v>
      </c>
      <c r="AB472">
        <f t="shared" si="372"/>
        <v>8.2215664316210972</v>
      </c>
      <c r="AC472">
        <f t="shared" si="394"/>
        <v>0.12221763272424911</v>
      </c>
      <c r="AD472">
        <f t="shared" si="373"/>
        <v>2.0996072334286485E-2</v>
      </c>
      <c r="AE472" s="9">
        <f t="shared" si="395"/>
        <v>8.3647801366796326</v>
      </c>
      <c r="AF472">
        <f t="shared" si="396"/>
        <v>0</v>
      </c>
      <c r="AH472">
        <f t="shared" si="374"/>
        <v>7.8539816339744828</v>
      </c>
      <c r="AI472">
        <f t="shared" si="375"/>
        <v>0.36758479764661373</v>
      </c>
      <c r="AJ472">
        <f t="shared" si="376"/>
        <v>0.12221763272425079</v>
      </c>
      <c r="AK472">
        <f t="shared" si="377"/>
        <v>2.0996072334286485E-2</v>
      </c>
      <c r="AL472" s="9">
        <f t="shared" si="397"/>
        <v>8.3647801366796344</v>
      </c>
      <c r="AM472" t="e">
        <f t="shared" si="378"/>
        <v>#N/A</v>
      </c>
      <c r="AN472" t="e">
        <f t="shared" si="398"/>
        <v>#N/A</v>
      </c>
      <c r="AO472">
        <f t="shared" si="379"/>
        <v>0</v>
      </c>
      <c r="AP472">
        <f t="shared" si="380"/>
        <v>0</v>
      </c>
      <c r="AQ472">
        <f t="shared" si="381"/>
        <v>1.6792123247455493E-15</v>
      </c>
      <c r="AR472">
        <f t="shared" si="399"/>
        <v>0</v>
      </c>
      <c r="AS472">
        <f t="shared" si="382"/>
        <v>0</v>
      </c>
      <c r="AT472">
        <f t="shared" si="400"/>
        <v>0</v>
      </c>
      <c r="AU472">
        <f t="shared" si="401"/>
        <v>0</v>
      </c>
      <c r="AV472">
        <f t="shared" si="383"/>
        <v>1.7749998492782328E-20</v>
      </c>
      <c r="AW472" t="b">
        <f t="shared" si="402"/>
        <v>1</v>
      </c>
      <c r="AX472">
        <f t="shared" si="384"/>
        <v>7.8539816339744828</v>
      </c>
      <c r="AY472">
        <f t="shared" si="385"/>
        <v>0.3675847976466135</v>
      </c>
      <c r="AZ472">
        <f t="shared" si="386"/>
        <v>0.12221763272424911</v>
      </c>
      <c r="BA472">
        <f t="shared" si="387"/>
        <v>2.0996072334286485E-2</v>
      </c>
      <c r="BB472">
        <f t="shared" si="388"/>
        <v>-1.2337005501361696E-20</v>
      </c>
      <c r="BD472" s="15">
        <f t="shared" si="403"/>
        <v>8.3647801366796308</v>
      </c>
      <c r="BE472" s="10">
        <f t="shared" si="404"/>
        <v>0</v>
      </c>
      <c r="BF472">
        <f t="shared" si="405"/>
        <v>0</v>
      </c>
      <c r="BG472">
        <f t="shared" si="406"/>
        <v>0</v>
      </c>
      <c r="BH472">
        <f t="shared" si="407"/>
        <v>0</v>
      </c>
      <c r="BI472">
        <f t="shared" si="408"/>
        <v>0</v>
      </c>
    </row>
    <row r="473" spans="1:61" x14ac:dyDescent="0.3">
      <c r="A473">
        <f t="shared" si="413"/>
        <v>0.436</v>
      </c>
      <c r="B473">
        <f t="shared" si="414"/>
        <v>1.3697343969651499</v>
      </c>
      <c r="C473">
        <f t="shared" si="415"/>
        <v>1.7718582566246432</v>
      </c>
      <c r="D473">
        <f t="shared" si="416"/>
        <v>1.7718582566246432</v>
      </c>
      <c r="E473">
        <f t="shared" ref="E473:E536" si="421">SIN(B473-add_l)</f>
        <v>0.97985505238424686</v>
      </c>
      <c r="F473">
        <f t="shared" ref="F473:F536" si="422">SIN(C473)</f>
        <v>0.97985505238424686</v>
      </c>
      <c r="G473">
        <f t="shared" si="417"/>
        <v>1.3697343969651499</v>
      </c>
      <c r="H473">
        <f t="shared" si="418"/>
        <v>0.97985505238424686</v>
      </c>
      <c r="I473">
        <f t="shared" si="419"/>
        <v>0.97985505238424686</v>
      </c>
      <c r="J473">
        <f t="shared" si="409"/>
        <v>6.4970810817224131E+19</v>
      </c>
      <c r="K473">
        <f t="shared" si="410"/>
        <v>6.4970810817224131E+19</v>
      </c>
      <c r="L473">
        <f t="shared" ref="L473:L536" si="423">(cat0*E473*K473)^(1/(alpha_m_1))</f>
        <v>1</v>
      </c>
      <c r="M473">
        <f t="shared" si="420"/>
        <v>1.7718582566246432E-20</v>
      </c>
      <c r="N473" s="9">
        <f t="shared" si="411"/>
        <v>1.7718582566246432E-20</v>
      </c>
      <c r="O473">
        <f t="shared" si="412"/>
        <v>1.7718582566246432E-20</v>
      </c>
      <c r="Q473">
        <f t="shared" ref="Q473:Q536" si="424">alpha*LN(J473)</f>
        <v>45.620469778578467</v>
      </c>
      <c r="R473">
        <f t="shared" ref="R473:R536" si="425">(LN(cat0)+LN(E473)+Q473)/(alpha_m_1)</f>
        <v>-710542.73576010019</v>
      </c>
      <c r="S473">
        <f t="shared" si="389"/>
        <v>-45.479673001515593</v>
      </c>
      <c r="T473" s="9" t="e">
        <f t="shared" ref="T473:T536" si="426">IF(ABS(alpha_m_1)&gt;0.00000000000001,R473+S473,NA())</f>
        <v>#N/A</v>
      </c>
      <c r="U473">
        <f t="shared" si="390"/>
        <v>-1.0000000000000001E+300</v>
      </c>
      <c r="V473">
        <f t="shared" si="391"/>
        <v>0</v>
      </c>
      <c r="W473">
        <f t="shared" si="392"/>
        <v>0</v>
      </c>
      <c r="X473">
        <f t="shared" ref="X473:X536" si="427">C473</f>
        <v>1.7718582566246432</v>
      </c>
      <c r="Y473">
        <f t="shared" ref="Y473:Y536" si="428">ea</f>
        <v>7.8539816339744828</v>
      </c>
      <c r="Z473">
        <f t="shared" ref="Z473:Z536" si="429">p2b+PI()/2-X473</f>
        <v>-1.7718582566246432</v>
      </c>
      <c r="AA473">
        <f t="shared" si="393"/>
        <v>0.36113277881638606</v>
      </c>
      <c r="AB473">
        <f t="shared" ref="AB473:AB536" si="430">$AA$7+AA473</f>
        <v>8.215114412790868</v>
      </c>
      <c r="AC473">
        <f t="shared" si="394"/>
        <v>0.12044615307586706</v>
      </c>
      <c r="AD473">
        <f t="shared" ref="AD473:AD536" si="431">-LN(SIN(A473*PI()))</f>
        <v>2.0350623987010985E-2</v>
      </c>
      <c r="AE473" s="9">
        <f t="shared" si="395"/>
        <v>8.3559111898537459</v>
      </c>
      <c r="AF473">
        <f t="shared" si="396"/>
        <v>0</v>
      </c>
      <c r="AH473">
        <f t="shared" ref="AH473:AH536" si="432">IF(use_alpha_near_1,$D$18,NA())</f>
        <v>7.8539816339744828</v>
      </c>
      <c r="AI473">
        <f t="shared" ref="AI473:AI536" si="433">IF(use_alpha_near_1,alpha/(alpha_m_1)*(log1p(-SIN(add_l)*_xlfn.COT(B473)-2*SIN(add_l/2)^2)-log1p(SIN(alpha_m_1*B473)*_xlfn.COT(B473)-2*SIN(alpha_m_1*B473/2)^2)),NA())</f>
        <v>0.36113277881638611</v>
      </c>
      <c r="AJ473">
        <f t="shared" ref="AJ473:AJ536" si="434">IF(use_alpha_near_1,$D$21+LN(M473),NA())</f>
        <v>0.12044615307586781</v>
      </c>
      <c r="AK473">
        <f t="shared" ref="AK473:AK536" si="435">IF(use_alpha_near_1,-LN(E473),NA())</f>
        <v>2.0350623987010985E-2</v>
      </c>
      <c r="AL473" s="9">
        <f t="shared" si="397"/>
        <v>8.3559111898537477</v>
      </c>
      <c r="AM473" t="e">
        <f t="shared" ref="AM473:AM536" si="436">AL473-T473</f>
        <v>#N/A</v>
      </c>
      <c r="AN473" t="e">
        <f t="shared" si="398"/>
        <v>#N/A</v>
      </c>
      <c r="AO473">
        <f t="shared" ref="AO473:AO536" si="437">AH473-Y473</f>
        <v>0</v>
      </c>
      <c r="AP473">
        <f t="shared" ref="AP473:AP536" si="438">AI473-AA473</f>
        <v>0</v>
      </c>
      <c r="AQ473">
        <f t="shared" ref="AQ473:AQ536" si="439">AJ473-AC473</f>
        <v>7.4940054162198066E-16</v>
      </c>
      <c r="AR473">
        <f t="shared" si="399"/>
        <v>0</v>
      </c>
      <c r="AS473">
        <f t="shared" ref="AS473:AS536" si="440">AL473-AE473</f>
        <v>0</v>
      </c>
      <c r="AT473">
        <f t="shared" si="400"/>
        <v>0</v>
      </c>
      <c r="AU473">
        <f t="shared" si="401"/>
        <v>0</v>
      </c>
      <c r="AV473">
        <f t="shared" ref="AV473:AV536" si="441">alpha_m_1*C473+add_r</f>
        <v>1.7718582566246432E-20</v>
      </c>
      <c r="AW473" t="b">
        <f t="shared" si="402"/>
        <v>1</v>
      </c>
      <c r="AX473">
        <f t="shared" ref="AX473:AX536" si="442">IF(use_alpha_near_1,$D$18,NA())</f>
        <v>7.8539816339744828</v>
      </c>
      <c r="AY473">
        <f t="shared" ref="AY473:AY536" si="443">-alpha/alpha_m_1*log1p(_xlfn.COT(C473)*SIN(AV473)-2*SIN(AV473/2)^2)</f>
        <v>0.36113277881638584</v>
      </c>
      <c r="AZ473">
        <f t="shared" ref="AZ473:AZ536" si="444">LN(ABS(zeta)*SIN(AV473))</f>
        <v>0.12044615307586726</v>
      </c>
      <c r="BA473">
        <f t="shared" ref="BA473:BA536" si="445">-LN(SIN(C473))</f>
        <v>2.0350623987010985E-2</v>
      </c>
      <c r="BB473">
        <f t="shared" ref="BB473:BB536" si="446">-log1p(zeta^-2)/(2*alpha_m_1)</f>
        <v>-1.2337005501361696E-20</v>
      </c>
      <c r="BD473" s="15">
        <f t="shared" si="403"/>
        <v>8.3559111898537459</v>
      </c>
      <c r="BE473" s="10">
        <f t="shared" si="404"/>
        <v>0</v>
      </c>
      <c r="BF473">
        <f t="shared" si="405"/>
        <v>0</v>
      </c>
      <c r="BG473">
        <f t="shared" si="406"/>
        <v>0</v>
      </c>
      <c r="BH473">
        <f t="shared" si="407"/>
        <v>0</v>
      </c>
      <c r="BI473">
        <f t="shared" si="408"/>
        <v>1.9428902930940239E-16</v>
      </c>
    </row>
    <row r="474" spans="1:61" x14ac:dyDescent="0.3">
      <c r="A474">
        <f t="shared" si="413"/>
        <v>0.437</v>
      </c>
      <c r="B474">
        <f t="shared" si="414"/>
        <v>1.3728759896187397</v>
      </c>
      <c r="C474">
        <f t="shared" si="415"/>
        <v>1.7687166639710534</v>
      </c>
      <c r="D474">
        <f t="shared" si="416"/>
        <v>1.7687166639710534</v>
      </c>
      <c r="E474">
        <f t="shared" si="421"/>
        <v>0.98047762337294442</v>
      </c>
      <c r="F474">
        <f t="shared" si="422"/>
        <v>0.98047762337294442</v>
      </c>
      <c r="G474">
        <f t="shared" si="417"/>
        <v>1.3728759896187397</v>
      </c>
      <c r="H474">
        <f t="shared" si="418"/>
        <v>0.98047762337294442</v>
      </c>
      <c r="I474">
        <f t="shared" si="419"/>
        <v>0.98047762337294442</v>
      </c>
      <c r="J474">
        <f t="shared" si="409"/>
        <v>6.4929556492839027E+19</v>
      </c>
      <c r="K474">
        <f t="shared" si="410"/>
        <v>6.4929556492839027E+19</v>
      </c>
      <c r="L474">
        <f t="shared" si="423"/>
        <v>1</v>
      </c>
      <c r="M474">
        <f t="shared" si="420"/>
        <v>1.7687166639710532E-20</v>
      </c>
      <c r="N474" s="9">
        <f t="shared" si="411"/>
        <v>1.7687166639710532E-20</v>
      </c>
      <c r="O474">
        <f t="shared" si="412"/>
        <v>1.7687166639710532E-20</v>
      </c>
      <c r="Q474">
        <f t="shared" si="424"/>
        <v>45.619834609846826</v>
      </c>
      <c r="R474">
        <f t="shared" si="425"/>
        <v>-710542.73576010019</v>
      </c>
      <c r="S474">
        <f t="shared" ref="S474:S537" si="447">LN(M474)</f>
        <v>-45.481447624873958</v>
      </c>
      <c r="T474" s="9" t="e">
        <f t="shared" si="426"/>
        <v>#N/A</v>
      </c>
      <c r="U474">
        <f t="shared" ref="U474:U537" si="448">IFERROR(T474-EXP(T474),-1E+300)</f>
        <v>-1.0000000000000001E+300</v>
      </c>
      <c r="V474">
        <f t="shared" ref="V474:V537" si="449">EXP(U474)</f>
        <v>0</v>
      </c>
      <c r="W474">
        <f t="shared" ref="W474:W537" si="450">IFERROR(T474-LN(N474),0)</f>
        <v>0</v>
      </c>
      <c r="X474">
        <f t="shared" si="427"/>
        <v>1.7687166639710534</v>
      </c>
      <c r="Y474">
        <f t="shared" si="428"/>
        <v>7.8539816339744828</v>
      </c>
      <c r="Z474">
        <f t="shared" si="429"/>
        <v>-1.7687166639710534</v>
      </c>
      <c r="AA474">
        <f t="shared" ref="AA474:AA537" si="451">Z474*TAN(PI()/2-X474)</f>
        <v>0.35470874390593804</v>
      </c>
      <c r="AB474">
        <f t="shared" si="430"/>
        <v>8.208690377880421</v>
      </c>
      <c r="AC474">
        <f t="shared" ref="AC474:AC537" si="452">LN(Z474/$AA$6)</f>
        <v>0.11867152971749854</v>
      </c>
      <c r="AD474">
        <f t="shared" si="431"/>
        <v>1.9715455255369163E-2</v>
      </c>
      <c r="AE474" s="9">
        <f t="shared" ref="AE474:AE537" si="453">AB474+AC474+AD474</f>
        <v>8.3470773628532893</v>
      </c>
      <c r="AF474">
        <f t="shared" ref="AF474:AF537" si="454">IFERROR(EXP(AE474)*EXP(-EXP(AE474)),0)</f>
        <v>0</v>
      </c>
      <c r="AH474">
        <f t="shared" si="432"/>
        <v>7.8539816339744828</v>
      </c>
      <c r="AI474">
        <f t="shared" si="433"/>
        <v>0.35470874390593821</v>
      </c>
      <c r="AJ474">
        <f t="shared" si="434"/>
        <v>0.11867152971750272</v>
      </c>
      <c r="AK474">
        <f t="shared" si="435"/>
        <v>1.9715455255369163E-2</v>
      </c>
      <c r="AL474" s="9">
        <f t="shared" ref="AL474:AL537" si="455">SUM(AH474:AK474)</f>
        <v>8.3470773628532928</v>
      </c>
      <c r="AM474" t="e">
        <f t="shared" si="436"/>
        <v>#N/A</v>
      </c>
      <c r="AN474" t="e">
        <f t="shared" ref="AN474:AN537" si="456">AM474/AL474</f>
        <v>#N/A</v>
      </c>
      <c r="AO474">
        <f t="shared" si="437"/>
        <v>0</v>
      </c>
      <c r="AP474">
        <f t="shared" si="438"/>
        <v>0</v>
      </c>
      <c r="AQ474">
        <f t="shared" si="439"/>
        <v>4.1772141301521515E-15</v>
      </c>
      <c r="AR474">
        <f t="shared" ref="AR474:AR537" si="457">AP474/AI474</f>
        <v>0</v>
      </c>
      <c r="AS474">
        <f t="shared" si="440"/>
        <v>0</v>
      </c>
      <c r="AT474">
        <f t="shared" ref="AT474:AT537" si="458">AS474/AL474</f>
        <v>0</v>
      </c>
      <c r="AU474">
        <f t="shared" ref="AU474:AU537" si="459">IFERROR(EXP(AL474)*EXP(-EXP(AL474)),0)</f>
        <v>0</v>
      </c>
      <c r="AV474">
        <f t="shared" si="441"/>
        <v>1.7687166639710532E-20</v>
      </c>
      <c r="AW474" t="b">
        <f t="shared" ref="AW474:AW537" si="460">(ABS(_xlfn.COT(C474)*SIN(AV474))&lt;0.00000001)</f>
        <v>1</v>
      </c>
      <c r="AX474">
        <f t="shared" si="442"/>
        <v>7.8539816339744828</v>
      </c>
      <c r="AY474">
        <f t="shared" si="443"/>
        <v>0.35470874390593793</v>
      </c>
      <c r="AZ474">
        <f t="shared" si="444"/>
        <v>0.11867152971749854</v>
      </c>
      <c r="BA474">
        <f t="shared" si="445"/>
        <v>1.9715455255369163E-2</v>
      </c>
      <c r="BB474">
        <f t="shared" si="446"/>
        <v>-1.2337005501361696E-20</v>
      </c>
      <c r="BD474" s="15">
        <f t="shared" ref="BD474:BD537" si="461">SUM(AX474:BB474)</f>
        <v>8.3470773628532893</v>
      </c>
      <c r="BE474" s="10">
        <f t="shared" ref="BE474:BE537" si="462">BD474-AL474</f>
        <v>0</v>
      </c>
      <c r="BF474">
        <f t="shared" ref="BF474:BF537" si="463">BD474-AE474</f>
        <v>0</v>
      </c>
      <c r="BG474">
        <f t="shared" ref="BG474:BG537" si="464">AX474-Y474</f>
        <v>0</v>
      </c>
      <c r="BH474">
        <f t="shared" ref="BH474:BH537" si="465">AY474-AA474</f>
        <v>0</v>
      </c>
      <c r="BI474">
        <f t="shared" ref="BI474:BI537" si="466">AZ474-AC474</f>
        <v>0</v>
      </c>
    </row>
    <row r="475" spans="1:61" x14ac:dyDescent="0.3">
      <c r="A475">
        <f t="shared" si="413"/>
        <v>0.438</v>
      </c>
      <c r="B475">
        <f t="shared" si="414"/>
        <v>1.3760175822723293</v>
      </c>
      <c r="C475">
        <f t="shared" si="415"/>
        <v>1.7655750713174638</v>
      </c>
      <c r="D475">
        <f t="shared" si="416"/>
        <v>1.7655750713174638</v>
      </c>
      <c r="E475">
        <f t="shared" si="421"/>
        <v>0.98109051744333409</v>
      </c>
      <c r="F475">
        <f t="shared" si="422"/>
        <v>0.98109051744333409</v>
      </c>
      <c r="G475">
        <f t="shared" si="417"/>
        <v>1.3760175822723293</v>
      </c>
      <c r="H475">
        <f t="shared" si="418"/>
        <v>0.98109051744333409</v>
      </c>
      <c r="I475">
        <f t="shared" si="419"/>
        <v>0.98109051744333409</v>
      </c>
      <c r="J475">
        <f t="shared" si="409"/>
        <v>6.4888994547269321E+19</v>
      </c>
      <c r="K475">
        <f t="shared" si="410"/>
        <v>6.4888994547269321E+19</v>
      </c>
      <c r="L475">
        <f t="shared" si="423"/>
        <v>1</v>
      </c>
      <c r="M475">
        <f t="shared" si="420"/>
        <v>1.7655750713174639E-20</v>
      </c>
      <c r="N475" s="9">
        <f t="shared" si="411"/>
        <v>1.7655750713174639E-20</v>
      </c>
      <c r="O475">
        <f t="shared" si="412"/>
        <v>1.7655750713174639E-20</v>
      </c>
      <c r="Q475">
        <f t="shared" si="424"/>
        <v>45.619209707680461</v>
      </c>
      <c r="R475">
        <f t="shared" si="425"/>
        <v>0</v>
      </c>
      <c r="S475">
        <f t="shared" si="447"/>
        <v>-45.48322540311996</v>
      </c>
      <c r="T475" s="9" t="e">
        <f t="shared" si="426"/>
        <v>#N/A</v>
      </c>
      <c r="U475">
        <f t="shared" si="448"/>
        <v>-1.0000000000000001E+300</v>
      </c>
      <c r="V475">
        <f t="shared" si="449"/>
        <v>0</v>
      </c>
      <c r="W475">
        <f t="shared" si="450"/>
        <v>0</v>
      </c>
      <c r="X475">
        <f t="shared" si="427"/>
        <v>1.7655750713174638</v>
      </c>
      <c r="Y475">
        <f t="shared" si="428"/>
        <v>7.8539816339744828</v>
      </c>
      <c r="Z475">
        <f t="shared" si="429"/>
        <v>-1.7655750713174638</v>
      </c>
      <c r="AA475">
        <f t="shared" si="451"/>
        <v>0.34831252548222946</v>
      </c>
      <c r="AB475">
        <f t="shared" si="430"/>
        <v>8.2022941594567129</v>
      </c>
      <c r="AC475">
        <f t="shared" si="452"/>
        <v>0.11689375147149943</v>
      </c>
      <c r="AD475">
        <f t="shared" si="431"/>
        <v>1.9090553089004089E-2</v>
      </c>
      <c r="AE475" s="9">
        <f t="shared" si="453"/>
        <v>8.3382784640172165</v>
      </c>
      <c r="AF475">
        <f t="shared" si="454"/>
        <v>0</v>
      </c>
      <c r="AH475">
        <f t="shared" si="432"/>
        <v>7.8539816339744828</v>
      </c>
      <c r="AI475">
        <f t="shared" si="433"/>
        <v>0.34831252548222952</v>
      </c>
      <c r="AJ475">
        <f t="shared" si="434"/>
        <v>0.11689375147150116</v>
      </c>
      <c r="AK475">
        <f t="shared" si="435"/>
        <v>1.9090553089004089E-2</v>
      </c>
      <c r="AL475" s="9">
        <f t="shared" si="455"/>
        <v>8.3382784640172183</v>
      </c>
      <c r="AM475" t="e">
        <f t="shared" si="436"/>
        <v>#N/A</v>
      </c>
      <c r="AN475" t="e">
        <f t="shared" si="456"/>
        <v>#N/A</v>
      </c>
      <c r="AO475">
        <f t="shared" si="437"/>
        <v>0</v>
      </c>
      <c r="AP475">
        <f t="shared" si="438"/>
        <v>0</v>
      </c>
      <c r="AQ475">
        <f t="shared" si="439"/>
        <v>1.7347234759768071E-15</v>
      </c>
      <c r="AR475">
        <f t="shared" si="457"/>
        <v>0</v>
      </c>
      <c r="AS475">
        <f t="shared" si="440"/>
        <v>0</v>
      </c>
      <c r="AT475">
        <f t="shared" si="458"/>
        <v>0</v>
      </c>
      <c r="AU475">
        <f t="shared" si="459"/>
        <v>0</v>
      </c>
      <c r="AV475">
        <f t="shared" si="441"/>
        <v>1.7655750713174639E-20</v>
      </c>
      <c r="AW475" t="b">
        <f t="shared" si="460"/>
        <v>1</v>
      </c>
      <c r="AX475">
        <f t="shared" si="442"/>
        <v>7.8539816339744828</v>
      </c>
      <c r="AY475">
        <f t="shared" si="443"/>
        <v>0.3483125254822293</v>
      </c>
      <c r="AZ475">
        <f t="shared" si="444"/>
        <v>0.11689375147149943</v>
      </c>
      <c r="BA475">
        <f t="shared" si="445"/>
        <v>1.9090553089004089E-2</v>
      </c>
      <c r="BB475">
        <f t="shared" si="446"/>
        <v>-1.2337005501361696E-20</v>
      </c>
      <c r="BD475" s="15">
        <f t="shared" si="461"/>
        <v>8.3382784640172165</v>
      </c>
      <c r="BE475" s="10">
        <f t="shared" si="462"/>
        <v>0</v>
      </c>
      <c r="BF475">
        <f t="shared" si="463"/>
        <v>0</v>
      </c>
      <c r="BG475">
        <f t="shared" si="464"/>
        <v>0</v>
      </c>
      <c r="BH475">
        <f t="shared" si="465"/>
        <v>0</v>
      </c>
      <c r="BI475">
        <f t="shared" si="466"/>
        <v>0</v>
      </c>
    </row>
    <row r="476" spans="1:61" x14ac:dyDescent="0.3">
      <c r="A476">
        <f t="shared" si="413"/>
        <v>0.439</v>
      </c>
      <c r="B476">
        <f t="shared" si="414"/>
        <v>1.3791591749259191</v>
      </c>
      <c r="C476">
        <f t="shared" si="415"/>
        <v>1.762433478663874</v>
      </c>
      <c r="D476">
        <f t="shared" si="416"/>
        <v>1.762433478663874</v>
      </c>
      <c r="E476">
        <f t="shared" si="421"/>
        <v>0.9816937285463988</v>
      </c>
      <c r="F476">
        <f t="shared" si="422"/>
        <v>0.98169372854639891</v>
      </c>
      <c r="G476">
        <f t="shared" si="417"/>
        <v>1.3791591749259191</v>
      </c>
      <c r="H476">
        <f t="shared" si="418"/>
        <v>0.9816937285463988</v>
      </c>
      <c r="I476">
        <f t="shared" si="419"/>
        <v>0.98169372854639891</v>
      </c>
      <c r="J476">
        <f t="shared" si="409"/>
        <v>6.4849122883796869E+19</v>
      </c>
      <c r="K476">
        <f t="shared" si="410"/>
        <v>6.4849122883796869E+19</v>
      </c>
      <c r="L476">
        <f t="shared" si="423"/>
        <v>1</v>
      </c>
      <c r="M476">
        <f t="shared" si="420"/>
        <v>1.7624334786638739E-20</v>
      </c>
      <c r="N476" s="9">
        <f t="shared" si="411"/>
        <v>1.7624334786638739E-20</v>
      </c>
      <c r="O476">
        <f t="shared" si="412"/>
        <v>1.7624334786638739E-20</v>
      </c>
      <c r="Q476">
        <f t="shared" si="424"/>
        <v>45.618595059256123</v>
      </c>
      <c r="R476">
        <f t="shared" si="425"/>
        <v>-710542.73576010019</v>
      </c>
      <c r="S476">
        <f t="shared" si="447"/>
        <v>-45.485006347490952</v>
      </c>
      <c r="T476" s="9" t="e">
        <f t="shared" si="426"/>
        <v>#N/A</v>
      </c>
      <c r="U476">
        <f t="shared" si="448"/>
        <v>-1.0000000000000001E+300</v>
      </c>
      <c r="V476">
        <f t="shared" si="449"/>
        <v>0</v>
      </c>
      <c r="W476">
        <f t="shared" si="450"/>
        <v>0</v>
      </c>
      <c r="X476">
        <f t="shared" si="427"/>
        <v>1.762433478663874</v>
      </c>
      <c r="Y476">
        <f t="shared" si="428"/>
        <v>7.8539816339744828</v>
      </c>
      <c r="Z476">
        <f t="shared" si="429"/>
        <v>-1.762433478663874</v>
      </c>
      <c r="AA476">
        <f t="shared" si="451"/>
        <v>0.34194395763043317</v>
      </c>
      <c r="AB476">
        <f t="shared" si="430"/>
        <v>8.1959255916049152</v>
      </c>
      <c r="AC476">
        <f t="shared" si="452"/>
        <v>0.11511280710050467</v>
      </c>
      <c r="AD476">
        <f t="shared" si="431"/>
        <v>1.8475904664667184E-2</v>
      </c>
      <c r="AE476" s="9">
        <f t="shared" si="453"/>
        <v>8.3295143033700878</v>
      </c>
      <c r="AF476">
        <f t="shared" si="454"/>
        <v>0</v>
      </c>
      <c r="AH476">
        <f t="shared" si="432"/>
        <v>7.8539816339744828</v>
      </c>
      <c r="AI476">
        <f t="shared" si="433"/>
        <v>0.34194395763043328</v>
      </c>
      <c r="AJ476">
        <f t="shared" si="434"/>
        <v>0.11511280710050897</v>
      </c>
      <c r="AK476">
        <f t="shared" si="435"/>
        <v>1.8475904664667184E-2</v>
      </c>
      <c r="AL476" s="9">
        <f t="shared" si="455"/>
        <v>8.3295143033700914</v>
      </c>
      <c r="AM476" t="e">
        <f t="shared" si="436"/>
        <v>#N/A</v>
      </c>
      <c r="AN476" t="e">
        <f t="shared" si="456"/>
        <v>#N/A</v>
      </c>
      <c r="AO476">
        <f t="shared" si="437"/>
        <v>0</v>
      </c>
      <c r="AP476">
        <f t="shared" si="438"/>
        <v>0</v>
      </c>
      <c r="AQ476">
        <f t="shared" si="439"/>
        <v>4.3021142204224816E-15</v>
      </c>
      <c r="AR476">
        <f t="shared" si="457"/>
        <v>0</v>
      </c>
      <c r="AS476">
        <f t="shared" si="440"/>
        <v>0</v>
      </c>
      <c r="AT476">
        <f t="shared" si="458"/>
        <v>0</v>
      </c>
      <c r="AU476">
        <f t="shared" si="459"/>
        <v>0</v>
      </c>
      <c r="AV476">
        <f t="shared" si="441"/>
        <v>1.7624334786638739E-20</v>
      </c>
      <c r="AW476" t="b">
        <f t="shared" si="460"/>
        <v>1</v>
      </c>
      <c r="AX476">
        <f t="shared" si="442"/>
        <v>7.8539816339744828</v>
      </c>
      <c r="AY476">
        <f t="shared" si="443"/>
        <v>0.34194395763043306</v>
      </c>
      <c r="AZ476">
        <f t="shared" si="444"/>
        <v>0.11511280710050467</v>
      </c>
      <c r="BA476">
        <f t="shared" si="445"/>
        <v>1.8475904664667069E-2</v>
      </c>
      <c r="BB476">
        <f t="shared" si="446"/>
        <v>-1.2337005501361696E-20</v>
      </c>
      <c r="BD476" s="15">
        <f t="shared" si="461"/>
        <v>8.3295143033700878</v>
      </c>
      <c r="BE476" s="10">
        <f t="shared" si="462"/>
        <v>0</v>
      </c>
      <c r="BF476">
        <f t="shared" si="463"/>
        <v>0</v>
      </c>
      <c r="BG476">
        <f t="shared" si="464"/>
        <v>0</v>
      </c>
      <c r="BH476">
        <f t="shared" si="465"/>
        <v>0</v>
      </c>
      <c r="BI476">
        <f t="shared" si="466"/>
        <v>0</v>
      </c>
    </row>
    <row r="477" spans="1:61" x14ac:dyDescent="0.3">
      <c r="A477">
        <f t="shared" si="413"/>
        <v>0.44</v>
      </c>
      <c r="B477">
        <f t="shared" si="414"/>
        <v>1.3823007675795089</v>
      </c>
      <c r="C477">
        <f t="shared" si="415"/>
        <v>1.7592918860102842</v>
      </c>
      <c r="D477">
        <f t="shared" si="416"/>
        <v>1.7592918860102842</v>
      </c>
      <c r="E477">
        <f t="shared" si="421"/>
        <v>0.98228725072868861</v>
      </c>
      <c r="F477">
        <f t="shared" si="422"/>
        <v>0.98228725072868872</v>
      </c>
      <c r="G477">
        <f t="shared" si="417"/>
        <v>1.3823007675795089</v>
      </c>
      <c r="H477">
        <f t="shared" si="418"/>
        <v>0.98228725072868861</v>
      </c>
      <c r="I477">
        <f t="shared" si="419"/>
        <v>0.98228725072868872</v>
      </c>
      <c r="J477">
        <f t="shared" si="409"/>
        <v>6.4809939444426138E+19</v>
      </c>
      <c r="K477">
        <f t="shared" si="410"/>
        <v>6.4809939444426138E+19</v>
      </c>
      <c r="L477" t="e">
        <f t="shared" si="423"/>
        <v>#NUM!</v>
      </c>
      <c r="M477">
        <f t="shared" si="420"/>
        <v>1.7592918860102842E-20</v>
      </c>
      <c r="N477" s="9" t="e">
        <f t="shared" si="411"/>
        <v>#NUM!</v>
      </c>
      <c r="O477" t="e">
        <f t="shared" si="412"/>
        <v>#NUM!</v>
      </c>
      <c r="Q477">
        <f t="shared" si="424"/>
        <v>45.617990651976605</v>
      </c>
      <c r="R477">
        <f t="shared" si="425"/>
        <v>0</v>
      </c>
      <c r="S477">
        <f t="shared" si="447"/>
        <v>-45.486790469284458</v>
      </c>
      <c r="T477" s="9" t="e">
        <f t="shared" si="426"/>
        <v>#N/A</v>
      </c>
      <c r="U477">
        <f t="shared" si="448"/>
        <v>-1.0000000000000001E+300</v>
      </c>
      <c r="V477">
        <f t="shared" si="449"/>
        <v>0</v>
      </c>
      <c r="W477">
        <f t="shared" si="450"/>
        <v>0</v>
      </c>
      <c r="X477">
        <f t="shared" si="427"/>
        <v>1.7592918860102842</v>
      </c>
      <c r="Y477">
        <f t="shared" si="428"/>
        <v>7.8539816339744828</v>
      </c>
      <c r="Z477">
        <f t="shared" si="429"/>
        <v>-1.7592918860102842</v>
      </c>
      <c r="AA477">
        <f t="shared" si="451"/>
        <v>0.33560287593680554</v>
      </c>
      <c r="AB477">
        <f t="shared" si="430"/>
        <v>8.1895845099112883</v>
      </c>
      <c r="AC477">
        <f t="shared" si="452"/>
        <v>0.11332868530700327</v>
      </c>
      <c r="AD477">
        <f t="shared" si="431"/>
        <v>1.7871497385145478E-2</v>
      </c>
      <c r="AE477" s="9">
        <f t="shared" si="453"/>
        <v>8.3207846926034374</v>
      </c>
      <c r="AF477">
        <f t="shared" si="454"/>
        <v>0</v>
      </c>
      <c r="AH477">
        <f t="shared" si="432"/>
        <v>7.8539816339744828</v>
      </c>
      <c r="AI477">
        <f t="shared" si="433"/>
        <v>0.33560287593680571</v>
      </c>
      <c r="AJ477">
        <f t="shared" si="434"/>
        <v>0.11332868530700324</v>
      </c>
      <c r="AK477">
        <f t="shared" si="435"/>
        <v>1.7871497385145478E-2</v>
      </c>
      <c r="AL477" s="9">
        <f t="shared" si="455"/>
        <v>8.3207846926034374</v>
      </c>
      <c r="AM477" t="e">
        <f t="shared" si="436"/>
        <v>#N/A</v>
      </c>
      <c r="AN477" t="e">
        <f t="shared" si="456"/>
        <v>#N/A</v>
      </c>
      <c r="AO477">
        <f t="shared" si="437"/>
        <v>0</v>
      </c>
      <c r="AP477">
        <f t="shared" si="438"/>
        <v>0</v>
      </c>
      <c r="AQ477">
        <f t="shared" si="439"/>
        <v>0</v>
      </c>
      <c r="AR477">
        <f t="shared" si="457"/>
        <v>0</v>
      </c>
      <c r="AS477">
        <f t="shared" si="440"/>
        <v>0</v>
      </c>
      <c r="AT477">
        <f t="shared" si="458"/>
        <v>0</v>
      </c>
      <c r="AU477">
        <f t="shared" si="459"/>
        <v>0</v>
      </c>
      <c r="AV477">
        <f t="shared" si="441"/>
        <v>1.7592918860102842E-20</v>
      </c>
      <c r="AW477" t="b">
        <f t="shared" si="460"/>
        <v>1</v>
      </c>
      <c r="AX477">
        <f t="shared" si="442"/>
        <v>7.8539816339744828</v>
      </c>
      <c r="AY477">
        <f t="shared" si="443"/>
        <v>0.33560287593680543</v>
      </c>
      <c r="AZ477">
        <f t="shared" si="444"/>
        <v>0.11332868530700327</v>
      </c>
      <c r="BA477">
        <f t="shared" si="445"/>
        <v>1.7871497385145364E-2</v>
      </c>
      <c r="BB477">
        <f t="shared" si="446"/>
        <v>-1.2337005501361696E-20</v>
      </c>
      <c r="BD477" s="15">
        <f t="shared" si="461"/>
        <v>8.3207846926034374</v>
      </c>
      <c r="BE477" s="10">
        <f t="shared" si="462"/>
        <v>0</v>
      </c>
      <c r="BF477">
        <f t="shared" si="463"/>
        <v>0</v>
      </c>
      <c r="BG477">
        <f t="shared" si="464"/>
        <v>0</v>
      </c>
      <c r="BH477">
        <f t="shared" si="465"/>
        <v>0</v>
      </c>
      <c r="BI477">
        <f t="shared" si="466"/>
        <v>0</v>
      </c>
    </row>
    <row r="478" spans="1:61" x14ac:dyDescent="0.3">
      <c r="A478">
        <f t="shared" si="413"/>
        <v>0.441</v>
      </c>
      <c r="B478">
        <f t="shared" si="414"/>
        <v>1.3854423602330987</v>
      </c>
      <c r="C478">
        <f t="shared" si="415"/>
        <v>1.7561502933566944</v>
      </c>
      <c r="D478">
        <f t="shared" si="416"/>
        <v>1.7561502933566944</v>
      </c>
      <c r="E478">
        <f t="shared" si="421"/>
        <v>0.98287107813237917</v>
      </c>
      <c r="F478">
        <f t="shared" si="422"/>
        <v>0.98287107813237917</v>
      </c>
      <c r="G478">
        <f t="shared" si="417"/>
        <v>1.3854423602330987</v>
      </c>
      <c r="H478">
        <f t="shared" si="418"/>
        <v>0.98287107813237917</v>
      </c>
      <c r="I478">
        <f t="shared" si="419"/>
        <v>0.98287107813237917</v>
      </c>
      <c r="J478">
        <f t="shared" si="409"/>
        <v>6.4771442209619837E+19</v>
      </c>
      <c r="K478">
        <f t="shared" si="410"/>
        <v>6.4771442209619837E+19</v>
      </c>
      <c r="L478">
        <f t="shared" si="423"/>
        <v>1</v>
      </c>
      <c r="M478">
        <f t="shared" si="420"/>
        <v>1.7561502933566943E-20</v>
      </c>
      <c r="N478" s="9">
        <f t="shared" si="411"/>
        <v>1.7561502933566943E-20</v>
      </c>
      <c r="O478">
        <f t="shared" si="412"/>
        <v>1.7561502933566943E-20</v>
      </c>
      <c r="Q478">
        <f t="shared" si="424"/>
        <v>45.617396473469668</v>
      </c>
      <c r="R478">
        <f t="shared" si="425"/>
        <v>0</v>
      </c>
      <c r="S478">
        <f t="shared" si="447"/>
        <v>-45.488577779858552</v>
      </c>
      <c r="T478" s="9" t="e">
        <f t="shared" si="426"/>
        <v>#N/A</v>
      </c>
      <c r="U478">
        <f t="shared" si="448"/>
        <v>-1.0000000000000001E+300</v>
      </c>
      <c r="V478">
        <f t="shared" si="449"/>
        <v>0</v>
      </c>
      <c r="W478">
        <f t="shared" si="450"/>
        <v>0</v>
      </c>
      <c r="X478">
        <f t="shared" si="427"/>
        <v>1.7561502933566944</v>
      </c>
      <c r="Y478">
        <f t="shared" si="428"/>
        <v>7.8539816339744828</v>
      </c>
      <c r="Z478">
        <f t="shared" si="429"/>
        <v>-1.7561502933566944</v>
      </c>
      <c r="AA478">
        <f t="shared" si="451"/>
        <v>0.32928911747178385</v>
      </c>
      <c r="AB478">
        <f t="shared" si="430"/>
        <v>8.1832707514462673</v>
      </c>
      <c r="AC478">
        <f t="shared" si="452"/>
        <v>0.11154137473290751</v>
      </c>
      <c r="AD478">
        <f t="shared" si="431"/>
        <v>1.7277318878210088E-2</v>
      </c>
      <c r="AE478" s="9">
        <f t="shared" si="453"/>
        <v>8.312089445057385</v>
      </c>
      <c r="AF478">
        <f t="shared" si="454"/>
        <v>0</v>
      </c>
      <c r="AH478">
        <f t="shared" si="432"/>
        <v>7.8539816339744828</v>
      </c>
      <c r="AI478">
        <f t="shared" si="433"/>
        <v>0.32928911747178397</v>
      </c>
      <c r="AJ478">
        <f t="shared" si="434"/>
        <v>0.11154137473290859</v>
      </c>
      <c r="AK478">
        <f t="shared" si="435"/>
        <v>1.7277318878210088E-2</v>
      </c>
      <c r="AL478" s="9">
        <f t="shared" si="455"/>
        <v>8.3120894450573868</v>
      </c>
      <c r="AM478" t="e">
        <f t="shared" si="436"/>
        <v>#N/A</v>
      </c>
      <c r="AN478" t="e">
        <f t="shared" si="456"/>
        <v>#N/A</v>
      </c>
      <c r="AO478">
        <f t="shared" si="437"/>
        <v>0</v>
      </c>
      <c r="AP478">
        <f t="shared" si="438"/>
        <v>0</v>
      </c>
      <c r="AQ478">
        <f t="shared" si="439"/>
        <v>1.0824674490095276E-15</v>
      </c>
      <c r="AR478">
        <f t="shared" si="457"/>
        <v>0</v>
      </c>
      <c r="AS478">
        <f t="shared" si="440"/>
        <v>0</v>
      </c>
      <c r="AT478">
        <f t="shared" si="458"/>
        <v>0</v>
      </c>
      <c r="AU478">
        <f t="shared" si="459"/>
        <v>0</v>
      </c>
      <c r="AV478">
        <f t="shared" si="441"/>
        <v>1.7561502933566943E-20</v>
      </c>
      <c r="AW478" t="b">
        <f t="shared" si="460"/>
        <v>1</v>
      </c>
      <c r="AX478">
        <f t="shared" si="442"/>
        <v>7.8539816339744828</v>
      </c>
      <c r="AY478">
        <f t="shared" si="443"/>
        <v>0.32928911747178374</v>
      </c>
      <c r="AZ478">
        <f t="shared" si="444"/>
        <v>0.11154137473290751</v>
      </c>
      <c r="BA478">
        <f t="shared" si="445"/>
        <v>1.7277318878210088E-2</v>
      </c>
      <c r="BB478">
        <f t="shared" si="446"/>
        <v>-1.2337005501361696E-20</v>
      </c>
      <c r="BD478" s="15">
        <f t="shared" si="461"/>
        <v>8.312089445057385</v>
      </c>
      <c r="BE478" s="10">
        <f t="shared" si="462"/>
        <v>0</v>
      </c>
      <c r="BF478">
        <f t="shared" si="463"/>
        <v>0</v>
      </c>
      <c r="BG478">
        <f t="shared" si="464"/>
        <v>0</v>
      </c>
      <c r="BH478">
        <f t="shared" si="465"/>
        <v>0</v>
      </c>
      <c r="BI478">
        <f t="shared" si="466"/>
        <v>0</v>
      </c>
    </row>
    <row r="479" spans="1:61" x14ac:dyDescent="0.3">
      <c r="A479">
        <f t="shared" si="413"/>
        <v>0.442</v>
      </c>
      <c r="B479">
        <f t="shared" si="414"/>
        <v>1.3885839528866886</v>
      </c>
      <c r="C479">
        <f t="shared" si="415"/>
        <v>1.7530087007031045</v>
      </c>
      <c r="D479">
        <f t="shared" si="416"/>
        <v>1.7530087007031045</v>
      </c>
      <c r="E479">
        <f t="shared" si="421"/>
        <v>0.98344520499532972</v>
      </c>
      <c r="F479">
        <f t="shared" si="422"/>
        <v>0.98344520499532972</v>
      </c>
      <c r="G479">
        <f t="shared" si="417"/>
        <v>1.3885839528866886</v>
      </c>
      <c r="H479">
        <f t="shared" si="418"/>
        <v>0.98344520499532972</v>
      </c>
      <c r="I479">
        <f t="shared" si="419"/>
        <v>0.98344520499532972</v>
      </c>
      <c r="J479">
        <f t="shared" si="409"/>
        <v>6.4733629198040031E+19</v>
      </c>
      <c r="K479">
        <f t="shared" si="410"/>
        <v>6.4733629198040031E+19</v>
      </c>
      <c r="L479">
        <f t="shared" si="423"/>
        <v>1</v>
      </c>
      <c r="M479">
        <f t="shared" si="420"/>
        <v>1.7530087007031046E-20</v>
      </c>
      <c r="N479" s="9">
        <f t="shared" si="411"/>
        <v>1.7530087007031046E-20</v>
      </c>
      <c r="O479">
        <f t="shared" si="412"/>
        <v>1.7530087007031046E-20</v>
      </c>
      <c r="Q479">
        <f t="shared" si="424"/>
        <v>45.616812511587042</v>
      </c>
      <c r="R479">
        <f t="shared" si="425"/>
        <v>0</v>
      </c>
      <c r="S479">
        <f t="shared" si="447"/>
        <v>-45.49036829063234</v>
      </c>
      <c r="T479" s="9" t="e">
        <f t="shared" si="426"/>
        <v>#N/A</v>
      </c>
      <c r="U479">
        <f t="shared" si="448"/>
        <v>-1.0000000000000001E+300</v>
      </c>
      <c r="V479">
        <f t="shared" si="449"/>
        <v>0</v>
      </c>
      <c r="W479">
        <f t="shared" si="450"/>
        <v>0</v>
      </c>
      <c r="X479">
        <f t="shared" si="427"/>
        <v>1.7530087007031045</v>
      </c>
      <c r="Y479">
        <f t="shared" si="428"/>
        <v>7.8539816339744828</v>
      </c>
      <c r="Z479">
        <f t="shared" si="429"/>
        <v>-1.7530087007031045</v>
      </c>
      <c r="AA479">
        <f t="shared" si="451"/>
        <v>0.32300252077331593</v>
      </c>
      <c r="AB479">
        <f t="shared" si="430"/>
        <v>8.1769841547477995</v>
      </c>
      <c r="AC479">
        <f t="shared" si="452"/>
        <v>0.10975086395911929</v>
      </c>
      <c r="AD479">
        <f t="shared" si="431"/>
        <v>1.6693356995584933E-2</v>
      </c>
      <c r="AE479" s="9">
        <f t="shared" si="453"/>
        <v>8.303428375702504</v>
      </c>
      <c r="AF479">
        <f t="shared" si="454"/>
        <v>0</v>
      </c>
      <c r="AH479">
        <f t="shared" si="432"/>
        <v>7.8539816339744828</v>
      </c>
      <c r="AI479">
        <f t="shared" si="433"/>
        <v>0.32300252077331604</v>
      </c>
      <c r="AJ479">
        <f t="shared" si="434"/>
        <v>0.10975086395912115</v>
      </c>
      <c r="AK479">
        <f t="shared" si="435"/>
        <v>1.6693356995584933E-2</v>
      </c>
      <c r="AL479" s="9">
        <f t="shared" si="455"/>
        <v>8.3034283757025058</v>
      </c>
      <c r="AM479" t="e">
        <f t="shared" si="436"/>
        <v>#N/A</v>
      </c>
      <c r="AN479" t="e">
        <f t="shared" si="456"/>
        <v>#N/A</v>
      </c>
      <c r="AO479">
        <f t="shared" si="437"/>
        <v>0</v>
      </c>
      <c r="AP479">
        <f t="shared" si="438"/>
        <v>0</v>
      </c>
      <c r="AQ479">
        <f t="shared" si="439"/>
        <v>1.8596235662471372E-15</v>
      </c>
      <c r="AR479">
        <f t="shared" si="457"/>
        <v>0</v>
      </c>
      <c r="AS479">
        <f t="shared" si="440"/>
        <v>0</v>
      </c>
      <c r="AT479">
        <f t="shared" si="458"/>
        <v>0</v>
      </c>
      <c r="AU479">
        <f t="shared" si="459"/>
        <v>0</v>
      </c>
      <c r="AV479">
        <f t="shared" si="441"/>
        <v>1.7530087007031043E-20</v>
      </c>
      <c r="AW479" t="b">
        <f t="shared" si="460"/>
        <v>1</v>
      </c>
      <c r="AX479">
        <f t="shared" si="442"/>
        <v>7.8539816339744828</v>
      </c>
      <c r="AY479">
        <f t="shared" si="443"/>
        <v>0.32300252077331576</v>
      </c>
      <c r="AZ479">
        <f t="shared" si="444"/>
        <v>0.10975086395911909</v>
      </c>
      <c r="BA479">
        <f t="shared" si="445"/>
        <v>1.6693356995584933E-2</v>
      </c>
      <c r="BB479">
        <f t="shared" si="446"/>
        <v>-1.2337005501361696E-20</v>
      </c>
      <c r="BD479" s="15">
        <f t="shared" si="461"/>
        <v>8.3034283757025023</v>
      </c>
      <c r="BE479" s="10">
        <f t="shared" si="462"/>
        <v>0</v>
      </c>
      <c r="BF479">
        <f t="shared" si="463"/>
        <v>0</v>
      </c>
      <c r="BG479">
        <f t="shared" si="464"/>
        <v>0</v>
      </c>
      <c r="BH479">
        <f t="shared" si="465"/>
        <v>0</v>
      </c>
      <c r="BI479">
        <f t="shared" si="466"/>
        <v>-1.9428902930940239E-16</v>
      </c>
    </row>
    <row r="480" spans="1:61" x14ac:dyDescent="0.3">
      <c r="A480">
        <f t="shared" si="413"/>
        <v>0.443</v>
      </c>
      <c r="B480">
        <f t="shared" si="414"/>
        <v>1.3917255455402784</v>
      </c>
      <c r="C480">
        <f t="shared" si="415"/>
        <v>1.7498671080495147</v>
      </c>
      <c r="D480">
        <f t="shared" si="416"/>
        <v>1.7498671080495147</v>
      </c>
      <c r="E480">
        <f t="shared" si="421"/>
        <v>0.9840096256511397</v>
      </c>
      <c r="F480">
        <f t="shared" si="422"/>
        <v>0.98400962565113981</v>
      </c>
      <c r="G480">
        <f t="shared" si="417"/>
        <v>1.3917255455402784</v>
      </c>
      <c r="H480">
        <f t="shared" si="418"/>
        <v>0.9840096256511397</v>
      </c>
      <c r="I480">
        <f t="shared" si="419"/>
        <v>0.98400962565113981</v>
      </c>
      <c r="J480">
        <f t="shared" si="409"/>
        <v>6.4696498466294661E+19</v>
      </c>
      <c r="K480">
        <f t="shared" si="410"/>
        <v>6.4696498466294661E+19</v>
      </c>
      <c r="L480">
        <f t="shared" si="423"/>
        <v>1</v>
      </c>
      <c r="M480">
        <f t="shared" si="420"/>
        <v>1.7498671080495147E-20</v>
      </c>
      <c r="N480" s="9">
        <f t="shared" si="411"/>
        <v>1.7498671080495147E-20</v>
      </c>
      <c r="O480">
        <f t="shared" si="412"/>
        <v>1.7498671080495147E-20</v>
      </c>
      <c r="Q480">
        <f t="shared" si="424"/>
        <v>45.616238754403398</v>
      </c>
      <c r="R480">
        <f t="shared" si="425"/>
        <v>0</v>
      </c>
      <c r="S480">
        <f t="shared" si="447"/>
        <v>-45.492162013086364</v>
      </c>
      <c r="T480" s="9" t="e">
        <f t="shared" si="426"/>
        <v>#N/A</v>
      </c>
      <c r="U480">
        <f t="shared" si="448"/>
        <v>-1.0000000000000001E+300</v>
      </c>
      <c r="V480">
        <f t="shared" si="449"/>
        <v>0</v>
      </c>
      <c r="W480">
        <f t="shared" si="450"/>
        <v>0</v>
      </c>
      <c r="X480">
        <f t="shared" si="427"/>
        <v>1.7498671080495147</v>
      </c>
      <c r="Y480">
        <f t="shared" si="428"/>
        <v>7.8539816339744828</v>
      </c>
      <c r="Z480">
        <f t="shared" si="429"/>
        <v>-1.7498671080495147</v>
      </c>
      <c r="AA480">
        <f t="shared" si="451"/>
        <v>0.3167429258304148</v>
      </c>
      <c r="AB480">
        <f t="shared" si="430"/>
        <v>8.1707245598048974</v>
      </c>
      <c r="AC480">
        <f t="shared" si="452"/>
        <v>0.10795714150509217</v>
      </c>
      <c r="AD480">
        <f t="shared" si="431"/>
        <v>1.6119599811936326E-2</v>
      </c>
      <c r="AE480" s="9">
        <f t="shared" si="453"/>
        <v>8.294801301121927</v>
      </c>
      <c r="AF480">
        <f t="shared" si="454"/>
        <v>0</v>
      </c>
      <c r="AH480">
        <f t="shared" si="432"/>
        <v>7.8539816339744828</v>
      </c>
      <c r="AI480">
        <f t="shared" si="433"/>
        <v>0.31674292583041491</v>
      </c>
      <c r="AJ480">
        <f t="shared" si="434"/>
        <v>0.10795714150509639</v>
      </c>
      <c r="AK480">
        <f t="shared" si="435"/>
        <v>1.6119599811936326E-2</v>
      </c>
      <c r="AL480" s="9">
        <f t="shared" si="455"/>
        <v>8.2948013011219306</v>
      </c>
      <c r="AM480" t="e">
        <f t="shared" si="436"/>
        <v>#N/A</v>
      </c>
      <c r="AN480" t="e">
        <f t="shared" si="456"/>
        <v>#N/A</v>
      </c>
      <c r="AO480">
        <f t="shared" si="437"/>
        <v>0</v>
      </c>
      <c r="AP480">
        <f t="shared" si="438"/>
        <v>0</v>
      </c>
      <c r="AQ480">
        <f t="shared" si="439"/>
        <v>4.2188474935755949E-15</v>
      </c>
      <c r="AR480">
        <f t="shared" si="457"/>
        <v>0</v>
      </c>
      <c r="AS480">
        <f t="shared" si="440"/>
        <v>0</v>
      </c>
      <c r="AT480">
        <f t="shared" si="458"/>
        <v>0</v>
      </c>
      <c r="AU480">
        <f t="shared" si="459"/>
        <v>0</v>
      </c>
      <c r="AV480">
        <f t="shared" si="441"/>
        <v>1.7498671080495147E-20</v>
      </c>
      <c r="AW480" t="b">
        <f t="shared" si="460"/>
        <v>1</v>
      </c>
      <c r="AX480">
        <f t="shared" si="442"/>
        <v>7.8539816339744828</v>
      </c>
      <c r="AY480">
        <f t="shared" si="443"/>
        <v>0.31674292583041463</v>
      </c>
      <c r="AZ480">
        <f t="shared" si="444"/>
        <v>0.10795714150509236</v>
      </c>
      <c r="BA480">
        <f t="shared" si="445"/>
        <v>1.6119599811936215E-2</v>
      </c>
      <c r="BB480">
        <f t="shared" si="446"/>
        <v>-1.2337005501361696E-20</v>
      </c>
      <c r="BD480" s="15">
        <f t="shared" si="461"/>
        <v>8.294801301121927</v>
      </c>
      <c r="BE480" s="10">
        <f t="shared" si="462"/>
        <v>0</v>
      </c>
      <c r="BF480">
        <f t="shared" si="463"/>
        <v>0</v>
      </c>
      <c r="BG480">
        <f t="shared" si="464"/>
        <v>0</v>
      </c>
      <c r="BH480">
        <f t="shared" si="465"/>
        <v>0</v>
      </c>
      <c r="BI480">
        <f t="shared" si="466"/>
        <v>1.9428902930940239E-16</v>
      </c>
    </row>
    <row r="481" spans="1:61" x14ac:dyDescent="0.3">
      <c r="A481">
        <f t="shared" si="413"/>
        <v>0.44400000000000001</v>
      </c>
      <c r="B481">
        <f t="shared" si="414"/>
        <v>1.3948671381938682</v>
      </c>
      <c r="C481">
        <f t="shared" si="415"/>
        <v>1.7467255153959249</v>
      </c>
      <c r="D481">
        <f t="shared" si="416"/>
        <v>1.7467255153959249</v>
      </c>
      <c r="E481">
        <f t="shared" si="421"/>
        <v>0.98456433452920533</v>
      </c>
      <c r="F481">
        <f t="shared" si="422"/>
        <v>0.98456433452920544</v>
      </c>
      <c r="G481">
        <f t="shared" si="417"/>
        <v>1.3948671381938682</v>
      </c>
      <c r="H481">
        <f t="shared" si="418"/>
        <v>0.98456433452920533</v>
      </c>
      <c r="I481">
        <f t="shared" si="419"/>
        <v>0.98456433452920544</v>
      </c>
      <c r="J481">
        <f t="shared" si="409"/>
        <v>6.4660048108689359E+19</v>
      </c>
      <c r="K481">
        <f t="shared" si="410"/>
        <v>6.4660048108689359E+19</v>
      </c>
      <c r="L481">
        <f t="shared" si="423"/>
        <v>1</v>
      </c>
      <c r="M481">
        <f t="shared" si="420"/>
        <v>1.7467255153959247E-20</v>
      </c>
      <c r="N481" s="9">
        <f t="shared" si="411"/>
        <v>1.7467255153959247E-20</v>
      </c>
      <c r="O481">
        <f t="shared" si="412"/>
        <v>1.7467255153959247E-20</v>
      </c>
      <c r="Q481">
        <f t="shared" si="424"/>
        <v>45.615675190215342</v>
      </c>
      <c r="R481">
        <f t="shared" si="425"/>
        <v>0</v>
      </c>
      <c r="S481">
        <f t="shared" si="447"/>
        <v>-45.493958958763066</v>
      </c>
      <c r="T481" s="9" t="e">
        <f t="shared" si="426"/>
        <v>#N/A</v>
      </c>
      <c r="U481">
        <f t="shared" si="448"/>
        <v>-1.0000000000000001E+300</v>
      </c>
      <c r="V481">
        <f t="shared" si="449"/>
        <v>0</v>
      </c>
      <c r="W481">
        <f t="shared" si="450"/>
        <v>0</v>
      </c>
      <c r="X481">
        <f t="shared" si="427"/>
        <v>1.7467255153959249</v>
      </c>
      <c r="Y481">
        <f t="shared" si="428"/>
        <v>7.8539816339744828</v>
      </c>
      <c r="Z481">
        <f t="shared" si="429"/>
        <v>-1.7467255153959249</v>
      </c>
      <c r="AA481">
        <f t="shared" si="451"/>
        <v>0.31051017406693571</v>
      </c>
      <c r="AB481">
        <f t="shared" si="430"/>
        <v>8.1644918080414186</v>
      </c>
      <c r="AC481">
        <f t="shared" si="452"/>
        <v>0.10616019582839052</v>
      </c>
      <c r="AD481">
        <f t="shared" si="431"/>
        <v>1.5556035623881817E-2</v>
      </c>
      <c r="AE481" s="9">
        <f t="shared" si="453"/>
        <v>8.2862080394936921</v>
      </c>
      <c r="AF481">
        <f t="shared" si="454"/>
        <v>0</v>
      </c>
      <c r="AH481">
        <f t="shared" si="432"/>
        <v>7.8539816339744828</v>
      </c>
      <c r="AI481">
        <f t="shared" si="433"/>
        <v>0.31051017406693576</v>
      </c>
      <c r="AJ481">
        <f t="shared" si="434"/>
        <v>0.10616019582839442</v>
      </c>
      <c r="AK481">
        <f t="shared" si="435"/>
        <v>1.5556035623881817E-2</v>
      </c>
      <c r="AL481" s="9">
        <f t="shared" si="455"/>
        <v>8.2862080394936957</v>
      </c>
      <c r="AM481" t="e">
        <f t="shared" si="436"/>
        <v>#N/A</v>
      </c>
      <c r="AN481" t="e">
        <f t="shared" si="456"/>
        <v>#N/A</v>
      </c>
      <c r="AO481">
        <f t="shared" si="437"/>
        <v>0</v>
      </c>
      <c r="AP481">
        <f t="shared" si="438"/>
        <v>0</v>
      </c>
      <c r="AQ481">
        <f t="shared" si="439"/>
        <v>3.8996583739958623E-15</v>
      </c>
      <c r="AR481">
        <f t="shared" si="457"/>
        <v>0</v>
      </c>
      <c r="AS481">
        <f t="shared" si="440"/>
        <v>0</v>
      </c>
      <c r="AT481">
        <f t="shared" si="458"/>
        <v>0</v>
      </c>
      <c r="AU481">
        <f t="shared" si="459"/>
        <v>0</v>
      </c>
      <c r="AV481">
        <f t="shared" si="441"/>
        <v>1.7467255153959247E-20</v>
      </c>
      <c r="AW481" t="b">
        <f t="shared" si="460"/>
        <v>1</v>
      </c>
      <c r="AX481">
        <f t="shared" si="442"/>
        <v>7.8539816339744828</v>
      </c>
      <c r="AY481">
        <f t="shared" si="443"/>
        <v>0.3105101740669356</v>
      </c>
      <c r="AZ481">
        <f t="shared" si="444"/>
        <v>0.10616019582839052</v>
      </c>
      <c r="BA481">
        <f t="shared" si="445"/>
        <v>1.5556035623881704E-2</v>
      </c>
      <c r="BB481">
        <f t="shared" si="446"/>
        <v>-1.2337005501361696E-20</v>
      </c>
      <c r="BD481" s="15">
        <f t="shared" si="461"/>
        <v>8.2862080394936903</v>
      </c>
      <c r="BE481" s="10">
        <f t="shared" si="462"/>
        <v>0</v>
      </c>
      <c r="BF481">
        <f t="shared" si="463"/>
        <v>0</v>
      </c>
      <c r="BG481">
        <f t="shared" si="464"/>
        <v>0</v>
      </c>
      <c r="BH481">
        <f t="shared" si="465"/>
        <v>0</v>
      </c>
      <c r="BI481">
        <f t="shared" si="466"/>
        <v>0</v>
      </c>
    </row>
    <row r="482" spans="1:61" x14ac:dyDescent="0.3">
      <c r="A482">
        <f t="shared" si="413"/>
        <v>0.44500000000000001</v>
      </c>
      <c r="B482">
        <f t="shared" si="414"/>
        <v>1.398008730847458</v>
      </c>
      <c r="C482">
        <f t="shared" si="415"/>
        <v>1.7435839227423351</v>
      </c>
      <c r="D482">
        <f t="shared" si="416"/>
        <v>1.7435839227423351</v>
      </c>
      <c r="E482">
        <f t="shared" si="421"/>
        <v>0.98510932615477398</v>
      </c>
      <c r="F482">
        <f t="shared" si="422"/>
        <v>0.98510932615477398</v>
      </c>
      <c r="G482">
        <f t="shared" si="417"/>
        <v>1.398008730847458</v>
      </c>
      <c r="H482">
        <f t="shared" si="418"/>
        <v>0.98510932615477398</v>
      </c>
      <c r="I482">
        <f t="shared" si="419"/>
        <v>0.98510932615477398</v>
      </c>
      <c r="J482">
        <f t="shared" si="409"/>
        <v>6.4624276256984687E+19</v>
      </c>
      <c r="K482">
        <f t="shared" si="410"/>
        <v>6.4624276256984687E+19</v>
      </c>
      <c r="L482">
        <f t="shared" si="423"/>
        <v>1</v>
      </c>
      <c r="M482">
        <f t="shared" si="420"/>
        <v>1.743583922742335E-20</v>
      </c>
      <c r="N482" s="9">
        <f t="shared" si="411"/>
        <v>1.743583922742335E-20</v>
      </c>
      <c r="O482">
        <f t="shared" si="412"/>
        <v>1.743583922742335E-20</v>
      </c>
      <c r="Q482">
        <f t="shared" si="424"/>
        <v>45.615121807540483</v>
      </c>
      <c r="R482">
        <f t="shared" si="425"/>
        <v>0</v>
      </c>
      <c r="S482">
        <f t="shared" si="447"/>
        <v>-45.495759139267214</v>
      </c>
      <c r="T482" s="9" t="e">
        <f t="shared" si="426"/>
        <v>#N/A</v>
      </c>
      <c r="U482">
        <f t="shared" si="448"/>
        <v>-1.0000000000000001E+300</v>
      </c>
      <c r="V482">
        <f t="shared" si="449"/>
        <v>0</v>
      </c>
      <c r="W482">
        <f t="shared" si="450"/>
        <v>0</v>
      </c>
      <c r="X482">
        <f t="shared" si="427"/>
        <v>1.7435839227423351</v>
      </c>
      <c r="Y482">
        <f t="shared" si="428"/>
        <v>7.8539816339744828</v>
      </c>
      <c r="Z482">
        <f t="shared" si="429"/>
        <v>-1.7435839227423351</v>
      </c>
      <c r="AA482">
        <f t="shared" si="451"/>
        <v>0.30430410832557148</v>
      </c>
      <c r="AB482">
        <f t="shared" si="430"/>
        <v>8.1582857423000537</v>
      </c>
      <c r="AC482">
        <f t="shared" si="452"/>
        <v>0.10436001532424266</v>
      </c>
      <c r="AD482">
        <f t="shared" si="431"/>
        <v>1.5002652949020605E-2</v>
      </c>
      <c r="AE482" s="9">
        <f t="shared" si="453"/>
        <v>8.2776484105733168</v>
      </c>
      <c r="AF482">
        <f t="shared" si="454"/>
        <v>0</v>
      </c>
      <c r="AH482">
        <f t="shared" si="432"/>
        <v>7.8539816339744828</v>
      </c>
      <c r="AI482">
        <f t="shared" si="433"/>
        <v>0.30430410832557159</v>
      </c>
      <c r="AJ482">
        <f t="shared" si="434"/>
        <v>0.10436001532424655</v>
      </c>
      <c r="AK482">
        <f t="shared" si="435"/>
        <v>1.5002652949020605E-2</v>
      </c>
      <c r="AL482" s="9">
        <f t="shared" si="455"/>
        <v>8.2776484105733203</v>
      </c>
      <c r="AM482" t="e">
        <f t="shared" si="436"/>
        <v>#N/A</v>
      </c>
      <c r="AN482" t="e">
        <f t="shared" si="456"/>
        <v>#N/A</v>
      </c>
      <c r="AO482">
        <f t="shared" si="437"/>
        <v>0</v>
      </c>
      <c r="AP482">
        <f t="shared" si="438"/>
        <v>0</v>
      </c>
      <c r="AQ482">
        <f t="shared" si="439"/>
        <v>3.8857805861880479E-15</v>
      </c>
      <c r="AR482">
        <f t="shared" si="457"/>
        <v>0</v>
      </c>
      <c r="AS482">
        <f t="shared" si="440"/>
        <v>0</v>
      </c>
      <c r="AT482">
        <f t="shared" si="458"/>
        <v>0</v>
      </c>
      <c r="AU482">
        <f t="shared" si="459"/>
        <v>0</v>
      </c>
      <c r="AV482">
        <f t="shared" si="441"/>
        <v>1.743583922742335E-20</v>
      </c>
      <c r="AW482" t="b">
        <f t="shared" si="460"/>
        <v>1</v>
      </c>
      <c r="AX482">
        <f t="shared" si="442"/>
        <v>7.8539816339744828</v>
      </c>
      <c r="AY482">
        <f t="shared" si="443"/>
        <v>0.30430410832557137</v>
      </c>
      <c r="AZ482">
        <f t="shared" si="444"/>
        <v>0.10436001532424286</v>
      </c>
      <c r="BA482">
        <f t="shared" si="445"/>
        <v>1.5002652949020605E-2</v>
      </c>
      <c r="BB482">
        <f t="shared" si="446"/>
        <v>-1.2337005501361696E-20</v>
      </c>
      <c r="BD482" s="15">
        <f t="shared" si="461"/>
        <v>8.2776484105733168</v>
      </c>
      <c r="BE482" s="10">
        <f t="shared" si="462"/>
        <v>0</v>
      </c>
      <c r="BF482">
        <f t="shared" si="463"/>
        <v>0</v>
      </c>
      <c r="BG482">
        <f t="shared" si="464"/>
        <v>0</v>
      </c>
      <c r="BH482">
        <f t="shared" si="465"/>
        <v>0</v>
      </c>
      <c r="BI482">
        <f t="shared" si="466"/>
        <v>1.9428902930940239E-16</v>
      </c>
    </row>
    <row r="483" spans="1:61" x14ac:dyDescent="0.3">
      <c r="A483">
        <f t="shared" si="413"/>
        <v>0.44600000000000001</v>
      </c>
      <c r="B483">
        <f t="shared" si="414"/>
        <v>1.4011503235010478</v>
      </c>
      <c r="C483">
        <f t="shared" si="415"/>
        <v>1.7404423300887453</v>
      </c>
      <c r="D483">
        <f t="shared" si="416"/>
        <v>1.7404423300887453</v>
      </c>
      <c r="E483">
        <f t="shared" si="421"/>
        <v>0.98564459514899805</v>
      </c>
      <c r="F483">
        <f t="shared" si="422"/>
        <v>0.98564459514899805</v>
      </c>
      <c r="G483">
        <f t="shared" si="417"/>
        <v>1.4011503235010478</v>
      </c>
      <c r="H483">
        <f t="shared" si="418"/>
        <v>0.98564459514899805</v>
      </c>
      <c r="I483">
        <f t="shared" si="419"/>
        <v>0.98564459514899805</v>
      </c>
      <c r="J483">
        <f t="shared" si="409"/>
        <v>6.4589181080158495E+19</v>
      </c>
      <c r="K483">
        <f t="shared" si="410"/>
        <v>6.4589181080158495E+19</v>
      </c>
      <c r="L483">
        <f t="shared" si="423"/>
        <v>1</v>
      </c>
      <c r="M483">
        <f t="shared" si="420"/>
        <v>1.7404423300887451E-20</v>
      </c>
      <c r="N483" s="9">
        <f t="shared" si="411"/>
        <v>1.7404423300887451E-20</v>
      </c>
      <c r="O483">
        <f t="shared" si="412"/>
        <v>1.7404423300887451E-20</v>
      </c>
      <c r="Q483">
        <f t="shared" si="424"/>
        <v>45.614578595116441</v>
      </c>
      <c r="R483">
        <f t="shared" si="425"/>
        <v>0</v>
      </c>
      <c r="S483">
        <f t="shared" si="447"/>
        <v>-45.497562566266367</v>
      </c>
      <c r="T483" s="9" t="e">
        <f t="shared" si="426"/>
        <v>#N/A</v>
      </c>
      <c r="U483">
        <f t="shared" si="448"/>
        <v>-1.0000000000000001E+300</v>
      </c>
      <c r="V483">
        <f t="shared" si="449"/>
        <v>0</v>
      </c>
      <c r="W483">
        <f t="shared" si="450"/>
        <v>0</v>
      </c>
      <c r="X483">
        <f t="shared" si="427"/>
        <v>1.7404423300887453</v>
      </c>
      <c r="Y483">
        <f t="shared" si="428"/>
        <v>7.8539816339744828</v>
      </c>
      <c r="Z483">
        <f t="shared" si="429"/>
        <v>-1.7404423300887453</v>
      </c>
      <c r="AA483">
        <f t="shared" si="451"/>
        <v>0.29812457285206306</v>
      </c>
      <c r="AB483">
        <f t="shared" si="430"/>
        <v>8.1521062068265451</v>
      </c>
      <c r="AC483">
        <f t="shared" si="452"/>
        <v>0.10255658832509196</v>
      </c>
      <c r="AD483">
        <f t="shared" si="431"/>
        <v>1.44594405249832E-2</v>
      </c>
      <c r="AE483" s="9">
        <f t="shared" si="453"/>
        <v>8.2691222356766207</v>
      </c>
      <c r="AF483">
        <f t="shared" si="454"/>
        <v>0</v>
      </c>
      <c r="AH483">
        <f t="shared" si="432"/>
        <v>7.8539816339744828</v>
      </c>
      <c r="AI483">
        <f t="shared" si="433"/>
        <v>0.29812457285206312</v>
      </c>
      <c r="AJ483">
        <f t="shared" si="434"/>
        <v>0.1025565883250934</v>
      </c>
      <c r="AK483">
        <f t="shared" si="435"/>
        <v>1.44594405249832E-2</v>
      </c>
      <c r="AL483" s="9">
        <f t="shared" si="455"/>
        <v>8.2691222356766225</v>
      </c>
      <c r="AM483" t="e">
        <f t="shared" si="436"/>
        <v>#N/A</v>
      </c>
      <c r="AN483" t="e">
        <f t="shared" si="456"/>
        <v>#N/A</v>
      </c>
      <c r="AO483">
        <f t="shared" si="437"/>
        <v>0</v>
      </c>
      <c r="AP483">
        <f t="shared" si="438"/>
        <v>0</v>
      </c>
      <c r="AQ483">
        <f t="shared" si="439"/>
        <v>1.4432899320127035E-15</v>
      </c>
      <c r="AR483">
        <f t="shared" si="457"/>
        <v>0</v>
      </c>
      <c r="AS483">
        <f t="shared" si="440"/>
        <v>0</v>
      </c>
      <c r="AT483">
        <f t="shared" si="458"/>
        <v>0</v>
      </c>
      <c r="AU483">
        <f t="shared" si="459"/>
        <v>0</v>
      </c>
      <c r="AV483">
        <f t="shared" si="441"/>
        <v>1.7404423300887451E-20</v>
      </c>
      <c r="AW483" t="b">
        <f t="shared" si="460"/>
        <v>1</v>
      </c>
      <c r="AX483">
        <f t="shared" si="442"/>
        <v>7.8539816339744828</v>
      </c>
      <c r="AY483">
        <f t="shared" si="443"/>
        <v>0.29812457285206295</v>
      </c>
      <c r="AZ483">
        <f t="shared" si="444"/>
        <v>0.10255658832509196</v>
      </c>
      <c r="BA483">
        <f t="shared" si="445"/>
        <v>1.44594405249832E-2</v>
      </c>
      <c r="BB483">
        <f t="shared" si="446"/>
        <v>-1.2337005501361696E-20</v>
      </c>
      <c r="BD483" s="15">
        <f t="shared" si="461"/>
        <v>8.2691222356766207</v>
      </c>
      <c r="BE483" s="10">
        <f t="shared" si="462"/>
        <v>0</v>
      </c>
      <c r="BF483">
        <f t="shared" si="463"/>
        <v>0</v>
      </c>
      <c r="BG483">
        <f t="shared" si="464"/>
        <v>0</v>
      </c>
      <c r="BH483">
        <f t="shared" si="465"/>
        <v>0</v>
      </c>
      <c r="BI483">
        <f t="shared" si="466"/>
        <v>0</v>
      </c>
    </row>
    <row r="484" spans="1:61" x14ac:dyDescent="0.3">
      <c r="A484">
        <f t="shared" si="413"/>
        <v>0.44700000000000001</v>
      </c>
      <c r="B484">
        <f t="shared" si="414"/>
        <v>1.4042919161546374</v>
      </c>
      <c r="C484">
        <f t="shared" si="415"/>
        <v>1.7373007374351557</v>
      </c>
      <c r="D484">
        <f t="shared" si="416"/>
        <v>1.7373007374351557</v>
      </c>
      <c r="E484">
        <f t="shared" si="421"/>
        <v>0.98617013622898886</v>
      </c>
      <c r="F484">
        <f t="shared" si="422"/>
        <v>0.98617013622898886</v>
      </c>
      <c r="G484">
        <f t="shared" si="417"/>
        <v>1.4042919161546374</v>
      </c>
      <c r="H484">
        <f t="shared" si="418"/>
        <v>0.98617013622898886</v>
      </c>
      <c r="I484">
        <f t="shared" si="419"/>
        <v>0.98617013622898886</v>
      </c>
      <c r="J484">
        <f t="shared" si="409"/>
        <v>6.4554760784173474E+19</v>
      </c>
      <c r="K484">
        <f t="shared" si="410"/>
        <v>6.4554760784173474E+19</v>
      </c>
      <c r="L484">
        <f t="shared" si="423"/>
        <v>1</v>
      </c>
      <c r="M484">
        <f t="shared" si="420"/>
        <v>1.7373007374351557E-20</v>
      </c>
      <c r="N484" s="9">
        <f t="shared" si="411"/>
        <v>1.7373007374351557E-20</v>
      </c>
      <c r="O484">
        <f t="shared" si="412"/>
        <v>1.7373007374351557E-20</v>
      </c>
      <c r="Q484">
        <f t="shared" si="424"/>
        <v>45.614045541899962</v>
      </c>
      <c r="R484">
        <f t="shared" si="425"/>
        <v>0</v>
      </c>
      <c r="S484">
        <f t="shared" si="447"/>
        <v>-45.499369251491316</v>
      </c>
      <c r="T484" s="9" t="e">
        <f t="shared" si="426"/>
        <v>#N/A</v>
      </c>
      <c r="U484">
        <f t="shared" si="448"/>
        <v>-1.0000000000000001E+300</v>
      </c>
      <c r="V484">
        <f t="shared" si="449"/>
        <v>0</v>
      </c>
      <c r="W484">
        <f t="shared" si="450"/>
        <v>0</v>
      </c>
      <c r="X484">
        <f t="shared" si="427"/>
        <v>1.7373007374351557</v>
      </c>
      <c r="Y484">
        <f t="shared" si="428"/>
        <v>7.8539816339744828</v>
      </c>
      <c r="Z484">
        <f t="shared" si="429"/>
        <v>-1.7373007374351557</v>
      </c>
      <c r="AA484">
        <f t="shared" si="451"/>
        <v>0.29197141327962278</v>
      </c>
      <c r="AB484">
        <f t="shared" si="430"/>
        <v>8.1459530472541051</v>
      </c>
      <c r="AC484">
        <f t="shared" si="452"/>
        <v>0.10074990310014315</v>
      </c>
      <c r="AD484">
        <f t="shared" si="431"/>
        <v>1.3926387308499998E-2</v>
      </c>
      <c r="AE484" s="9">
        <f t="shared" si="453"/>
        <v>8.2606293376627473</v>
      </c>
      <c r="AF484">
        <f t="shared" si="454"/>
        <v>0</v>
      </c>
      <c r="AH484">
        <f t="shared" si="432"/>
        <v>7.8539816339744828</v>
      </c>
      <c r="AI484">
        <f t="shared" si="433"/>
        <v>0.29197141327962289</v>
      </c>
      <c r="AJ484">
        <f t="shared" si="434"/>
        <v>0.10074990310014442</v>
      </c>
      <c r="AK484">
        <f t="shared" si="435"/>
        <v>1.3926387308499998E-2</v>
      </c>
      <c r="AL484" s="9">
        <f t="shared" si="455"/>
        <v>8.2606293376627491</v>
      </c>
      <c r="AM484" t="e">
        <f t="shared" si="436"/>
        <v>#N/A</v>
      </c>
      <c r="AN484" t="e">
        <f t="shared" si="456"/>
        <v>#N/A</v>
      </c>
      <c r="AO484">
        <f t="shared" si="437"/>
        <v>0</v>
      </c>
      <c r="AP484">
        <f t="shared" si="438"/>
        <v>0</v>
      </c>
      <c r="AQ484">
        <f t="shared" si="439"/>
        <v>1.27675647831893E-15</v>
      </c>
      <c r="AR484">
        <f t="shared" si="457"/>
        <v>0</v>
      </c>
      <c r="AS484">
        <f t="shared" si="440"/>
        <v>0</v>
      </c>
      <c r="AT484">
        <f t="shared" si="458"/>
        <v>0</v>
      </c>
      <c r="AU484">
        <f t="shared" si="459"/>
        <v>0</v>
      </c>
      <c r="AV484">
        <f t="shared" si="441"/>
        <v>1.7373007374351557E-20</v>
      </c>
      <c r="AW484" t="b">
        <f t="shared" si="460"/>
        <v>1</v>
      </c>
      <c r="AX484">
        <f t="shared" si="442"/>
        <v>7.8539816339744828</v>
      </c>
      <c r="AY484">
        <f t="shared" si="443"/>
        <v>0.29197141327962273</v>
      </c>
      <c r="AZ484">
        <f t="shared" si="444"/>
        <v>0.10074990310014315</v>
      </c>
      <c r="BA484">
        <f t="shared" si="445"/>
        <v>1.3926387308499998E-2</v>
      </c>
      <c r="BB484">
        <f t="shared" si="446"/>
        <v>-1.2337005501361696E-20</v>
      </c>
      <c r="BD484" s="15">
        <f t="shared" si="461"/>
        <v>8.2606293376627473</v>
      </c>
      <c r="BE484" s="10">
        <f t="shared" si="462"/>
        <v>0</v>
      </c>
      <c r="BF484">
        <f t="shared" si="463"/>
        <v>0</v>
      </c>
      <c r="BG484">
        <f t="shared" si="464"/>
        <v>0</v>
      </c>
      <c r="BH484">
        <f t="shared" si="465"/>
        <v>0</v>
      </c>
      <c r="BI484">
        <f t="shared" si="466"/>
        <v>0</v>
      </c>
    </row>
    <row r="485" spans="1:61" x14ac:dyDescent="0.3">
      <c r="A485">
        <f t="shared" si="413"/>
        <v>0.44800000000000001</v>
      </c>
      <c r="B485">
        <f t="shared" si="414"/>
        <v>1.4074335088082273</v>
      </c>
      <c r="C485">
        <f t="shared" si="415"/>
        <v>1.7341591447815659</v>
      </c>
      <c r="D485">
        <f t="shared" si="416"/>
        <v>1.7341591447815659</v>
      </c>
      <c r="E485">
        <f t="shared" si="421"/>
        <v>0.98668594420786804</v>
      </c>
      <c r="F485">
        <f t="shared" si="422"/>
        <v>0.98668594420786804</v>
      </c>
      <c r="G485">
        <f t="shared" si="417"/>
        <v>1.4074335088082273</v>
      </c>
      <c r="H485">
        <f t="shared" si="418"/>
        <v>0.98668594420786804</v>
      </c>
      <c r="I485">
        <f t="shared" si="419"/>
        <v>0.98668594420786804</v>
      </c>
      <c r="J485">
        <f t="shared" ref="J485:J548" si="467">x_m_zeta/H485</f>
        <v>6.4521013611749884E+19</v>
      </c>
      <c r="K485">
        <f t="shared" ref="K485:K548" si="468">(J485)^alpha</f>
        <v>6.4521013611749884E+19</v>
      </c>
      <c r="L485">
        <f t="shared" si="423"/>
        <v>1</v>
      </c>
      <c r="M485">
        <f t="shared" si="420"/>
        <v>1.7341591447815658E-20</v>
      </c>
      <c r="N485" s="9">
        <f t="shared" si="411"/>
        <v>1.7341591447815658E-20</v>
      </c>
      <c r="O485">
        <f t="shared" si="412"/>
        <v>1.7341591447815658E-20</v>
      </c>
      <c r="Q485">
        <f t="shared" si="424"/>
        <v>45.613522637065948</v>
      </c>
      <c r="R485">
        <f t="shared" si="425"/>
        <v>-710542.73576010019</v>
      </c>
      <c r="S485">
        <f t="shared" si="447"/>
        <v>-45.501179206736552</v>
      </c>
      <c r="T485" s="9" t="e">
        <f t="shared" si="426"/>
        <v>#N/A</v>
      </c>
      <c r="U485">
        <f t="shared" si="448"/>
        <v>-1.0000000000000001E+300</v>
      </c>
      <c r="V485">
        <f t="shared" si="449"/>
        <v>0</v>
      </c>
      <c r="W485">
        <f t="shared" si="450"/>
        <v>0</v>
      </c>
      <c r="X485">
        <f t="shared" si="427"/>
        <v>1.7341591447815659</v>
      </c>
      <c r="Y485">
        <f t="shared" si="428"/>
        <v>7.8539816339744828</v>
      </c>
      <c r="Z485">
        <f t="shared" si="429"/>
        <v>-1.7341591447815659</v>
      </c>
      <c r="AA485">
        <f t="shared" si="451"/>
        <v>0.28584447661356344</v>
      </c>
      <c r="AB485">
        <f t="shared" si="430"/>
        <v>8.1398261105880465</v>
      </c>
      <c r="AC485">
        <f t="shared" si="452"/>
        <v>9.8939947854903648E-2</v>
      </c>
      <c r="AD485">
        <f t="shared" si="431"/>
        <v>1.3403482474490967E-2</v>
      </c>
      <c r="AE485" s="9">
        <f t="shared" si="453"/>
        <v>8.2521695409174409</v>
      </c>
      <c r="AF485">
        <f t="shared" si="454"/>
        <v>0</v>
      </c>
      <c r="AH485">
        <f t="shared" si="432"/>
        <v>7.8539816339744828</v>
      </c>
      <c r="AI485">
        <f t="shared" si="433"/>
        <v>0.28584447661356355</v>
      </c>
      <c r="AJ485">
        <f t="shared" si="434"/>
        <v>9.8939947854908894E-2</v>
      </c>
      <c r="AK485">
        <f t="shared" si="435"/>
        <v>1.3403482474490967E-2</v>
      </c>
      <c r="AL485" s="9">
        <f t="shared" si="455"/>
        <v>8.2521695409174463</v>
      </c>
      <c r="AM485" t="e">
        <f t="shared" si="436"/>
        <v>#N/A</v>
      </c>
      <c r="AN485" t="e">
        <f t="shared" si="456"/>
        <v>#N/A</v>
      </c>
      <c r="AO485">
        <f t="shared" si="437"/>
        <v>0</v>
      </c>
      <c r="AP485">
        <f t="shared" si="438"/>
        <v>0</v>
      </c>
      <c r="AQ485">
        <f t="shared" si="439"/>
        <v>5.2458037913538647E-15</v>
      </c>
      <c r="AR485">
        <f t="shared" si="457"/>
        <v>0</v>
      </c>
      <c r="AS485">
        <f t="shared" si="440"/>
        <v>0</v>
      </c>
      <c r="AT485">
        <f t="shared" si="458"/>
        <v>0</v>
      </c>
      <c r="AU485">
        <f t="shared" si="459"/>
        <v>0</v>
      </c>
      <c r="AV485">
        <f t="shared" si="441"/>
        <v>1.7341591447815658E-20</v>
      </c>
      <c r="AW485" t="b">
        <f t="shared" si="460"/>
        <v>1</v>
      </c>
      <c r="AX485">
        <f t="shared" si="442"/>
        <v>7.8539816339744828</v>
      </c>
      <c r="AY485">
        <f t="shared" si="443"/>
        <v>0.28584447661356327</v>
      </c>
      <c r="AZ485">
        <f t="shared" si="444"/>
        <v>9.8939947854903648E-2</v>
      </c>
      <c r="BA485">
        <f t="shared" si="445"/>
        <v>1.3403482474490967E-2</v>
      </c>
      <c r="BB485">
        <f t="shared" si="446"/>
        <v>-1.2337005501361696E-20</v>
      </c>
      <c r="BD485" s="15">
        <f t="shared" si="461"/>
        <v>8.2521695409174409</v>
      </c>
      <c r="BE485" s="10">
        <f t="shared" si="462"/>
        <v>0</v>
      </c>
      <c r="BF485">
        <f t="shared" si="463"/>
        <v>0</v>
      </c>
      <c r="BG485">
        <f t="shared" si="464"/>
        <v>0</v>
      </c>
      <c r="BH485">
        <f t="shared" si="465"/>
        <v>0</v>
      </c>
      <c r="BI485">
        <f t="shared" si="466"/>
        <v>0</v>
      </c>
    </row>
    <row r="486" spans="1:61" x14ac:dyDescent="0.3">
      <c r="A486">
        <f t="shared" si="413"/>
        <v>0.44900000000000001</v>
      </c>
      <c r="B486">
        <f t="shared" si="414"/>
        <v>1.4105751014618171</v>
      </c>
      <c r="C486">
        <f t="shared" si="415"/>
        <v>1.731017552127976</v>
      </c>
      <c r="D486">
        <f t="shared" si="416"/>
        <v>1.731017552127976</v>
      </c>
      <c r="E486">
        <f t="shared" si="421"/>
        <v>0.98719201399481915</v>
      </c>
      <c r="F486">
        <f t="shared" si="422"/>
        <v>0.98719201399481915</v>
      </c>
      <c r="G486">
        <f t="shared" si="417"/>
        <v>1.4105751014618171</v>
      </c>
      <c r="H486">
        <f t="shared" si="418"/>
        <v>0.98719201399481915</v>
      </c>
      <c r="I486">
        <f t="shared" si="419"/>
        <v>0.98719201399481915</v>
      </c>
      <c r="J486">
        <f t="shared" si="467"/>
        <v>6.4487937842143289E+19</v>
      </c>
      <c r="K486">
        <f t="shared" si="468"/>
        <v>6.4487937842143289E+19</v>
      </c>
      <c r="L486">
        <f t="shared" si="423"/>
        <v>1</v>
      </c>
      <c r="M486">
        <f t="shared" si="420"/>
        <v>1.7310175521279761E-20</v>
      </c>
      <c r="N486" s="9">
        <f t="shared" ref="N486:N549" si="469">L486*M486</f>
        <v>1.7310175521279761E-20</v>
      </c>
      <c r="O486">
        <f t="shared" ref="O486:O549" si="470">N486*EXP(-N486)</f>
        <v>1.7310175521279761E-20</v>
      </c>
      <c r="Q486">
        <f t="shared" si="424"/>
        <v>45.613009870006636</v>
      </c>
      <c r="R486">
        <f t="shared" si="425"/>
        <v>0</v>
      </c>
      <c r="S486">
        <f t="shared" si="447"/>
        <v>-45.502992443860734</v>
      </c>
      <c r="T486" s="9" t="e">
        <f t="shared" si="426"/>
        <v>#N/A</v>
      </c>
      <c r="U486">
        <f t="shared" si="448"/>
        <v>-1.0000000000000001E+300</v>
      </c>
      <c r="V486">
        <f t="shared" si="449"/>
        <v>0</v>
      </c>
      <c r="W486">
        <f t="shared" si="450"/>
        <v>0</v>
      </c>
      <c r="X486">
        <f t="shared" si="427"/>
        <v>1.731017552127976</v>
      </c>
      <c r="Y486">
        <f t="shared" si="428"/>
        <v>7.8539816339744828</v>
      </c>
      <c r="Z486">
        <f t="shared" si="429"/>
        <v>-1.731017552127976</v>
      </c>
      <c r="AA486">
        <f t="shared" si="451"/>
        <v>0.279743611216137</v>
      </c>
      <c r="AB486">
        <f t="shared" si="430"/>
        <v>8.1337252451906199</v>
      </c>
      <c r="AC486">
        <f t="shared" si="452"/>
        <v>9.7126710730722821E-2</v>
      </c>
      <c r="AD486">
        <f t="shared" si="431"/>
        <v>1.2890715415173554E-2</v>
      </c>
      <c r="AE486" s="9">
        <f t="shared" si="453"/>
        <v>8.2437426713365163</v>
      </c>
      <c r="AF486">
        <f t="shared" si="454"/>
        <v>0</v>
      </c>
      <c r="AH486">
        <f t="shared" si="432"/>
        <v>7.8539816339744828</v>
      </c>
      <c r="AI486">
        <f t="shared" si="433"/>
        <v>0.27974361121613706</v>
      </c>
      <c r="AJ486">
        <f t="shared" si="434"/>
        <v>9.7126710730726984E-2</v>
      </c>
      <c r="AK486">
        <f t="shared" si="435"/>
        <v>1.2890715415173554E-2</v>
      </c>
      <c r="AL486" s="9">
        <f t="shared" si="455"/>
        <v>8.2437426713365198</v>
      </c>
      <c r="AM486" t="e">
        <f t="shared" si="436"/>
        <v>#N/A</v>
      </c>
      <c r="AN486" t="e">
        <f t="shared" si="456"/>
        <v>#N/A</v>
      </c>
      <c r="AO486">
        <f t="shared" si="437"/>
        <v>0</v>
      </c>
      <c r="AP486">
        <f t="shared" si="438"/>
        <v>0</v>
      </c>
      <c r="AQ486">
        <f t="shared" si="439"/>
        <v>4.163336342344337E-15</v>
      </c>
      <c r="AR486">
        <f t="shared" si="457"/>
        <v>0</v>
      </c>
      <c r="AS486">
        <f t="shared" si="440"/>
        <v>0</v>
      </c>
      <c r="AT486">
        <f t="shared" si="458"/>
        <v>0</v>
      </c>
      <c r="AU486">
        <f t="shared" si="459"/>
        <v>0</v>
      </c>
      <c r="AV486">
        <f t="shared" si="441"/>
        <v>1.7310175521279758E-20</v>
      </c>
      <c r="AW486" t="b">
        <f t="shared" si="460"/>
        <v>1</v>
      </c>
      <c r="AX486">
        <f t="shared" si="442"/>
        <v>7.8539816339744828</v>
      </c>
      <c r="AY486">
        <f t="shared" si="443"/>
        <v>0.27974361121613683</v>
      </c>
      <c r="AZ486">
        <f t="shared" si="444"/>
        <v>9.7126710730722626E-2</v>
      </c>
      <c r="BA486">
        <f t="shared" si="445"/>
        <v>1.2890715415173554E-2</v>
      </c>
      <c r="BB486">
        <f t="shared" si="446"/>
        <v>-1.2337005501361696E-20</v>
      </c>
      <c r="BD486" s="15">
        <f t="shared" si="461"/>
        <v>8.2437426713365163</v>
      </c>
      <c r="BE486" s="10">
        <f t="shared" si="462"/>
        <v>0</v>
      </c>
      <c r="BF486">
        <f t="shared" si="463"/>
        <v>0</v>
      </c>
      <c r="BG486">
        <f t="shared" si="464"/>
        <v>0</v>
      </c>
      <c r="BH486">
        <f t="shared" si="465"/>
        <v>0</v>
      </c>
      <c r="BI486">
        <f t="shared" si="466"/>
        <v>-1.9428902930940239E-16</v>
      </c>
    </row>
    <row r="487" spans="1:61" x14ac:dyDescent="0.3">
      <c r="A487">
        <f t="shared" ref="A487:A550" si="471">ROUND(A486+1/1000,3)</f>
        <v>0.45</v>
      </c>
      <c r="B487">
        <f t="shared" si="414"/>
        <v>1.4137166941154069</v>
      </c>
      <c r="C487">
        <f t="shared" si="415"/>
        <v>1.7278759594743862</v>
      </c>
      <c r="D487">
        <f t="shared" si="416"/>
        <v>1.7278759594743862</v>
      </c>
      <c r="E487">
        <f t="shared" si="421"/>
        <v>0.98768834059513777</v>
      </c>
      <c r="F487">
        <f t="shared" si="422"/>
        <v>0.98768834059513777</v>
      </c>
      <c r="G487">
        <f t="shared" si="417"/>
        <v>1.4137166941154069</v>
      </c>
      <c r="H487">
        <f t="shared" si="418"/>
        <v>0.98768834059513777</v>
      </c>
      <c r="I487">
        <f t="shared" si="419"/>
        <v>0.98768834059513777</v>
      </c>
      <c r="J487">
        <f t="shared" si="467"/>
        <v>6.4455531790927307E+19</v>
      </c>
      <c r="K487">
        <f t="shared" si="468"/>
        <v>6.4455531790927307E+19</v>
      </c>
      <c r="L487">
        <f t="shared" si="423"/>
        <v>1</v>
      </c>
      <c r="M487">
        <f t="shared" si="420"/>
        <v>1.7278759594743861E-20</v>
      </c>
      <c r="N487" s="9">
        <f t="shared" si="469"/>
        <v>1.7278759594743861E-20</v>
      </c>
      <c r="O487">
        <f t="shared" si="470"/>
        <v>1.7278759594743861E-20</v>
      </c>
      <c r="Q487">
        <f t="shared" si="424"/>
        <v>45.61250723033065</v>
      </c>
      <c r="R487">
        <f t="shared" si="425"/>
        <v>0</v>
      </c>
      <c r="S487">
        <f t="shared" si="447"/>
        <v>-45.504808974787132</v>
      </c>
      <c r="T487" s="9" t="e">
        <f t="shared" si="426"/>
        <v>#N/A</v>
      </c>
      <c r="U487">
        <f t="shared" si="448"/>
        <v>-1.0000000000000001E+300</v>
      </c>
      <c r="V487">
        <f t="shared" si="449"/>
        <v>0</v>
      </c>
      <c r="W487">
        <f t="shared" si="450"/>
        <v>0</v>
      </c>
      <c r="X487">
        <f t="shared" si="427"/>
        <v>1.7278759594743862</v>
      </c>
      <c r="Y487">
        <f t="shared" si="428"/>
        <v>7.8539816339744828</v>
      </c>
      <c r="Z487">
        <f t="shared" si="429"/>
        <v>-1.7278759594743862</v>
      </c>
      <c r="AA487">
        <f t="shared" si="451"/>
        <v>0.27366866679157176</v>
      </c>
      <c r="AB487">
        <f t="shared" si="430"/>
        <v>8.1276503007660548</v>
      </c>
      <c r="AC487">
        <f t="shared" si="452"/>
        <v>9.5310179804324935E-2</v>
      </c>
      <c r="AD487">
        <f t="shared" si="431"/>
        <v>1.2388075739190473E-2</v>
      </c>
      <c r="AE487" s="9">
        <f t="shared" si="453"/>
        <v>8.235348556309571</v>
      </c>
      <c r="AF487">
        <f t="shared" si="454"/>
        <v>0</v>
      </c>
      <c r="AH487">
        <f t="shared" si="432"/>
        <v>7.8539816339744828</v>
      </c>
      <c r="AI487">
        <f t="shared" si="433"/>
        <v>0.27366866679157187</v>
      </c>
      <c r="AJ487">
        <f t="shared" si="434"/>
        <v>9.5310179804329209E-2</v>
      </c>
      <c r="AK487">
        <f t="shared" si="435"/>
        <v>1.2388075739190473E-2</v>
      </c>
      <c r="AL487" s="9">
        <f t="shared" si="455"/>
        <v>8.2353485563095745</v>
      </c>
      <c r="AM487" t="e">
        <f t="shared" si="436"/>
        <v>#N/A</v>
      </c>
      <c r="AN487" t="e">
        <f t="shared" si="456"/>
        <v>#N/A</v>
      </c>
      <c r="AO487">
        <f t="shared" si="437"/>
        <v>0</v>
      </c>
      <c r="AP487">
        <f t="shared" si="438"/>
        <v>0</v>
      </c>
      <c r="AQ487">
        <f t="shared" si="439"/>
        <v>4.2743586448068527E-15</v>
      </c>
      <c r="AR487">
        <f t="shared" si="457"/>
        <v>0</v>
      </c>
      <c r="AS487">
        <f t="shared" si="440"/>
        <v>0</v>
      </c>
      <c r="AT487">
        <f t="shared" si="458"/>
        <v>0</v>
      </c>
      <c r="AU487">
        <f t="shared" si="459"/>
        <v>0</v>
      </c>
      <c r="AV487">
        <f t="shared" si="441"/>
        <v>1.7278759594743861E-20</v>
      </c>
      <c r="AW487" t="b">
        <f t="shared" si="460"/>
        <v>1</v>
      </c>
      <c r="AX487">
        <f t="shared" si="442"/>
        <v>7.8539816339744828</v>
      </c>
      <c r="AY487">
        <f t="shared" si="443"/>
        <v>0.2736686667915717</v>
      </c>
      <c r="AZ487">
        <f t="shared" si="444"/>
        <v>9.5310179804324935E-2</v>
      </c>
      <c r="BA487">
        <f t="shared" si="445"/>
        <v>1.2388075739190473E-2</v>
      </c>
      <c r="BB487">
        <f t="shared" si="446"/>
        <v>-1.2337005501361696E-20</v>
      </c>
      <c r="BD487" s="15">
        <f t="shared" si="461"/>
        <v>8.235348556309571</v>
      </c>
      <c r="BE487" s="10">
        <f t="shared" si="462"/>
        <v>0</v>
      </c>
      <c r="BF487">
        <f t="shared" si="463"/>
        <v>0</v>
      </c>
      <c r="BG487">
        <f t="shared" si="464"/>
        <v>0</v>
      </c>
      <c r="BH487">
        <f t="shared" si="465"/>
        <v>0</v>
      </c>
      <c r="BI487">
        <f t="shared" si="466"/>
        <v>0</v>
      </c>
    </row>
    <row r="488" spans="1:61" x14ac:dyDescent="0.3">
      <c r="A488">
        <f t="shared" si="471"/>
        <v>0.45100000000000001</v>
      </c>
      <c r="B488">
        <f t="shared" si="414"/>
        <v>1.4168582867689967</v>
      </c>
      <c r="C488">
        <f t="shared" si="415"/>
        <v>1.7247343668207964</v>
      </c>
      <c r="D488">
        <f t="shared" si="416"/>
        <v>1.7247343668207964</v>
      </c>
      <c r="E488">
        <f t="shared" si="421"/>
        <v>0.98817491911028055</v>
      </c>
      <c r="F488">
        <f t="shared" si="422"/>
        <v>0.98817491911028055</v>
      </c>
      <c r="G488">
        <f t="shared" si="417"/>
        <v>1.4168582867689967</v>
      </c>
      <c r="H488">
        <f t="shared" si="418"/>
        <v>0.98817491911028055</v>
      </c>
      <c r="I488">
        <f t="shared" si="419"/>
        <v>0.98817491911028055</v>
      </c>
      <c r="J488">
        <f t="shared" si="467"/>
        <v>6.4423793809781416E+19</v>
      </c>
      <c r="K488">
        <f t="shared" si="468"/>
        <v>6.4423793809781416E+19</v>
      </c>
      <c r="L488">
        <f t="shared" si="423"/>
        <v>1</v>
      </c>
      <c r="M488">
        <f t="shared" si="420"/>
        <v>1.7247343668207965E-20</v>
      </c>
      <c r="N488" s="9">
        <f t="shared" si="469"/>
        <v>1.7247343668207965E-20</v>
      </c>
      <c r="O488">
        <f t="shared" si="470"/>
        <v>1.7247343668207965E-20</v>
      </c>
      <c r="Q488">
        <f t="shared" si="424"/>
        <v>45.612014707862215</v>
      </c>
      <c r="R488">
        <f t="shared" si="425"/>
        <v>0</v>
      </c>
      <c r="S488">
        <f t="shared" si="447"/>
        <v>-45.506628811504122</v>
      </c>
      <c r="T488" s="9" t="e">
        <f t="shared" si="426"/>
        <v>#N/A</v>
      </c>
      <c r="U488">
        <f t="shared" si="448"/>
        <v>-1.0000000000000001E+300</v>
      </c>
      <c r="V488">
        <f t="shared" si="449"/>
        <v>0</v>
      </c>
      <c r="W488">
        <f t="shared" si="450"/>
        <v>0</v>
      </c>
      <c r="X488">
        <f t="shared" si="427"/>
        <v>1.7247343668207964</v>
      </c>
      <c r="Y488">
        <f t="shared" si="428"/>
        <v>7.8539816339744828</v>
      </c>
      <c r="Z488">
        <f t="shared" si="429"/>
        <v>-1.7247343668207964</v>
      </c>
      <c r="AA488">
        <f t="shared" si="451"/>
        <v>0.26761949437130977</v>
      </c>
      <c r="AB488">
        <f t="shared" si="430"/>
        <v>8.1216011283457927</v>
      </c>
      <c r="AC488">
        <f t="shared" si="452"/>
        <v>9.3490343087338973E-2</v>
      </c>
      <c r="AD488">
        <f t="shared" si="431"/>
        <v>1.189555327075666E-2</v>
      </c>
      <c r="AE488" s="9">
        <f t="shared" si="453"/>
        <v>8.2269870247038881</v>
      </c>
      <c r="AF488">
        <f t="shared" si="454"/>
        <v>0</v>
      </c>
      <c r="AH488">
        <f t="shared" si="432"/>
        <v>7.8539816339744828</v>
      </c>
      <c r="AI488">
        <f t="shared" si="433"/>
        <v>0.26761949437130983</v>
      </c>
      <c r="AJ488">
        <f t="shared" si="434"/>
        <v>9.3490343087339056E-2</v>
      </c>
      <c r="AK488">
        <f t="shared" si="435"/>
        <v>1.189555327075666E-2</v>
      </c>
      <c r="AL488" s="9">
        <f t="shared" si="455"/>
        <v>8.2269870247038881</v>
      </c>
      <c r="AM488" t="e">
        <f t="shared" si="436"/>
        <v>#N/A</v>
      </c>
      <c r="AN488" t="e">
        <f t="shared" si="456"/>
        <v>#N/A</v>
      </c>
      <c r="AO488">
        <f t="shared" si="437"/>
        <v>0</v>
      </c>
      <c r="AP488">
        <f t="shared" si="438"/>
        <v>0</v>
      </c>
      <c r="AQ488">
        <f t="shared" si="439"/>
        <v>0</v>
      </c>
      <c r="AR488">
        <f t="shared" si="457"/>
        <v>0</v>
      </c>
      <c r="AS488">
        <f t="shared" si="440"/>
        <v>0</v>
      </c>
      <c r="AT488">
        <f t="shared" si="458"/>
        <v>0</v>
      </c>
      <c r="AU488">
        <f t="shared" si="459"/>
        <v>0</v>
      </c>
      <c r="AV488">
        <f t="shared" si="441"/>
        <v>1.7247343668207962E-20</v>
      </c>
      <c r="AW488" t="b">
        <f t="shared" si="460"/>
        <v>1</v>
      </c>
      <c r="AX488">
        <f t="shared" si="442"/>
        <v>7.8539816339744828</v>
      </c>
      <c r="AY488">
        <f t="shared" si="443"/>
        <v>0.26761949437130966</v>
      </c>
      <c r="AZ488">
        <f t="shared" si="444"/>
        <v>9.3490343087338765E-2</v>
      </c>
      <c r="BA488">
        <f t="shared" si="445"/>
        <v>1.189555327075666E-2</v>
      </c>
      <c r="BB488">
        <f t="shared" si="446"/>
        <v>-1.2337005501361696E-20</v>
      </c>
      <c r="BD488" s="15">
        <f t="shared" si="461"/>
        <v>8.2269870247038881</v>
      </c>
      <c r="BE488" s="10">
        <f t="shared" si="462"/>
        <v>0</v>
      </c>
      <c r="BF488">
        <f t="shared" si="463"/>
        <v>0</v>
      </c>
      <c r="BG488">
        <f t="shared" si="464"/>
        <v>0</v>
      </c>
      <c r="BH488">
        <f t="shared" si="465"/>
        <v>0</v>
      </c>
      <c r="BI488">
        <f t="shared" si="466"/>
        <v>-2.0816681711721685E-16</v>
      </c>
    </row>
    <row r="489" spans="1:61" x14ac:dyDescent="0.3">
      <c r="A489">
        <f t="shared" si="471"/>
        <v>0.45200000000000001</v>
      </c>
      <c r="B489">
        <f t="shared" si="414"/>
        <v>1.4199998794225865</v>
      </c>
      <c r="C489">
        <f t="shared" si="415"/>
        <v>1.7215927741672066</v>
      </c>
      <c r="D489">
        <f t="shared" si="416"/>
        <v>1.7215927741672066</v>
      </c>
      <c r="E489">
        <f t="shared" si="421"/>
        <v>0.98865174473791406</v>
      </c>
      <c r="F489">
        <f t="shared" si="422"/>
        <v>0.98865174473791406</v>
      </c>
      <c r="G489">
        <f t="shared" si="417"/>
        <v>1.4199998794225865</v>
      </c>
      <c r="H489">
        <f t="shared" si="418"/>
        <v>0.98865174473791406</v>
      </c>
      <c r="I489">
        <f t="shared" si="419"/>
        <v>0.98865174473791406</v>
      </c>
      <c r="J489">
        <f t="shared" si="467"/>
        <v>6.4392722286283497E+19</v>
      </c>
      <c r="K489">
        <f t="shared" si="468"/>
        <v>6.4392722286283497E+19</v>
      </c>
      <c r="L489">
        <f t="shared" si="423"/>
        <v>1</v>
      </c>
      <c r="M489">
        <f t="shared" si="420"/>
        <v>1.7215927741672065E-20</v>
      </c>
      <c r="N489" s="9">
        <f t="shared" si="469"/>
        <v>1.7215927741672065E-20</v>
      </c>
      <c r="O489">
        <f t="shared" si="470"/>
        <v>1.7215927741672065E-20</v>
      </c>
      <c r="Q489">
        <f t="shared" si="424"/>
        <v>45.611532292640284</v>
      </c>
      <c r="R489">
        <f t="shared" si="425"/>
        <v>0</v>
      </c>
      <c r="S489">
        <f t="shared" si="447"/>
        <v>-45.508451966065635</v>
      </c>
      <c r="T489" s="9" t="e">
        <f t="shared" si="426"/>
        <v>#N/A</v>
      </c>
      <c r="U489">
        <f t="shared" si="448"/>
        <v>-1.0000000000000001E+300</v>
      </c>
      <c r="V489">
        <f t="shared" si="449"/>
        <v>0</v>
      </c>
      <c r="W489">
        <f t="shared" si="450"/>
        <v>0</v>
      </c>
      <c r="X489">
        <f t="shared" si="427"/>
        <v>1.7215927741672066</v>
      </c>
      <c r="Y489">
        <f t="shared" si="428"/>
        <v>7.8539816339744828</v>
      </c>
      <c r="Z489">
        <f t="shared" si="429"/>
        <v>-1.7215927741672066</v>
      </c>
      <c r="AA489">
        <f t="shared" si="451"/>
        <v>0.26159594629943994</v>
      </c>
      <c r="AB489">
        <f t="shared" si="430"/>
        <v>8.1155775802739232</v>
      </c>
      <c r="AC489">
        <f t="shared" si="452"/>
        <v>9.1667188525823673E-2</v>
      </c>
      <c r="AD489">
        <f t="shared" si="431"/>
        <v>1.1413138048824439E-2</v>
      </c>
      <c r="AE489" s="9">
        <f t="shared" si="453"/>
        <v>8.2186579068485717</v>
      </c>
      <c r="AF489">
        <f t="shared" si="454"/>
        <v>0</v>
      </c>
      <c r="AH489">
        <f t="shared" si="432"/>
        <v>7.8539816339744828</v>
      </c>
      <c r="AI489">
        <f t="shared" si="433"/>
        <v>0.26159594629944005</v>
      </c>
      <c r="AJ489">
        <f t="shared" si="434"/>
        <v>9.1667188525825338E-2</v>
      </c>
      <c r="AK489">
        <f t="shared" si="435"/>
        <v>1.1413138048824439E-2</v>
      </c>
      <c r="AL489" s="9">
        <f t="shared" si="455"/>
        <v>8.2186579068485734</v>
      </c>
      <c r="AM489" t="e">
        <f t="shared" si="436"/>
        <v>#N/A</v>
      </c>
      <c r="AN489" t="e">
        <f t="shared" si="456"/>
        <v>#N/A</v>
      </c>
      <c r="AO489">
        <f t="shared" si="437"/>
        <v>0</v>
      </c>
      <c r="AP489">
        <f t="shared" si="438"/>
        <v>0</v>
      </c>
      <c r="AQ489">
        <f t="shared" si="439"/>
        <v>1.6653345369377348E-15</v>
      </c>
      <c r="AR489">
        <f t="shared" si="457"/>
        <v>0</v>
      </c>
      <c r="AS489">
        <f t="shared" si="440"/>
        <v>0</v>
      </c>
      <c r="AT489">
        <f t="shared" si="458"/>
        <v>0</v>
      </c>
      <c r="AU489">
        <f t="shared" si="459"/>
        <v>0</v>
      </c>
      <c r="AV489">
        <f t="shared" si="441"/>
        <v>1.7215927741672065E-20</v>
      </c>
      <c r="AW489" t="b">
        <f t="shared" si="460"/>
        <v>1</v>
      </c>
      <c r="AX489">
        <f t="shared" si="442"/>
        <v>7.8539816339744828</v>
      </c>
      <c r="AY489">
        <f t="shared" si="443"/>
        <v>0.26159594629943983</v>
      </c>
      <c r="AZ489">
        <f t="shared" si="444"/>
        <v>9.1667188525823867E-2</v>
      </c>
      <c r="BA489">
        <f t="shared" si="445"/>
        <v>1.1413138048824439E-2</v>
      </c>
      <c r="BB489">
        <f t="shared" si="446"/>
        <v>-1.2337005501361696E-20</v>
      </c>
      <c r="BD489" s="15">
        <f t="shared" si="461"/>
        <v>8.2186579068485717</v>
      </c>
      <c r="BE489" s="10">
        <f t="shared" si="462"/>
        <v>0</v>
      </c>
      <c r="BF489">
        <f t="shared" si="463"/>
        <v>0</v>
      </c>
      <c r="BG489">
        <f t="shared" si="464"/>
        <v>0</v>
      </c>
      <c r="BH489">
        <f t="shared" si="465"/>
        <v>0</v>
      </c>
      <c r="BI489">
        <f t="shared" si="466"/>
        <v>1.9428902930940239E-16</v>
      </c>
    </row>
    <row r="490" spans="1:61" x14ac:dyDescent="0.3">
      <c r="A490">
        <f t="shared" si="471"/>
        <v>0.45300000000000001</v>
      </c>
      <c r="B490">
        <f t="shared" si="414"/>
        <v>1.4231414720761764</v>
      </c>
      <c r="C490">
        <f t="shared" si="415"/>
        <v>1.7184511815136168</v>
      </c>
      <c r="D490">
        <f t="shared" si="416"/>
        <v>1.7184511815136168</v>
      </c>
      <c r="E490">
        <f t="shared" si="421"/>
        <v>0.98911881277196179</v>
      </c>
      <c r="F490">
        <f t="shared" si="422"/>
        <v>0.98911881277196179</v>
      </c>
      <c r="G490">
        <f t="shared" si="417"/>
        <v>1.4231414720761764</v>
      </c>
      <c r="H490">
        <f t="shared" si="418"/>
        <v>0.98911881277196179</v>
      </c>
      <c r="I490">
        <f t="shared" si="419"/>
        <v>0.98911881277196179</v>
      </c>
      <c r="J490">
        <f t="shared" si="467"/>
        <v>6.4362315643707417E+19</v>
      </c>
      <c r="K490">
        <f t="shared" si="468"/>
        <v>6.4362315643707417E+19</v>
      </c>
      <c r="L490" t="e">
        <f t="shared" si="423"/>
        <v>#NUM!</v>
      </c>
      <c r="M490">
        <f t="shared" si="420"/>
        <v>1.7184511815136165E-20</v>
      </c>
      <c r="N490" s="9" t="e">
        <f t="shared" si="469"/>
        <v>#NUM!</v>
      </c>
      <c r="O490" t="e">
        <f t="shared" si="470"/>
        <v>#NUM!</v>
      </c>
      <c r="Q490">
        <f t="shared" si="424"/>
        <v>45.61105997491773</v>
      </c>
      <c r="R490">
        <f t="shared" si="425"/>
        <v>0</v>
      </c>
      <c r="S490">
        <f t="shared" si="447"/>
        <v>-45.51027845059167</v>
      </c>
      <c r="T490" s="9" t="e">
        <f t="shared" si="426"/>
        <v>#N/A</v>
      </c>
      <c r="U490">
        <f t="shared" si="448"/>
        <v>-1.0000000000000001E+300</v>
      </c>
      <c r="V490">
        <f t="shared" si="449"/>
        <v>0</v>
      </c>
      <c r="W490">
        <f t="shared" si="450"/>
        <v>0</v>
      </c>
      <c r="X490">
        <f t="shared" si="427"/>
        <v>1.7184511815136168</v>
      </c>
      <c r="Y490">
        <f t="shared" si="428"/>
        <v>7.8539816339744828</v>
      </c>
      <c r="Z490">
        <f t="shared" si="429"/>
        <v>-1.7184511815136168</v>
      </c>
      <c r="AA490">
        <f t="shared" si="451"/>
        <v>0.25559787621832442</v>
      </c>
      <c r="AB490">
        <f t="shared" si="430"/>
        <v>8.1095795101928072</v>
      </c>
      <c r="AC490">
        <f t="shared" si="452"/>
        <v>8.9840703999789343E-2</v>
      </c>
      <c r="AD490">
        <f t="shared" si="431"/>
        <v>1.0940820326268452E-2</v>
      </c>
      <c r="AE490" s="9">
        <f t="shared" si="453"/>
        <v>8.2103610345188649</v>
      </c>
      <c r="AF490">
        <f t="shared" si="454"/>
        <v>0</v>
      </c>
      <c r="AH490">
        <f t="shared" si="432"/>
        <v>7.8539816339744828</v>
      </c>
      <c r="AI490">
        <f t="shared" si="433"/>
        <v>0.25559787621832442</v>
      </c>
      <c r="AJ490">
        <f t="shared" si="434"/>
        <v>8.9840703999790605E-2</v>
      </c>
      <c r="AK490">
        <f t="shared" si="435"/>
        <v>1.0940820326268452E-2</v>
      </c>
      <c r="AL490" s="9">
        <f t="shared" si="455"/>
        <v>8.2103610345188667</v>
      </c>
      <c r="AM490" t="e">
        <f t="shared" si="436"/>
        <v>#N/A</v>
      </c>
      <c r="AN490" t="e">
        <f t="shared" si="456"/>
        <v>#N/A</v>
      </c>
      <c r="AO490">
        <f t="shared" si="437"/>
        <v>0</v>
      </c>
      <c r="AP490">
        <f t="shared" si="438"/>
        <v>0</v>
      </c>
      <c r="AQ490">
        <f t="shared" si="439"/>
        <v>1.2628786905111156E-15</v>
      </c>
      <c r="AR490">
        <f t="shared" si="457"/>
        <v>0</v>
      </c>
      <c r="AS490">
        <f t="shared" si="440"/>
        <v>0</v>
      </c>
      <c r="AT490">
        <f t="shared" si="458"/>
        <v>0</v>
      </c>
      <c r="AU490">
        <f t="shared" si="459"/>
        <v>0</v>
      </c>
      <c r="AV490">
        <f t="shared" si="441"/>
        <v>1.7184511815136165E-20</v>
      </c>
      <c r="AW490" t="b">
        <f t="shared" si="460"/>
        <v>1</v>
      </c>
      <c r="AX490">
        <f t="shared" si="442"/>
        <v>7.8539816339744828</v>
      </c>
      <c r="AY490">
        <f t="shared" si="443"/>
        <v>0.2555978762183243</v>
      </c>
      <c r="AZ490">
        <f t="shared" si="444"/>
        <v>8.9840703999789343E-2</v>
      </c>
      <c r="BA490">
        <f t="shared" si="445"/>
        <v>1.0940820326268452E-2</v>
      </c>
      <c r="BB490">
        <f t="shared" si="446"/>
        <v>-1.2337005501361696E-20</v>
      </c>
      <c r="BD490" s="15">
        <f t="shared" si="461"/>
        <v>8.2103610345188649</v>
      </c>
      <c r="BE490" s="10">
        <f t="shared" si="462"/>
        <v>0</v>
      </c>
      <c r="BF490">
        <f t="shared" si="463"/>
        <v>0</v>
      </c>
      <c r="BG490">
        <f t="shared" si="464"/>
        <v>0</v>
      </c>
      <c r="BH490">
        <f t="shared" si="465"/>
        <v>0</v>
      </c>
      <c r="BI490">
        <f t="shared" si="466"/>
        <v>0</v>
      </c>
    </row>
    <row r="491" spans="1:61" x14ac:dyDescent="0.3">
      <c r="A491">
        <f t="shared" si="471"/>
        <v>0.45400000000000001</v>
      </c>
      <c r="B491">
        <f t="shared" si="414"/>
        <v>1.4262830647297662</v>
      </c>
      <c r="C491">
        <f t="shared" si="415"/>
        <v>1.7153095888600269</v>
      </c>
      <c r="D491">
        <f t="shared" si="416"/>
        <v>1.7153095888600269</v>
      </c>
      <c r="E491">
        <f t="shared" si="421"/>
        <v>0.98957611860265093</v>
      </c>
      <c r="F491">
        <f t="shared" si="422"/>
        <v>0.98957611860265104</v>
      </c>
      <c r="G491">
        <f t="shared" si="417"/>
        <v>1.4262830647297662</v>
      </c>
      <c r="H491">
        <f t="shared" si="418"/>
        <v>0.98957611860265093</v>
      </c>
      <c r="I491">
        <f t="shared" si="419"/>
        <v>0.98957611860265104</v>
      </c>
      <c r="J491">
        <f t="shared" si="467"/>
        <v>6.4332572340825285E+19</v>
      </c>
      <c r="K491">
        <f t="shared" si="468"/>
        <v>6.4332572340825285E+19</v>
      </c>
      <c r="L491">
        <f t="shared" si="423"/>
        <v>1</v>
      </c>
      <c r="M491">
        <f t="shared" si="420"/>
        <v>1.7153095888600269E-20</v>
      </c>
      <c r="N491" s="9">
        <f t="shared" si="469"/>
        <v>1.7153095888600269E-20</v>
      </c>
      <c r="O491">
        <f t="shared" si="470"/>
        <v>1.7153095888600269E-20</v>
      </c>
      <c r="Q491">
        <f t="shared" si="424"/>
        <v>45.610597745160547</v>
      </c>
      <c r="R491">
        <f t="shared" si="425"/>
        <v>0</v>
      </c>
      <c r="S491">
        <f t="shared" si="447"/>
        <v>-45.512108277268744</v>
      </c>
      <c r="T491" s="9" t="e">
        <f t="shared" si="426"/>
        <v>#N/A</v>
      </c>
      <c r="U491">
        <f t="shared" si="448"/>
        <v>-1.0000000000000001E+300</v>
      </c>
      <c r="V491">
        <f t="shared" si="449"/>
        <v>0</v>
      </c>
      <c r="W491">
        <f t="shared" si="450"/>
        <v>0</v>
      </c>
      <c r="X491">
        <f t="shared" si="427"/>
        <v>1.7153095888600269</v>
      </c>
      <c r="Y491">
        <f t="shared" si="428"/>
        <v>7.8539816339744828</v>
      </c>
      <c r="Z491">
        <f t="shared" si="429"/>
        <v>-1.7153095888600269</v>
      </c>
      <c r="AA491">
        <f t="shared" si="451"/>
        <v>0.24962513905441419</v>
      </c>
      <c r="AB491">
        <f t="shared" si="430"/>
        <v>8.103606773028897</v>
      </c>
      <c r="AC491">
        <f t="shared" si="452"/>
        <v>8.8010877322713177E-2</v>
      </c>
      <c r="AD491">
        <f t="shared" si="431"/>
        <v>1.0478590569088404E-2</v>
      </c>
      <c r="AE491" s="9">
        <f t="shared" si="453"/>
        <v>8.2020962409206977</v>
      </c>
      <c r="AF491">
        <f t="shared" si="454"/>
        <v>0</v>
      </c>
      <c r="AH491">
        <f t="shared" si="432"/>
        <v>7.8539816339744828</v>
      </c>
      <c r="AI491">
        <f t="shared" si="433"/>
        <v>0.24962513905441427</v>
      </c>
      <c r="AJ491">
        <f t="shared" si="434"/>
        <v>8.8010877322716397E-2</v>
      </c>
      <c r="AK491">
        <f t="shared" si="435"/>
        <v>1.0478590569088404E-2</v>
      </c>
      <c r="AL491" s="9">
        <f t="shared" si="455"/>
        <v>8.2020962409207012</v>
      </c>
      <c r="AM491" t="e">
        <f t="shared" si="436"/>
        <v>#N/A</v>
      </c>
      <c r="AN491" t="e">
        <f t="shared" si="456"/>
        <v>#N/A</v>
      </c>
      <c r="AO491">
        <f t="shared" si="437"/>
        <v>0</v>
      </c>
      <c r="AP491">
        <f t="shared" si="438"/>
        <v>0</v>
      </c>
      <c r="AQ491">
        <f t="shared" si="439"/>
        <v>3.219646771412954E-15</v>
      </c>
      <c r="AR491">
        <f t="shared" si="457"/>
        <v>0</v>
      </c>
      <c r="AS491">
        <f t="shared" si="440"/>
        <v>0</v>
      </c>
      <c r="AT491">
        <f t="shared" si="458"/>
        <v>0</v>
      </c>
      <c r="AU491">
        <f t="shared" si="459"/>
        <v>0</v>
      </c>
      <c r="AV491">
        <f t="shared" si="441"/>
        <v>1.7153095888600269E-20</v>
      </c>
      <c r="AW491" t="b">
        <f t="shared" si="460"/>
        <v>1</v>
      </c>
      <c r="AX491">
        <f t="shared" si="442"/>
        <v>7.8539816339744828</v>
      </c>
      <c r="AY491">
        <f t="shared" si="443"/>
        <v>0.24962513905441408</v>
      </c>
      <c r="AZ491">
        <f t="shared" si="444"/>
        <v>8.8010877322713371E-2</v>
      </c>
      <c r="BA491">
        <f t="shared" si="445"/>
        <v>1.0478590569088292E-2</v>
      </c>
      <c r="BB491">
        <f t="shared" si="446"/>
        <v>-1.2337005501361696E-20</v>
      </c>
      <c r="BD491" s="15">
        <f t="shared" si="461"/>
        <v>8.2020962409206977</v>
      </c>
      <c r="BE491" s="10">
        <f t="shared" si="462"/>
        <v>0</v>
      </c>
      <c r="BF491">
        <f t="shared" si="463"/>
        <v>0</v>
      </c>
      <c r="BG491">
        <f t="shared" si="464"/>
        <v>0</v>
      </c>
      <c r="BH491">
        <f t="shared" si="465"/>
        <v>0</v>
      </c>
      <c r="BI491">
        <f t="shared" si="466"/>
        <v>1.9428902930940239E-16</v>
      </c>
    </row>
    <row r="492" spans="1:61" x14ac:dyDescent="0.3">
      <c r="A492">
        <f t="shared" si="471"/>
        <v>0.45500000000000002</v>
      </c>
      <c r="B492">
        <f t="shared" si="414"/>
        <v>1.429424657383356</v>
      </c>
      <c r="C492">
        <f t="shared" si="415"/>
        <v>1.7121679962064371</v>
      </c>
      <c r="D492">
        <f t="shared" si="416"/>
        <v>1.7121679962064371</v>
      </c>
      <c r="E492">
        <f t="shared" si="421"/>
        <v>0.99002365771655754</v>
      </c>
      <c r="F492">
        <f t="shared" si="422"/>
        <v>0.99002365771655765</v>
      </c>
      <c r="G492">
        <f t="shared" si="417"/>
        <v>1.429424657383356</v>
      </c>
      <c r="H492">
        <f t="shared" si="418"/>
        <v>0.99002365771655754</v>
      </c>
      <c r="I492">
        <f t="shared" si="419"/>
        <v>0.99002365771655765</v>
      </c>
      <c r="J492">
        <f t="shared" si="467"/>
        <v>6.4303490871714587E+19</v>
      </c>
      <c r="K492">
        <f t="shared" si="468"/>
        <v>6.4303490871714587E+19</v>
      </c>
      <c r="L492" t="e">
        <f t="shared" si="423"/>
        <v>#NUM!</v>
      </c>
      <c r="M492">
        <f t="shared" si="420"/>
        <v>1.7121679962064369E-20</v>
      </c>
      <c r="N492" s="9" t="e">
        <f t="shared" si="469"/>
        <v>#NUM!</v>
      </c>
      <c r="O492" t="e">
        <f t="shared" si="470"/>
        <v>#NUM!</v>
      </c>
      <c r="Q492">
        <f t="shared" si="424"/>
        <v>45.61014559404709</v>
      </c>
      <c r="R492">
        <f t="shared" si="425"/>
        <v>0</v>
      </c>
      <c r="S492">
        <f t="shared" si="447"/>
        <v>-45.513941458350409</v>
      </c>
      <c r="T492" s="9" t="e">
        <f t="shared" si="426"/>
        <v>#N/A</v>
      </c>
      <c r="U492">
        <f t="shared" si="448"/>
        <v>-1.0000000000000001E+300</v>
      </c>
      <c r="V492">
        <f t="shared" si="449"/>
        <v>0</v>
      </c>
      <c r="W492">
        <f t="shared" si="450"/>
        <v>0</v>
      </c>
      <c r="X492">
        <f t="shared" si="427"/>
        <v>1.7121679962064371</v>
      </c>
      <c r="Y492">
        <f t="shared" si="428"/>
        <v>7.8539816339744828</v>
      </c>
      <c r="Z492">
        <f t="shared" si="429"/>
        <v>-1.7121679962064371</v>
      </c>
      <c r="AA492">
        <f t="shared" si="451"/>
        <v>0.24367759100425224</v>
      </c>
      <c r="AB492">
        <f t="shared" si="430"/>
        <v>8.0976592249787345</v>
      </c>
      <c r="AC492">
        <f t="shared" si="452"/>
        <v>8.6177696241052204E-2</v>
      </c>
      <c r="AD492">
        <f t="shared" si="431"/>
        <v>1.002643945563118E-2</v>
      </c>
      <c r="AE492" s="9">
        <f t="shared" si="453"/>
        <v>8.193863360675417</v>
      </c>
      <c r="AF492">
        <f t="shared" si="454"/>
        <v>0</v>
      </c>
      <c r="AH492">
        <f t="shared" si="432"/>
        <v>7.8539816339744828</v>
      </c>
      <c r="AI492">
        <f t="shared" si="433"/>
        <v>0.24367759100425226</v>
      </c>
      <c r="AJ492">
        <f t="shared" si="434"/>
        <v>8.6177696241051649E-2</v>
      </c>
      <c r="AK492">
        <f t="shared" si="435"/>
        <v>1.002643945563118E-2</v>
      </c>
      <c r="AL492" s="9">
        <f t="shared" si="455"/>
        <v>8.193863360675417</v>
      </c>
      <c r="AM492" t="e">
        <f t="shared" si="436"/>
        <v>#N/A</v>
      </c>
      <c r="AN492" t="e">
        <f t="shared" si="456"/>
        <v>#N/A</v>
      </c>
      <c r="AO492">
        <f t="shared" si="437"/>
        <v>0</v>
      </c>
      <c r="AP492">
        <f t="shared" si="438"/>
        <v>0</v>
      </c>
      <c r="AQ492">
        <f t="shared" si="439"/>
        <v>-5.5511151231257827E-16</v>
      </c>
      <c r="AR492">
        <f t="shared" si="457"/>
        <v>0</v>
      </c>
      <c r="AS492">
        <f t="shared" si="440"/>
        <v>0</v>
      </c>
      <c r="AT492">
        <f t="shared" si="458"/>
        <v>0</v>
      </c>
      <c r="AU492">
        <f t="shared" si="459"/>
        <v>0</v>
      </c>
      <c r="AV492">
        <f t="shared" si="441"/>
        <v>1.7121679962064369E-20</v>
      </c>
      <c r="AW492" t="b">
        <f t="shared" si="460"/>
        <v>1</v>
      </c>
      <c r="AX492">
        <f t="shared" si="442"/>
        <v>7.8539816339744828</v>
      </c>
      <c r="AY492">
        <f t="shared" si="443"/>
        <v>0.24367759100425204</v>
      </c>
      <c r="AZ492">
        <f t="shared" si="444"/>
        <v>8.6177696241052204E-2</v>
      </c>
      <c r="BA492">
        <f t="shared" si="445"/>
        <v>1.0026439455631067E-2</v>
      </c>
      <c r="BB492">
        <f t="shared" si="446"/>
        <v>-1.2337005501361696E-20</v>
      </c>
      <c r="BD492" s="15">
        <f t="shared" si="461"/>
        <v>8.193863360675417</v>
      </c>
      <c r="BE492" s="10">
        <f t="shared" si="462"/>
        <v>0</v>
      </c>
      <c r="BF492">
        <f t="shared" si="463"/>
        <v>0</v>
      </c>
      <c r="BG492">
        <f t="shared" si="464"/>
        <v>0</v>
      </c>
      <c r="BH492">
        <f t="shared" si="465"/>
        <v>0</v>
      </c>
      <c r="BI492">
        <f t="shared" si="466"/>
        <v>0</v>
      </c>
    </row>
    <row r="493" spans="1:61" x14ac:dyDescent="0.3">
      <c r="A493">
        <f t="shared" si="471"/>
        <v>0.45600000000000002</v>
      </c>
      <c r="B493">
        <f t="shared" si="414"/>
        <v>1.4325662500369458</v>
      </c>
      <c r="C493">
        <f t="shared" si="415"/>
        <v>1.7090264035528473</v>
      </c>
      <c r="D493">
        <f t="shared" si="416"/>
        <v>1.7090264035528473</v>
      </c>
      <c r="E493">
        <f t="shared" si="421"/>
        <v>0.99046142569665119</v>
      </c>
      <c r="F493">
        <f t="shared" si="422"/>
        <v>0.9904614256966513</v>
      </c>
      <c r="G493">
        <f t="shared" si="417"/>
        <v>1.4325662500369458</v>
      </c>
      <c r="H493">
        <f t="shared" si="418"/>
        <v>0.99046142569665119</v>
      </c>
      <c r="I493">
        <f t="shared" si="419"/>
        <v>0.9904614256966513</v>
      </c>
      <c r="J493">
        <f t="shared" si="467"/>
        <v>6.4275069765569962E+19</v>
      </c>
      <c r="K493">
        <f t="shared" si="468"/>
        <v>6.4275069765569962E+19</v>
      </c>
      <c r="L493">
        <f t="shared" si="423"/>
        <v>1</v>
      </c>
      <c r="M493">
        <f t="shared" si="420"/>
        <v>1.7090264035528473E-20</v>
      </c>
      <c r="N493" s="9">
        <f t="shared" si="469"/>
        <v>1.7090264035528473E-20</v>
      </c>
      <c r="O493">
        <f t="shared" si="470"/>
        <v>1.7090264035528473E-20</v>
      </c>
      <c r="Q493">
        <f t="shared" si="424"/>
        <v>45.609703512467291</v>
      </c>
      <c r="R493">
        <f t="shared" si="425"/>
        <v>0</v>
      </c>
      <c r="S493">
        <f t="shared" si="447"/>
        <v>-45.51577800615771</v>
      </c>
      <c r="T493" s="9" t="e">
        <f t="shared" si="426"/>
        <v>#N/A</v>
      </c>
      <c r="U493">
        <f t="shared" si="448"/>
        <v>-1.0000000000000001E+300</v>
      </c>
      <c r="V493">
        <f t="shared" si="449"/>
        <v>0</v>
      </c>
      <c r="W493">
        <f t="shared" si="450"/>
        <v>0</v>
      </c>
      <c r="X493">
        <f t="shared" si="427"/>
        <v>1.7090264035528473</v>
      </c>
      <c r="Y493">
        <f t="shared" si="428"/>
        <v>7.8539816339744828</v>
      </c>
      <c r="Z493">
        <f t="shared" si="429"/>
        <v>-1.7090264035528473</v>
      </c>
      <c r="AA493">
        <f t="shared" si="451"/>
        <v>0.2377550895206603</v>
      </c>
      <c r="AB493">
        <f t="shared" si="430"/>
        <v>8.0917367234951438</v>
      </c>
      <c r="AC493">
        <f t="shared" si="452"/>
        <v>8.4341148433750748E-2</v>
      </c>
      <c r="AD493">
        <f t="shared" si="431"/>
        <v>9.5843578758307083E-3</v>
      </c>
      <c r="AE493" s="9">
        <f t="shared" si="453"/>
        <v>8.1856622298047252</v>
      </c>
      <c r="AF493">
        <f t="shared" si="454"/>
        <v>0</v>
      </c>
      <c r="AH493">
        <f t="shared" si="432"/>
        <v>7.8539816339744828</v>
      </c>
      <c r="AI493">
        <f t="shared" si="433"/>
        <v>0.23775508952066035</v>
      </c>
      <c r="AJ493">
        <f t="shared" si="434"/>
        <v>8.4341148433750845E-2</v>
      </c>
      <c r="AK493">
        <f t="shared" si="435"/>
        <v>9.5843578758307083E-3</v>
      </c>
      <c r="AL493" s="9">
        <f t="shared" si="455"/>
        <v>8.1856622298047252</v>
      </c>
      <c r="AM493" t="e">
        <f t="shared" si="436"/>
        <v>#N/A</v>
      </c>
      <c r="AN493" t="e">
        <f t="shared" si="456"/>
        <v>#N/A</v>
      </c>
      <c r="AO493">
        <f t="shared" si="437"/>
        <v>0</v>
      </c>
      <c r="AP493">
        <f t="shared" si="438"/>
        <v>0</v>
      </c>
      <c r="AQ493">
        <f t="shared" si="439"/>
        <v>0</v>
      </c>
      <c r="AR493">
        <f t="shared" si="457"/>
        <v>0</v>
      </c>
      <c r="AS493">
        <f t="shared" si="440"/>
        <v>0</v>
      </c>
      <c r="AT493">
        <f t="shared" si="458"/>
        <v>0</v>
      </c>
      <c r="AU493">
        <f t="shared" si="459"/>
        <v>0</v>
      </c>
      <c r="AV493">
        <f t="shared" si="441"/>
        <v>1.7090264035528473E-20</v>
      </c>
      <c r="AW493" t="b">
        <f t="shared" si="460"/>
        <v>1</v>
      </c>
      <c r="AX493">
        <f t="shared" si="442"/>
        <v>7.8539816339744828</v>
      </c>
      <c r="AY493">
        <f t="shared" si="443"/>
        <v>0.23775508952066016</v>
      </c>
      <c r="AZ493">
        <f t="shared" si="444"/>
        <v>8.4341148433750956E-2</v>
      </c>
      <c r="BA493">
        <f t="shared" si="445"/>
        <v>9.5843578758305955E-3</v>
      </c>
      <c r="BB493">
        <f t="shared" si="446"/>
        <v>-1.2337005501361696E-20</v>
      </c>
      <c r="BD493" s="15">
        <f t="shared" si="461"/>
        <v>8.1856622298047235</v>
      </c>
      <c r="BE493" s="10">
        <f t="shared" si="462"/>
        <v>0</v>
      </c>
      <c r="BF493">
        <f t="shared" si="463"/>
        <v>0</v>
      </c>
      <c r="BG493">
        <f t="shared" si="464"/>
        <v>0</v>
      </c>
      <c r="BH493">
        <f t="shared" si="465"/>
        <v>0</v>
      </c>
      <c r="BI493">
        <f t="shared" si="466"/>
        <v>2.0816681711721685E-16</v>
      </c>
    </row>
    <row r="494" spans="1:61" x14ac:dyDescent="0.3">
      <c r="A494">
        <f t="shared" si="471"/>
        <v>0.45700000000000002</v>
      </c>
      <c r="B494">
        <f t="shared" si="414"/>
        <v>1.4357078426905354</v>
      </c>
      <c r="C494">
        <f t="shared" si="415"/>
        <v>1.7058848108992577</v>
      </c>
      <c r="D494">
        <f t="shared" si="416"/>
        <v>1.7058848108992577</v>
      </c>
      <c r="E494">
        <f t="shared" si="421"/>
        <v>0.99088941822233867</v>
      </c>
      <c r="F494">
        <f t="shared" si="422"/>
        <v>0.99088941822233867</v>
      </c>
      <c r="G494">
        <f t="shared" si="417"/>
        <v>1.4357078426905354</v>
      </c>
      <c r="H494">
        <f t="shared" si="418"/>
        <v>0.99088941822233867</v>
      </c>
      <c r="I494">
        <f t="shared" si="419"/>
        <v>0.99088941822233867</v>
      </c>
      <c r="J494">
        <f t="shared" si="467"/>
        <v>6.4247307586519695E+19</v>
      </c>
      <c r="K494">
        <f t="shared" si="468"/>
        <v>6.4247307586519695E+19</v>
      </c>
      <c r="L494" t="e">
        <f t="shared" si="423"/>
        <v>#NUM!</v>
      </c>
      <c r="M494">
        <f t="shared" si="420"/>
        <v>1.7058848108992576E-20</v>
      </c>
      <c r="N494" s="9" t="e">
        <f t="shared" si="469"/>
        <v>#NUM!</v>
      </c>
      <c r="O494" t="e">
        <f t="shared" si="470"/>
        <v>#NUM!</v>
      </c>
      <c r="Q494">
        <f t="shared" si="424"/>
        <v>45.609271491521923</v>
      </c>
      <c r="R494">
        <f t="shared" si="425"/>
        <v>-710542.73576010019</v>
      </c>
      <c r="S494">
        <f t="shared" si="447"/>
        <v>-45.517617933079713</v>
      </c>
      <c r="T494" s="9" t="e">
        <f t="shared" si="426"/>
        <v>#N/A</v>
      </c>
      <c r="U494">
        <f t="shared" si="448"/>
        <v>-1.0000000000000001E+300</v>
      </c>
      <c r="V494">
        <f t="shared" si="449"/>
        <v>0</v>
      </c>
      <c r="W494">
        <f t="shared" si="450"/>
        <v>0</v>
      </c>
      <c r="X494">
        <f t="shared" si="427"/>
        <v>1.7058848108992577</v>
      </c>
      <c r="Y494">
        <f t="shared" si="428"/>
        <v>7.8539816339744828</v>
      </c>
      <c r="Z494">
        <f t="shared" si="429"/>
        <v>-1.7058848108992577</v>
      </c>
      <c r="AA494">
        <f t="shared" si="451"/>
        <v>0.23185749329910751</v>
      </c>
      <c r="AB494">
        <f t="shared" si="430"/>
        <v>8.0858391272735908</v>
      </c>
      <c r="AC494">
        <f t="shared" si="452"/>
        <v>8.2501221511743772E-2</v>
      </c>
      <c r="AD494">
        <f t="shared" si="431"/>
        <v>9.1523369304662566E-3</v>
      </c>
      <c r="AE494" s="9">
        <f t="shared" si="453"/>
        <v>8.1774926857158015</v>
      </c>
      <c r="AF494">
        <f t="shared" si="454"/>
        <v>0</v>
      </c>
      <c r="AH494">
        <f t="shared" si="432"/>
        <v>7.8539816339744828</v>
      </c>
      <c r="AI494">
        <f t="shared" si="433"/>
        <v>0.23185749329910757</v>
      </c>
      <c r="AJ494">
        <f t="shared" si="434"/>
        <v>8.2501221511748213E-2</v>
      </c>
      <c r="AK494">
        <f t="shared" si="435"/>
        <v>9.1523369304662566E-3</v>
      </c>
      <c r="AL494" s="9">
        <f t="shared" si="455"/>
        <v>8.177492685715805</v>
      </c>
      <c r="AM494" t="e">
        <f t="shared" si="436"/>
        <v>#N/A</v>
      </c>
      <c r="AN494" t="e">
        <f t="shared" si="456"/>
        <v>#N/A</v>
      </c>
      <c r="AO494">
        <f t="shared" si="437"/>
        <v>0</v>
      </c>
      <c r="AP494">
        <f t="shared" si="438"/>
        <v>0</v>
      </c>
      <c r="AQ494">
        <f t="shared" si="439"/>
        <v>4.4408920985006262E-15</v>
      </c>
      <c r="AR494">
        <f t="shared" si="457"/>
        <v>0</v>
      </c>
      <c r="AS494">
        <f t="shared" si="440"/>
        <v>0</v>
      </c>
      <c r="AT494">
        <f t="shared" si="458"/>
        <v>0</v>
      </c>
      <c r="AU494">
        <f t="shared" si="459"/>
        <v>0</v>
      </c>
      <c r="AV494">
        <f t="shared" si="441"/>
        <v>1.7058848108992576E-20</v>
      </c>
      <c r="AW494" t="b">
        <f t="shared" si="460"/>
        <v>1</v>
      </c>
      <c r="AX494">
        <f t="shared" si="442"/>
        <v>7.8539816339744828</v>
      </c>
      <c r="AY494">
        <f t="shared" si="443"/>
        <v>0.23185749329910738</v>
      </c>
      <c r="AZ494">
        <f t="shared" si="444"/>
        <v>8.2501221511743772E-2</v>
      </c>
      <c r="BA494">
        <f t="shared" si="445"/>
        <v>9.1523369304662566E-3</v>
      </c>
      <c r="BB494">
        <f t="shared" si="446"/>
        <v>-1.2337005501361696E-20</v>
      </c>
      <c r="BD494" s="15">
        <f t="shared" si="461"/>
        <v>8.1774926857158015</v>
      </c>
      <c r="BE494" s="10">
        <f t="shared" si="462"/>
        <v>0</v>
      </c>
      <c r="BF494">
        <f t="shared" si="463"/>
        <v>0</v>
      </c>
      <c r="BG494">
        <f t="shared" si="464"/>
        <v>0</v>
      </c>
      <c r="BH494">
        <f t="shared" si="465"/>
        <v>0</v>
      </c>
      <c r="BI494">
        <f t="shared" si="466"/>
        <v>0</v>
      </c>
    </row>
    <row r="495" spans="1:61" x14ac:dyDescent="0.3">
      <c r="A495">
        <f t="shared" si="471"/>
        <v>0.45800000000000002</v>
      </c>
      <c r="B495">
        <f t="shared" si="414"/>
        <v>1.4388494353441252</v>
      </c>
      <c r="C495">
        <f t="shared" si="415"/>
        <v>1.7027432182456679</v>
      </c>
      <c r="D495">
        <f t="shared" si="416"/>
        <v>1.7027432182456679</v>
      </c>
      <c r="E495">
        <f t="shared" si="421"/>
        <v>0.99130763106950659</v>
      </c>
      <c r="F495">
        <f t="shared" si="422"/>
        <v>0.99130763106950659</v>
      </c>
      <c r="G495">
        <f t="shared" si="417"/>
        <v>1.4388494353441252</v>
      </c>
      <c r="H495">
        <f t="shared" si="418"/>
        <v>0.99130763106950659</v>
      </c>
      <c r="I495">
        <f t="shared" si="419"/>
        <v>0.99130763106950659</v>
      </c>
      <c r="J495">
        <f t="shared" si="467"/>
        <v>6.422020293344682E+19</v>
      </c>
      <c r="K495">
        <f t="shared" si="468"/>
        <v>6.422020293344682E+19</v>
      </c>
      <c r="L495">
        <f t="shared" si="423"/>
        <v>1</v>
      </c>
      <c r="M495">
        <f t="shared" si="420"/>
        <v>1.7027432182456679E-20</v>
      </c>
      <c r="N495" s="9">
        <f t="shared" si="469"/>
        <v>1.7027432182456679E-20</v>
      </c>
      <c r="O495">
        <f t="shared" si="470"/>
        <v>1.7027432182456679E-20</v>
      </c>
      <c r="Q495">
        <f t="shared" si="424"/>
        <v>45.608849522521901</v>
      </c>
      <c r="R495">
        <f t="shared" si="425"/>
        <v>0</v>
      </c>
      <c r="S495">
        <f t="shared" si="447"/>
        <v>-45.519461251574008</v>
      </c>
      <c r="T495" s="9" t="e">
        <f t="shared" si="426"/>
        <v>#N/A</v>
      </c>
      <c r="U495">
        <f t="shared" si="448"/>
        <v>-1.0000000000000001E+300</v>
      </c>
      <c r="V495">
        <f t="shared" si="449"/>
        <v>0</v>
      </c>
      <c r="W495">
        <f t="shared" si="450"/>
        <v>0</v>
      </c>
      <c r="X495">
        <f t="shared" si="427"/>
        <v>1.7027432182456679</v>
      </c>
      <c r="Y495">
        <f t="shared" si="428"/>
        <v>7.8539816339744828</v>
      </c>
      <c r="Z495">
        <f t="shared" si="429"/>
        <v>-1.7027432182456679</v>
      </c>
      <c r="AA495">
        <f t="shared" si="451"/>
        <v>0.22598466226425568</v>
      </c>
      <c r="AB495">
        <f t="shared" si="430"/>
        <v>8.0799662962387391</v>
      </c>
      <c r="AC495">
        <f t="shared" si="452"/>
        <v>8.0657903017454541E-2</v>
      </c>
      <c r="AD495">
        <f t="shared" si="431"/>
        <v>8.7303679304389023E-3</v>
      </c>
      <c r="AE495" s="9">
        <f t="shared" si="453"/>
        <v>8.1693545671866321</v>
      </c>
      <c r="AF495">
        <f t="shared" si="454"/>
        <v>0</v>
      </c>
      <c r="AH495">
        <f t="shared" si="432"/>
        <v>7.8539816339744828</v>
      </c>
      <c r="AI495">
        <f t="shared" si="433"/>
        <v>0.22598466226425581</v>
      </c>
      <c r="AJ495">
        <f t="shared" si="434"/>
        <v>8.0657903017453236E-2</v>
      </c>
      <c r="AK495">
        <f t="shared" si="435"/>
        <v>8.7303679304389023E-3</v>
      </c>
      <c r="AL495" s="9">
        <f t="shared" si="455"/>
        <v>8.1693545671866303</v>
      </c>
      <c r="AM495" t="e">
        <f t="shared" si="436"/>
        <v>#N/A</v>
      </c>
      <c r="AN495" t="e">
        <f t="shared" si="456"/>
        <v>#N/A</v>
      </c>
      <c r="AO495">
        <f t="shared" si="437"/>
        <v>0</v>
      </c>
      <c r="AP495">
        <f t="shared" si="438"/>
        <v>0</v>
      </c>
      <c r="AQ495">
        <f t="shared" si="439"/>
        <v>-1.3045120539345589E-15</v>
      </c>
      <c r="AR495">
        <f t="shared" si="457"/>
        <v>0</v>
      </c>
      <c r="AS495">
        <f t="shared" si="440"/>
        <v>0</v>
      </c>
      <c r="AT495">
        <f t="shared" si="458"/>
        <v>0</v>
      </c>
      <c r="AU495">
        <f t="shared" si="459"/>
        <v>0</v>
      </c>
      <c r="AV495">
        <f t="shared" si="441"/>
        <v>1.7027432182456676E-20</v>
      </c>
      <c r="AW495" t="b">
        <f t="shared" si="460"/>
        <v>1</v>
      </c>
      <c r="AX495">
        <f t="shared" si="442"/>
        <v>7.8539816339744828</v>
      </c>
      <c r="AY495">
        <f t="shared" si="443"/>
        <v>0.22598466226425554</v>
      </c>
      <c r="AZ495">
        <f t="shared" si="444"/>
        <v>8.0657903017454333E-2</v>
      </c>
      <c r="BA495">
        <f t="shared" si="445"/>
        <v>8.7303679304389023E-3</v>
      </c>
      <c r="BB495">
        <f t="shared" si="446"/>
        <v>-1.2337005501361696E-20</v>
      </c>
      <c r="BD495" s="15">
        <f t="shared" si="461"/>
        <v>8.1693545671866321</v>
      </c>
      <c r="BE495" s="10">
        <f t="shared" si="462"/>
        <v>0</v>
      </c>
      <c r="BF495">
        <f t="shared" si="463"/>
        <v>0</v>
      </c>
      <c r="BG495">
        <f t="shared" si="464"/>
        <v>0</v>
      </c>
      <c r="BH495">
        <f t="shared" si="465"/>
        <v>0</v>
      </c>
      <c r="BI495">
        <f t="shared" si="466"/>
        <v>-2.0816681711721685E-16</v>
      </c>
    </row>
    <row r="496" spans="1:61" x14ac:dyDescent="0.3">
      <c r="A496">
        <f t="shared" si="471"/>
        <v>0.45900000000000002</v>
      </c>
      <c r="B496">
        <f t="shared" si="414"/>
        <v>1.4419910279977151</v>
      </c>
      <c r="C496">
        <f t="shared" si="415"/>
        <v>1.6996016255920781</v>
      </c>
      <c r="D496">
        <f t="shared" si="416"/>
        <v>1.6996016255920781</v>
      </c>
      <c r="E496">
        <f t="shared" si="421"/>
        <v>0.9917160601105629</v>
      </c>
      <c r="F496">
        <f t="shared" si="422"/>
        <v>0.9917160601105629</v>
      </c>
      <c r="G496">
        <f t="shared" si="417"/>
        <v>1.4419910279977151</v>
      </c>
      <c r="H496">
        <f t="shared" si="418"/>
        <v>0.9917160601105629</v>
      </c>
      <c r="I496">
        <f t="shared" si="419"/>
        <v>0.9917160601105629</v>
      </c>
      <c r="J496">
        <f t="shared" si="467"/>
        <v>6.4193754439814857E+19</v>
      </c>
      <c r="K496">
        <f t="shared" si="468"/>
        <v>6.4193754439814857E+19</v>
      </c>
      <c r="L496">
        <f t="shared" si="423"/>
        <v>1</v>
      </c>
      <c r="M496">
        <f t="shared" si="420"/>
        <v>1.699601625592078E-20</v>
      </c>
      <c r="N496" s="9">
        <f t="shared" si="469"/>
        <v>1.699601625592078E-20</v>
      </c>
      <c r="O496">
        <f t="shared" si="470"/>
        <v>1.699601625592078E-20</v>
      </c>
      <c r="Q496">
        <f t="shared" si="424"/>
        <v>45.608437596987528</v>
      </c>
      <c r="R496">
        <f t="shared" si="425"/>
        <v>0</v>
      </c>
      <c r="S496">
        <f t="shared" si="447"/>
        <v>-45.521307974167172</v>
      </c>
      <c r="T496" s="9" t="e">
        <f t="shared" si="426"/>
        <v>#N/A</v>
      </c>
      <c r="U496">
        <f t="shared" si="448"/>
        <v>-1.0000000000000001E+300</v>
      </c>
      <c r="V496">
        <f t="shared" si="449"/>
        <v>0</v>
      </c>
      <c r="W496">
        <f t="shared" si="450"/>
        <v>0</v>
      </c>
      <c r="X496">
        <f t="shared" si="427"/>
        <v>1.6996016255920781</v>
      </c>
      <c r="Y496">
        <f t="shared" si="428"/>
        <v>7.8539816339744828</v>
      </c>
      <c r="Z496">
        <f t="shared" si="429"/>
        <v>-1.6996016255920781</v>
      </c>
      <c r="AA496">
        <f t="shared" si="451"/>
        <v>0.22013645755668404</v>
      </c>
      <c r="AB496">
        <f t="shared" si="430"/>
        <v>8.074118091531167</v>
      </c>
      <c r="AC496">
        <f t="shared" si="452"/>
        <v>7.8811180424289848E-2</v>
      </c>
      <c r="AD496">
        <f t="shared" si="431"/>
        <v>8.3184423960661492E-3</v>
      </c>
      <c r="AE496" s="9">
        <f t="shared" si="453"/>
        <v>8.1612477143515232</v>
      </c>
      <c r="AF496">
        <f t="shared" si="454"/>
        <v>0</v>
      </c>
      <c r="AH496">
        <f t="shared" si="432"/>
        <v>7.8539816339744828</v>
      </c>
      <c r="AI496">
        <f t="shared" si="433"/>
        <v>0.22013645755668418</v>
      </c>
      <c r="AJ496">
        <f t="shared" si="434"/>
        <v>7.8811180424288807E-2</v>
      </c>
      <c r="AK496">
        <f t="shared" si="435"/>
        <v>8.3184423960661492E-3</v>
      </c>
      <c r="AL496" s="9">
        <f t="shared" si="455"/>
        <v>8.1612477143515214</v>
      </c>
      <c r="AM496" t="e">
        <f t="shared" si="436"/>
        <v>#N/A</v>
      </c>
      <c r="AN496" t="e">
        <f t="shared" si="456"/>
        <v>#N/A</v>
      </c>
      <c r="AO496">
        <f t="shared" si="437"/>
        <v>0</v>
      </c>
      <c r="AP496">
        <f t="shared" si="438"/>
        <v>0</v>
      </c>
      <c r="AQ496">
        <f t="shared" si="439"/>
        <v>-1.0408340855860843E-15</v>
      </c>
      <c r="AR496">
        <f t="shared" si="457"/>
        <v>0</v>
      </c>
      <c r="AS496">
        <f t="shared" si="440"/>
        <v>0</v>
      </c>
      <c r="AT496">
        <f t="shared" si="458"/>
        <v>0</v>
      </c>
      <c r="AU496">
        <f t="shared" si="459"/>
        <v>0</v>
      </c>
      <c r="AV496">
        <f t="shared" si="441"/>
        <v>1.699601625592078E-20</v>
      </c>
      <c r="AW496" t="b">
        <f t="shared" si="460"/>
        <v>1</v>
      </c>
      <c r="AX496">
        <f t="shared" si="442"/>
        <v>7.8539816339744828</v>
      </c>
      <c r="AY496">
        <f t="shared" si="443"/>
        <v>0.2201364575566839</v>
      </c>
      <c r="AZ496">
        <f t="shared" si="444"/>
        <v>7.8811180424289848E-2</v>
      </c>
      <c r="BA496">
        <f t="shared" si="445"/>
        <v>8.3184423960661492E-3</v>
      </c>
      <c r="BB496">
        <f t="shared" si="446"/>
        <v>-1.2337005501361696E-20</v>
      </c>
      <c r="BD496" s="15">
        <f t="shared" si="461"/>
        <v>8.1612477143515232</v>
      </c>
      <c r="BE496" s="10">
        <f t="shared" si="462"/>
        <v>0</v>
      </c>
      <c r="BF496">
        <f t="shared" si="463"/>
        <v>0</v>
      </c>
      <c r="BG496">
        <f t="shared" si="464"/>
        <v>0</v>
      </c>
      <c r="BH496">
        <f t="shared" si="465"/>
        <v>0</v>
      </c>
      <c r="BI496">
        <f t="shared" si="466"/>
        <v>0</v>
      </c>
    </row>
    <row r="497" spans="1:61" x14ac:dyDescent="0.3">
      <c r="A497">
        <f t="shared" si="471"/>
        <v>0.46</v>
      </c>
      <c r="B497">
        <f t="shared" si="414"/>
        <v>1.4451326206513049</v>
      </c>
      <c r="C497">
        <f t="shared" si="415"/>
        <v>1.6964600329384882</v>
      </c>
      <c r="D497">
        <f t="shared" si="416"/>
        <v>1.6964600329384882</v>
      </c>
      <c r="E497">
        <f t="shared" si="421"/>
        <v>0.99211470131447788</v>
      </c>
      <c r="F497">
        <f t="shared" si="422"/>
        <v>0.99211470131447788</v>
      </c>
      <c r="G497">
        <f t="shared" si="417"/>
        <v>1.4451326206513049</v>
      </c>
      <c r="H497">
        <f t="shared" si="418"/>
        <v>0.99211470131447788</v>
      </c>
      <c r="I497">
        <f t="shared" si="419"/>
        <v>0.99211470131447788</v>
      </c>
      <c r="J497">
        <f t="shared" si="467"/>
        <v>6.4167960773498044E+19</v>
      </c>
      <c r="K497">
        <f t="shared" si="468"/>
        <v>6.4167960773498044E+19</v>
      </c>
      <c r="L497" t="e">
        <f t="shared" si="423"/>
        <v>#NUM!</v>
      </c>
      <c r="M497">
        <f t="shared" si="420"/>
        <v>1.696460032938488E-20</v>
      </c>
      <c r="N497" s="9" t="e">
        <f t="shared" si="469"/>
        <v>#NUM!</v>
      </c>
      <c r="O497" t="e">
        <f t="shared" si="470"/>
        <v>#NUM!</v>
      </c>
      <c r="Q497">
        <f t="shared" si="424"/>
        <v>45.608035706647854</v>
      </c>
      <c r="R497">
        <f t="shared" si="425"/>
        <v>0</v>
      </c>
      <c r="S497">
        <f t="shared" si="447"/>
        <v>-45.523158113455331</v>
      </c>
      <c r="T497" s="9" t="e">
        <f t="shared" si="426"/>
        <v>#N/A</v>
      </c>
      <c r="U497">
        <f t="shared" si="448"/>
        <v>-1.0000000000000001E+300</v>
      </c>
      <c r="V497">
        <f t="shared" si="449"/>
        <v>0</v>
      </c>
      <c r="W497">
        <f t="shared" si="450"/>
        <v>0</v>
      </c>
      <c r="X497">
        <f t="shared" si="427"/>
        <v>1.6964600329384882</v>
      </c>
      <c r="Y497">
        <f t="shared" si="428"/>
        <v>7.8539816339744828</v>
      </c>
      <c r="Z497">
        <f t="shared" si="429"/>
        <v>-1.6964600329384882</v>
      </c>
      <c r="AA497">
        <f t="shared" si="451"/>
        <v>0.21431274151978333</v>
      </c>
      <c r="AB497">
        <f t="shared" si="430"/>
        <v>8.0682943754942666</v>
      </c>
      <c r="AC497">
        <f t="shared" si="452"/>
        <v>7.6961041136128394E-2</v>
      </c>
      <c r="AD497">
        <f t="shared" si="431"/>
        <v>7.9165520563940391E-3</v>
      </c>
      <c r="AE497" s="9">
        <f t="shared" si="453"/>
        <v>8.1531719686867881</v>
      </c>
      <c r="AF497">
        <f t="shared" si="454"/>
        <v>0</v>
      </c>
      <c r="AH497">
        <f t="shared" si="432"/>
        <v>7.8539816339744828</v>
      </c>
      <c r="AI497">
        <f t="shared" si="433"/>
        <v>0.21431274151978338</v>
      </c>
      <c r="AJ497">
        <f t="shared" si="434"/>
        <v>7.6961041136129893E-2</v>
      </c>
      <c r="AK497">
        <f t="shared" si="435"/>
        <v>7.9165520563940391E-3</v>
      </c>
      <c r="AL497" s="9">
        <f t="shared" si="455"/>
        <v>8.1531719686867898</v>
      </c>
      <c r="AM497" t="e">
        <f t="shared" si="436"/>
        <v>#N/A</v>
      </c>
      <c r="AN497" t="e">
        <f t="shared" si="456"/>
        <v>#N/A</v>
      </c>
      <c r="AO497">
        <f t="shared" si="437"/>
        <v>0</v>
      </c>
      <c r="AP497">
        <f t="shared" si="438"/>
        <v>0</v>
      </c>
      <c r="AQ497">
        <f t="shared" si="439"/>
        <v>1.4988010832439613E-15</v>
      </c>
      <c r="AR497">
        <f t="shared" si="457"/>
        <v>0</v>
      </c>
      <c r="AS497">
        <f t="shared" si="440"/>
        <v>0</v>
      </c>
      <c r="AT497">
        <f t="shared" si="458"/>
        <v>0</v>
      </c>
      <c r="AU497">
        <f t="shared" si="459"/>
        <v>0</v>
      </c>
      <c r="AV497">
        <f t="shared" si="441"/>
        <v>1.696460032938488E-20</v>
      </c>
      <c r="AW497" t="b">
        <f t="shared" si="460"/>
        <v>1</v>
      </c>
      <c r="AX497">
        <f t="shared" si="442"/>
        <v>7.8539816339744828</v>
      </c>
      <c r="AY497">
        <f t="shared" si="443"/>
        <v>0.21431274151978319</v>
      </c>
      <c r="AZ497">
        <f t="shared" si="444"/>
        <v>7.6961041136128186E-2</v>
      </c>
      <c r="BA497">
        <f t="shared" si="445"/>
        <v>7.9165520563940391E-3</v>
      </c>
      <c r="BB497">
        <f t="shared" si="446"/>
        <v>-1.2337005501361696E-20</v>
      </c>
      <c r="BD497" s="15">
        <f t="shared" si="461"/>
        <v>8.1531719686867881</v>
      </c>
      <c r="BE497" s="10">
        <f t="shared" si="462"/>
        <v>0</v>
      </c>
      <c r="BF497">
        <f t="shared" si="463"/>
        <v>0</v>
      </c>
      <c r="BG497">
        <f t="shared" si="464"/>
        <v>0</v>
      </c>
      <c r="BH497">
        <f t="shared" si="465"/>
        <v>0</v>
      </c>
      <c r="BI497">
        <f t="shared" si="466"/>
        <v>-2.0816681711721685E-16</v>
      </c>
    </row>
    <row r="498" spans="1:61" x14ac:dyDescent="0.3">
      <c r="A498">
        <f t="shared" si="471"/>
        <v>0.46100000000000002</v>
      </c>
      <c r="B498">
        <f t="shared" si="414"/>
        <v>1.4482742133048947</v>
      </c>
      <c r="C498">
        <f t="shared" si="415"/>
        <v>1.6933184402848984</v>
      </c>
      <c r="D498">
        <f t="shared" si="416"/>
        <v>1.6933184402848984</v>
      </c>
      <c r="E498">
        <f t="shared" si="421"/>
        <v>0.99250355074682373</v>
      </c>
      <c r="F498">
        <f t="shared" si="422"/>
        <v>0.99250355074682373</v>
      </c>
      <c r="G498">
        <f t="shared" si="417"/>
        <v>1.4482742133048947</v>
      </c>
      <c r="H498">
        <f t="shared" si="418"/>
        <v>0.99250355074682373</v>
      </c>
      <c r="I498">
        <f t="shared" si="419"/>
        <v>0.99250355074682373</v>
      </c>
      <c r="J498">
        <f t="shared" si="467"/>
        <v>6.4142820636616122E+19</v>
      </c>
      <c r="K498">
        <f t="shared" si="468"/>
        <v>6.4142820636616122E+19</v>
      </c>
      <c r="L498">
        <f t="shared" si="423"/>
        <v>1</v>
      </c>
      <c r="M498">
        <f t="shared" si="420"/>
        <v>1.6933184402848984E-20</v>
      </c>
      <c r="N498" s="9">
        <f t="shared" si="469"/>
        <v>1.6933184402848984E-20</v>
      </c>
      <c r="O498">
        <f t="shared" si="470"/>
        <v>1.6933184402848984E-20</v>
      </c>
      <c r="Q498">
        <f t="shared" si="424"/>
        <v>45.607643843439988</v>
      </c>
      <c r="R498">
        <f t="shared" si="425"/>
        <v>0</v>
      </c>
      <c r="S498">
        <f t="shared" si="447"/>
        <v>-45.525011682104655</v>
      </c>
      <c r="T498" s="9" t="e">
        <f t="shared" si="426"/>
        <v>#N/A</v>
      </c>
      <c r="U498">
        <f t="shared" si="448"/>
        <v>-1.0000000000000001E+300</v>
      </c>
      <c r="V498">
        <f t="shared" si="449"/>
        <v>0</v>
      </c>
      <c r="W498">
        <f t="shared" si="450"/>
        <v>0</v>
      </c>
      <c r="X498">
        <f t="shared" si="427"/>
        <v>1.6933184402848984</v>
      </c>
      <c r="Y498">
        <f t="shared" si="428"/>
        <v>7.8539816339744828</v>
      </c>
      <c r="Z498">
        <f t="shared" si="429"/>
        <v>-1.6933184402848984</v>
      </c>
      <c r="AA498">
        <f t="shared" si="451"/>
        <v>0.20851337768682227</v>
      </c>
      <c r="AB498">
        <f t="shared" si="430"/>
        <v>8.062495011661305</v>
      </c>
      <c r="AC498">
        <f t="shared" si="452"/>
        <v>7.5107472486805271E-2</v>
      </c>
      <c r="AD498">
        <f t="shared" si="431"/>
        <v>7.5246888485273888E-3</v>
      </c>
      <c r="AE498" s="9">
        <f t="shared" si="453"/>
        <v>8.1451271729966379</v>
      </c>
      <c r="AF498">
        <f t="shared" si="454"/>
        <v>0</v>
      </c>
      <c r="AH498">
        <f t="shared" si="432"/>
        <v>7.8539816339744828</v>
      </c>
      <c r="AI498">
        <f t="shared" si="433"/>
        <v>0.20851337768682238</v>
      </c>
      <c r="AJ498">
        <f t="shared" si="434"/>
        <v>7.5107472486806159E-2</v>
      </c>
      <c r="AK498">
        <f t="shared" si="435"/>
        <v>7.5246888485273888E-3</v>
      </c>
      <c r="AL498" s="9">
        <f t="shared" si="455"/>
        <v>8.1451271729966379</v>
      </c>
      <c r="AM498" t="e">
        <f t="shared" si="436"/>
        <v>#N/A</v>
      </c>
      <c r="AN498" t="e">
        <f t="shared" si="456"/>
        <v>#N/A</v>
      </c>
      <c r="AO498">
        <f t="shared" si="437"/>
        <v>0</v>
      </c>
      <c r="AP498">
        <f t="shared" si="438"/>
        <v>0</v>
      </c>
      <c r="AQ498">
        <f t="shared" si="439"/>
        <v>8.8817841970012523E-16</v>
      </c>
      <c r="AR498">
        <f t="shared" si="457"/>
        <v>0</v>
      </c>
      <c r="AS498">
        <f t="shared" si="440"/>
        <v>0</v>
      </c>
      <c r="AT498">
        <f t="shared" si="458"/>
        <v>0</v>
      </c>
      <c r="AU498">
        <f t="shared" si="459"/>
        <v>0</v>
      </c>
      <c r="AV498">
        <f t="shared" si="441"/>
        <v>1.6933184402848984E-20</v>
      </c>
      <c r="AW498" t="b">
        <f t="shared" si="460"/>
        <v>1</v>
      </c>
      <c r="AX498">
        <f t="shared" si="442"/>
        <v>7.8539816339744828</v>
      </c>
      <c r="AY498">
        <f t="shared" si="443"/>
        <v>0.20851337768682218</v>
      </c>
      <c r="AZ498">
        <f t="shared" si="444"/>
        <v>7.5107472486805479E-2</v>
      </c>
      <c r="BA498">
        <f t="shared" si="445"/>
        <v>7.5246888485273888E-3</v>
      </c>
      <c r="BB498">
        <f t="shared" si="446"/>
        <v>-1.2337005501361696E-20</v>
      </c>
      <c r="BD498" s="15">
        <f t="shared" si="461"/>
        <v>8.1451271729966379</v>
      </c>
      <c r="BE498" s="10">
        <f t="shared" si="462"/>
        <v>0</v>
      </c>
      <c r="BF498">
        <f t="shared" si="463"/>
        <v>0</v>
      </c>
      <c r="BG498">
        <f t="shared" si="464"/>
        <v>0</v>
      </c>
      <c r="BH498">
        <f t="shared" si="465"/>
        <v>0</v>
      </c>
      <c r="BI498">
        <f t="shared" si="466"/>
        <v>2.0816681711721685E-16</v>
      </c>
    </row>
    <row r="499" spans="1:61" x14ac:dyDescent="0.3">
      <c r="A499">
        <f t="shared" si="471"/>
        <v>0.46200000000000002</v>
      </c>
      <c r="B499">
        <f t="shared" si="414"/>
        <v>1.4514158059584845</v>
      </c>
      <c r="C499">
        <f t="shared" si="415"/>
        <v>1.6901768476313086</v>
      </c>
      <c r="D499">
        <f t="shared" si="416"/>
        <v>1.6901768476313086</v>
      </c>
      <c r="E499">
        <f t="shared" si="421"/>
        <v>0.9928826045698137</v>
      </c>
      <c r="F499">
        <f t="shared" si="422"/>
        <v>0.9928826045698137</v>
      </c>
      <c r="G499">
        <f t="shared" si="417"/>
        <v>1.4514158059584845</v>
      </c>
      <c r="H499">
        <f t="shared" si="418"/>
        <v>0.9928826045698137</v>
      </c>
      <c r="I499">
        <f t="shared" si="419"/>
        <v>0.9928826045698137</v>
      </c>
      <c r="J499">
        <f t="shared" si="467"/>
        <v>6.4118332765373579E+19</v>
      </c>
      <c r="K499">
        <f t="shared" si="468"/>
        <v>6.4118332765373579E+19</v>
      </c>
      <c r="L499">
        <f t="shared" si="423"/>
        <v>1</v>
      </c>
      <c r="M499">
        <f t="shared" si="420"/>
        <v>1.6901768476313084E-20</v>
      </c>
      <c r="N499" s="9">
        <f t="shared" si="469"/>
        <v>1.6901768476313084E-20</v>
      </c>
      <c r="O499">
        <f t="shared" si="470"/>
        <v>1.6901768476313084E-20</v>
      </c>
      <c r="Q499">
        <f t="shared" si="424"/>
        <v>45.607261999508438</v>
      </c>
      <c r="R499">
        <f t="shared" si="425"/>
        <v>0</v>
      </c>
      <c r="S499">
        <f t="shared" si="447"/>
        <v>-45.526868692851863</v>
      </c>
      <c r="T499" s="9" t="e">
        <f t="shared" si="426"/>
        <v>#N/A</v>
      </c>
      <c r="U499">
        <f t="shared" si="448"/>
        <v>-1.0000000000000001E+300</v>
      </c>
      <c r="V499">
        <f t="shared" si="449"/>
        <v>0</v>
      </c>
      <c r="W499">
        <f t="shared" si="450"/>
        <v>0</v>
      </c>
      <c r="X499">
        <f t="shared" si="427"/>
        <v>1.6901768476313086</v>
      </c>
      <c r="Y499">
        <f t="shared" si="428"/>
        <v>7.8539816339744828</v>
      </c>
      <c r="Z499">
        <f t="shared" si="429"/>
        <v>-1.6901768476313086</v>
      </c>
      <c r="AA499">
        <f t="shared" si="451"/>
        <v>0.20273823076818157</v>
      </c>
      <c r="AB499">
        <f t="shared" si="430"/>
        <v>8.0567198647426643</v>
      </c>
      <c r="AC499">
        <f t="shared" si="452"/>
        <v>7.3250461739592529E-2</v>
      </c>
      <c r="AD499">
        <f t="shared" si="431"/>
        <v>7.1428449169772829E-3</v>
      </c>
      <c r="AE499" s="9">
        <f t="shared" si="453"/>
        <v>8.1371131713992337</v>
      </c>
      <c r="AF499">
        <f t="shared" si="454"/>
        <v>0</v>
      </c>
      <c r="AH499">
        <f t="shared" si="432"/>
        <v>7.8539816339744828</v>
      </c>
      <c r="AI499">
        <f t="shared" si="433"/>
        <v>0.20273823076818159</v>
      </c>
      <c r="AJ499">
        <f t="shared" si="434"/>
        <v>7.3250461739597483E-2</v>
      </c>
      <c r="AK499">
        <f t="shared" si="435"/>
        <v>7.1428449169772829E-3</v>
      </c>
      <c r="AL499" s="9">
        <f t="shared" si="455"/>
        <v>8.1371131713992391</v>
      </c>
      <c r="AM499" t="e">
        <f t="shared" si="436"/>
        <v>#N/A</v>
      </c>
      <c r="AN499" t="e">
        <f t="shared" si="456"/>
        <v>#N/A</v>
      </c>
      <c r="AO499">
        <f t="shared" si="437"/>
        <v>0</v>
      </c>
      <c r="AP499">
        <f t="shared" si="438"/>
        <v>0</v>
      </c>
      <c r="AQ499">
        <f t="shared" si="439"/>
        <v>4.9543702473897611E-15</v>
      </c>
      <c r="AR499">
        <f t="shared" si="457"/>
        <v>0</v>
      </c>
      <c r="AS499">
        <f t="shared" si="440"/>
        <v>0</v>
      </c>
      <c r="AT499">
        <f t="shared" si="458"/>
        <v>0</v>
      </c>
      <c r="AU499">
        <f t="shared" si="459"/>
        <v>0</v>
      </c>
      <c r="AV499">
        <f t="shared" si="441"/>
        <v>1.6901768476313084E-20</v>
      </c>
      <c r="AW499" t="b">
        <f t="shared" si="460"/>
        <v>1</v>
      </c>
      <c r="AX499">
        <f t="shared" si="442"/>
        <v>7.8539816339744828</v>
      </c>
      <c r="AY499">
        <f t="shared" si="443"/>
        <v>0.20273823076818145</v>
      </c>
      <c r="AZ499">
        <f t="shared" si="444"/>
        <v>7.3250461739592529E-2</v>
      </c>
      <c r="BA499">
        <f t="shared" si="445"/>
        <v>7.1428449169772829E-3</v>
      </c>
      <c r="BB499">
        <f t="shared" si="446"/>
        <v>-1.2337005501361696E-20</v>
      </c>
      <c r="BD499" s="15">
        <f t="shared" si="461"/>
        <v>8.1371131713992337</v>
      </c>
      <c r="BE499" s="10">
        <f t="shared" si="462"/>
        <v>0</v>
      </c>
      <c r="BF499">
        <f t="shared" si="463"/>
        <v>0</v>
      </c>
      <c r="BG499">
        <f t="shared" si="464"/>
        <v>0</v>
      </c>
      <c r="BH499">
        <f t="shared" si="465"/>
        <v>0</v>
      </c>
      <c r="BI499">
        <f t="shared" si="466"/>
        <v>0</v>
      </c>
    </row>
    <row r="500" spans="1:61" x14ac:dyDescent="0.3">
      <c r="A500">
        <f t="shared" si="471"/>
        <v>0.46300000000000002</v>
      </c>
      <c r="B500">
        <f t="shared" si="414"/>
        <v>1.4545573986120743</v>
      </c>
      <c r="C500">
        <f t="shared" si="415"/>
        <v>1.6870352549777188</v>
      </c>
      <c r="D500">
        <f t="shared" si="416"/>
        <v>1.6870352549777188</v>
      </c>
      <c r="E500">
        <f t="shared" si="421"/>
        <v>0.99325185904233937</v>
      </c>
      <c r="F500">
        <f t="shared" si="422"/>
        <v>0.99325185904233948</v>
      </c>
      <c r="G500">
        <f t="shared" si="417"/>
        <v>1.4545573986120743</v>
      </c>
      <c r="H500">
        <f t="shared" si="418"/>
        <v>0.99325185904233937</v>
      </c>
      <c r="I500">
        <f t="shared" si="419"/>
        <v>0.99325185904233948</v>
      </c>
      <c r="J500">
        <f t="shared" si="467"/>
        <v>6.4094495929903333E+19</v>
      </c>
      <c r="K500">
        <f t="shared" si="468"/>
        <v>6.4094495929903333E+19</v>
      </c>
      <c r="L500">
        <f t="shared" si="423"/>
        <v>1</v>
      </c>
      <c r="M500">
        <f t="shared" si="420"/>
        <v>1.6870352549777187E-20</v>
      </c>
      <c r="N500" s="9">
        <f t="shared" si="469"/>
        <v>1.6870352549777187E-20</v>
      </c>
      <c r="O500">
        <f t="shared" si="470"/>
        <v>1.6870352549777187E-20</v>
      </c>
      <c r="Q500">
        <f t="shared" si="424"/>
        <v>45.606890167204483</v>
      </c>
      <c r="R500">
        <f t="shared" si="425"/>
        <v>-710542.73576010019</v>
      </c>
      <c r="S500">
        <f t="shared" si="447"/>
        <v>-45.528729158504788</v>
      </c>
      <c r="T500" s="9" t="e">
        <f t="shared" si="426"/>
        <v>#N/A</v>
      </c>
      <c r="U500">
        <f t="shared" si="448"/>
        <v>-1.0000000000000001E+300</v>
      </c>
      <c r="V500">
        <f t="shared" si="449"/>
        <v>0</v>
      </c>
      <c r="W500">
        <f t="shared" si="450"/>
        <v>0</v>
      </c>
      <c r="X500">
        <f t="shared" si="427"/>
        <v>1.6870352549777188</v>
      </c>
      <c r="Y500">
        <f t="shared" si="428"/>
        <v>7.8539816339744828</v>
      </c>
      <c r="Z500">
        <f t="shared" si="429"/>
        <v>-1.6870352549777188</v>
      </c>
      <c r="AA500">
        <f t="shared" si="451"/>
        <v>0.19698716663875324</v>
      </c>
      <c r="AB500">
        <f t="shared" si="430"/>
        <v>8.0509688006132354</v>
      </c>
      <c r="AC500">
        <f t="shared" si="452"/>
        <v>7.1389996086672805E-2</v>
      </c>
      <c r="AD500">
        <f t="shared" si="431"/>
        <v>6.7710126130269077E-3</v>
      </c>
      <c r="AE500" s="9">
        <f t="shared" si="453"/>
        <v>8.1291298093129356</v>
      </c>
      <c r="AF500">
        <f t="shared" si="454"/>
        <v>0</v>
      </c>
      <c r="AH500">
        <f t="shared" si="432"/>
        <v>7.8539816339744828</v>
      </c>
      <c r="AI500">
        <f t="shared" si="433"/>
        <v>0.19698716663875332</v>
      </c>
      <c r="AJ500">
        <f t="shared" si="434"/>
        <v>7.1389996086672625E-2</v>
      </c>
      <c r="AK500">
        <f t="shared" si="435"/>
        <v>6.7710126130269077E-3</v>
      </c>
      <c r="AL500" s="9">
        <f t="shared" si="455"/>
        <v>8.1291298093129356</v>
      </c>
      <c r="AM500" t="e">
        <f t="shared" si="436"/>
        <v>#N/A</v>
      </c>
      <c r="AN500" t="e">
        <f t="shared" si="456"/>
        <v>#N/A</v>
      </c>
      <c r="AO500">
        <f t="shared" si="437"/>
        <v>0</v>
      </c>
      <c r="AP500">
        <f t="shared" si="438"/>
        <v>0</v>
      </c>
      <c r="AQ500">
        <f t="shared" si="439"/>
        <v>-1.8041124150158794E-16</v>
      </c>
      <c r="AR500">
        <f t="shared" si="457"/>
        <v>0</v>
      </c>
      <c r="AS500">
        <f t="shared" si="440"/>
        <v>0</v>
      </c>
      <c r="AT500">
        <f t="shared" si="458"/>
        <v>0</v>
      </c>
      <c r="AU500">
        <f t="shared" si="459"/>
        <v>0</v>
      </c>
      <c r="AV500">
        <f t="shared" si="441"/>
        <v>1.6870352549777187E-20</v>
      </c>
      <c r="AW500" t="b">
        <f t="shared" si="460"/>
        <v>1</v>
      </c>
      <c r="AX500">
        <f t="shared" si="442"/>
        <v>7.8539816339744828</v>
      </c>
      <c r="AY500">
        <f t="shared" si="443"/>
        <v>0.19698716663875313</v>
      </c>
      <c r="AZ500">
        <f t="shared" si="444"/>
        <v>7.1389996086672999E-2</v>
      </c>
      <c r="BA500">
        <f t="shared" si="445"/>
        <v>6.7710126130267959E-3</v>
      </c>
      <c r="BB500">
        <f t="shared" si="446"/>
        <v>-1.2337005501361696E-20</v>
      </c>
      <c r="BD500" s="15">
        <f t="shared" si="461"/>
        <v>8.1291298093129356</v>
      </c>
      <c r="BE500" s="10">
        <f t="shared" si="462"/>
        <v>0</v>
      </c>
      <c r="BF500">
        <f t="shared" si="463"/>
        <v>0</v>
      </c>
      <c r="BG500">
        <f t="shared" si="464"/>
        <v>0</v>
      </c>
      <c r="BH500">
        <f t="shared" si="465"/>
        <v>0</v>
      </c>
      <c r="BI500">
        <f t="shared" si="466"/>
        <v>1.9428902930940239E-16</v>
      </c>
    </row>
    <row r="501" spans="1:61" x14ac:dyDescent="0.3">
      <c r="A501">
        <f t="shared" si="471"/>
        <v>0.46400000000000002</v>
      </c>
      <c r="B501">
        <f t="shared" si="414"/>
        <v>1.4576989912656642</v>
      </c>
      <c r="C501">
        <f t="shared" si="415"/>
        <v>1.683893662324129</v>
      </c>
      <c r="D501">
        <f t="shared" si="416"/>
        <v>1.683893662324129</v>
      </c>
      <c r="E501">
        <f t="shared" si="421"/>
        <v>0.9936113105200084</v>
      </c>
      <c r="F501">
        <f t="shared" si="422"/>
        <v>0.9936113105200084</v>
      </c>
      <c r="G501">
        <f t="shared" si="417"/>
        <v>1.4576989912656642</v>
      </c>
      <c r="H501">
        <f t="shared" si="418"/>
        <v>0.9936113105200084</v>
      </c>
      <c r="I501">
        <f t="shared" si="419"/>
        <v>0.9936113105200084</v>
      </c>
      <c r="J501">
        <f t="shared" si="467"/>
        <v>6.4071308934114812E+19</v>
      </c>
      <c r="K501">
        <f t="shared" si="468"/>
        <v>6.4071308934114812E+19</v>
      </c>
      <c r="L501">
        <f t="shared" si="423"/>
        <v>1</v>
      </c>
      <c r="M501">
        <f t="shared" si="420"/>
        <v>1.6838936623241288E-20</v>
      </c>
      <c r="N501" s="9">
        <f t="shared" si="469"/>
        <v>1.6838936623241288E-20</v>
      </c>
      <c r="O501">
        <f t="shared" si="470"/>
        <v>1.6838936623241288E-20</v>
      </c>
      <c r="Q501">
        <f t="shared" si="424"/>
        <v>45.606528339085571</v>
      </c>
      <c r="R501">
        <f t="shared" si="425"/>
        <v>0</v>
      </c>
      <c r="S501">
        <f t="shared" si="447"/>
        <v>-45.530593091942848</v>
      </c>
      <c r="T501" s="9" t="e">
        <f t="shared" si="426"/>
        <v>#N/A</v>
      </c>
      <c r="U501">
        <f t="shared" si="448"/>
        <v>-1.0000000000000001E+300</v>
      </c>
      <c r="V501">
        <f t="shared" si="449"/>
        <v>0</v>
      </c>
      <c r="W501">
        <f t="shared" si="450"/>
        <v>0</v>
      </c>
      <c r="X501">
        <f t="shared" si="427"/>
        <v>1.683893662324129</v>
      </c>
      <c r="Y501">
        <f t="shared" si="428"/>
        <v>7.8539816339744828</v>
      </c>
      <c r="Z501">
        <f t="shared" si="429"/>
        <v>-1.683893662324129</v>
      </c>
      <c r="AA501">
        <f t="shared" si="451"/>
        <v>0.19126005232550283</v>
      </c>
      <c r="AB501">
        <f t="shared" si="430"/>
        <v>8.0452416862999865</v>
      </c>
      <c r="AC501">
        <f t="shared" si="452"/>
        <v>6.9526062648610096E-2</v>
      </c>
      <c r="AD501">
        <f t="shared" si="431"/>
        <v>6.4091844941134074E-3</v>
      </c>
      <c r="AE501" s="9">
        <f t="shared" si="453"/>
        <v>8.12117693344271</v>
      </c>
      <c r="AF501">
        <f t="shared" si="454"/>
        <v>0</v>
      </c>
      <c r="AH501">
        <f t="shared" si="432"/>
        <v>7.8539816339744828</v>
      </c>
      <c r="AI501">
        <f t="shared" si="433"/>
        <v>0.19126005232550294</v>
      </c>
      <c r="AJ501">
        <f t="shared" si="434"/>
        <v>6.9526062648613163E-2</v>
      </c>
      <c r="AK501">
        <f t="shared" si="435"/>
        <v>6.4091844941134074E-3</v>
      </c>
      <c r="AL501" s="9">
        <f t="shared" si="455"/>
        <v>8.1211769334427135</v>
      </c>
      <c r="AM501" t="e">
        <f t="shared" si="436"/>
        <v>#N/A</v>
      </c>
      <c r="AN501" t="e">
        <f t="shared" si="456"/>
        <v>#N/A</v>
      </c>
      <c r="AO501">
        <f t="shared" si="437"/>
        <v>0</v>
      </c>
      <c r="AP501">
        <f t="shared" si="438"/>
        <v>0</v>
      </c>
      <c r="AQ501">
        <f t="shared" si="439"/>
        <v>3.0669911055269949E-15</v>
      </c>
      <c r="AR501">
        <f t="shared" si="457"/>
        <v>0</v>
      </c>
      <c r="AS501">
        <f t="shared" si="440"/>
        <v>0</v>
      </c>
      <c r="AT501">
        <f t="shared" si="458"/>
        <v>0</v>
      </c>
      <c r="AU501">
        <f t="shared" si="459"/>
        <v>0</v>
      </c>
      <c r="AV501">
        <f t="shared" si="441"/>
        <v>1.6838936623241288E-20</v>
      </c>
      <c r="AW501" t="b">
        <f t="shared" si="460"/>
        <v>1</v>
      </c>
      <c r="AX501">
        <f t="shared" si="442"/>
        <v>7.8539816339744828</v>
      </c>
      <c r="AY501">
        <f t="shared" si="443"/>
        <v>0.19126005232550269</v>
      </c>
      <c r="AZ501">
        <f t="shared" si="444"/>
        <v>6.9526062648610096E-2</v>
      </c>
      <c r="BA501">
        <f t="shared" si="445"/>
        <v>6.4091844941134074E-3</v>
      </c>
      <c r="BB501">
        <f t="shared" si="446"/>
        <v>-1.2337005501361696E-20</v>
      </c>
      <c r="BD501" s="15">
        <f t="shared" si="461"/>
        <v>8.1211769334427082</v>
      </c>
      <c r="BE501" s="10">
        <f t="shared" si="462"/>
        <v>0</v>
      </c>
      <c r="BF501">
        <f t="shared" si="463"/>
        <v>0</v>
      </c>
      <c r="BG501">
        <f t="shared" si="464"/>
        <v>0</v>
      </c>
      <c r="BH501">
        <f t="shared" si="465"/>
        <v>0</v>
      </c>
      <c r="BI501">
        <f t="shared" si="466"/>
        <v>0</v>
      </c>
    </row>
    <row r="502" spans="1:61" x14ac:dyDescent="0.3">
      <c r="A502">
        <f t="shared" si="471"/>
        <v>0.46500000000000002</v>
      </c>
      <c r="B502">
        <f t="shared" si="414"/>
        <v>1.460840583919254</v>
      </c>
      <c r="C502">
        <f t="shared" si="415"/>
        <v>1.6807520696705391</v>
      </c>
      <c r="D502">
        <f t="shared" si="416"/>
        <v>1.6807520696705391</v>
      </c>
      <c r="E502">
        <f t="shared" si="421"/>
        <v>0.99396095545517971</v>
      </c>
      <c r="F502">
        <f t="shared" si="422"/>
        <v>0.99396095545517971</v>
      </c>
      <c r="G502">
        <f t="shared" si="417"/>
        <v>1.460840583919254</v>
      </c>
      <c r="H502">
        <f t="shared" si="418"/>
        <v>0.99396095545517971</v>
      </c>
      <c r="I502">
        <f t="shared" si="419"/>
        <v>0.99396095545517971</v>
      </c>
      <c r="J502">
        <f t="shared" si="467"/>
        <v>6.4048770615546405E+19</v>
      </c>
      <c r="K502">
        <f t="shared" si="468"/>
        <v>6.4048770615546405E+19</v>
      </c>
      <c r="L502">
        <f t="shared" si="423"/>
        <v>1</v>
      </c>
      <c r="M502">
        <f t="shared" si="420"/>
        <v>1.6807520696705391E-20</v>
      </c>
      <c r="N502" s="9">
        <f t="shared" si="469"/>
        <v>1.6807520696705391E-20</v>
      </c>
      <c r="O502">
        <f t="shared" si="470"/>
        <v>1.6807520696705391E-20</v>
      </c>
      <c r="Q502">
        <f t="shared" si="424"/>
        <v>45.606176507914689</v>
      </c>
      <c r="R502">
        <f t="shared" si="425"/>
        <v>0</v>
      </c>
      <c r="S502">
        <f t="shared" si="447"/>
        <v>-45.532460506117644</v>
      </c>
      <c r="T502" s="9" t="e">
        <f t="shared" si="426"/>
        <v>#N/A</v>
      </c>
      <c r="U502">
        <f t="shared" si="448"/>
        <v>-1.0000000000000001E+300</v>
      </c>
      <c r="V502">
        <f t="shared" si="449"/>
        <v>0</v>
      </c>
      <c r="W502">
        <f t="shared" si="450"/>
        <v>0</v>
      </c>
      <c r="X502">
        <f t="shared" si="427"/>
        <v>1.6807520696705391</v>
      </c>
      <c r="Y502">
        <f t="shared" si="428"/>
        <v>7.8539816339744828</v>
      </c>
      <c r="Z502">
        <f t="shared" si="429"/>
        <v>-1.6807520696705391</v>
      </c>
      <c r="AA502">
        <f t="shared" si="451"/>
        <v>0.18555675599519214</v>
      </c>
      <c r="AB502">
        <f t="shared" si="430"/>
        <v>8.0395383899696746</v>
      </c>
      <c r="AC502">
        <f t="shared" si="452"/>
        <v>6.7658648473814656E-2</v>
      </c>
      <c r="AD502">
        <f t="shared" si="431"/>
        <v>6.0573533232286605E-3</v>
      </c>
      <c r="AE502" s="9">
        <f t="shared" si="453"/>
        <v>8.1132543917667181</v>
      </c>
      <c r="AF502">
        <f t="shared" si="454"/>
        <v>0</v>
      </c>
      <c r="AH502">
        <f t="shared" si="432"/>
        <v>7.8539816339744828</v>
      </c>
      <c r="AI502">
        <f t="shared" si="433"/>
        <v>0.18555675599519228</v>
      </c>
      <c r="AJ502">
        <f t="shared" si="434"/>
        <v>6.765864847381664E-2</v>
      </c>
      <c r="AK502">
        <f t="shared" si="435"/>
        <v>6.0573533232286605E-3</v>
      </c>
      <c r="AL502" s="9">
        <f t="shared" si="455"/>
        <v>8.1132543917667199</v>
      </c>
      <c r="AM502" t="e">
        <f t="shared" si="436"/>
        <v>#N/A</v>
      </c>
      <c r="AN502" t="e">
        <f t="shared" si="456"/>
        <v>#N/A</v>
      </c>
      <c r="AO502">
        <f t="shared" si="437"/>
        <v>0</v>
      </c>
      <c r="AP502">
        <f t="shared" si="438"/>
        <v>0</v>
      </c>
      <c r="AQ502">
        <f t="shared" si="439"/>
        <v>1.9845236565174673E-15</v>
      </c>
      <c r="AR502">
        <f t="shared" si="457"/>
        <v>0</v>
      </c>
      <c r="AS502">
        <f t="shared" si="440"/>
        <v>0</v>
      </c>
      <c r="AT502">
        <f t="shared" si="458"/>
        <v>0</v>
      </c>
      <c r="AU502">
        <f t="shared" si="459"/>
        <v>0</v>
      </c>
      <c r="AV502">
        <f t="shared" si="441"/>
        <v>1.6807520696705391E-20</v>
      </c>
      <c r="AW502" t="b">
        <f t="shared" si="460"/>
        <v>1</v>
      </c>
      <c r="AX502">
        <f t="shared" si="442"/>
        <v>7.8539816339744828</v>
      </c>
      <c r="AY502">
        <f t="shared" si="443"/>
        <v>0.18555675599519206</v>
      </c>
      <c r="AZ502">
        <f t="shared" si="444"/>
        <v>6.7658648473814864E-2</v>
      </c>
      <c r="BA502">
        <f t="shared" si="445"/>
        <v>6.0573533232286605E-3</v>
      </c>
      <c r="BB502">
        <f t="shared" si="446"/>
        <v>-1.2337005501361696E-20</v>
      </c>
      <c r="BD502" s="15">
        <f t="shared" si="461"/>
        <v>8.1132543917667181</v>
      </c>
      <c r="BE502" s="10">
        <f t="shared" si="462"/>
        <v>0</v>
      </c>
      <c r="BF502">
        <f t="shared" si="463"/>
        <v>0</v>
      </c>
      <c r="BG502">
        <f t="shared" si="464"/>
        <v>0</v>
      </c>
      <c r="BH502">
        <f t="shared" si="465"/>
        <v>0</v>
      </c>
      <c r="BI502">
        <f t="shared" si="466"/>
        <v>2.0816681711721685E-16</v>
      </c>
    </row>
    <row r="503" spans="1:61" x14ac:dyDescent="0.3">
      <c r="A503">
        <f t="shared" si="471"/>
        <v>0.46600000000000003</v>
      </c>
      <c r="B503">
        <f t="shared" si="414"/>
        <v>1.4639821765728436</v>
      </c>
      <c r="C503">
        <f t="shared" si="415"/>
        <v>1.6776104770169495</v>
      </c>
      <c r="D503">
        <f t="shared" si="416"/>
        <v>1.6776104770169495</v>
      </c>
      <c r="E503">
        <f t="shared" si="421"/>
        <v>0.99430079039699892</v>
      </c>
      <c r="F503">
        <f t="shared" si="422"/>
        <v>0.99430079039699892</v>
      </c>
      <c r="G503">
        <f t="shared" si="417"/>
        <v>1.4639821765728436</v>
      </c>
      <c r="H503">
        <f t="shared" si="418"/>
        <v>0.99430079039699892</v>
      </c>
      <c r="I503">
        <f t="shared" si="419"/>
        <v>0.99430079039699892</v>
      </c>
      <c r="J503">
        <f t="shared" si="467"/>
        <v>6.4026879845222228E+19</v>
      </c>
      <c r="K503">
        <f t="shared" si="468"/>
        <v>6.4026879845222228E+19</v>
      </c>
      <c r="L503">
        <f t="shared" si="423"/>
        <v>1</v>
      </c>
      <c r="M503">
        <f t="shared" si="420"/>
        <v>1.6776104770169495E-20</v>
      </c>
      <c r="N503" s="9">
        <f t="shared" si="469"/>
        <v>1.6776104770169495E-20</v>
      </c>
      <c r="O503">
        <f t="shared" si="470"/>
        <v>1.6776104770169495E-20</v>
      </c>
      <c r="Q503">
        <f t="shared" si="424"/>
        <v>45.605834666659796</v>
      </c>
      <c r="R503">
        <f t="shared" si="425"/>
        <v>0</v>
      </c>
      <c r="S503">
        <f t="shared" si="447"/>
        <v>-45.534331414053455</v>
      </c>
      <c r="T503" s="9" t="e">
        <f t="shared" si="426"/>
        <v>#N/A</v>
      </c>
      <c r="U503">
        <f t="shared" si="448"/>
        <v>-1.0000000000000001E+300</v>
      </c>
      <c r="V503">
        <f t="shared" si="449"/>
        <v>0</v>
      </c>
      <c r="W503">
        <f t="shared" si="450"/>
        <v>0</v>
      </c>
      <c r="X503">
        <f t="shared" si="427"/>
        <v>1.6776104770169495</v>
      </c>
      <c r="Y503">
        <f t="shared" si="428"/>
        <v>7.8539816339744828</v>
      </c>
      <c r="Z503">
        <f t="shared" si="429"/>
        <v>-1.6776104770169495</v>
      </c>
      <c r="AA503">
        <f t="shared" si="451"/>
        <v>0.17987714694226017</v>
      </c>
      <c r="AB503">
        <f t="shared" si="430"/>
        <v>8.0338587809167432</v>
      </c>
      <c r="AC503">
        <f t="shared" si="452"/>
        <v>6.5787740538003153E-2</v>
      </c>
      <c r="AD503">
        <f t="shared" si="431"/>
        <v>5.7155120683360771E-3</v>
      </c>
      <c r="AE503" s="9">
        <f t="shared" si="453"/>
        <v>8.1053620335230825</v>
      </c>
      <c r="AF503">
        <f t="shared" si="454"/>
        <v>0</v>
      </c>
      <c r="AH503">
        <f t="shared" si="432"/>
        <v>7.8539816339744828</v>
      </c>
      <c r="AI503">
        <f t="shared" si="433"/>
        <v>0.17987714694226029</v>
      </c>
      <c r="AJ503">
        <f t="shared" si="434"/>
        <v>6.578774053800629E-2</v>
      </c>
      <c r="AK503">
        <f t="shared" si="435"/>
        <v>5.7155120683360771E-3</v>
      </c>
      <c r="AL503" s="9">
        <f t="shared" si="455"/>
        <v>8.105362033523086</v>
      </c>
      <c r="AM503" t="e">
        <f t="shared" si="436"/>
        <v>#N/A</v>
      </c>
      <c r="AN503" t="e">
        <f t="shared" si="456"/>
        <v>#N/A</v>
      </c>
      <c r="AO503">
        <f t="shared" si="437"/>
        <v>0</v>
      </c>
      <c r="AP503">
        <f t="shared" si="438"/>
        <v>0</v>
      </c>
      <c r="AQ503">
        <f t="shared" si="439"/>
        <v>3.1363800445660672E-15</v>
      </c>
      <c r="AR503">
        <f t="shared" si="457"/>
        <v>0</v>
      </c>
      <c r="AS503">
        <f t="shared" si="440"/>
        <v>0</v>
      </c>
      <c r="AT503">
        <f t="shared" si="458"/>
        <v>0</v>
      </c>
      <c r="AU503">
        <f t="shared" si="459"/>
        <v>0</v>
      </c>
      <c r="AV503">
        <f t="shared" si="441"/>
        <v>1.6776104770169495E-20</v>
      </c>
      <c r="AW503" t="b">
        <f t="shared" si="460"/>
        <v>1</v>
      </c>
      <c r="AX503">
        <f t="shared" si="442"/>
        <v>7.8539816339744828</v>
      </c>
      <c r="AY503">
        <f t="shared" si="443"/>
        <v>0.17987714694226006</v>
      </c>
      <c r="AZ503">
        <f t="shared" si="444"/>
        <v>6.5787740538003153E-2</v>
      </c>
      <c r="BA503">
        <f t="shared" si="445"/>
        <v>5.7155120683360771E-3</v>
      </c>
      <c r="BB503">
        <f t="shared" si="446"/>
        <v>-1.2337005501361696E-20</v>
      </c>
      <c r="BD503" s="15">
        <f t="shared" si="461"/>
        <v>8.1053620335230825</v>
      </c>
      <c r="BE503" s="10">
        <f t="shared" si="462"/>
        <v>0</v>
      </c>
      <c r="BF503">
        <f t="shared" si="463"/>
        <v>0</v>
      </c>
      <c r="BG503">
        <f t="shared" si="464"/>
        <v>0</v>
      </c>
      <c r="BH503">
        <f t="shared" si="465"/>
        <v>0</v>
      </c>
      <c r="BI503">
        <f t="shared" si="466"/>
        <v>0</v>
      </c>
    </row>
    <row r="504" spans="1:61" x14ac:dyDescent="0.3">
      <c r="A504">
        <f t="shared" si="471"/>
        <v>0.46700000000000003</v>
      </c>
      <c r="B504">
        <f t="shared" si="414"/>
        <v>1.4671237692264334</v>
      </c>
      <c r="C504">
        <f t="shared" si="415"/>
        <v>1.6744688843633597</v>
      </c>
      <c r="D504">
        <f t="shared" si="416"/>
        <v>1.6744688843633597</v>
      </c>
      <c r="E504">
        <f t="shared" si="421"/>
        <v>0.99463081199143233</v>
      </c>
      <c r="F504">
        <f t="shared" si="422"/>
        <v>0.99463081199143233</v>
      </c>
      <c r="G504">
        <f t="shared" si="417"/>
        <v>1.4671237692264334</v>
      </c>
      <c r="H504">
        <f t="shared" si="418"/>
        <v>0.99463081199143233</v>
      </c>
      <c r="I504">
        <f t="shared" si="419"/>
        <v>0.99463081199143233</v>
      </c>
      <c r="J504">
        <f t="shared" si="467"/>
        <v>6.4005635527513219E+19</v>
      </c>
      <c r="K504">
        <f t="shared" si="468"/>
        <v>6.4005635527513219E+19</v>
      </c>
      <c r="L504">
        <f t="shared" si="423"/>
        <v>1</v>
      </c>
      <c r="M504">
        <f t="shared" si="420"/>
        <v>1.6744688843633598E-20</v>
      </c>
      <c r="N504" s="9">
        <f t="shared" si="469"/>
        <v>1.6744688843633598E-20</v>
      </c>
      <c r="O504">
        <f t="shared" si="470"/>
        <v>1.6744688843633598E-20</v>
      </c>
      <c r="Q504">
        <f t="shared" si="424"/>
        <v>45.605502808493263</v>
      </c>
      <c r="R504">
        <f t="shared" si="425"/>
        <v>0</v>
      </c>
      <c r="S504">
        <f t="shared" si="447"/>
        <v>-45.536205828847805</v>
      </c>
      <c r="T504" s="9" t="e">
        <f t="shared" si="426"/>
        <v>#N/A</v>
      </c>
      <c r="U504">
        <f t="shared" si="448"/>
        <v>-1.0000000000000001E+300</v>
      </c>
      <c r="V504">
        <f t="shared" si="449"/>
        <v>0</v>
      </c>
      <c r="W504">
        <f t="shared" si="450"/>
        <v>0</v>
      </c>
      <c r="X504">
        <f t="shared" si="427"/>
        <v>1.6744688843633597</v>
      </c>
      <c r="Y504">
        <f t="shared" si="428"/>
        <v>7.8539816339744828</v>
      </c>
      <c r="Z504">
        <f t="shared" si="429"/>
        <v>-1.6744688843633597</v>
      </c>
      <c r="AA504">
        <f t="shared" si="451"/>
        <v>0.17422109557685786</v>
      </c>
      <c r="AB504">
        <f t="shared" si="430"/>
        <v>8.0282027295513405</v>
      </c>
      <c r="AC504">
        <f t="shared" si="452"/>
        <v>6.3913325743652855E-2</v>
      </c>
      <c r="AD504">
        <f t="shared" si="431"/>
        <v>5.3836539018049974E-3</v>
      </c>
      <c r="AE504" s="9">
        <f t="shared" si="453"/>
        <v>8.0974997091968</v>
      </c>
      <c r="AF504">
        <f t="shared" si="454"/>
        <v>0</v>
      </c>
      <c r="AH504">
        <f t="shared" si="432"/>
        <v>7.8539816339744828</v>
      </c>
      <c r="AI504">
        <f t="shared" si="433"/>
        <v>0.17422109557685797</v>
      </c>
      <c r="AJ504">
        <f t="shared" si="434"/>
        <v>6.3913325743655491E-2</v>
      </c>
      <c r="AK504">
        <f t="shared" si="435"/>
        <v>5.3836539018049974E-3</v>
      </c>
      <c r="AL504" s="9">
        <f t="shared" si="455"/>
        <v>8.0974997091968017</v>
      </c>
      <c r="AM504" t="e">
        <f t="shared" si="436"/>
        <v>#N/A</v>
      </c>
      <c r="AN504" t="e">
        <f t="shared" si="456"/>
        <v>#N/A</v>
      </c>
      <c r="AO504">
        <f t="shared" si="437"/>
        <v>0</v>
      </c>
      <c r="AP504">
        <f t="shared" si="438"/>
        <v>0</v>
      </c>
      <c r="AQ504">
        <f t="shared" si="439"/>
        <v>2.6367796834847468E-15</v>
      </c>
      <c r="AR504">
        <f t="shared" si="457"/>
        <v>0</v>
      </c>
      <c r="AS504">
        <f t="shared" si="440"/>
        <v>0</v>
      </c>
      <c r="AT504">
        <f t="shared" si="458"/>
        <v>0</v>
      </c>
      <c r="AU504">
        <f t="shared" si="459"/>
        <v>0</v>
      </c>
      <c r="AV504">
        <f t="shared" si="441"/>
        <v>1.6744688843633595E-20</v>
      </c>
      <c r="AW504" t="b">
        <f t="shared" si="460"/>
        <v>1</v>
      </c>
      <c r="AX504">
        <f t="shared" si="442"/>
        <v>7.8539816339744828</v>
      </c>
      <c r="AY504">
        <f t="shared" si="443"/>
        <v>0.17422109557685775</v>
      </c>
      <c r="AZ504">
        <f t="shared" si="444"/>
        <v>6.3913325743652855E-2</v>
      </c>
      <c r="BA504">
        <f t="shared" si="445"/>
        <v>5.3836539018049974E-3</v>
      </c>
      <c r="BB504">
        <f t="shared" si="446"/>
        <v>-1.2337005501361696E-20</v>
      </c>
      <c r="BD504" s="15">
        <f t="shared" si="461"/>
        <v>8.0974997091968</v>
      </c>
      <c r="BE504" s="10">
        <f t="shared" si="462"/>
        <v>0</v>
      </c>
      <c r="BF504">
        <f t="shared" si="463"/>
        <v>0</v>
      </c>
      <c r="BG504">
        <f t="shared" si="464"/>
        <v>0</v>
      </c>
      <c r="BH504">
        <f t="shared" si="465"/>
        <v>0</v>
      </c>
      <c r="BI504">
        <f t="shared" si="466"/>
        <v>0</v>
      </c>
    </row>
    <row r="505" spans="1:61" x14ac:dyDescent="0.3">
      <c r="A505">
        <f t="shared" si="471"/>
        <v>0.46800000000000003</v>
      </c>
      <c r="B505">
        <f t="shared" si="414"/>
        <v>1.4702653618800232</v>
      </c>
      <c r="C505">
        <f t="shared" si="415"/>
        <v>1.6713272917097699</v>
      </c>
      <c r="D505">
        <f t="shared" si="416"/>
        <v>1.6713272917097699</v>
      </c>
      <c r="E505">
        <f t="shared" si="421"/>
        <v>0.99495101698130017</v>
      </c>
      <c r="F505">
        <f t="shared" si="422"/>
        <v>0.99495101698130017</v>
      </c>
      <c r="G505">
        <f t="shared" si="417"/>
        <v>1.4702653618800232</v>
      </c>
      <c r="H505">
        <f t="shared" si="418"/>
        <v>0.99495101698130017</v>
      </c>
      <c r="I505">
        <f t="shared" si="419"/>
        <v>0.99495101698130017</v>
      </c>
      <c r="J505">
        <f t="shared" si="467"/>
        <v>6.3985036600002445E+19</v>
      </c>
      <c r="K505">
        <f t="shared" si="468"/>
        <v>6.3985036600002445E+19</v>
      </c>
      <c r="L505" t="e">
        <f t="shared" si="423"/>
        <v>#NUM!</v>
      </c>
      <c r="M505">
        <f t="shared" si="420"/>
        <v>1.6713272917097698E-20</v>
      </c>
      <c r="N505" s="9" t="e">
        <f t="shared" si="469"/>
        <v>#NUM!</v>
      </c>
      <c r="O505" t="e">
        <f t="shared" si="470"/>
        <v>#NUM!</v>
      </c>
      <c r="Q505">
        <f t="shared" si="424"/>
        <v>45.60518092679132</v>
      </c>
      <c r="R505">
        <f t="shared" si="425"/>
        <v>0</v>
      </c>
      <c r="S505">
        <f t="shared" si="447"/>
        <v>-45.538083763672006</v>
      </c>
      <c r="T505" s="9" t="e">
        <f t="shared" si="426"/>
        <v>#N/A</v>
      </c>
      <c r="U505">
        <f t="shared" si="448"/>
        <v>-1.0000000000000001E+300</v>
      </c>
      <c r="V505">
        <f t="shared" si="449"/>
        <v>0</v>
      </c>
      <c r="W505">
        <f t="shared" si="450"/>
        <v>0</v>
      </c>
      <c r="X505">
        <f t="shared" si="427"/>
        <v>1.6713272917097699</v>
      </c>
      <c r="Y505">
        <f t="shared" si="428"/>
        <v>7.8539816339744828</v>
      </c>
      <c r="Z505">
        <f t="shared" si="429"/>
        <v>-1.6713272917097699</v>
      </c>
      <c r="AA505">
        <f t="shared" si="451"/>
        <v>0.16858847341304006</v>
      </c>
      <c r="AB505">
        <f t="shared" si="430"/>
        <v>8.0225701073875229</v>
      </c>
      <c r="AC505">
        <f t="shared" si="452"/>
        <v>6.2035390919452697E-2</v>
      </c>
      <c r="AD505">
        <f t="shared" si="431"/>
        <v>5.0617721998618111E-3</v>
      </c>
      <c r="AE505" s="9">
        <f t="shared" si="453"/>
        <v>8.0896672705068369</v>
      </c>
      <c r="AF505">
        <f t="shared" si="454"/>
        <v>0</v>
      </c>
      <c r="AH505">
        <f t="shared" si="432"/>
        <v>7.8539816339744828</v>
      </c>
      <c r="AI505">
        <f t="shared" si="433"/>
        <v>0.16858847341304017</v>
      </c>
      <c r="AJ505">
        <f t="shared" si="434"/>
        <v>6.2035390919454869E-2</v>
      </c>
      <c r="AK505">
        <f t="shared" si="435"/>
        <v>5.0617721998618111E-3</v>
      </c>
      <c r="AL505" s="9">
        <f t="shared" si="455"/>
        <v>8.0896672705068386</v>
      </c>
      <c r="AM505" t="e">
        <f t="shared" si="436"/>
        <v>#N/A</v>
      </c>
      <c r="AN505" t="e">
        <f t="shared" si="456"/>
        <v>#N/A</v>
      </c>
      <c r="AO505">
        <f t="shared" si="437"/>
        <v>0</v>
      </c>
      <c r="AP505">
        <f t="shared" si="438"/>
        <v>0</v>
      </c>
      <c r="AQ505">
        <f t="shared" si="439"/>
        <v>2.1718737919229625E-15</v>
      </c>
      <c r="AR505">
        <f t="shared" si="457"/>
        <v>0</v>
      </c>
      <c r="AS505">
        <f t="shared" si="440"/>
        <v>0</v>
      </c>
      <c r="AT505">
        <f t="shared" si="458"/>
        <v>0</v>
      </c>
      <c r="AU505">
        <f t="shared" si="459"/>
        <v>0</v>
      </c>
      <c r="AV505">
        <f t="shared" si="441"/>
        <v>1.6713272917097698E-20</v>
      </c>
      <c r="AW505" t="b">
        <f t="shared" si="460"/>
        <v>1</v>
      </c>
      <c r="AX505">
        <f t="shared" si="442"/>
        <v>7.8539816339744828</v>
      </c>
      <c r="AY505">
        <f t="shared" si="443"/>
        <v>0.16858847341303998</v>
      </c>
      <c r="AZ505">
        <f t="shared" si="444"/>
        <v>6.2035390919452697E-2</v>
      </c>
      <c r="BA505">
        <f t="shared" si="445"/>
        <v>5.0617721998618111E-3</v>
      </c>
      <c r="BB505">
        <f t="shared" si="446"/>
        <v>-1.2337005501361696E-20</v>
      </c>
      <c r="BD505" s="15">
        <f t="shared" si="461"/>
        <v>8.0896672705068369</v>
      </c>
      <c r="BE505" s="10">
        <f t="shared" si="462"/>
        <v>0</v>
      </c>
      <c r="BF505">
        <f t="shared" si="463"/>
        <v>0</v>
      </c>
      <c r="BG505">
        <f t="shared" si="464"/>
        <v>0</v>
      </c>
      <c r="BH505">
        <f t="shared" si="465"/>
        <v>0</v>
      </c>
      <c r="BI505">
        <f t="shared" si="466"/>
        <v>0</v>
      </c>
    </row>
    <row r="506" spans="1:61" x14ac:dyDescent="0.3">
      <c r="A506">
        <f t="shared" si="471"/>
        <v>0.46899999999999997</v>
      </c>
      <c r="B506">
        <f t="shared" si="414"/>
        <v>1.4734069545336128</v>
      </c>
      <c r="C506">
        <f t="shared" si="415"/>
        <v>1.6681856990561803</v>
      </c>
      <c r="D506">
        <f t="shared" si="416"/>
        <v>1.6681856990561803</v>
      </c>
      <c r="E506">
        <f t="shared" si="421"/>
        <v>0.99526140220630832</v>
      </c>
      <c r="F506">
        <f t="shared" si="422"/>
        <v>0.99526140220630832</v>
      </c>
      <c r="G506">
        <f t="shared" si="417"/>
        <v>1.4734069545336128</v>
      </c>
      <c r="H506">
        <f t="shared" si="418"/>
        <v>0.99526140220630832</v>
      </c>
      <c r="I506">
        <f t="shared" si="419"/>
        <v>0.99526140220630832</v>
      </c>
      <c r="J506">
        <f t="shared" si="467"/>
        <v>6.3965082033354703E+19</v>
      </c>
      <c r="K506">
        <f t="shared" si="468"/>
        <v>6.3965082033354703E+19</v>
      </c>
      <c r="L506">
        <f t="shared" si="423"/>
        <v>1</v>
      </c>
      <c r="M506">
        <f t="shared" si="420"/>
        <v>1.6681856990561802E-20</v>
      </c>
      <c r="N506" s="9">
        <f t="shared" si="469"/>
        <v>1.6681856990561802E-20</v>
      </c>
      <c r="O506">
        <f t="shared" si="470"/>
        <v>1.6681856990561802E-20</v>
      </c>
      <c r="Q506">
        <f t="shared" si="424"/>
        <v>45.604869015133517</v>
      </c>
      <c r="R506">
        <f t="shared" si="425"/>
        <v>0</v>
      </c>
      <c r="S506">
        <f t="shared" si="447"/>
        <v>-45.53996523177171</v>
      </c>
      <c r="T506" s="9" t="e">
        <f t="shared" si="426"/>
        <v>#N/A</v>
      </c>
      <c r="U506">
        <f t="shared" si="448"/>
        <v>-1.0000000000000001E+300</v>
      </c>
      <c r="V506">
        <f t="shared" si="449"/>
        <v>0</v>
      </c>
      <c r="W506">
        <f t="shared" si="450"/>
        <v>0</v>
      </c>
      <c r="X506">
        <f t="shared" si="427"/>
        <v>1.6681856990561803</v>
      </c>
      <c r="Y506">
        <f t="shared" si="428"/>
        <v>7.8539816339744828</v>
      </c>
      <c r="Z506">
        <f t="shared" si="429"/>
        <v>-1.6681856990561803</v>
      </c>
      <c r="AA506">
        <f t="shared" si="451"/>
        <v>0.16297915305710509</v>
      </c>
      <c r="AB506">
        <f t="shared" si="430"/>
        <v>8.0169607870315875</v>
      </c>
      <c r="AC506">
        <f t="shared" si="452"/>
        <v>6.0153922819747144E-2</v>
      </c>
      <c r="AD506">
        <f t="shared" si="431"/>
        <v>4.7498605420587068E-3</v>
      </c>
      <c r="AE506" s="9">
        <f t="shared" si="453"/>
        <v>8.0818645703933942</v>
      </c>
      <c r="AF506">
        <f t="shared" si="454"/>
        <v>0</v>
      </c>
      <c r="AH506">
        <f t="shared" si="432"/>
        <v>7.8539816339744828</v>
      </c>
      <c r="AI506">
        <f t="shared" si="433"/>
        <v>0.1629791530571052</v>
      </c>
      <c r="AJ506">
        <f t="shared" si="434"/>
        <v>6.015392281975096E-2</v>
      </c>
      <c r="AK506">
        <f t="shared" si="435"/>
        <v>4.7498605420587068E-3</v>
      </c>
      <c r="AL506" s="9">
        <f t="shared" si="455"/>
        <v>8.0818645703933978</v>
      </c>
      <c r="AM506" t="e">
        <f t="shared" si="436"/>
        <v>#N/A</v>
      </c>
      <c r="AN506" t="e">
        <f t="shared" si="456"/>
        <v>#N/A</v>
      </c>
      <c r="AO506">
        <f t="shared" si="437"/>
        <v>0</v>
      </c>
      <c r="AP506">
        <f t="shared" si="438"/>
        <v>0</v>
      </c>
      <c r="AQ506">
        <f t="shared" si="439"/>
        <v>3.8163916471489756E-15</v>
      </c>
      <c r="AR506">
        <f t="shared" si="457"/>
        <v>0</v>
      </c>
      <c r="AS506">
        <f t="shared" si="440"/>
        <v>0</v>
      </c>
      <c r="AT506">
        <f t="shared" si="458"/>
        <v>0</v>
      </c>
      <c r="AU506">
        <f t="shared" si="459"/>
        <v>0</v>
      </c>
      <c r="AV506">
        <f t="shared" si="441"/>
        <v>1.6681856990561802E-20</v>
      </c>
      <c r="AW506" t="b">
        <f t="shared" si="460"/>
        <v>1</v>
      </c>
      <c r="AX506">
        <f t="shared" si="442"/>
        <v>7.8539816339744828</v>
      </c>
      <c r="AY506">
        <f t="shared" si="443"/>
        <v>0.16297915305710498</v>
      </c>
      <c r="AZ506">
        <f t="shared" si="444"/>
        <v>6.0153922819747144E-2</v>
      </c>
      <c r="BA506">
        <f t="shared" si="445"/>
        <v>4.7498605420587068E-3</v>
      </c>
      <c r="BB506">
        <f t="shared" si="446"/>
        <v>-1.2337005501361696E-20</v>
      </c>
      <c r="BD506" s="15">
        <f t="shared" si="461"/>
        <v>8.0818645703933942</v>
      </c>
      <c r="BE506" s="10">
        <f t="shared" si="462"/>
        <v>0</v>
      </c>
      <c r="BF506">
        <f t="shared" si="463"/>
        <v>0</v>
      </c>
      <c r="BG506">
        <f t="shared" si="464"/>
        <v>0</v>
      </c>
      <c r="BH506">
        <f t="shared" si="465"/>
        <v>0</v>
      </c>
      <c r="BI506">
        <f t="shared" si="466"/>
        <v>0</v>
      </c>
    </row>
    <row r="507" spans="1:61" x14ac:dyDescent="0.3">
      <c r="A507">
        <f t="shared" si="471"/>
        <v>0.47</v>
      </c>
      <c r="B507">
        <f t="shared" si="414"/>
        <v>1.4765485471872026</v>
      </c>
      <c r="C507">
        <f t="shared" si="415"/>
        <v>1.6650441064025905</v>
      </c>
      <c r="D507">
        <f t="shared" si="416"/>
        <v>1.6650441064025905</v>
      </c>
      <c r="E507">
        <f t="shared" si="421"/>
        <v>0.99556196460308</v>
      </c>
      <c r="F507">
        <f t="shared" si="422"/>
        <v>0.99556196460308</v>
      </c>
      <c r="G507">
        <f t="shared" si="417"/>
        <v>1.4765485471872026</v>
      </c>
      <c r="H507">
        <f t="shared" si="418"/>
        <v>0.99556196460308</v>
      </c>
      <c r="I507">
        <f t="shared" si="419"/>
        <v>0.99556196460308</v>
      </c>
      <c r="J507">
        <f t="shared" si="467"/>
        <v>6.3945770831190303E+19</v>
      </c>
      <c r="K507">
        <f t="shared" si="468"/>
        <v>6.3945770831190303E+19</v>
      </c>
      <c r="L507">
        <f t="shared" si="423"/>
        <v>1</v>
      </c>
      <c r="M507">
        <f t="shared" si="420"/>
        <v>1.6650441064025905E-20</v>
      </c>
      <c r="N507" s="9">
        <f t="shared" si="469"/>
        <v>1.6650441064025905E-20</v>
      </c>
      <c r="O507">
        <f t="shared" si="470"/>
        <v>1.6650441064025905E-20</v>
      </c>
      <c r="Q507">
        <f t="shared" si="424"/>
        <v>45.60456706730222</v>
      </c>
      <c r="R507">
        <f t="shared" si="425"/>
        <v>0</v>
      </c>
      <c r="S507">
        <f t="shared" si="447"/>
        <v>-45.541850246467483</v>
      </c>
      <c r="T507" s="9" t="e">
        <f t="shared" si="426"/>
        <v>#N/A</v>
      </c>
      <c r="U507">
        <f t="shared" si="448"/>
        <v>-1.0000000000000001E+300</v>
      </c>
      <c r="V507">
        <f t="shared" si="449"/>
        <v>0</v>
      </c>
      <c r="W507">
        <f t="shared" si="450"/>
        <v>0</v>
      </c>
      <c r="X507">
        <f t="shared" si="427"/>
        <v>1.6650441064025905</v>
      </c>
      <c r="Y507">
        <f t="shared" si="428"/>
        <v>7.8539816339744828</v>
      </c>
      <c r="Z507">
        <f t="shared" si="429"/>
        <v>-1.6650441064025905</v>
      </c>
      <c r="AA507">
        <f t="shared" si="451"/>
        <v>0.15739300819608282</v>
      </c>
      <c r="AB507">
        <f t="shared" si="430"/>
        <v>8.0113746421705656</v>
      </c>
      <c r="AC507">
        <f t="shared" si="452"/>
        <v>5.8268908123975824E-2</v>
      </c>
      <c r="AD507">
        <f t="shared" si="431"/>
        <v>4.4479127107581737E-3</v>
      </c>
      <c r="AE507" s="9">
        <f t="shared" si="453"/>
        <v>8.0740914630052991</v>
      </c>
      <c r="AF507">
        <f t="shared" si="454"/>
        <v>0</v>
      </c>
      <c r="AH507">
        <f t="shared" si="432"/>
        <v>7.8539816339744828</v>
      </c>
      <c r="AI507">
        <f t="shared" si="433"/>
        <v>0.15739300819608293</v>
      </c>
      <c r="AJ507">
        <f t="shared" si="434"/>
        <v>5.8268908123977781E-2</v>
      </c>
      <c r="AK507">
        <f t="shared" si="435"/>
        <v>4.4479127107581737E-3</v>
      </c>
      <c r="AL507" s="9">
        <f t="shared" si="455"/>
        <v>8.0740914630053009</v>
      </c>
      <c r="AM507" t="e">
        <f t="shared" si="436"/>
        <v>#N/A</v>
      </c>
      <c r="AN507" t="e">
        <f t="shared" si="456"/>
        <v>#N/A</v>
      </c>
      <c r="AO507">
        <f t="shared" si="437"/>
        <v>0</v>
      </c>
      <c r="AP507">
        <f t="shared" si="438"/>
        <v>0</v>
      </c>
      <c r="AQ507">
        <f t="shared" si="439"/>
        <v>1.9567680809018384E-15</v>
      </c>
      <c r="AR507">
        <f t="shared" si="457"/>
        <v>0</v>
      </c>
      <c r="AS507">
        <f t="shared" si="440"/>
        <v>0</v>
      </c>
      <c r="AT507">
        <f t="shared" si="458"/>
        <v>0</v>
      </c>
      <c r="AU507">
        <f t="shared" si="459"/>
        <v>0</v>
      </c>
      <c r="AV507">
        <f t="shared" si="441"/>
        <v>1.6650441064025905E-20</v>
      </c>
      <c r="AW507" t="b">
        <f t="shared" si="460"/>
        <v>1</v>
      </c>
      <c r="AX507">
        <f t="shared" si="442"/>
        <v>7.8539816339744828</v>
      </c>
      <c r="AY507">
        <f t="shared" si="443"/>
        <v>0.15739300819608273</v>
      </c>
      <c r="AZ507">
        <f t="shared" si="444"/>
        <v>5.8268908123976032E-2</v>
      </c>
      <c r="BA507">
        <f t="shared" si="445"/>
        <v>4.4479127107581737E-3</v>
      </c>
      <c r="BB507">
        <f t="shared" si="446"/>
        <v>-1.2337005501361696E-20</v>
      </c>
      <c r="BD507" s="15">
        <f t="shared" si="461"/>
        <v>8.0740914630052991</v>
      </c>
      <c r="BE507" s="10">
        <f t="shared" si="462"/>
        <v>0</v>
      </c>
      <c r="BF507">
        <f t="shared" si="463"/>
        <v>0</v>
      </c>
      <c r="BG507">
        <f t="shared" si="464"/>
        <v>0</v>
      </c>
      <c r="BH507">
        <f t="shared" si="465"/>
        <v>0</v>
      </c>
      <c r="BI507">
        <f t="shared" si="466"/>
        <v>2.0816681711721685E-16</v>
      </c>
    </row>
    <row r="508" spans="1:61" x14ac:dyDescent="0.3">
      <c r="A508">
        <f t="shared" si="471"/>
        <v>0.47099999999999997</v>
      </c>
      <c r="B508">
        <f t="shared" si="414"/>
        <v>1.4796901398407925</v>
      </c>
      <c r="C508">
        <f t="shared" si="415"/>
        <v>1.6619025137490007</v>
      </c>
      <c r="D508">
        <f t="shared" si="416"/>
        <v>1.6619025137490007</v>
      </c>
      <c r="E508">
        <f t="shared" si="421"/>
        <v>0.99585270120518565</v>
      </c>
      <c r="F508">
        <f t="shared" si="422"/>
        <v>0.99585270120518565</v>
      </c>
      <c r="G508">
        <f t="shared" si="417"/>
        <v>1.4796901398407925</v>
      </c>
      <c r="H508">
        <f t="shared" si="418"/>
        <v>0.99585270120518565</v>
      </c>
      <c r="I508">
        <f t="shared" si="419"/>
        <v>0.99585270120518565</v>
      </c>
      <c r="J508">
        <f t="shared" si="467"/>
        <v>6.3927102029962985E+19</v>
      </c>
      <c r="K508">
        <f t="shared" si="468"/>
        <v>6.3927102029962985E+19</v>
      </c>
      <c r="L508" t="e">
        <f t="shared" si="423"/>
        <v>#NUM!</v>
      </c>
      <c r="M508">
        <f t="shared" si="420"/>
        <v>1.6619025137490006E-20</v>
      </c>
      <c r="N508" s="9" t="e">
        <f t="shared" si="469"/>
        <v>#NUM!</v>
      </c>
      <c r="O508" t="e">
        <f t="shared" si="470"/>
        <v>#NUM!</v>
      </c>
      <c r="Q508">
        <f t="shared" si="424"/>
        <v>45.604275077282097</v>
      </c>
      <c r="R508">
        <f t="shared" si="425"/>
        <v>0</v>
      </c>
      <c r="S508">
        <f t="shared" si="447"/>
        <v>-45.543738821155351</v>
      </c>
      <c r="T508" s="9" t="e">
        <f t="shared" si="426"/>
        <v>#N/A</v>
      </c>
      <c r="U508">
        <f t="shared" si="448"/>
        <v>-1.0000000000000001E+300</v>
      </c>
      <c r="V508">
        <f t="shared" si="449"/>
        <v>0</v>
      </c>
      <c r="W508">
        <f t="shared" si="450"/>
        <v>0</v>
      </c>
      <c r="X508">
        <f t="shared" si="427"/>
        <v>1.6619025137490007</v>
      </c>
      <c r="Y508">
        <f t="shared" si="428"/>
        <v>7.8539816339744828</v>
      </c>
      <c r="Z508">
        <f t="shared" si="429"/>
        <v>-1.6619025137490007</v>
      </c>
      <c r="AA508">
        <f t="shared" si="451"/>
        <v>0.15182991358637318</v>
      </c>
      <c r="AB508">
        <f t="shared" si="430"/>
        <v>8.0058115475608567</v>
      </c>
      <c r="AC508">
        <f t="shared" si="452"/>
        <v>5.6380333436107689E-2</v>
      </c>
      <c r="AD508">
        <f t="shared" si="431"/>
        <v>4.1559226906351734E-3</v>
      </c>
      <c r="AE508" s="9">
        <f t="shared" si="453"/>
        <v>8.0663478036876004</v>
      </c>
      <c r="AF508">
        <f t="shared" si="454"/>
        <v>0</v>
      </c>
      <c r="AH508">
        <f t="shared" si="432"/>
        <v>7.8539816339744828</v>
      </c>
      <c r="AI508">
        <f t="shared" si="433"/>
        <v>0.15182991358637329</v>
      </c>
      <c r="AJ508">
        <f t="shared" si="434"/>
        <v>5.6380333436109709E-2</v>
      </c>
      <c r="AK508">
        <f t="shared" si="435"/>
        <v>4.1559226906351734E-3</v>
      </c>
      <c r="AL508" s="9">
        <f t="shared" si="455"/>
        <v>8.0663478036876022</v>
      </c>
      <c r="AM508" t="e">
        <f t="shared" si="436"/>
        <v>#N/A</v>
      </c>
      <c r="AN508" t="e">
        <f t="shared" si="456"/>
        <v>#N/A</v>
      </c>
      <c r="AO508">
        <f t="shared" si="437"/>
        <v>0</v>
      </c>
      <c r="AP508">
        <f t="shared" si="438"/>
        <v>0</v>
      </c>
      <c r="AQ508">
        <f t="shared" si="439"/>
        <v>2.0192181260370035E-15</v>
      </c>
      <c r="AR508">
        <f t="shared" si="457"/>
        <v>0</v>
      </c>
      <c r="AS508">
        <f t="shared" si="440"/>
        <v>0</v>
      </c>
      <c r="AT508">
        <f t="shared" si="458"/>
        <v>0</v>
      </c>
      <c r="AU508">
        <f t="shared" si="459"/>
        <v>0</v>
      </c>
      <c r="AV508">
        <f t="shared" si="441"/>
        <v>1.6619025137490006E-20</v>
      </c>
      <c r="AW508" t="b">
        <f t="shared" si="460"/>
        <v>1</v>
      </c>
      <c r="AX508">
        <f t="shared" si="442"/>
        <v>7.8539816339744828</v>
      </c>
      <c r="AY508">
        <f t="shared" si="443"/>
        <v>0.15182991358637304</v>
      </c>
      <c r="AZ508">
        <f t="shared" si="444"/>
        <v>5.6380333436107689E-2</v>
      </c>
      <c r="BA508">
        <f t="shared" si="445"/>
        <v>4.1559226906351734E-3</v>
      </c>
      <c r="BB508">
        <f t="shared" si="446"/>
        <v>-1.2337005501361696E-20</v>
      </c>
      <c r="BD508" s="15">
        <f t="shared" si="461"/>
        <v>8.0663478036876004</v>
      </c>
      <c r="BE508" s="10">
        <f t="shared" si="462"/>
        <v>0</v>
      </c>
      <c r="BF508">
        <f t="shared" si="463"/>
        <v>0</v>
      </c>
      <c r="BG508">
        <f t="shared" si="464"/>
        <v>0</v>
      </c>
      <c r="BH508">
        <f t="shared" si="465"/>
        <v>0</v>
      </c>
      <c r="BI508">
        <f t="shared" si="466"/>
        <v>0</v>
      </c>
    </row>
    <row r="509" spans="1:61" x14ac:dyDescent="0.3">
      <c r="A509">
        <f t="shared" si="471"/>
        <v>0.47199999999999998</v>
      </c>
      <c r="B509">
        <f t="shared" si="414"/>
        <v>1.4828317324943823</v>
      </c>
      <c r="C509">
        <f t="shared" si="415"/>
        <v>1.6587609210954108</v>
      </c>
      <c r="D509">
        <f t="shared" si="416"/>
        <v>1.6587609210954108</v>
      </c>
      <c r="E509">
        <f t="shared" si="421"/>
        <v>0.9961336091431725</v>
      </c>
      <c r="F509">
        <f t="shared" si="422"/>
        <v>0.9961336091431725</v>
      </c>
      <c r="G509">
        <f t="shared" si="417"/>
        <v>1.4828317324943823</v>
      </c>
      <c r="H509">
        <f t="shared" si="418"/>
        <v>0.9961336091431725</v>
      </c>
      <c r="I509">
        <f t="shared" si="419"/>
        <v>0.9961336091431725</v>
      </c>
      <c r="J509">
        <f t="shared" si="467"/>
        <v>6.3909074698842055E+19</v>
      </c>
      <c r="K509">
        <f t="shared" si="468"/>
        <v>6.3909074698842055E+19</v>
      </c>
      <c r="L509" t="e">
        <f t="shared" si="423"/>
        <v>#NUM!</v>
      </c>
      <c r="M509">
        <f t="shared" si="420"/>
        <v>1.6587609210954109E-20</v>
      </c>
      <c r="N509" s="9" t="e">
        <f t="shared" si="469"/>
        <v>#NUM!</v>
      </c>
      <c r="O509" t="e">
        <f t="shared" si="470"/>
        <v>#NUM!</v>
      </c>
      <c r="Q509">
        <f t="shared" si="424"/>
        <v>45.603993039259656</v>
      </c>
      <c r="R509">
        <f t="shared" si="425"/>
        <v>0</v>
      </c>
      <c r="S509">
        <f t="shared" si="447"/>
        <v>-45.545630969307389</v>
      </c>
      <c r="T509" s="9" t="e">
        <f t="shared" si="426"/>
        <v>#N/A</v>
      </c>
      <c r="U509">
        <f t="shared" si="448"/>
        <v>-1.0000000000000001E+300</v>
      </c>
      <c r="V509">
        <f t="shared" si="449"/>
        <v>0</v>
      </c>
      <c r="W509">
        <f t="shared" si="450"/>
        <v>0</v>
      </c>
      <c r="X509">
        <f t="shared" si="427"/>
        <v>1.6587609210954108</v>
      </c>
      <c r="Y509">
        <f t="shared" si="428"/>
        <v>7.8539816339744828</v>
      </c>
      <c r="Z509">
        <f t="shared" si="429"/>
        <v>-1.6587609210954108</v>
      </c>
      <c r="AA509">
        <f t="shared" si="451"/>
        <v>0.1462897450425249</v>
      </c>
      <c r="AB509">
        <f t="shared" si="430"/>
        <v>8.0002713790170077</v>
      </c>
      <c r="AC509">
        <f t="shared" si="452"/>
        <v>5.4488185284069776E-2</v>
      </c>
      <c r="AD509">
        <f t="shared" si="431"/>
        <v>3.8738846681953456E-3</v>
      </c>
      <c r="AE509" s="9">
        <f t="shared" si="453"/>
        <v>8.0586334489692728</v>
      </c>
      <c r="AF509">
        <f t="shared" si="454"/>
        <v>0</v>
      </c>
      <c r="AH509">
        <f t="shared" si="432"/>
        <v>7.8539816339744828</v>
      </c>
      <c r="AI509">
        <f t="shared" si="433"/>
        <v>0.14628974504252501</v>
      </c>
      <c r="AJ509">
        <f t="shared" si="434"/>
        <v>5.4488185284071733E-2</v>
      </c>
      <c r="AK509">
        <f t="shared" si="435"/>
        <v>3.8738846681953456E-3</v>
      </c>
      <c r="AL509" s="9">
        <f t="shared" si="455"/>
        <v>8.0586334489692746</v>
      </c>
      <c r="AM509" t="e">
        <f t="shared" si="436"/>
        <v>#N/A</v>
      </c>
      <c r="AN509" t="e">
        <f t="shared" si="456"/>
        <v>#N/A</v>
      </c>
      <c r="AO509">
        <f t="shared" si="437"/>
        <v>0</v>
      </c>
      <c r="AP509">
        <f t="shared" si="438"/>
        <v>0</v>
      </c>
      <c r="AQ509">
        <f t="shared" si="439"/>
        <v>1.9567680809018384E-15</v>
      </c>
      <c r="AR509">
        <f t="shared" si="457"/>
        <v>0</v>
      </c>
      <c r="AS509">
        <f t="shared" si="440"/>
        <v>0</v>
      </c>
      <c r="AT509">
        <f t="shared" si="458"/>
        <v>0</v>
      </c>
      <c r="AU509">
        <f t="shared" si="459"/>
        <v>0</v>
      </c>
      <c r="AV509">
        <f t="shared" si="441"/>
        <v>1.6587609210954109E-20</v>
      </c>
      <c r="AW509" t="b">
        <f t="shared" si="460"/>
        <v>1</v>
      </c>
      <c r="AX509">
        <f t="shared" si="442"/>
        <v>7.8539816339744828</v>
      </c>
      <c r="AY509">
        <f t="shared" si="443"/>
        <v>0.14628974504252479</v>
      </c>
      <c r="AZ509">
        <f t="shared" si="444"/>
        <v>5.4488185284069991E-2</v>
      </c>
      <c r="BA509">
        <f t="shared" si="445"/>
        <v>3.8738846681953456E-3</v>
      </c>
      <c r="BB509">
        <f t="shared" si="446"/>
        <v>-1.2337005501361696E-20</v>
      </c>
      <c r="BD509" s="15">
        <f t="shared" si="461"/>
        <v>8.0586334489692728</v>
      </c>
      <c r="BE509" s="10">
        <f t="shared" si="462"/>
        <v>0</v>
      </c>
      <c r="BF509">
        <f t="shared" si="463"/>
        <v>0</v>
      </c>
      <c r="BG509">
        <f t="shared" si="464"/>
        <v>0</v>
      </c>
      <c r="BH509">
        <f t="shared" si="465"/>
        <v>0</v>
      </c>
      <c r="BI509">
        <f t="shared" si="466"/>
        <v>2.1510571102112408E-16</v>
      </c>
    </row>
    <row r="510" spans="1:61" x14ac:dyDescent="0.3">
      <c r="A510">
        <f t="shared" si="471"/>
        <v>0.47299999999999998</v>
      </c>
      <c r="B510">
        <f t="shared" si="414"/>
        <v>1.4859733251479721</v>
      </c>
      <c r="C510">
        <f t="shared" si="415"/>
        <v>1.655619328441821</v>
      </c>
      <c r="D510">
        <f t="shared" si="416"/>
        <v>1.655619328441821</v>
      </c>
      <c r="E510">
        <f t="shared" si="421"/>
        <v>0.99640468564459239</v>
      </c>
      <c r="F510">
        <f t="shared" si="422"/>
        <v>0.99640468564459239</v>
      </c>
      <c r="G510">
        <f t="shared" si="417"/>
        <v>1.4859733251479721</v>
      </c>
      <c r="H510">
        <f t="shared" si="418"/>
        <v>0.99640468564459239</v>
      </c>
      <c r="I510">
        <f t="shared" si="419"/>
        <v>0.99640468564459239</v>
      </c>
      <c r="J510">
        <f t="shared" si="467"/>
        <v>6.3891687939598606E+19</v>
      </c>
      <c r="K510">
        <f t="shared" si="468"/>
        <v>6.3891687939598606E+19</v>
      </c>
      <c r="L510" t="e">
        <f t="shared" si="423"/>
        <v>#NUM!</v>
      </c>
      <c r="M510">
        <f t="shared" si="420"/>
        <v>1.6556193284418209E-20</v>
      </c>
      <c r="N510" s="9" t="e">
        <f t="shared" si="469"/>
        <v>#NUM!</v>
      </c>
      <c r="O510" t="e">
        <f t="shared" si="470"/>
        <v>#NUM!</v>
      </c>
      <c r="Q510">
        <f t="shared" si="424"/>
        <v>45.603720947622769</v>
      </c>
      <c r="R510">
        <f t="shared" si="425"/>
        <v>0</v>
      </c>
      <c r="S510">
        <f t="shared" si="447"/>
        <v>-45.54752670447229</v>
      </c>
      <c r="T510" s="9" t="e">
        <f t="shared" si="426"/>
        <v>#N/A</v>
      </c>
      <c r="U510">
        <f t="shared" si="448"/>
        <v>-1.0000000000000001E+300</v>
      </c>
      <c r="V510">
        <f t="shared" si="449"/>
        <v>0</v>
      </c>
      <c r="W510">
        <f t="shared" si="450"/>
        <v>0</v>
      </c>
      <c r="X510">
        <f t="shared" si="427"/>
        <v>1.655619328441821</v>
      </c>
      <c r="Y510">
        <f t="shared" si="428"/>
        <v>7.8539816339744828</v>
      </c>
      <c r="Z510">
        <f t="shared" si="429"/>
        <v>-1.655619328441821</v>
      </c>
      <c r="AA510">
        <f t="shared" si="451"/>
        <v>0.14077237942615867</v>
      </c>
      <c r="AB510">
        <f t="shared" si="430"/>
        <v>7.9947540134006418</v>
      </c>
      <c r="AC510">
        <f t="shared" si="452"/>
        <v>5.2592450119170631E-2</v>
      </c>
      <c r="AD510">
        <f t="shared" si="431"/>
        <v>3.6017930313104805E-3</v>
      </c>
      <c r="AE510" s="9">
        <f t="shared" si="453"/>
        <v>8.0509482565511217</v>
      </c>
      <c r="AF510">
        <f t="shared" si="454"/>
        <v>0</v>
      </c>
      <c r="AH510">
        <f t="shared" si="432"/>
        <v>7.8539816339744828</v>
      </c>
      <c r="AI510">
        <f t="shared" si="433"/>
        <v>0.14077237942615875</v>
      </c>
      <c r="AJ510">
        <f t="shared" si="434"/>
        <v>5.2592450119171019E-2</v>
      </c>
      <c r="AK510">
        <f t="shared" si="435"/>
        <v>3.6017930313104805E-3</v>
      </c>
      <c r="AL510" s="9">
        <f t="shared" si="455"/>
        <v>8.0509482565511217</v>
      </c>
      <c r="AM510" t="e">
        <f t="shared" si="436"/>
        <v>#N/A</v>
      </c>
      <c r="AN510" t="e">
        <f t="shared" si="456"/>
        <v>#N/A</v>
      </c>
      <c r="AO510">
        <f t="shared" si="437"/>
        <v>0</v>
      </c>
      <c r="AP510">
        <f t="shared" si="438"/>
        <v>0</v>
      </c>
      <c r="AQ510">
        <f t="shared" si="439"/>
        <v>3.8857805861880479E-16</v>
      </c>
      <c r="AR510">
        <f t="shared" si="457"/>
        <v>0</v>
      </c>
      <c r="AS510">
        <f t="shared" si="440"/>
        <v>0</v>
      </c>
      <c r="AT510">
        <f t="shared" si="458"/>
        <v>0</v>
      </c>
      <c r="AU510">
        <f t="shared" si="459"/>
        <v>0</v>
      </c>
      <c r="AV510">
        <f t="shared" si="441"/>
        <v>1.6556193284418209E-20</v>
      </c>
      <c r="AW510" t="b">
        <f t="shared" si="460"/>
        <v>1</v>
      </c>
      <c r="AX510">
        <f t="shared" si="442"/>
        <v>7.8539816339744828</v>
      </c>
      <c r="AY510">
        <f t="shared" si="443"/>
        <v>0.14077237942615853</v>
      </c>
      <c r="AZ510">
        <f t="shared" si="444"/>
        <v>5.2592450119170631E-2</v>
      </c>
      <c r="BA510">
        <f t="shared" si="445"/>
        <v>3.6017930313104805E-3</v>
      </c>
      <c r="BB510">
        <f t="shared" si="446"/>
        <v>-1.2337005501361696E-20</v>
      </c>
      <c r="BD510" s="15">
        <f t="shared" si="461"/>
        <v>8.0509482565511217</v>
      </c>
      <c r="BE510" s="10">
        <f t="shared" si="462"/>
        <v>0</v>
      </c>
      <c r="BF510">
        <f t="shared" si="463"/>
        <v>0</v>
      </c>
      <c r="BG510">
        <f t="shared" si="464"/>
        <v>0</v>
      </c>
      <c r="BH510">
        <f t="shared" si="465"/>
        <v>0</v>
      </c>
      <c r="BI510">
        <f t="shared" si="466"/>
        <v>0</v>
      </c>
    </row>
    <row r="511" spans="1:61" x14ac:dyDescent="0.3">
      <c r="A511">
        <f t="shared" si="471"/>
        <v>0.47399999999999998</v>
      </c>
      <c r="B511">
        <f t="shared" si="414"/>
        <v>1.4891149178015619</v>
      </c>
      <c r="C511">
        <f t="shared" si="415"/>
        <v>1.6524777357882312</v>
      </c>
      <c r="D511">
        <f t="shared" si="416"/>
        <v>1.6524777357882312</v>
      </c>
      <c r="E511">
        <f t="shared" si="421"/>
        <v>0.99666592803402987</v>
      </c>
      <c r="F511">
        <f t="shared" si="422"/>
        <v>0.99666592803402987</v>
      </c>
      <c r="G511">
        <f t="shared" si="417"/>
        <v>1.4891149178015619</v>
      </c>
      <c r="H511">
        <f t="shared" si="418"/>
        <v>0.99666592803402987</v>
      </c>
      <c r="I511">
        <f t="shared" si="419"/>
        <v>0.99666592803402987</v>
      </c>
      <c r="J511">
        <f t="shared" si="467"/>
        <v>6.3874940886495805E+19</v>
      </c>
      <c r="K511">
        <f t="shared" si="468"/>
        <v>6.3874940886495805E+19</v>
      </c>
      <c r="L511">
        <f t="shared" si="423"/>
        <v>1</v>
      </c>
      <c r="M511">
        <f t="shared" si="420"/>
        <v>1.6524777357882313E-20</v>
      </c>
      <c r="N511" s="9">
        <f t="shared" si="469"/>
        <v>1.6524777357882313E-20</v>
      </c>
      <c r="O511">
        <f t="shared" si="470"/>
        <v>1.6524777357882313E-20</v>
      </c>
      <c r="Q511">
        <f t="shared" si="424"/>
        <v>45.603458796960226</v>
      </c>
      <c r="R511">
        <f t="shared" si="425"/>
        <v>-710542.73576010019</v>
      </c>
      <c r="S511">
        <f t="shared" si="447"/>
        <v>-45.549426040275939</v>
      </c>
      <c r="T511" s="9" t="e">
        <f t="shared" si="426"/>
        <v>#N/A</v>
      </c>
      <c r="U511">
        <f t="shared" si="448"/>
        <v>-1.0000000000000001E+300</v>
      </c>
      <c r="V511">
        <f t="shared" si="449"/>
        <v>0</v>
      </c>
      <c r="W511">
        <f t="shared" si="450"/>
        <v>0</v>
      </c>
      <c r="X511">
        <f t="shared" si="427"/>
        <v>1.6524777357882312</v>
      </c>
      <c r="Y511">
        <f t="shared" si="428"/>
        <v>7.8539816339744828</v>
      </c>
      <c r="Z511">
        <f t="shared" si="429"/>
        <v>-1.6524777357882312</v>
      </c>
      <c r="AA511">
        <f t="shared" si="451"/>
        <v>0.13527769463502981</v>
      </c>
      <c r="AB511">
        <f t="shared" si="430"/>
        <v>7.9892593286095126</v>
      </c>
      <c r="AC511">
        <f t="shared" si="452"/>
        <v>5.0693114315518165E-2</v>
      </c>
      <c r="AD511">
        <f t="shared" si="431"/>
        <v>3.3396423687693144E-3</v>
      </c>
      <c r="AE511" s="9">
        <f t="shared" si="453"/>
        <v>8.0432920852938015</v>
      </c>
      <c r="AF511">
        <f t="shared" si="454"/>
        <v>0</v>
      </c>
      <c r="AH511">
        <f t="shared" si="432"/>
        <v>7.8539816339744828</v>
      </c>
      <c r="AI511">
        <f t="shared" si="433"/>
        <v>0.13527769463502992</v>
      </c>
      <c r="AJ511">
        <f t="shared" si="434"/>
        <v>5.069311431552137E-2</v>
      </c>
      <c r="AK511">
        <f t="shared" si="435"/>
        <v>3.3396423687693144E-3</v>
      </c>
      <c r="AL511" s="9">
        <f t="shared" si="455"/>
        <v>8.043292085293805</v>
      </c>
      <c r="AM511" t="e">
        <f t="shared" si="436"/>
        <v>#N/A</v>
      </c>
      <c r="AN511" t="e">
        <f t="shared" si="456"/>
        <v>#N/A</v>
      </c>
      <c r="AO511">
        <f t="shared" si="437"/>
        <v>0</v>
      </c>
      <c r="AP511">
        <f t="shared" si="438"/>
        <v>0</v>
      </c>
      <c r="AQ511">
        <f t="shared" si="439"/>
        <v>3.2057689836051395E-15</v>
      </c>
      <c r="AR511">
        <f t="shared" si="457"/>
        <v>0</v>
      </c>
      <c r="AS511">
        <f t="shared" si="440"/>
        <v>0</v>
      </c>
      <c r="AT511">
        <f t="shared" si="458"/>
        <v>0</v>
      </c>
      <c r="AU511">
        <f t="shared" si="459"/>
        <v>0</v>
      </c>
      <c r="AV511">
        <f t="shared" si="441"/>
        <v>1.652477735788231E-20</v>
      </c>
      <c r="AW511" t="b">
        <f t="shared" si="460"/>
        <v>1</v>
      </c>
      <c r="AX511">
        <f t="shared" si="442"/>
        <v>7.8539816339744828</v>
      </c>
      <c r="AY511">
        <f t="shared" si="443"/>
        <v>0.13527769463502967</v>
      </c>
      <c r="AZ511">
        <f t="shared" si="444"/>
        <v>5.0693114315518165E-2</v>
      </c>
      <c r="BA511">
        <f t="shared" si="445"/>
        <v>3.3396423687693144E-3</v>
      </c>
      <c r="BB511">
        <f t="shared" si="446"/>
        <v>-1.2337005501361696E-20</v>
      </c>
      <c r="BD511" s="15">
        <f t="shared" si="461"/>
        <v>8.0432920852938015</v>
      </c>
      <c r="BE511" s="10">
        <f t="shared" si="462"/>
        <v>0</v>
      </c>
      <c r="BF511">
        <f t="shared" si="463"/>
        <v>0</v>
      </c>
      <c r="BG511">
        <f t="shared" si="464"/>
        <v>0</v>
      </c>
      <c r="BH511">
        <f t="shared" si="465"/>
        <v>0</v>
      </c>
      <c r="BI511">
        <f t="shared" si="466"/>
        <v>0</v>
      </c>
    </row>
    <row r="512" spans="1:61" x14ac:dyDescent="0.3">
      <c r="A512">
        <f t="shared" si="471"/>
        <v>0.47499999999999998</v>
      </c>
      <c r="B512">
        <f t="shared" si="414"/>
        <v>1.4922565104551517</v>
      </c>
      <c r="C512">
        <f t="shared" si="415"/>
        <v>1.6493361431346414</v>
      </c>
      <c r="D512">
        <f t="shared" si="416"/>
        <v>1.6493361431346414</v>
      </c>
      <c r="E512">
        <f t="shared" si="421"/>
        <v>0.99691733373312796</v>
      </c>
      <c r="F512">
        <f t="shared" si="422"/>
        <v>0.99691733373312796</v>
      </c>
      <c r="G512">
        <f t="shared" si="417"/>
        <v>1.4922565104551517</v>
      </c>
      <c r="H512">
        <f t="shared" si="418"/>
        <v>0.99691733373312796</v>
      </c>
      <c r="I512">
        <f t="shared" si="419"/>
        <v>0.99691733373312796</v>
      </c>
      <c r="J512">
        <f t="shared" si="467"/>
        <v>6.3858832706183315E+19</v>
      </c>
      <c r="K512">
        <f t="shared" si="468"/>
        <v>6.3858832706183315E+19</v>
      </c>
      <c r="L512">
        <f t="shared" si="423"/>
        <v>1</v>
      </c>
      <c r="M512">
        <f t="shared" si="420"/>
        <v>1.6493361431346413E-20</v>
      </c>
      <c r="N512" s="9">
        <f t="shared" si="469"/>
        <v>1.6493361431346413E-20</v>
      </c>
      <c r="O512">
        <f t="shared" si="470"/>
        <v>1.6493361431346413E-20</v>
      </c>
      <c r="Q512">
        <f t="shared" si="424"/>
        <v>45.603206582061304</v>
      </c>
      <c r="R512">
        <f t="shared" si="425"/>
        <v>0</v>
      </c>
      <c r="S512">
        <f t="shared" si="447"/>
        <v>-45.551328990422029</v>
      </c>
      <c r="T512" s="9" t="e">
        <f t="shared" si="426"/>
        <v>#N/A</v>
      </c>
      <c r="U512">
        <f t="shared" si="448"/>
        <v>-1.0000000000000001E+300</v>
      </c>
      <c r="V512">
        <f t="shared" si="449"/>
        <v>0</v>
      </c>
      <c r="W512">
        <f t="shared" si="450"/>
        <v>0</v>
      </c>
      <c r="X512">
        <f t="shared" si="427"/>
        <v>1.6493361431346414</v>
      </c>
      <c r="Y512">
        <f t="shared" si="428"/>
        <v>7.8539816339744828</v>
      </c>
      <c r="Z512">
        <f t="shared" si="429"/>
        <v>-1.6493361431346414</v>
      </c>
      <c r="AA512">
        <f t="shared" si="451"/>
        <v>0.12980556959222947</v>
      </c>
      <c r="AB512">
        <f t="shared" si="430"/>
        <v>7.9837872035667123</v>
      </c>
      <c r="AC512">
        <f t="shared" si="452"/>
        <v>4.8790164169432049E-2</v>
      </c>
      <c r="AD512">
        <f t="shared" si="431"/>
        <v>3.0874274698461037E-3</v>
      </c>
      <c r="AE512" s="9">
        <f t="shared" si="453"/>
        <v>8.0356647952059905</v>
      </c>
      <c r="AF512">
        <f t="shared" si="454"/>
        <v>0</v>
      </c>
      <c r="AH512">
        <f t="shared" si="432"/>
        <v>7.8539816339744828</v>
      </c>
      <c r="AI512">
        <f t="shared" si="433"/>
        <v>0.12980556959222955</v>
      </c>
      <c r="AJ512">
        <f t="shared" si="434"/>
        <v>4.879016416943216E-2</v>
      </c>
      <c r="AK512">
        <f t="shared" si="435"/>
        <v>3.0874274698461037E-3</v>
      </c>
      <c r="AL512" s="9">
        <f t="shared" si="455"/>
        <v>8.0356647952059923</v>
      </c>
      <c r="AM512" t="e">
        <f t="shared" si="436"/>
        <v>#N/A</v>
      </c>
      <c r="AN512" t="e">
        <f t="shared" si="456"/>
        <v>#N/A</v>
      </c>
      <c r="AO512">
        <f t="shared" si="437"/>
        <v>0</v>
      </c>
      <c r="AP512">
        <f t="shared" si="438"/>
        <v>0</v>
      </c>
      <c r="AQ512">
        <f t="shared" si="439"/>
        <v>1.1102230246251565E-16</v>
      </c>
      <c r="AR512">
        <f t="shared" si="457"/>
        <v>0</v>
      </c>
      <c r="AS512">
        <f t="shared" si="440"/>
        <v>0</v>
      </c>
      <c r="AT512">
        <f t="shared" si="458"/>
        <v>0</v>
      </c>
      <c r="AU512">
        <f t="shared" si="459"/>
        <v>0</v>
      </c>
      <c r="AV512">
        <f t="shared" si="441"/>
        <v>1.6493361431346413E-20</v>
      </c>
      <c r="AW512" t="b">
        <f t="shared" si="460"/>
        <v>1</v>
      </c>
      <c r="AX512">
        <f t="shared" si="442"/>
        <v>7.8539816339744828</v>
      </c>
      <c r="AY512">
        <f t="shared" si="443"/>
        <v>0.12980556959222936</v>
      </c>
      <c r="AZ512">
        <f t="shared" si="444"/>
        <v>4.8790164169432049E-2</v>
      </c>
      <c r="BA512">
        <f t="shared" si="445"/>
        <v>3.0874274698461037E-3</v>
      </c>
      <c r="BB512">
        <f t="shared" si="446"/>
        <v>-1.2337005501361696E-20</v>
      </c>
      <c r="BD512" s="15">
        <f t="shared" si="461"/>
        <v>8.0356647952059905</v>
      </c>
      <c r="BE512" s="10">
        <f t="shared" si="462"/>
        <v>0</v>
      </c>
      <c r="BF512">
        <f t="shared" si="463"/>
        <v>0</v>
      </c>
      <c r="BG512">
        <f t="shared" si="464"/>
        <v>0</v>
      </c>
      <c r="BH512">
        <f t="shared" si="465"/>
        <v>0</v>
      </c>
      <c r="BI512">
        <f t="shared" si="466"/>
        <v>0</v>
      </c>
    </row>
    <row r="513" spans="1:61" x14ac:dyDescent="0.3">
      <c r="A513">
        <f t="shared" si="471"/>
        <v>0.47599999999999998</v>
      </c>
      <c r="B513">
        <f t="shared" si="414"/>
        <v>1.4953981031087415</v>
      </c>
      <c r="C513">
        <f t="shared" si="415"/>
        <v>1.6461945504810516</v>
      </c>
      <c r="D513">
        <f t="shared" si="416"/>
        <v>1.6461945504810516</v>
      </c>
      <c r="E513">
        <f t="shared" si="421"/>
        <v>0.99715890026061393</v>
      </c>
      <c r="F513">
        <f t="shared" si="422"/>
        <v>0.99715890026061393</v>
      </c>
      <c r="G513">
        <f t="shared" si="417"/>
        <v>1.4953981031087415</v>
      </c>
      <c r="H513">
        <f t="shared" si="418"/>
        <v>0.99715890026061393</v>
      </c>
      <c r="I513">
        <f t="shared" si="419"/>
        <v>0.99715890026061393</v>
      </c>
      <c r="J513">
        <f t="shared" si="467"/>
        <v>6.3843362597595701E+19</v>
      </c>
      <c r="K513">
        <f t="shared" si="468"/>
        <v>6.3843362597595701E+19</v>
      </c>
      <c r="L513">
        <f t="shared" si="423"/>
        <v>1</v>
      </c>
      <c r="M513">
        <f t="shared" si="420"/>
        <v>1.6461945504810516E-20</v>
      </c>
      <c r="N513" s="9">
        <f t="shared" si="469"/>
        <v>1.6461945504810516E-20</v>
      </c>
      <c r="O513">
        <f t="shared" si="470"/>
        <v>1.6461945504810516E-20</v>
      </c>
      <c r="Q513">
        <f t="shared" si="424"/>
        <v>45.602964297915342</v>
      </c>
      <c r="R513">
        <f t="shared" si="425"/>
        <v>0</v>
      </c>
      <c r="S513">
        <f t="shared" si="447"/>
        <v>-45.553235568692607</v>
      </c>
      <c r="T513" s="9" t="e">
        <f t="shared" si="426"/>
        <v>#N/A</v>
      </c>
      <c r="U513">
        <f t="shared" si="448"/>
        <v>-1.0000000000000001E+300</v>
      </c>
      <c r="V513">
        <f t="shared" si="449"/>
        <v>0</v>
      </c>
      <c r="W513">
        <f t="shared" si="450"/>
        <v>0</v>
      </c>
      <c r="X513">
        <f t="shared" si="427"/>
        <v>1.6461945504810516</v>
      </c>
      <c r="Y513">
        <f t="shared" si="428"/>
        <v>7.8539816339744828</v>
      </c>
      <c r="Z513">
        <f t="shared" si="429"/>
        <v>-1.6461945504810516</v>
      </c>
      <c r="AA513">
        <f t="shared" si="451"/>
        <v>0.12435588423552141</v>
      </c>
      <c r="AB513">
        <f t="shared" si="430"/>
        <v>7.9783375182100045</v>
      </c>
      <c r="AC513">
        <f t="shared" si="452"/>
        <v>4.6883585898850458E-2</v>
      </c>
      <c r="AD513">
        <f t="shared" si="431"/>
        <v>2.8451433238845872E-3</v>
      </c>
      <c r="AE513" s="9">
        <f t="shared" si="453"/>
        <v>8.02806624743274</v>
      </c>
      <c r="AF513">
        <f t="shared" si="454"/>
        <v>0</v>
      </c>
      <c r="AH513">
        <f t="shared" si="432"/>
        <v>7.8539816339744828</v>
      </c>
      <c r="AI513">
        <f t="shared" si="433"/>
        <v>0.12435588423552153</v>
      </c>
      <c r="AJ513">
        <f t="shared" si="434"/>
        <v>4.6883585898854108E-2</v>
      </c>
      <c r="AK513">
        <f t="shared" si="435"/>
        <v>2.8451433238845872E-3</v>
      </c>
      <c r="AL513" s="9">
        <f t="shared" si="455"/>
        <v>8.0280662474327436</v>
      </c>
      <c r="AM513" t="e">
        <f t="shared" si="436"/>
        <v>#N/A</v>
      </c>
      <c r="AN513" t="e">
        <f t="shared" si="456"/>
        <v>#N/A</v>
      </c>
      <c r="AO513">
        <f t="shared" si="437"/>
        <v>0</v>
      </c>
      <c r="AP513">
        <f t="shared" si="438"/>
        <v>1.2490009027033011E-16</v>
      </c>
      <c r="AQ513">
        <f t="shared" si="439"/>
        <v>3.6498581934552021E-15</v>
      </c>
      <c r="AR513">
        <f t="shared" si="457"/>
        <v>1.0043761985060385E-15</v>
      </c>
      <c r="AS513">
        <f t="shared" si="440"/>
        <v>0</v>
      </c>
      <c r="AT513">
        <f t="shared" si="458"/>
        <v>0</v>
      </c>
      <c r="AU513">
        <f t="shared" si="459"/>
        <v>0</v>
      </c>
      <c r="AV513">
        <f t="shared" si="441"/>
        <v>1.6461945504810513E-20</v>
      </c>
      <c r="AW513" t="b">
        <f t="shared" si="460"/>
        <v>1</v>
      </c>
      <c r="AX513">
        <f t="shared" si="442"/>
        <v>7.8539816339744828</v>
      </c>
      <c r="AY513">
        <f t="shared" si="443"/>
        <v>0.12435588423552128</v>
      </c>
      <c r="AZ513">
        <f t="shared" si="444"/>
        <v>4.6883585898850458E-2</v>
      </c>
      <c r="BA513">
        <f t="shared" si="445"/>
        <v>2.8451433238845872E-3</v>
      </c>
      <c r="BB513">
        <f t="shared" si="446"/>
        <v>-1.2337005501361696E-20</v>
      </c>
      <c r="BD513" s="15">
        <f t="shared" si="461"/>
        <v>8.02806624743274</v>
      </c>
      <c r="BE513" s="10">
        <f t="shared" si="462"/>
        <v>0</v>
      </c>
      <c r="BF513">
        <f t="shared" si="463"/>
        <v>0</v>
      </c>
      <c r="BG513">
        <f t="shared" si="464"/>
        <v>0</v>
      </c>
      <c r="BH513">
        <f t="shared" si="465"/>
        <v>-1.2490009027033011E-16</v>
      </c>
      <c r="BI513">
        <f t="shared" si="466"/>
        <v>0</v>
      </c>
    </row>
    <row r="514" spans="1:61" x14ac:dyDescent="0.3">
      <c r="A514">
        <f t="shared" si="471"/>
        <v>0.47699999999999998</v>
      </c>
      <c r="B514">
        <f t="shared" si="414"/>
        <v>1.4985396957623311</v>
      </c>
      <c r="C514">
        <f t="shared" si="415"/>
        <v>1.643052957827462</v>
      </c>
      <c r="D514">
        <f t="shared" si="416"/>
        <v>1.643052957827462</v>
      </c>
      <c r="E514">
        <f t="shared" si="421"/>
        <v>0.99739062523232358</v>
      </c>
      <c r="F514">
        <f t="shared" si="422"/>
        <v>0.99739062523232369</v>
      </c>
      <c r="G514">
        <f t="shared" si="417"/>
        <v>1.4985396957623311</v>
      </c>
      <c r="H514">
        <f t="shared" si="418"/>
        <v>0.99739062523232358</v>
      </c>
      <c r="I514">
        <f t="shared" si="419"/>
        <v>0.99739062523232369</v>
      </c>
      <c r="J514">
        <f t="shared" si="467"/>
        <v>6.3828529791854895E+19</v>
      </c>
      <c r="K514">
        <f t="shared" si="468"/>
        <v>6.3828529791854895E+19</v>
      </c>
      <c r="L514" t="e">
        <f t="shared" si="423"/>
        <v>#NUM!</v>
      </c>
      <c r="M514">
        <f t="shared" si="420"/>
        <v>1.643052957827462E-20</v>
      </c>
      <c r="N514" s="9" t="e">
        <f t="shared" si="469"/>
        <v>#NUM!</v>
      </c>
      <c r="O514" t="e">
        <f t="shared" si="470"/>
        <v>#NUM!</v>
      </c>
      <c r="Q514">
        <f t="shared" si="424"/>
        <v>45.602731939711354</v>
      </c>
      <c r="R514">
        <f t="shared" si="425"/>
        <v>-710542.73576010019</v>
      </c>
      <c r="S514">
        <f t="shared" si="447"/>
        <v>-45.555145788948728</v>
      </c>
      <c r="T514" s="9" t="e">
        <f t="shared" si="426"/>
        <v>#N/A</v>
      </c>
      <c r="U514">
        <f t="shared" si="448"/>
        <v>-1.0000000000000001E+300</v>
      </c>
      <c r="V514">
        <f t="shared" si="449"/>
        <v>0</v>
      </c>
      <c r="W514">
        <f t="shared" si="450"/>
        <v>0</v>
      </c>
      <c r="X514">
        <f t="shared" si="427"/>
        <v>1.643052957827462</v>
      </c>
      <c r="Y514">
        <f t="shared" si="428"/>
        <v>7.8539816339744828</v>
      </c>
      <c r="Z514">
        <f t="shared" si="429"/>
        <v>-1.643052957827462</v>
      </c>
      <c r="AA514">
        <f t="shared" si="451"/>
        <v>0.11892851950681363</v>
      </c>
      <c r="AB514">
        <f t="shared" si="430"/>
        <v>7.9729101534812967</v>
      </c>
      <c r="AC514">
        <f t="shared" si="452"/>
        <v>4.4973365642731196E-2</v>
      </c>
      <c r="AD514">
        <f t="shared" si="431"/>
        <v>2.6127851198986998E-3</v>
      </c>
      <c r="AE514" s="9">
        <f t="shared" si="453"/>
        <v>8.0204963042439275</v>
      </c>
      <c r="AF514">
        <f t="shared" si="454"/>
        <v>0</v>
      </c>
      <c r="AH514">
        <f t="shared" si="432"/>
        <v>7.8539816339744828</v>
      </c>
      <c r="AI514">
        <f t="shared" si="433"/>
        <v>0.11892851950681373</v>
      </c>
      <c r="AJ514">
        <f t="shared" si="434"/>
        <v>4.4973365642732688E-2</v>
      </c>
      <c r="AK514">
        <f t="shared" si="435"/>
        <v>2.6127851198986998E-3</v>
      </c>
      <c r="AL514" s="9">
        <f t="shared" si="455"/>
        <v>8.0204963042439292</v>
      </c>
      <c r="AM514" t="e">
        <f t="shared" si="436"/>
        <v>#N/A</v>
      </c>
      <c r="AN514" t="e">
        <f t="shared" si="456"/>
        <v>#N/A</v>
      </c>
      <c r="AO514">
        <f t="shared" si="437"/>
        <v>0</v>
      </c>
      <c r="AP514">
        <f t="shared" si="438"/>
        <v>0</v>
      </c>
      <c r="AQ514">
        <f t="shared" si="439"/>
        <v>1.4918621893400541E-15</v>
      </c>
      <c r="AR514">
        <f t="shared" si="457"/>
        <v>0</v>
      </c>
      <c r="AS514">
        <f t="shared" si="440"/>
        <v>0</v>
      </c>
      <c r="AT514">
        <f t="shared" si="458"/>
        <v>0</v>
      </c>
      <c r="AU514">
        <f t="shared" si="459"/>
        <v>0</v>
      </c>
      <c r="AV514">
        <f t="shared" si="441"/>
        <v>1.643052957827462E-20</v>
      </c>
      <c r="AW514" t="b">
        <f t="shared" si="460"/>
        <v>1</v>
      </c>
      <c r="AX514">
        <f t="shared" si="442"/>
        <v>7.8539816339744828</v>
      </c>
      <c r="AY514">
        <f t="shared" si="443"/>
        <v>0.11892851950681353</v>
      </c>
      <c r="AZ514">
        <f t="shared" si="444"/>
        <v>4.4973365642731411E-2</v>
      </c>
      <c r="BA514">
        <f t="shared" si="445"/>
        <v>2.6127851198985883E-3</v>
      </c>
      <c r="BB514">
        <f t="shared" si="446"/>
        <v>-1.2337005501361696E-20</v>
      </c>
      <c r="BD514" s="15">
        <f t="shared" si="461"/>
        <v>8.0204963042439275</v>
      </c>
      <c r="BE514" s="10">
        <f t="shared" si="462"/>
        <v>0</v>
      </c>
      <c r="BF514">
        <f t="shared" si="463"/>
        <v>0</v>
      </c>
      <c r="BG514">
        <f t="shared" si="464"/>
        <v>0</v>
      </c>
      <c r="BH514">
        <f t="shared" si="465"/>
        <v>0</v>
      </c>
      <c r="BI514">
        <f t="shared" si="466"/>
        <v>2.1510571102112408E-16</v>
      </c>
    </row>
    <row r="515" spans="1:61" x14ac:dyDescent="0.3">
      <c r="A515">
        <f t="shared" si="471"/>
        <v>0.47799999999999998</v>
      </c>
      <c r="B515">
        <f t="shared" si="414"/>
        <v>1.501681288415921</v>
      </c>
      <c r="C515">
        <f t="shared" si="415"/>
        <v>1.6399113651738721</v>
      </c>
      <c r="D515">
        <f t="shared" si="416"/>
        <v>1.6399113651738721</v>
      </c>
      <c r="E515">
        <f t="shared" si="421"/>
        <v>0.99761250636122523</v>
      </c>
      <c r="F515">
        <f t="shared" si="422"/>
        <v>0.99761250636122523</v>
      </c>
      <c r="G515">
        <f t="shared" si="417"/>
        <v>1.501681288415921</v>
      </c>
      <c r="H515">
        <f t="shared" si="418"/>
        <v>0.99761250636122523</v>
      </c>
      <c r="I515">
        <f t="shared" si="419"/>
        <v>0.99761250636122523</v>
      </c>
      <c r="J515">
        <f t="shared" si="467"/>
        <v>6.381433355217662E+19</v>
      </c>
      <c r="K515">
        <f t="shared" si="468"/>
        <v>6.381433355217662E+19</v>
      </c>
      <c r="L515" t="e">
        <f t="shared" si="423"/>
        <v>#NUM!</v>
      </c>
      <c r="M515">
        <f t="shared" si="420"/>
        <v>1.639911365173872E-20</v>
      </c>
      <c r="N515" s="9" t="e">
        <f t="shared" si="469"/>
        <v>#NUM!</v>
      </c>
      <c r="O515" t="e">
        <f t="shared" si="470"/>
        <v>#NUM!</v>
      </c>
      <c r="Q515">
        <f t="shared" si="424"/>
        <v>45.602509502837648</v>
      </c>
      <c r="R515">
        <f t="shared" si="425"/>
        <v>0</v>
      </c>
      <c r="S515">
        <f t="shared" si="447"/>
        <v>-45.557059665131014</v>
      </c>
      <c r="T515" s="9" t="e">
        <f t="shared" si="426"/>
        <v>#N/A</v>
      </c>
      <c r="U515">
        <f t="shared" si="448"/>
        <v>-1.0000000000000001E+300</v>
      </c>
      <c r="V515">
        <f t="shared" si="449"/>
        <v>0</v>
      </c>
      <c r="W515">
        <f t="shared" si="450"/>
        <v>0</v>
      </c>
      <c r="X515">
        <f t="shared" si="427"/>
        <v>1.6399113651738721</v>
      </c>
      <c r="Y515">
        <f t="shared" si="428"/>
        <v>7.8539816339744828</v>
      </c>
      <c r="Z515">
        <f t="shared" si="429"/>
        <v>-1.6399113651738721</v>
      </c>
      <c r="AA515">
        <f t="shared" si="451"/>
        <v>0.11352335734175997</v>
      </c>
      <c r="AB515">
        <f t="shared" si="430"/>
        <v>7.9675049913162423</v>
      </c>
      <c r="AC515">
        <f t="shared" si="452"/>
        <v>4.3059489460447013E-2</v>
      </c>
      <c r="AD515">
        <f t="shared" si="431"/>
        <v>2.3903482461888619E-3</v>
      </c>
      <c r="AE515" s="9">
        <f t="shared" si="453"/>
        <v>8.0129548290228794</v>
      </c>
      <c r="AF515">
        <f t="shared" si="454"/>
        <v>0</v>
      </c>
      <c r="AH515">
        <f t="shared" si="432"/>
        <v>7.8539816339744828</v>
      </c>
      <c r="AI515">
        <f t="shared" si="433"/>
        <v>0.11352335734176004</v>
      </c>
      <c r="AJ515">
        <f t="shared" si="434"/>
        <v>4.3059489460446798E-2</v>
      </c>
      <c r="AK515">
        <f t="shared" si="435"/>
        <v>2.3903482461888619E-3</v>
      </c>
      <c r="AL515" s="9">
        <f t="shared" si="455"/>
        <v>8.0129548290228794</v>
      </c>
      <c r="AM515" t="e">
        <f t="shared" si="436"/>
        <v>#N/A</v>
      </c>
      <c r="AN515" t="e">
        <f t="shared" si="456"/>
        <v>#N/A</v>
      </c>
      <c r="AO515">
        <f t="shared" si="437"/>
        <v>0</v>
      </c>
      <c r="AP515">
        <f t="shared" si="438"/>
        <v>0</v>
      </c>
      <c r="AQ515">
        <f t="shared" si="439"/>
        <v>-2.1510571102112408E-16</v>
      </c>
      <c r="AR515">
        <f t="shared" si="457"/>
        <v>0</v>
      </c>
      <c r="AS515">
        <f t="shared" si="440"/>
        <v>0</v>
      </c>
      <c r="AT515">
        <f t="shared" si="458"/>
        <v>0</v>
      </c>
      <c r="AU515">
        <f t="shared" si="459"/>
        <v>0</v>
      </c>
      <c r="AV515">
        <f t="shared" si="441"/>
        <v>1.639911365173872E-20</v>
      </c>
      <c r="AW515" t="b">
        <f t="shared" si="460"/>
        <v>1</v>
      </c>
      <c r="AX515">
        <f t="shared" si="442"/>
        <v>7.8539816339744828</v>
      </c>
      <c r="AY515">
        <f t="shared" si="443"/>
        <v>0.11352335734175988</v>
      </c>
      <c r="AZ515">
        <f t="shared" si="444"/>
        <v>4.3059489460447013E-2</v>
      </c>
      <c r="BA515">
        <f t="shared" si="445"/>
        <v>2.3903482461888619E-3</v>
      </c>
      <c r="BB515">
        <f t="shared" si="446"/>
        <v>-1.2337005501361696E-20</v>
      </c>
      <c r="BD515" s="15">
        <f t="shared" si="461"/>
        <v>8.0129548290228794</v>
      </c>
      <c r="BE515" s="10">
        <f t="shared" si="462"/>
        <v>0</v>
      </c>
      <c r="BF515">
        <f t="shared" si="463"/>
        <v>0</v>
      </c>
      <c r="BG515">
        <f t="shared" si="464"/>
        <v>0</v>
      </c>
      <c r="BH515">
        <f t="shared" si="465"/>
        <v>0</v>
      </c>
      <c r="BI515">
        <f t="shared" si="466"/>
        <v>0</v>
      </c>
    </row>
    <row r="516" spans="1:61" x14ac:dyDescent="0.3">
      <c r="A516">
        <f t="shared" si="471"/>
        <v>0.47899999999999998</v>
      </c>
      <c r="B516">
        <f t="shared" si="414"/>
        <v>1.5048228810695108</v>
      </c>
      <c r="C516">
        <f t="shared" si="415"/>
        <v>1.6367697725202823</v>
      </c>
      <c r="D516">
        <f t="shared" si="416"/>
        <v>1.6367697725202823</v>
      </c>
      <c r="E516">
        <f t="shared" si="421"/>
        <v>0.99782454145744148</v>
      </c>
      <c r="F516">
        <f t="shared" si="422"/>
        <v>0.99782454145744148</v>
      </c>
      <c r="G516">
        <f t="shared" si="417"/>
        <v>1.5048228810695108</v>
      </c>
      <c r="H516">
        <f t="shared" si="418"/>
        <v>0.99782454145744148</v>
      </c>
      <c r="I516">
        <f t="shared" si="419"/>
        <v>0.99782454145744148</v>
      </c>
      <c r="J516">
        <f t="shared" si="467"/>
        <v>6.3800773173780881E+19</v>
      </c>
      <c r="K516">
        <f t="shared" si="468"/>
        <v>6.3800773173780881E+19</v>
      </c>
      <c r="L516">
        <f t="shared" si="423"/>
        <v>1</v>
      </c>
      <c r="M516">
        <f t="shared" si="420"/>
        <v>1.6367697725202824E-20</v>
      </c>
      <c r="N516" s="9">
        <f t="shared" si="469"/>
        <v>1.6367697725202824E-20</v>
      </c>
      <c r="O516">
        <f t="shared" si="470"/>
        <v>1.6367697725202824E-20</v>
      </c>
      <c r="Q516">
        <f t="shared" si="424"/>
        <v>45.602296982881434</v>
      </c>
      <c r="R516">
        <f t="shared" si="425"/>
        <v>0</v>
      </c>
      <c r="S516">
        <f t="shared" si="447"/>
        <v>-45.558977211260284</v>
      </c>
      <c r="T516" s="9" t="e">
        <f t="shared" si="426"/>
        <v>#N/A</v>
      </c>
      <c r="U516">
        <f t="shared" si="448"/>
        <v>-1.0000000000000001E+300</v>
      </c>
      <c r="V516">
        <f t="shared" si="449"/>
        <v>0</v>
      </c>
      <c r="W516">
        <f t="shared" si="450"/>
        <v>0</v>
      </c>
      <c r="X516">
        <f t="shared" si="427"/>
        <v>1.6367697725202823</v>
      </c>
      <c r="Y516">
        <f t="shared" si="428"/>
        <v>7.8539816339744828</v>
      </c>
      <c r="Z516">
        <f t="shared" si="429"/>
        <v>-1.6367697725202823</v>
      </c>
      <c r="AA516">
        <f t="shared" si="451"/>
        <v>0.10814028065949589</v>
      </c>
      <c r="AB516">
        <f t="shared" si="430"/>
        <v>7.962121914633979</v>
      </c>
      <c r="AC516">
        <f t="shared" si="452"/>
        <v>4.1141943331175213E-2</v>
      </c>
      <c r="AD516">
        <f t="shared" si="431"/>
        <v>2.1778282899756734E-3</v>
      </c>
      <c r="AE516" s="9">
        <f t="shared" si="453"/>
        <v>8.0054416862551285</v>
      </c>
      <c r="AF516">
        <f t="shared" si="454"/>
        <v>0</v>
      </c>
      <c r="AH516">
        <f t="shared" si="432"/>
        <v>7.8539816339744828</v>
      </c>
      <c r="AI516">
        <f t="shared" si="433"/>
        <v>0.10814028065949599</v>
      </c>
      <c r="AJ516">
        <f t="shared" si="434"/>
        <v>4.1141943331176378E-2</v>
      </c>
      <c r="AK516">
        <f t="shared" si="435"/>
        <v>2.1778282899756734E-3</v>
      </c>
      <c r="AL516" s="9">
        <f t="shared" si="455"/>
        <v>8.0054416862551303</v>
      </c>
      <c r="AM516" t="e">
        <f t="shared" si="436"/>
        <v>#N/A</v>
      </c>
      <c r="AN516" t="e">
        <f t="shared" si="456"/>
        <v>#N/A</v>
      </c>
      <c r="AO516">
        <f t="shared" si="437"/>
        <v>0</v>
      </c>
      <c r="AP516">
        <f t="shared" si="438"/>
        <v>0</v>
      </c>
      <c r="AQ516">
        <f t="shared" si="439"/>
        <v>1.1657341758564144E-15</v>
      </c>
      <c r="AR516">
        <f t="shared" si="457"/>
        <v>0</v>
      </c>
      <c r="AS516">
        <f t="shared" si="440"/>
        <v>0</v>
      </c>
      <c r="AT516">
        <f t="shared" si="458"/>
        <v>0</v>
      </c>
      <c r="AU516">
        <f t="shared" si="459"/>
        <v>0</v>
      </c>
      <c r="AV516">
        <f t="shared" si="441"/>
        <v>1.6367697725202824E-20</v>
      </c>
      <c r="AW516" t="b">
        <f t="shared" si="460"/>
        <v>1</v>
      </c>
      <c r="AX516">
        <f t="shared" si="442"/>
        <v>7.8539816339744828</v>
      </c>
      <c r="AY516">
        <f t="shared" si="443"/>
        <v>0.1081402806594958</v>
      </c>
      <c r="AZ516">
        <f t="shared" si="444"/>
        <v>4.1141943331175428E-2</v>
      </c>
      <c r="BA516">
        <f t="shared" si="445"/>
        <v>2.1778282899756734E-3</v>
      </c>
      <c r="BB516">
        <f t="shared" si="446"/>
        <v>-1.2337005501361696E-20</v>
      </c>
      <c r="BD516" s="15">
        <f t="shared" si="461"/>
        <v>8.0054416862551285</v>
      </c>
      <c r="BE516" s="10">
        <f t="shared" si="462"/>
        <v>0</v>
      </c>
      <c r="BF516">
        <f t="shared" si="463"/>
        <v>0</v>
      </c>
      <c r="BG516">
        <f t="shared" si="464"/>
        <v>0</v>
      </c>
      <c r="BH516">
        <f t="shared" si="465"/>
        <v>0</v>
      </c>
      <c r="BI516">
        <f t="shared" si="466"/>
        <v>2.1510571102112408E-16</v>
      </c>
    </row>
    <row r="517" spans="1:61" x14ac:dyDescent="0.3">
      <c r="A517">
        <f t="shared" si="471"/>
        <v>0.48</v>
      </c>
      <c r="B517">
        <f t="shared" si="414"/>
        <v>1.5079644737231006</v>
      </c>
      <c r="C517">
        <f t="shared" si="415"/>
        <v>1.6336281798666925</v>
      </c>
      <c r="D517">
        <f t="shared" si="416"/>
        <v>1.6336281798666925</v>
      </c>
      <c r="E517">
        <f t="shared" si="421"/>
        <v>0.99802672842827156</v>
      </c>
      <c r="F517">
        <f t="shared" si="422"/>
        <v>0.99802672842827156</v>
      </c>
      <c r="G517">
        <f t="shared" si="417"/>
        <v>1.5079644737231006</v>
      </c>
      <c r="H517">
        <f t="shared" si="418"/>
        <v>0.99802672842827156</v>
      </c>
      <c r="I517">
        <f t="shared" si="419"/>
        <v>0.99802672842827156</v>
      </c>
      <c r="J517">
        <f t="shared" si="467"/>
        <v>6.3787847983806325E+19</v>
      </c>
      <c r="K517">
        <f t="shared" si="468"/>
        <v>6.3787847983806325E+19</v>
      </c>
      <c r="L517">
        <f t="shared" si="423"/>
        <v>1</v>
      </c>
      <c r="M517">
        <f t="shared" si="420"/>
        <v>1.6336281798666924E-20</v>
      </c>
      <c r="N517" s="9">
        <f t="shared" si="469"/>
        <v>1.6336281798666924E-20</v>
      </c>
      <c r="O517">
        <f t="shared" si="470"/>
        <v>1.6336281798666924E-20</v>
      </c>
      <c r="Q517">
        <f t="shared" si="424"/>
        <v>45.602094375628511</v>
      </c>
      <c r="R517">
        <f t="shared" si="425"/>
        <v>0</v>
      </c>
      <c r="S517">
        <f t="shared" si="447"/>
        <v>-45.560898441438177</v>
      </c>
      <c r="T517" s="9" t="e">
        <f t="shared" si="426"/>
        <v>#N/A</v>
      </c>
      <c r="U517">
        <f t="shared" si="448"/>
        <v>-1.0000000000000001E+300</v>
      </c>
      <c r="V517">
        <f t="shared" si="449"/>
        <v>0</v>
      </c>
      <c r="W517">
        <f t="shared" si="450"/>
        <v>0</v>
      </c>
      <c r="X517">
        <f t="shared" si="427"/>
        <v>1.6336281798666925</v>
      </c>
      <c r="Y517">
        <f t="shared" si="428"/>
        <v>7.8539816339744828</v>
      </c>
      <c r="Z517">
        <f t="shared" si="429"/>
        <v>-1.6336281798666925</v>
      </c>
      <c r="AA517">
        <f t="shared" si="451"/>
        <v>0.1027791733524986</v>
      </c>
      <c r="AB517">
        <f t="shared" si="430"/>
        <v>7.9567608073269813</v>
      </c>
      <c r="AC517">
        <f t="shared" si="452"/>
        <v>3.9220713153281329E-2</v>
      </c>
      <c r="AD517">
        <f t="shared" si="431"/>
        <v>1.9752210370481576E-3</v>
      </c>
      <c r="AE517" s="9">
        <f t="shared" si="453"/>
        <v>7.997956741517311</v>
      </c>
      <c r="AF517">
        <f t="shared" si="454"/>
        <v>0</v>
      </c>
      <c r="AH517">
        <f t="shared" si="432"/>
        <v>7.8539816339744828</v>
      </c>
      <c r="AI517">
        <f t="shared" si="433"/>
        <v>0.10277917335249871</v>
      </c>
      <c r="AJ517">
        <f t="shared" si="434"/>
        <v>3.9220713153284237E-2</v>
      </c>
      <c r="AK517">
        <f t="shared" si="435"/>
        <v>1.9752210370481576E-3</v>
      </c>
      <c r="AL517" s="9">
        <f t="shared" si="455"/>
        <v>7.9979567415173136</v>
      </c>
      <c r="AM517" t="e">
        <f t="shared" si="436"/>
        <v>#N/A</v>
      </c>
      <c r="AN517" t="e">
        <f t="shared" si="456"/>
        <v>#N/A</v>
      </c>
      <c r="AO517">
        <f t="shared" si="437"/>
        <v>0</v>
      </c>
      <c r="AP517">
        <f t="shared" si="438"/>
        <v>1.1102230246251565E-16</v>
      </c>
      <c r="AQ517">
        <f t="shared" si="439"/>
        <v>2.9073965457371287E-15</v>
      </c>
      <c r="AR517">
        <f t="shared" si="457"/>
        <v>1.0802023293352023E-15</v>
      </c>
      <c r="AS517">
        <f t="shared" si="440"/>
        <v>0</v>
      </c>
      <c r="AT517">
        <f t="shared" si="458"/>
        <v>0</v>
      </c>
      <c r="AU517">
        <f t="shared" si="459"/>
        <v>0</v>
      </c>
      <c r="AV517">
        <f t="shared" si="441"/>
        <v>1.6336281798666924E-20</v>
      </c>
      <c r="AW517" t="b">
        <f t="shared" si="460"/>
        <v>1</v>
      </c>
      <c r="AX517">
        <f t="shared" si="442"/>
        <v>7.8539816339744828</v>
      </c>
      <c r="AY517">
        <f t="shared" si="443"/>
        <v>0.10277917335249848</v>
      </c>
      <c r="AZ517">
        <f t="shared" si="444"/>
        <v>3.9220713153281329E-2</v>
      </c>
      <c r="BA517">
        <f t="shared" si="445"/>
        <v>1.9752210370481576E-3</v>
      </c>
      <c r="BB517">
        <f t="shared" si="446"/>
        <v>-1.2337005501361696E-20</v>
      </c>
      <c r="BD517" s="15">
        <f t="shared" si="461"/>
        <v>7.997956741517311</v>
      </c>
      <c r="BE517" s="10">
        <f t="shared" si="462"/>
        <v>0</v>
      </c>
      <c r="BF517">
        <f t="shared" si="463"/>
        <v>0</v>
      </c>
      <c r="BG517">
        <f t="shared" si="464"/>
        <v>0</v>
      </c>
      <c r="BH517">
        <f t="shared" si="465"/>
        <v>-1.2490009027033011E-16</v>
      </c>
      <c r="BI517">
        <f t="shared" si="466"/>
        <v>0</v>
      </c>
    </row>
    <row r="518" spans="1:61" x14ac:dyDescent="0.3">
      <c r="A518">
        <f t="shared" si="471"/>
        <v>0.48099999999999998</v>
      </c>
      <c r="B518">
        <f t="shared" si="414"/>
        <v>1.5111060663766904</v>
      </c>
      <c r="C518">
        <f t="shared" si="415"/>
        <v>1.6304865872131027</v>
      </c>
      <c r="D518">
        <f t="shared" si="416"/>
        <v>1.6304865872131027</v>
      </c>
      <c r="E518">
        <f t="shared" si="421"/>
        <v>0.9982190652782118</v>
      </c>
      <c r="F518">
        <f t="shared" si="422"/>
        <v>0.9982190652782118</v>
      </c>
      <c r="G518">
        <f t="shared" si="417"/>
        <v>1.5111060663766904</v>
      </c>
      <c r="H518">
        <f t="shared" si="418"/>
        <v>0.9982190652782118</v>
      </c>
      <c r="I518">
        <f t="shared" si="419"/>
        <v>0.9982190652782118</v>
      </c>
      <c r="J518">
        <f t="shared" si="467"/>
        <v>6.3775557341228532E+19</v>
      </c>
      <c r="K518">
        <f t="shared" si="468"/>
        <v>6.3775557341228532E+19</v>
      </c>
      <c r="L518">
        <f t="shared" si="423"/>
        <v>1</v>
      </c>
      <c r="M518">
        <f t="shared" si="420"/>
        <v>1.6304865872131027E-20</v>
      </c>
      <c r="N518" s="9">
        <f t="shared" si="469"/>
        <v>1.6304865872131027E-20</v>
      </c>
      <c r="O518">
        <f t="shared" si="470"/>
        <v>1.6304865872131027E-20</v>
      </c>
      <c r="Q518">
        <f t="shared" si="424"/>
        <v>45.601901677062891</v>
      </c>
      <c r="R518">
        <f t="shared" si="425"/>
        <v>0</v>
      </c>
      <c r="S518">
        <f t="shared" si="447"/>
        <v>-45.562823369847763</v>
      </c>
      <c r="T518" s="9" t="e">
        <f t="shared" si="426"/>
        <v>#N/A</v>
      </c>
      <c r="U518">
        <f t="shared" si="448"/>
        <v>-1.0000000000000001E+300</v>
      </c>
      <c r="V518">
        <f t="shared" si="449"/>
        <v>0</v>
      </c>
      <c r="W518">
        <f t="shared" si="450"/>
        <v>0</v>
      </c>
      <c r="X518">
        <f t="shared" si="427"/>
        <v>1.6304865872131027</v>
      </c>
      <c r="Y518">
        <f t="shared" si="428"/>
        <v>7.8539816339744828</v>
      </c>
      <c r="Z518">
        <f t="shared" si="429"/>
        <v>-1.6304865872131027</v>
      </c>
      <c r="AA518">
        <f t="shared" si="451"/>
        <v>9.743992027657554E-2</v>
      </c>
      <c r="AB518">
        <f t="shared" si="430"/>
        <v>7.9514215542510582</v>
      </c>
      <c r="AC518">
        <f t="shared" si="452"/>
        <v>3.7295784743696929E-2</v>
      </c>
      <c r="AD518">
        <f t="shared" si="431"/>
        <v>1.7825224714288473E-3</v>
      </c>
      <c r="AE518" s="9">
        <f t="shared" si="453"/>
        <v>7.9904998614661844</v>
      </c>
      <c r="AF518">
        <f t="shared" si="454"/>
        <v>0</v>
      </c>
      <c r="AH518">
        <f t="shared" si="432"/>
        <v>7.8539816339744828</v>
      </c>
      <c r="AI518">
        <f t="shared" si="433"/>
        <v>9.7439920276575664E-2</v>
      </c>
      <c r="AJ518">
        <f t="shared" si="434"/>
        <v>3.729578474369788E-2</v>
      </c>
      <c r="AK518">
        <f t="shared" si="435"/>
        <v>1.7825224714288473E-3</v>
      </c>
      <c r="AL518" s="9">
        <f t="shared" si="455"/>
        <v>7.9904998614661853</v>
      </c>
      <c r="AM518" t="e">
        <f t="shared" si="436"/>
        <v>#N/A</v>
      </c>
      <c r="AN518" t="e">
        <f t="shared" si="456"/>
        <v>#N/A</v>
      </c>
      <c r="AO518">
        <f t="shared" si="437"/>
        <v>0</v>
      </c>
      <c r="AP518">
        <f t="shared" si="438"/>
        <v>1.2490009027033011E-16</v>
      </c>
      <c r="AQ518">
        <f t="shared" si="439"/>
        <v>9.5062846483529029E-16</v>
      </c>
      <c r="AR518">
        <f t="shared" si="457"/>
        <v>1.2818164250936463E-15</v>
      </c>
      <c r="AS518">
        <f t="shared" si="440"/>
        <v>0</v>
      </c>
      <c r="AT518">
        <f t="shared" si="458"/>
        <v>0</v>
      </c>
      <c r="AU518">
        <f t="shared" si="459"/>
        <v>0</v>
      </c>
      <c r="AV518">
        <f t="shared" si="441"/>
        <v>1.6304865872131027E-20</v>
      </c>
      <c r="AW518" t="b">
        <f t="shared" si="460"/>
        <v>1</v>
      </c>
      <c r="AX518">
        <f t="shared" si="442"/>
        <v>7.8539816339744828</v>
      </c>
      <c r="AY518">
        <f t="shared" si="443"/>
        <v>9.7439920276575456E-2</v>
      </c>
      <c r="AZ518">
        <f t="shared" si="444"/>
        <v>3.7295784743697144E-2</v>
      </c>
      <c r="BA518">
        <f t="shared" si="445"/>
        <v>1.7825224714288473E-3</v>
      </c>
      <c r="BB518">
        <f t="shared" si="446"/>
        <v>-1.2337005501361696E-20</v>
      </c>
      <c r="BD518" s="15">
        <f t="shared" si="461"/>
        <v>7.9904998614661844</v>
      </c>
      <c r="BE518" s="10">
        <f t="shared" si="462"/>
        <v>0</v>
      </c>
      <c r="BF518">
        <f t="shared" si="463"/>
        <v>0</v>
      </c>
      <c r="BG518">
        <f t="shared" si="464"/>
        <v>0</v>
      </c>
      <c r="BH518">
        <f t="shared" si="465"/>
        <v>0</v>
      </c>
      <c r="BI518">
        <f t="shared" si="466"/>
        <v>2.1510571102112408E-16</v>
      </c>
    </row>
    <row r="519" spans="1:61" x14ac:dyDescent="0.3">
      <c r="A519">
        <f t="shared" si="471"/>
        <v>0.48199999999999998</v>
      </c>
      <c r="B519">
        <f t="shared" si="414"/>
        <v>1.5142476590302802</v>
      </c>
      <c r="C519">
        <f t="shared" si="415"/>
        <v>1.6273449945595129</v>
      </c>
      <c r="D519">
        <f t="shared" si="416"/>
        <v>1.6273449945595129</v>
      </c>
      <c r="E519">
        <f t="shared" si="421"/>
        <v>0.99840155010897502</v>
      </c>
      <c r="F519">
        <f t="shared" si="422"/>
        <v>0.99840155010897502</v>
      </c>
      <c r="G519">
        <f t="shared" si="417"/>
        <v>1.5142476590302802</v>
      </c>
      <c r="H519">
        <f t="shared" si="418"/>
        <v>0.99840155010897502</v>
      </c>
      <c r="I519">
        <f t="shared" si="419"/>
        <v>0.99840155010897502</v>
      </c>
      <c r="J519">
        <f t="shared" si="467"/>
        <v>6.3763900636782338E+19</v>
      </c>
      <c r="K519">
        <f t="shared" si="468"/>
        <v>6.3763900636782338E+19</v>
      </c>
      <c r="L519" t="e">
        <f t="shared" si="423"/>
        <v>#NUM!</v>
      </c>
      <c r="M519">
        <f t="shared" si="420"/>
        <v>1.6273449945595128E-20</v>
      </c>
      <c r="N519" s="9" t="e">
        <f t="shared" si="469"/>
        <v>#NUM!</v>
      </c>
      <c r="O519" t="e">
        <f t="shared" si="470"/>
        <v>#NUM!</v>
      </c>
      <c r="Q519">
        <f t="shared" si="424"/>
        <v>45.601718883366516</v>
      </c>
      <c r="R519">
        <f t="shared" si="425"/>
        <v>0</v>
      </c>
      <c r="S519">
        <f t="shared" si="447"/>
        <v>-45.564752010754169</v>
      </c>
      <c r="T519" s="9" t="e">
        <f t="shared" si="426"/>
        <v>#N/A</v>
      </c>
      <c r="U519">
        <f t="shared" si="448"/>
        <v>-1.0000000000000001E+300</v>
      </c>
      <c r="V519">
        <f t="shared" si="449"/>
        <v>0</v>
      </c>
      <c r="W519">
        <f t="shared" si="450"/>
        <v>0</v>
      </c>
      <c r="X519">
        <f t="shared" si="427"/>
        <v>1.6273449945595129</v>
      </c>
      <c r="Y519">
        <f t="shared" si="428"/>
        <v>7.8539816339744828</v>
      </c>
      <c r="Z519">
        <f t="shared" si="429"/>
        <v>-1.6273449945595129</v>
      </c>
      <c r="AA519">
        <f t="shared" si="451"/>
        <v>9.2122407240977186E-2</v>
      </c>
      <c r="AB519">
        <f t="shared" si="430"/>
        <v>7.9461040412154595</v>
      </c>
      <c r="AC519">
        <f t="shared" si="452"/>
        <v>3.5367143837291344E-2</v>
      </c>
      <c r="AD519">
        <f t="shared" si="431"/>
        <v>1.599728775055084E-3</v>
      </c>
      <c r="AE519" s="9">
        <f t="shared" si="453"/>
        <v>7.983070913827806</v>
      </c>
      <c r="AF519">
        <f t="shared" si="454"/>
        <v>0</v>
      </c>
      <c r="AH519">
        <f t="shared" si="432"/>
        <v>7.8539816339744828</v>
      </c>
      <c r="AI519">
        <f t="shared" si="433"/>
        <v>9.2122407240977297E-2</v>
      </c>
      <c r="AJ519">
        <f t="shared" si="434"/>
        <v>3.5367143837291337E-2</v>
      </c>
      <c r="AK519">
        <f t="shared" si="435"/>
        <v>1.599728775055084E-3</v>
      </c>
      <c r="AL519" s="9">
        <f t="shared" si="455"/>
        <v>7.9830709138278069</v>
      </c>
      <c r="AM519" t="e">
        <f t="shared" si="436"/>
        <v>#N/A</v>
      </c>
      <c r="AN519" t="e">
        <f t="shared" si="456"/>
        <v>#N/A</v>
      </c>
      <c r="AO519">
        <f t="shared" si="437"/>
        <v>0</v>
      </c>
      <c r="AP519">
        <f t="shared" si="438"/>
        <v>1.1102230246251565E-16</v>
      </c>
      <c r="AQ519">
        <f t="shared" si="439"/>
        <v>0</v>
      </c>
      <c r="AR519">
        <f t="shared" si="457"/>
        <v>1.20516067466734E-15</v>
      </c>
      <c r="AS519">
        <f t="shared" si="440"/>
        <v>0</v>
      </c>
      <c r="AT519">
        <f t="shared" si="458"/>
        <v>0</v>
      </c>
      <c r="AU519">
        <f t="shared" si="459"/>
        <v>0</v>
      </c>
      <c r="AV519">
        <f t="shared" si="441"/>
        <v>1.6273449945595128E-20</v>
      </c>
      <c r="AW519" t="b">
        <f t="shared" si="460"/>
        <v>1</v>
      </c>
      <c r="AX519">
        <f t="shared" si="442"/>
        <v>7.8539816339744828</v>
      </c>
      <c r="AY519">
        <f t="shared" si="443"/>
        <v>9.2122407240977089E-2</v>
      </c>
      <c r="AZ519">
        <f t="shared" si="444"/>
        <v>3.5367143837291344E-2</v>
      </c>
      <c r="BA519">
        <f t="shared" si="445"/>
        <v>1.599728775055084E-3</v>
      </c>
      <c r="BB519">
        <f t="shared" si="446"/>
        <v>-1.2337005501361696E-20</v>
      </c>
      <c r="BD519" s="15">
        <f t="shared" si="461"/>
        <v>7.983070913827806</v>
      </c>
      <c r="BE519" s="10">
        <f t="shared" si="462"/>
        <v>0</v>
      </c>
      <c r="BF519">
        <f t="shared" si="463"/>
        <v>0</v>
      </c>
      <c r="BG519">
        <f t="shared" si="464"/>
        <v>0</v>
      </c>
      <c r="BH519">
        <f t="shared" si="465"/>
        <v>0</v>
      </c>
      <c r="BI519">
        <f t="shared" si="466"/>
        <v>0</v>
      </c>
    </row>
    <row r="520" spans="1:61" x14ac:dyDescent="0.3">
      <c r="A520">
        <f t="shared" si="471"/>
        <v>0.48299999999999998</v>
      </c>
      <c r="B520">
        <f t="shared" si="414"/>
        <v>1.5173892516838701</v>
      </c>
      <c r="C520">
        <f t="shared" si="415"/>
        <v>1.624203401905923</v>
      </c>
      <c r="D520">
        <f t="shared" si="416"/>
        <v>1.624203401905923</v>
      </c>
      <c r="E520">
        <f t="shared" si="421"/>
        <v>0.99857418111950969</v>
      </c>
      <c r="F520">
        <f t="shared" si="422"/>
        <v>0.9985741811195098</v>
      </c>
      <c r="G520">
        <f t="shared" si="417"/>
        <v>1.5173892516838701</v>
      </c>
      <c r="H520">
        <f t="shared" si="418"/>
        <v>0.99857418111950969</v>
      </c>
      <c r="I520">
        <f t="shared" si="419"/>
        <v>0.9985741811195098</v>
      </c>
      <c r="J520">
        <f t="shared" si="467"/>
        <v>6.3752877292887925E+19</v>
      </c>
      <c r="K520">
        <f t="shared" si="468"/>
        <v>6.3752877292887925E+19</v>
      </c>
      <c r="L520">
        <f t="shared" si="423"/>
        <v>1</v>
      </c>
      <c r="M520">
        <f t="shared" si="420"/>
        <v>1.6242034019059231E-20</v>
      </c>
      <c r="N520" s="9">
        <f t="shared" si="469"/>
        <v>1.6242034019059231E-20</v>
      </c>
      <c r="O520">
        <f t="shared" si="470"/>
        <v>1.6242034019059231E-20</v>
      </c>
      <c r="Q520">
        <f t="shared" si="424"/>
        <v>45.601545990918936</v>
      </c>
      <c r="R520">
        <f t="shared" si="425"/>
        <v>0</v>
      </c>
      <c r="S520">
        <f t="shared" si="447"/>
        <v>-45.566684378505222</v>
      </c>
      <c r="T520" s="9" t="e">
        <f t="shared" si="426"/>
        <v>#N/A</v>
      </c>
      <c r="U520">
        <f t="shared" si="448"/>
        <v>-1.0000000000000001E+300</v>
      </c>
      <c r="V520">
        <f t="shared" si="449"/>
        <v>0</v>
      </c>
      <c r="W520">
        <f t="shared" si="450"/>
        <v>0</v>
      </c>
      <c r="X520">
        <f t="shared" si="427"/>
        <v>1.624203401905923</v>
      </c>
      <c r="Y520">
        <f t="shared" si="428"/>
        <v>7.8539816339744828</v>
      </c>
      <c r="Z520">
        <f t="shared" si="429"/>
        <v>-1.624203401905923</v>
      </c>
      <c r="AA520">
        <f t="shared" si="451"/>
        <v>8.6826520998632473E-2</v>
      </c>
      <c r="AB520">
        <f t="shared" si="430"/>
        <v>7.9408081549731149</v>
      </c>
      <c r="AC520">
        <f t="shared" si="452"/>
        <v>3.3434776086237419E-2</v>
      </c>
      <c r="AD520">
        <f t="shared" si="431"/>
        <v>1.4268363274753772E-3</v>
      </c>
      <c r="AE520" s="9">
        <f t="shared" si="453"/>
        <v>7.9756697673868278</v>
      </c>
      <c r="AF520">
        <f t="shared" si="454"/>
        <v>0</v>
      </c>
      <c r="AH520">
        <f t="shared" si="432"/>
        <v>7.8539816339744828</v>
      </c>
      <c r="AI520">
        <f t="shared" si="433"/>
        <v>8.682652099863257E-2</v>
      </c>
      <c r="AJ520">
        <f t="shared" si="434"/>
        <v>3.3434776086238571E-2</v>
      </c>
      <c r="AK520">
        <f t="shared" si="435"/>
        <v>1.4268363274753772E-3</v>
      </c>
      <c r="AL520" s="9">
        <f t="shared" si="455"/>
        <v>7.9756697673868295</v>
      </c>
      <c r="AM520" t="e">
        <f t="shared" si="436"/>
        <v>#N/A</v>
      </c>
      <c r="AN520" t="e">
        <f t="shared" si="456"/>
        <v>#N/A</v>
      </c>
      <c r="AO520">
        <f t="shared" si="437"/>
        <v>0</v>
      </c>
      <c r="AP520">
        <f t="shared" si="438"/>
        <v>0</v>
      </c>
      <c r="AQ520">
        <f t="shared" si="439"/>
        <v>1.1518563880485999E-15</v>
      </c>
      <c r="AR520">
        <f t="shared" si="457"/>
        <v>0</v>
      </c>
      <c r="AS520">
        <f t="shared" si="440"/>
        <v>0</v>
      </c>
      <c r="AT520">
        <f t="shared" si="458"/>
        <v>0</v>
      </c>
      <c r="AU520">
        <f t="shared" si="459"/>
        <v>0</v>
      </c>
      <c r="AV520">
        <f t="shared" si="441"/>
        <v>1.6242034019059228E-20</v>
      </c>
      <c r="AW520" t="b">
        <f t="shared" si="460"/>
        <v>1</v>
      </c>
      <c r="AX520">
        <f t="shared" si="442"/>
        <v>7.8539816339744828</v>
      </c>
      <c r="AY520">
        <f t="shared" si="443"/>
        <v>8.6826520998632362E-2</v>
      </c>
      <c r="AZ520">
        <f t="shared" si="444"/>
        <v>3.3434776086237419E-2</v>
      </c>
      <c r="BA520">
        <f t="shared" si="445"/>
        <v>1.426836327475266E-3</v>
      </c>
      <c r="BB520">
        <f t="shared" si="446"/>
        <v>-1.2337005501361696E-20</v>
      </c>
      <c r="BD520" s="15">
        <f t="shared" si="461"/>
        <v>7.9756697673868278</v>
      </c>
      <c r="BE520" s="10">
        <f t="shared" si="462"/>
        <v>0</v>
      </c>
      <c r="BF520">
        <f t="shared" si="463"/>
        <v>0</v>
      </c>
      <c r="BG520">
        <f t="shared" si="464"/>
        <v>0</v>
      </c>
      <c r="BH520">
        <f t="shared" si="465"/>
        <v>-1.1102230246251565E-16</v>
      </c>
      <c r="BI520">
        <f t="shared" si="466"/>
        <v>0</v>
      </c>
    </row>
    <row r="521" spans="1:61" x14ac:dyDescent="0.3">
      <c r="A521">
        <f t="shared" si="471"/>
        <v>0.48399999999999999</v>
      </c>
      <c r="B521">
        <f t="shared" si="414"/>
        <v>1.5205308443374599</v>
      </c>
      <c r="C521">
        <f t="shared" si="415"/>
        <v>1.6210618092523332</v>
      </c>
      <c r="D521">
        <f t="shared" si="416"/>
        <v>1.6210618092523332</v>
      </c>
      <c r="E521">
        <f t="shared" si="421"/>
        <v>0.99873695660601747</v>
      </c>
      <c r="F521">
        <f t="shared" si="422"/>
        <v>0.99873695660601747</v>
      </c>
      <c r="G521">
        <f t="shared" si="417"/>
        <v>1.5205308443374599</v>
      </c>
      <c r="H521">
        <f t="shared" si="418"/>
        <v>0.99873695660601747</v>
      </c>
      <c r="I521">
        <f t="shared" si="419"/>
        <v>0.99873695660601747</v>
      </c>
      <c r="J521">
        <f t="shared" si="467"/>
        <v>6.3742486763580899E+19</v>
      </c>
      <c r="K521">
        <f t="shared" si="468"/>
        <v>6.3742486763580899E+19</v>
      </c>
      <c r="L521">
        <f t="shared" si="423"/>
        <v>0</v>
      </c>
      <c r="M521">
        <f t="shared" si="420"/>
        <v>1.6210618092523332E-20</v>
      </c>
      <c r="N521" s="9">
        <f t="shared" si="469"/>
        <v>0</v>
      </c>
      <c r="O521">
        <f t="shared" si="470"/>
        <v>0</v>
      </c>
      <c r="Q521">
        <f t="shared" si="424"/>
        <v>45.601382996297019</v>
      </c>
      <c r="R521">
        <f t="shared" si="425"/>
        <v>-710542.73576010019</v>
      </c>
      <c r="S521">
        <f t="shared" si="447"/>
        <v>-45.568620487532087</v>
      </c>
      <c r="T521" s="9" t="e">
        <f t="shared" si="426"/>
        <v>#N/A</v>
      </c>
      <c r="U521">
        <f t="shared" si="448"/>
        <v>-1.0000000000000001E+300</v>
      </c>
      <c r="V521">
        <f t="shared" si="449"/>
        <v>0</v>
      </c>
      <c r="W521">
        <f t="shared" si="450"/>
        <v>0</v>
      </c>
      <c r="X521">
        <f t="shared" si="427"/>
        <v>1.6210618092523332</v>
      </c>
      <c r="Y521">
        <f t="shared" si="428"/>
        <v>7.8539816339744828</v>
      </c>
      <c r="Z521">
        <f t="shared" si="429"/>
        <v>-1.6210618092523332</v>
      </c>
      <c r="AA521">
        <f t="shared" si="451"/>
        <v>8.1552149236505347E-2</v>
      </c>
      <c r="AB521">
        <f t="shared" si="430"/>
        <v>7.935533783210988</v>
      </c>
      <c r="AC521">
        <f t="shared" si="452"/>
        <v>3.1498667059371016E-2</v>
      </c>
      <c r="AD521">
        <f t="shared" si="431"/>
        <v>1.2638417055623181E-3</v>
      </c>
      <c r="AE521" s="9">
        <f t="shared" si="453"/>
        <v>7.9682962919759213</v>
      </c>
      <c r="AF521">
        <f t="shared" si="454"/>
        <v>0</v>
      </c>
      <c r="AH521">
        <f t="shared" si="432"/>
        <v>7.8539816339744828</v>
      </c>
      <c r="AI521">
        <f t="shared" si="433"/>
        <v>8.1552149236505431E-2</v>
      </c>
      <c r="AJ521">
        <f t="shared" si="434"/>
        <v>3.1498667059373986E-2</v>
      </c>
      <c r="AK521">
        <f t="shared" si="435"/>
        <v>1.2638417055623181E-3</v>
      </c>
      <c r="AL521" s="9">
        <f t="shared" si="455"/>
        <v>7.9682962919759239</v>
      </c>
      <c r="AM521" t="e">
        <f t="shared" si="436"/>
        <v>#N/A</v>
      </c>
      <c r="AN521" t="e">
        <f t="shared" si="456"/>
        <v>#N/A</v>
      </c>
      <c r="AO521">
        <f t="shared" si="437"/>
        <v>0</v>
      </c>
      <c r="AP521">
        <f t="shared" si="438"/>
        <v>0</v>
      </c>
      <c r="AQ521">
        <f t="shared" si="439"/>
        <v>2.9698465908722937E-15</v>
      </c>
      <c r="AR521">
        <f t="shared" si="457"/>
        <v>0</v>
      </c>
      <c r="AS521">
        <f t="shared" si="440"/>
        <v>0</v>
      </c>
      <c r="AT521">
        <f t="shared" si="458"/>
        <v>0</v>
      </c>
      <c r="AU521">
        <f t="shared" si="459"/>
        <v>0</v>
      </c>
      <c r="AV521">
        <f t="shared" si="441"/>
        <v>1.6210618092523332E-20</v>
      </c>
      <c r="AW521" t="b">
        <f t="shared" si="460"/>
        <v>1</v>
      </c>
      <c r="AX521">
        <f t="shared" si="442"/>
        <v>7.8539816339744828</v>
      </c>
      <c r="AY521">
        <f t="shared" si="443"/>
        <v>8.155214923650525E-2</v>
      </c>
      <c r="AZ521">
        <f t="shared" si="444"/>
        <v>3.1498667059371016E-2</v>
      </c>
      <c r="BA521">
        <f t="shared" si="445"/>
        <v>1.2638417055623181E-3</v>
      </c>
      <c r="BB521">
        <f t="shared" si="446"/>
        <v>-1.2337005501361696E-20</v>
      </c>
      <c r="BD521" s="15">
        <f t="shared" si="461"/>
        <v>7.9682962919759213</v>
      </c>
      <c r="BE521" s="10">
        <f t="shared" si="462"/>
        <v>0</v>
      </c>
      <c r="BF521">
        <f t="shared" si="463"/>
        <v>0</v>
      </c>
      <c r="BG521">
        <f t="shared" si="464"/>
        <v>0</v>
      </c>
      <c r="BH521">
        <f t="shared" si="465"/>
        <v>0</v>
      </c>
      <c r="BI521">
        <f t="shared" si="466"/>
        <v>0</v>
      </c>
    </row>
    <row r="522" spans="1:61" x14ac:dyDescent="0.3">
      <c r="A522">
        <f t="shared" si="471"/>
        <v>0.48499999999999999</v>
      </c>
      <c r="B522">
        <f t="shared" si="414"/>
        <v>1.5236724369910497</v>
      </c>
      <c r="C522">
        <f t="shared" si="415"/>
        <v>1.6179202165987434</v>
      </c>
      <c r="D522">
        <f t="shared" si="416"/>
        <v>1.6179202165987434</v>
      </c>
      <c r="E522">
        <f t="shared" si="421"/>
        <v>0.99888987496197001</v>
      </c>
      <c r="F522">
        <f t="shared" si="422"/>
        <v>0.99888987496197001</v>
      </c>
      <c r="G522">
        <f t="shared" si="417"/>
        <v>1.5236724369910497</v>
      </c>
      <c r="H522">
        <f t="shared" si="418"/>
        <v>0.99888987496197001</v>
      </c>
      <c r="I522">
        <f t="shared" si="419"/>
        <v>0.99888987496197001</v>
      </c>
      <c r="J522">
        <f t="shared" si="467"/>
        <v>6.3732728534446203E+19</v>
      </c>
      <c r="K522">
        <f t="shared" si="468"/>
        <v>6.3732728534446203E+19</v>
      </c>
      <c r="L522">
        <f t="shared" si="423"/>
        <v>1</v>
      </c>
      <c r="M522">
        <f t="shared" si="420"/>
        <v>1.6179202165987432E-20</v>
      </c>
      <c r="N522" s="9">
        <f t="shared" si="469"/>
        <v>1.6179202165987432E-20</v>
      </c>
      <c r="O522">
        <f t="shared" si="470"/>
        <v>1.6179202165987432E-20</v>
      </c>
      <c r="Q522">
        <f t="shared" si="424"/>
        <v>45.601229896274702</v>
      </c>
      <c r="R522">
        <f t="shared" si="425"/>
        <v>0</v>
      </c>
      <c r="S522">
        <f t="shared" si="447"/>
        <v>-45.570560352349915</v>
      </c>
      <c r="T522" s="9" t="e">
        <f t="shared" si="426"/>
        <v>#N/A</v>
      </c>
      <c r="U522">
        <f t="shared" si="448"/>
        <v>-1.0000000000000001E+300</v>
      </c>
      <c r="V522">
        <f t="shared" si="449"/>
        <v>0</v>
      </c>
      <c r="W522">
        <f t="shared" si="450"/>
        <v>0</v>
      </c>
      <c r="X522">
        <f t="shared" si="427"/>
        <v>1.6179202165987434</v>
      </c>
      <c r="Y522">
        <f t="shared" si="428"/>
        <v>7.8539816339744828</v>
      </c>
      <c r="Z522">
        <f t="shared" si="429"/>
        <v>-1.6179202165987434</v>
      </c>
      <c r="AA522">
        <f t="shared" si="451"/>
        <v>7.6299180566070574E-2</v>
      </c>
      <c r="AB522">
        <f t="shared" si="430"/>
        <v>7.930280814540553</v>
      </c>
      <c r="AC522">
        <f t="shared" si="452"/>
        <v>2.9558802241544429E-2</v>
      </c>
      <c r="AD522">
        <f t="shared" si="431"/>
        <v>1.1107416832411188E-3</v>
      </c>
      <c r="AE522" s="9">
        <f t="shared" si="453"/>
        <v>7.9609503584653378</v>
      </c>
      <c r="AF522">
        <f t="shared" si="454"/>
        <v>0</v>
      </c>
      <c r="AH522">
        <f t="shared" si="432"/>
        <v>7.8539816339744828</v>
      </c>
      <c r="AI522">
        <f t="shared" si="433"/>
        <v>7.6299180566070643E-2</v>
      </c>
      <c r="AJ522">
        <f t="shared" si="434"/>
        <v>2.9558802241545834E-2</v>
      </c>
      <c r="AK522">
        <f t="shared" si="435"/>
        <v>1.1107416832411188E-3</v>
      </c>
      <c r="AL522" s="9">
        <f t="shared" si="455"/>
        <v>7.9609503584653396</v>
      </c>
      <c r="AM522" t="e">
        <f t="shared" si="436"/>
        <v>#N/A</v>
      </c>
      <c r="AN522" t="e">
        <f t="shared" si="456"/>
        <v>#N/A</v>
      </c>
      <c r="AO522">
        <f t="shared" si="437"/>
        <v>0</v>
      </c>
      <c r="AP522">
        <f t="shared" si="438"/>
        <v>0</v>
      </c>
      <c r="AQ522">
        <f t="shared" si="439"/>
        <v>1.4051260155412137E-15</v>
      </c>
      <c r="AR522">
        <f t="shared" si="457"/>
        <v>0</v>
      </c>
      <c r="AS522">
        <f t="shared" si="440"/>
        <v>0</v>
      </c>
      <c r="AT522">
        <f t="shared" si="458"/>
        <v>0</v>
      </c>
      <c r="AU522">
        <f t="shared" si="459"/>
        <v>0</v>
      </c>
      <c r="AV522">
        <f t="shared" si="441"/>
        <v>1.6179202165987432E-20</v>
      </c>
      <c r="AW522" t="b">
        <f t="shared" si="460"/>
        <v>1</v>
      </c>
      <c r="AX522">
        <f t="shared" si="442"/>
        <v>7.8539816339744828</v>
      </c>
      <c r="AY522">
        <f t="shared" si="443"/>
        <v>7.6299180566070463E-2</v>
      </c>
      <c r="AZ522">
        <f t="shared" si="444"/>
        <v>2.9558802241544429E-2</v>
      </c>
      <c r="BA522">
        <f t="shared" si="445"/>
        <v>1.1107416832411188E-3</v>
      </c>
      <c r="BB522">
        <f t="shared" si="446"/>
        <v>-1.2337005501361696E-20</v>
      </c>
      <c r="BD522" s="15">
        <f t="shared" si="461"/>
        <v>7.9609503584653378</v>
      </c>
      <c r="BE522" s="10">
        <f t="shared" si="462"/>
        <v>0</v>
      </c>
      <c r="BF522">
        <f t="shared" si="463"/>
        <v>0</v>
      </c>
      <c r="BG522">
        <f t="shared" si="464"/>
        <v>0</v>
      </c>
      <c r="BH522">
        <f t="shared" si="465"/>
        <v>-1.1102230246251565E-16</v>
      </c>
      <c r="BI522">
        <f t="shared" si="466"/>
        <v>0</v>
      </c>
    </row>
    <row r="523" spans="1:61" x14ac:dyDescent="0.3">
      <c r="A523">
        <f t="shared" si="471"/>
        <v>0.48599999999999999</v>
      </c>
      <c r="B523">
        <f t="shared" si="414"/>
        <v>1.5268140296446395</v>
      </c>
      <c r="C523">
        <f t="shared" si="415"/>
        <v>1.6147786239451536</v>
      </c>
      <c r="D523">
        <f t="shared" si="416"/>
        <v>1.6147786239451536</v>
      </c>
      <c r="E523">
        <f t="shared" si="421"/>
        <v>0.99903293467812471</v>
      </c>
      <c r="F523">
        <f t="shared" si="422"/>
        <v>0.99903293467812471</v>
      </c>
      <c r="G523">
        <f t="shared" si="417"/>
        <v>1.5268140296446395</v>
      </c>
      <c r="H523">
        <f t="shared" si="418"/>
        <v>0.99903293467812471</v>
      </c>
      <c r="I523">
        <f t="shared" si="419"/>
        <v>0.99903293467812471</v>
      </c>
      <c r="J523">
        <f t="shared" si="467"/>
        <v>6.3723602122555843E+19</v>
      </c>
      <c r="K523">
        <f t="shared" si="468"/>
        <v>6.3723602122555843E+19</v>
      </c>
      <c r="L523">
        <f t="shared" si="423"/>
        <v>1</v>
      </c>
      <c r="M523">
        <f t="shared" si="420"/>
        <v>1.6147786239451535E-20</v>
      </c>
      <c r="N523" s="9">
        <f t="shared" si="469"/>
        <v>1.6147786239451535E-20</v>
      </c>
      <c r="O523">
        <f t="shared" si="470"/>
        <v>1.6147786239451535E-20</v>
      </c>
      <c r="Q523">
        <f t="shared" si="424"/>
        <v>45.601086687822693</v>
      </c>
      <c r="R523">
        <f t="shared" si="425"/>
        <v>0</v>
      </c>
      <c r="S523">
        <f t="shared" si="447"/>
        <v>-45.572503987558484</v>
      </c>
      <c r="T523" s="9" t="e">
        <f t="shared" si="426"/>
        <v>#N/A</v>
      </c>
      <c r="U523">
        <f t="shared" si="448"/>
        <v>-1.0000000000000001E+300</v>
      </c>
      <c r="V523">
        <f t="shared" si="449"/>
        <v>0</v>
      </c>
      <c r="W523">
        <f t="shared" si="450"/>
        <v>0</v>
      </c>
      <c r="X523">
        <f t="shared" si="427"/>
        <v>1.6147786239451536</v>
      </c>
      <c r="Y523">
        <f t="shared" si="428"/>
        <v>7.8539816339744828</v>
      </c>
      <c r="Z523">
        <f t="shared" si="429"/>
        <v>-1.6147786239451536</v>
      </c>
      <c r="AA523">
        <f t="shared" si="451"/>
        <v>7.1067504513907087E-2</v>
      </c>
      <c r="AB523">
        <f t="shared" si="430"/>
        <v>7.9250491384883901</v>
      </c>
      <c r="AC523">
        <f t="shared" si="452"/>
        <v>2.7615167032973391E-2</v>
      </c>
      <c r="AD523">
        <f t="shared" si="431"/>
        <v>9.6753323123394673E-4</v>
      </c>
      <c r="AE523" s="9">
        <f t="shared" si="453"/>
        <v>7.9536318387525968</v>
      </c>
      <c r="AF523">
        <f t="shared" si="454"/>
        <v>0</v>
      </c>
      <c r="AH523">
        <f t="shared" si="432"/>
        <v>7.8539816339744828</v>
      </c>
      <c r="AI523">
        <f t="shared" si="433"/>
        <v>7.1067504513907184E-2</v>
      </c>
      <c r="AJ523">
        <f t="shared" si="434"/>
        <v>2.7615167032976728E-2</v>
      </c>
      <c r="AK523">
        <f t="shared" si="435"/>
        <v>9.6753323123394673E-4</v>
      </c>
      <c r="AL523" s="9">
        <f t="shared" si="455"/>
        <v>7.9536318387526004</v>
      </c>
      <c r="AM523" t="e">
        <f t="shared" si="436"/>
        <v>#N/A</v>
      </c>
      <c r="AN523" t="e">
        <f t="shared" si="456"/>
        <v>#N/A</v>
      </c>
      <c r="AO523">
        <f t="shared" si="437"/>
        <v>0</v>
      </c>
      <c r="AP523">
        <f t="shared" si="438"/>
        <v>0</v>
      </c>
      <c r="AQ523">
        <f t="shared" si="439"/>
        <v>3.3376079677793768E-15</v>
      </c>
      <c r="AR523">
        <f t="shared" si="457"/>
        <v>0</v>
      </c>
      <c r="AS523">
        <f t="shared" si="440"/>
        <v>0</v>
      </c>
      <c r="AT523">
        <f t="shared" si="458"/>
        <v>0</v>
      </c>
      <c r="AU523">
        <f t="shared" si="459"/>
        <v>0</v>
      </c>
      <c r="AV523">
        <f t="shared" si="441"/>
        <v>1.6147786239451535E-20</v>
      </c>
      <c r="AW523" t="b">
        <f t="shared" si="460"/>
        <v>1</v>
      </c>
      <c r="AX523">
        <f t="shared" si="442"/>
        <v>7.8539816339744828</v>
      </c>
      <c r="AY523">
        <f t="shared" si="443"/>
        <v>7.1067504513906976E-2</v>
      </c>
      <c r="AZ523">
        <f t="shared" si="444"/>
        <v>2.7615167032973391E-2</v>
      </c>
      <c r="BA523">
        <f t="shared" si="445"/>
        <v>9.6753323123394673E-4</v>
      </c>
      <c r="BB523">
        <f t="shared" si="446"/>
        <v>-1.2337005501361696E-20</v>
      </c>
      <c r="BD523" s="15">
        <f t="shared" si="461"/>
        <v>7.9536318387525968</v>
      </c>
      <c r="BE523" s="10">
        <f t="shared" si="462"/>
        <v>0</v>
      </c>
      <c r="BF523">
        <f t="shared" si="463"/>
        <v>0</v>
      </c>
      <c r="BG523">
        <f t="shared" si="464"/>
        <v>0</v>
      </c>
      <c r="BH523">
        <f t="shared" si="465"/>
        <v>-1.1102230246251565E-16</v>
      </c>
      <c r="BI523">
        <f t="shared" si="466"/>
        <v>0</v>
      </c>
    </row>
    <row r="524" spans="1:61" x14ac:dyDescent="0.3">
      <c r="A524">
        <f t="shared" si="471"/>
        <v>0.48699999999999999</v>
      </c>
      <c r="B524">
        <f t="shared" si="414"/>
        <v>1.5299556222982291</v>
      </c>
      <c r="C524">
        <f t="shared" si="415"/>
        <v>1.611637031291564</v>
      </c>
      <c r="D524">
        <f t="shared" si="416"/>
        <v>1.611637031291564</v>
      </c>
      <c r="E524">
        <f t="shared" si="421"/>
        <v>0.99916613434254009</v>
      </c>
      <c r="F524">
        <f t="shared" si="422"/>
        <v>0.99916613434254009</v>
      </c>
      <c r="G524">
        <f t="shared" si="417"/>
        <v>1.5299556222982291</v>
      </c>
      <c r="H524">
        <f t="shared" si="418"/>
        <v>0.99916613434254009</v>
      </c>
      <c r="I524">
        <f t="shared" si="419"/>
        <v>0.99916613434254009</v>
      </c>
      <c r="J524">
        <f t="shared" si="467"/>
        <v>6.371510707641054E+19</v>
      </c>
      <c r="K524">
        <f t="shared" si="468"/>
        <v>6.371510707641054E+19</v>
      </c>
      <c r="L524">
        <f t="shared" si="423"/>
        <v>1</v>
      </c>
      <c r="M524">
        <f t="shared" si="420"/>
        <v>1.6116370312915639E-20</v>
      </c>
      <c r="N524" s="9">
        <f t="shared" si="469"/>
        <v>1.6116370312915639E-20</v>
      </c>
      <c r="O524">
        <f t="shared" si="470"/>
        <v>1.6116370312915639E-20</v>
      </c>
      <c r="Q524">
        <f t="shared" si="424"/>
        <v>45.600953368108279</v>
      </c>
      <c r="R524">
        <f t="shared" si="425"/>
        <v>0</v>
      </c>
      <c r="S524">
        <f t="shared" si="447"/>
        <v>-45.574451407842879</v>
      </c>
      <c r="T524" s="9" t="e">
        <f t="shared" si="426"/>
        <v>#N/A</v>
      </c>
      <c r="U524">
        <f t="shared" si="448"/>
        <v>-1.0000000000000001E+300</v>
      </c>
      <c r="V524">
        <f t="shared" si="449"/>
        <v>0</v>
      </c>
      <c r="W524">
        <f t="shared" si="450"/>
        <v>0</v>
      </c>
      <c r="X524">
        <f t="shared" si="427"/>
        <v>1.611637031291564</v>
      </c>
      <c r="Y524">
        <f t="shared" si="428"/>
        <v>7.8539816339744828</v>
      </c>
      <c r="Z524">
        <f t="shared" si="429"/>
        <v>-1.611637031291564</v>
      </c>
      <c r="AA524">
        <f t="shared" si="451"/>
        <v>6.5857011512407526E-2</v>
      </c>
      <c r="AB524">
        <f t="shared" si="430"/>
        <v>7.9198386454868901</v>
      </c>
      <c r="AC524">
        <f t="shared" si="452"/>
        <v>2.5667746748577813E-2</v>
      </c>
      <c r="AD524">
        <f t="shared" si="431"/>
        <v>8.3421351681934718E-4</v>
      </c>
      <c r="AE524" s="9">
        <f t="shared" si="453"/>
        <v>7.9463406057522876</v>
      </c>
      <c r="AF524">
        <f t="shared" si="454"/>
        <v>0</v>
      </c>
      <c r="AH524">
        <f t="shared" si="432"/>
        <v>7.8539816339744828</v>
      </c>
      <c r="AI524">
        <f t="shared" si="433"/>
        <v>6.5857011512407623E-2</v>
      </c>
      <c r="AJ524">
        <f t="shared" si="434"/>
        <v>2.5667746748581521E-2</v>
      </c>
      <c r="AK524">
        <f t="shared" si="435"/>
        <v>8.3421351681934718E-4</v>
      </c>
      <c r="AL524" s="9">
        <f t="shared" si="455"/>
        <v>7.9463406057522912</v>
      </c>
      <c r="AM524" t="e">
        <f t="shared" si="436"/>
        <v>#N/A</v>
      </c>
      <c r="AN524" t="e">
        <f t="shared" si="456"/>
        <v>#N/A</v>
      </c>
      <c r="AO524">
        <f t="shared" si="437"/>
        <v>0</v>
      </c>
      <c r="AP524">
        <f t="shared" si="438"/>
        <v>0</v>
      </c>
      <c r="AQ524">
        <f t="shared" si="439"/>
        <v>3.7088387916384136E-15</v>
      </c>
      <c r="AR524">
        <f t="shared" si="457"/>
        <v>0</v>
      </c>
      <c r="AS524">
        <f t="shared" si="440"/>
        <v>0</v>
      </c>
      <c r="AT524">
        <f t="shared" si="458"/>
        <v>0</v>
      </c>
      <c r="AU524">
        <f t="shared" si="459"/>
        <v>0</v>
      </c>
      <c r="AV524">
        <f t="shared" si="441"/>
        <v>1.6116370312915639E-20</v>
      </c>
      <c r="AW524" t="b">
        <f t="shared" si="460"/>
        <v>1</v>
      </c>
      <c r="AX524">
        <f t="shared" si="442"/>
        <v>7.8539816339744828</v>
      </c>
      <c r="AY524">
        <f t="shared" si="443"/>
        <v>6.5857011512407429E-2</v>
      </c>
      <c r="AZ524">
        <f t="shared" si="444"/>
        <v>2.5667746748577813E-2</v>
      </c>
      <c r="BA524">
        <f t="shared" si="445"/>
        <v>8.3421351681934718E-4</v>
      </c>
      <c r="BB524">
        <f t="shared" si="446"/>
        <v>-1.2337005501361696E-20</v>
      </c>
      <c r="BD524" s="15">
        <f t="shared" si="461"/>
        <v>7.9463406057522876</v>
      </c>
      <c r="BE524" s="10">
        <f t="shared" si="462"/>
        <v>0</v>
      </c>
      <c r="BF524">
        <f t="shared" si="463"/>
        <v>0</v>
      </c>
      <c r="BG524">
        <f t="shared" si="464"/>
        <v>0</v>
      </c>
      <c r="BH524">
        <f t="shared" si="465"/>
        <v>0</v>
      </c>
      <c r="BI524">
        <f t="shared" si="466"/>
        <v>0</v>
      </c>
    </row>
    <row r="525" spans="1:61" x14ac:dyDescent="0.3">
      <c r="A525">
        <f t="shared" si="471"/>
        <v>0.48799999999999999</v>
      </c>
      <c r="B525">
        <f t="shared" si="414"/>
        <v>1.5330972149518189</v>
      </c>
      <c r="C525">
        <f t="shared" si="415"/>
        <v>1.6084954386379742</v>
      </c>
      <c r="D525">
        <f t="shared" si="416"/>
        <v>1.6084954386379742</v>
      </c>
      <c r="E525">
        <f t="shared" si="421"/>
        <v>0.9992894726405892</v>
      </c>
      <c r="F525">
        <f t="shared" si="422"/>
        <v>0.9992894726405892</v>
      </c>
      <c r="G525">
        <f t="shared" si="417"/>
        <v>1.5330972149518189</v>
      </c>
      <c r="H525">
        <f t="shared" si="418"/>
        <v>0.9992894726405892</v>
      </c>
      <c r="I525">
        <f t="shared" si="419"/>
        <v>0.9992894726405892</v>
      </c>
      <c r="J525">
        <f t="shared" si="467"/>
        <v>6.370724297588514E+19</v>
      </c>
      <c r="K525">
        <f t="shared" si="468"/>
        <v>6.370724297588514E+19</v>
      </c>
      <c r="L525" t="e">
        <f t="shared" si="423"/>
        <v>#NUM!</v>
      </c>
      <c r="M525">
        <f t="shared" si="420"/>
        <v>1.6084954386379742E-20</v>
      </c>
      <c r="N525" s="9" t="e">
        <f t="shared" si="469"/>
        <v>#NUM!</v>
      </c>
      <c r="O525" t="e">
        <f t="shared" si="470"/>
        <v>#NUM!</v>
      </c>
      <c r="Q525">
        <f t="shared" si="424"/>
        <v>45.600829934495067</v>
      </c>
      <c r="R525">
        <f t="shared" si="425"/>
        <v>0</v>
      </c>
      <c r="S525">
        <f t="shared" si="447"/>
        <v>-45.57640262797414</v>
      </c>
      <c r="T525" s="9" t="e">
        <f t="shared" si="426"/>
        <v>#N/A</v>
      </c>
      <c r="U525">
        <f t="shared" si="448"/>
        <v>-1.0000000000000001E+300</v>
      </c>
      <c r="V525">
        <f t="shared" si="449"/>
        <v>0</v>
      </c>
      <c r="W525">
        <f t="shared" si="450"/>
        <v>0</v>
      </c>
      <c r="X525">
        <f t="shared" si="427"/>
        <v>1.6084954386379742</v>
      </c>
      <c r="Y525">
        <f t="shared" si="428"/>
        <v>7.8539816339744828</v>
      </c>
      <c r="Z525">
        <f t="shared" si="429"/>
        <v>-1.6084954386379742</v>
      </c>
      <c r="AA525">
        <f t="shared" si="451"/>
        <v>6.0667592890600253E-2</v>
      </c>
      <c r="AB525">
        <f t="shared" si="430"/>
        <v>7.914649226865083</v>
      </c>
      <c r="AC525">
        <f t="shared" si="452"/>
        <v>2.3716526617316065E-2</v>
      </c>
      <c r="AD525">
        <f t="shared" si="431"/>
        <v>7.1077990360849134E-4</v>
      </c>
      <c r="AE525" s="9">
        <f t="shared" si="453"/>
        <v>7.9390765333860074</v>
      </c>
      <c r="AF525">
        <f t="shared" si="454"/>
        <v>0</v>
      </c>
      <c r="AH525">
        <f t="shared" si="432"/>
        <v>7.8539816339744828</v>
      </c>
      <c r="AI525">
        <f t="shared" si="433"/>
        <v>6.0667592890600336E-2</v>
      </c>
      <c r="AJ525">
        <f t="shared" si="434"/>
        <v>2.371652661732071E-2</v>
      </c>
      <c r="AK525">
        <f t="shared" si="435"/>
        <v>7.1077990360849134E-4</v>
      </c>
      <c r="AL525" s="9">
        <f t="shared" si="455"/>
        <v>7.9390765333860118</v>
      </c>
      <c r="AM525" t="e">
        <f t="shared" si="436"/>
        <v>#N/A</v>
      </c>
      <c r="AN525" t="e">
        <f t="shared" si="456"/>
        <v>#N/A</v>
      </c>
      <c r="AO525">
        <f t="shared" si="437"/>
        <v>0</v>
      </c>
      <c r="AP525">
        <f t="shared" si="438"/>
        <v>8.3266726846886741E-17</v>
      </c>
      <c r="AQ525">
        <f t="shared" si="439"/>
        <v>4.6455894686658894E-15</v>
      </c>
      <c r="AR525">
        <f t="shared" si="457"/>
        <v>1.3725075098502525E-15</v>
      </c>
      <c r="AS525">
        <f t="shared" si="440"/>
        <v>0</v>
      </c>
      <c r="AT525">
        <f t="shared" si="458"/>
        <v>0</v>
      </c>
      <c r="AU525">
        <f t="shared" si="459"/>
        <v>0</v>
      </c>
      <c r="AV525">
        <f t="shared" si="441"/>
        <v>1.6084954386379742E-20</v>
      </c>
      <c r="AW525" t="b">
        <f t="shared" si="460"/>
        <v>1</v>
      </c>
      <c r="AX525">
        <f t="shared" si="442"/>
        <v>7.8539816339744828</v>
      </c>
      <c r="AY525">
        <f t="shared" si="443"/>
        <v>6.0667592890600149E-2</v>
      </c>
      <c r="AZ525">
        <f t="shared" si="444"/>
        <v>2.371652661731628E-2</v>
      </c>
      <c r="BA525">
        <f t="shared" si="445"/>
        <v>7.1077990360849134E-4</v>
      </c>
      <c r="BB525">
        <f t="shared" si="446"/>
        <v>-1.2337005501361696E-20</v>
      </c>
      <c r="BD525" s="15">
        <f t="shared" si="461"/>
        <v>7.9390765333860074</v>
      </c>
      <c r="BE525" s="10">
        <f t="shared" si="462"/>
        <v>0</v>
      </c>
      <c r="BF525">
        <f t="shared" si="463"/>
        <v>0</v>
      </c>
      <c r="BG525">
        <f t="shared" si="464"/>
        <v>0</v>
      </c>
      <c r="BH525">
        <f t="shared" si="465"/>
        <v>-1.0408340855860843E-16</v>
      </c>
      <c r="BI525">
        <f t="shared" si="466"/>
        <v>2.1510571102112408E-16</v>
      </c>
    </row>
    <row r="526" spans="1:61" x14ac:dyDescent="0.3">
      <c r="A526">
        <f t="shared" si="471"/>
        <v>0.48899999999999999</v>
      </c>
      <c r="B526">
        <f t="shared" si="414"/>
        <v>1.5362388076054088</v>
      </c>
      <c r="C526">
        <f t="shared" si="415"/>
        <v>1.6053538459843844</v>
      </c>
      <c r="D526">
        <f t="shared" si="416"/>
        <v>1.6053538459843844</v>
      </c>
      <c r="E526">
        <f t="shared" si="421"/>
        <v>0.9994029483549729</v>
      </c>
      <c r="F526">
        <f t="shared" si="422"/>
        <v>0.9994029483549729</v>
      </c>
      <c r="G526">
        <f t="shared" si="417"/>
        <v>1.5362388076054088</v>
      </c>
      <c r="H526">
        <f t="shared" si="418"/>
        <v>0.9994029483549729</v>
      </c>
      <c r="I526">
        <f t="shared" si="419"/>
        <v>0.9994029483549729</v>
      </c>
      <c r="J526">
        <f t="shared" si="467"/>
        <v>6.3700009432177869E+19</v>
      </c>
      <c r="K526">
        <f t="shared" si="468"/>
        <v>6.3700009432177869E+19</v>
      </c>
      <c r="L526" t="e">
        <f t="shared" si="423"/>
        <v>#NUM!</v>
      </c>
      <c r="M526">
        <f t="shared" si="420"/>
        <v>1.6053538459843843E-20</v>
      </c>
      <c r="N526" s="9" t="e">
        <f t="shared" si="469"/>
        <v>#NUM!</v>
      </c>
      <c r="O526" t="e">
        <f t="shared" si="470"/>
        <v>#NUM!</v>
      </c>
      <c r="Q526">
        <f t="shared" si="424"/>
        <v>45.600716384542793</v>
      </c>
      <c r="R526">
        <f t="shared" si="425"/>
        <v>-710542.73576010019</v>
      </c>
      <c r="S526">
        <f t="shared" si="447"/>
        <v>-45.57835766280995</v>
      </c>
      <c r="T526" s="9" t="e">
        <f t="shared" si="426"/>
        <v>#N/A</v>
      </c>
      <c r="U526">
        <f t="shared" si="448"/>
        <v>-1.0000000000000001E+300</v>
      </c>
      <c r="V526">
        <f t="shared" si="449"/>
        <v>0</v>
      </c>
      <c r="W526">
        <f t="shared" si="450"/>
        <v>0</v>
      </c>
      <c r="X526">
        <f t="shared" si="427"/>
        <v>1.6053538459843844</v>
      </c>
      <c r="Y526">
        <f t="shared" si="428"/>
        <v>7.8539816339744828</v>
      </c>
      <c r="Z526">
        <f t="shared" si="429"/>
        <v>-1.6053538459843844</v>
      </c>
      <c r="AA526">
        <f t="shared" si="451"/>
        <v>5.5499140865087462E-2</v>
      </c>
      <c r="AB526">
        <f t="shared" si="430"/>
        <v>7.9094807748395706</v>
      </c>
      <c r="AC526">
        <f t="shared" si="452"/>
        <v>2.176149178151271E-2</v>
      </c>
      <c r="AD526">
        <f t="shared" si="431"/>
        <v>5.9722995133609953E-4</v>
      </c>
      <c r="AE526" s="9">
        <f t="shared" si="453"/>
        <v>7.9318394965724197</v>
      </c>
      <c r="AF526">
        <f t="shared" si="454"/>
        <v>0</v>
      </c>
      <c r="AH526">
        <f t="shared" si="432"/>
        <v>7.8539816339744828</v>
      </c>
      <c r="AI526">
        <f t="shared" si="433"/>
        <v>5.5499140865087553E-2</v>
      </c>
      <c r="AJ526">
        <f t="shared" si="434"/>
        <v>2.1761491781511211E-2</v>
      </c>
      <c r="AK526">
        <f t="shared" si="435"/>
        <v>5.9722995133609953E-4</v>
      </c>
      <c r="AL526" s="9">
        <f t="shared" si="455"/>
        <v>7.9318394965724179</v>
      </c>
      <c r="AM526" t="e">
        <f t="shared" si="436"/>
        <v>#N/A</v>
      </c>
      <c r="AN526" t="e">
        <f t="shared" si="456"/>
        <v>#N/A</v>
      </c>
      <c r="AO526">
        <f t="shared" si="437"/>
        <v>0</v>
      </c>
      <c r="AP526">
        <f t="shared" si="438"/>
        <v>9.0205620750793969E-17</v>
      </c>
      <c r="AQ526">
        <f t="shared" si="439"/>
        <v>-1.4988010832439613E-15</v>
      </c>
      <c r="AR526">
        <f t="shared" si="457"/>
        <v>1.6253516603090151E-15</v>
      </c>
      <c r="AS526">
        <f t="shared" si="440"/>
        <v>0</v>
      </c>
      <c r="AT526">
        <f t="shared" si="458"/>
        <v>0</v>
      </c>
      <c r="AU526">
        <f t="shared" si="459"/>
        <v>0</v>
      </c>
      <c r="AV526">
        <f t="shared" si="441"/>
        <v>1.6053538459843843E-20</v>
      </c>
      <c r="AW526" t="b">
        <f t="shared" si="460"/>
        <v>1</v>
      </c>
      <c r="AX526">
        <f t="shared" si="442"/>
        <v>7.8539816339744828</v>
      </c>
      <c r="AY526">
        <f t="shared" si="443"/>
        <v>5.5499140865087358E-2</v>
      </c>
      <c r="AZ526">
        <f t="shared" si="444"/>
        <v>2.176149178151271E-2</v>
      </c>
      <c r="BA526">
        <f t="shared" si="445"/>
        <v>5.9722995133609953E-4</v>
      </c>
      <c r="BB526">
        <f t="shared" si="446"/>
        <v>-1.2337005501361696E-20</v>
      </c>
      <c r="BD526" s="15">
        <f t="shared" si="461"/>
        <v>7.9318394965724197</v>
      </c>
      <c r="BE526" s="10">
        <f t="shared" si="462"/>
        <v>0</v>
      </c>
      <c r="BF526">
        <f t="shared" si="463"/>
        <v>0</v>
      </c>
      <c r="BG526">
        <f t="shared" si="464"/>
        <v>0</v>
      </c>
      <c r="BH526">
        <f t="shared" si="465"/>
        <v>-1.0408340855860843E-16</v>
      </c>
      <c r="BI526">
        <f t="shared" si="466"/>
        <v>0</v>
      </c>
    </row>
    <row r="527" spans="1:61" x14ac:dyDescent="0.3">
      <c r="A527">
        <f t="shared" si="471"/>
        <v>0.49</v>
      </c>
      <c r="B527">
        <f t="shared" si="414"/>
        <v>1.5393804002589986</v>
      </c>
      <c r="C527">
        <f t="shared" si="415"/>
        <v>1.6022122533307945</v>
      </c>
      <c r="D527">
        <f t="shared" si="416"/>
        <v>1.6022122533307945</v>
      </c>
      <c r="E527">
        <f t="shared" si="421"/>
        <v>0.9995065603657316</v>
      </c>
      <c r="F527">
        <f t="shared" si="422"/>
        <v>0.9995065603657316</v>
      </c>
      <c r="G527">
        <f t="shared" si="417"/>
        <v>1.5393804002589986</v>
      </c>
      <c r="H527">
        <f t="shared" si="418"/>
        <v>0.9995065603657316</v>
      </c>
      <c r="I527">
        <f t="shared" si="419"/>
        <v>0.9995065603657316</v>
      </c>
      <c r="J527">
        <f t="shared" si="467"/>
        <v>6.3693406087763395E+19</v>
      </c>
      <c r="K527">
        <f t="shared" si="468"/>
        <v>6.3693406087763395E+19</v>
      </c>
      <c r="L527">
        <f t="shared" si="423"/>
        <v>0</v>
      </c>
      <c r="M527">
        <f t="shared" si="420"/>
        <v>1.6022122533307946E-20</v>
      </c>
      <c r="N527" s="9">
        <f t="shared" si="469"/>
        <v>0</v>
      </c>
      <c r="O527">
        <f t="shared" si="470"/>
        <v>0</v>
      </c>
      <c r="Q527">
        <f t="shared" si="424"/>
        <v>45.600612716007127</v>
      </c>
      <c r="R527">
        <f t="shared" si="425"/>
        <v>0</v>
      </c>
      <c r="S527">
        <f t="shared" si="447"/>
        <v>-45.580316527295281</v>
      </c>
      <c r="T527" s="9" t="e">
        <f t="shared" si="426"/>
        <v>#N/A</v>
      </c>
      <c r="U527">
        <f t="shared" si="448"/>
        <v>-1.0000000000000001E+300</v>
      </c>
      <c r="V527">
        <f t="shared" si="449"/>
        <v>0</v>
      </c>
      <c r="W527">
        <f t="shared" si="450"/>
        <v>0</v>
      </c>
      <c r="X527">
        <f t="shared" si="427"/>
        <v>1.6022122533307945</v>
      </c>
      <c r="Y527">
        <f t="shared" si="428"/>
        <v>7.8539816339744828</v>
      </c>
      <c r="Z527">
        <f t="shared" si="429"/>
        <v>-1.6022122533307945</v>
      </c>
      <c r="AA527">
        <f t="shared" si="451"/>
        <v>5.0351548531090744E-2</v>
      </c>
      <c r="AB527">
        <f t="shared" si="430"/>
        <v>7.9043331825055736</v>
      </c>
      <c r="AC527">
        <f t="shared" si="452"/>
        <v>1.980262729617973E-2</v>
      </c>
      <c r="AD527">
        <f t="shared" si="431"/>
        <v>4.9356141566756059E-4</v>
      </c>
      <c r="AE527" s="9">
        <f t="shared" si="453"/>
        <v>7.9246293712174207</v>
      </c>
      <c r="AF527">
        <f t="shared" si="454"/>
        <v>0</v>
      </c>
      <c r="AH527">
        <f t="shared" si="432"/>
        <v>7.8539816339744828</v>
      </c>
      <c r="AI527">
        <f t="shared" si="433"/>
        <v>5.0351548531090855E-2</v>
      </c>
      <c r="AJ527">
        <f t="shared" si="434"/>
        <v>1.9802627296179764E-2</v>
      </c>
      <c r="AK527">
        <f t="shared" si="435"/>
        <v>4.9356141566756059E-4</v>
      </c>
      <c r="AL527" s="9">
        <f t="shared" si="455"/>
        <v>7.9246293712174207</v>
      </c>
      <c r="AM527" t="e">
        <f t="shared" si="436"/>
        <v>#N/A</v>
      </c>
      <c r="AN527" t="e">
        <f t="shared" si="456"/>
        <v>#N/A</v>
      </c>
      <c r="AO527">
        <f t="shared" si="437"/>
        <v>0</v>
      </c>
      <c r="AP527">
        <f t="shared" si="438"/>
        <v>1.1102230246251565E-16</v>
      </c>
      <c r="AQ527">
        <f t="shared" si="439"/>
        <v>3.4694469519536142E-17</v>
      </c>
      <c r="AR527">
        <f t="shared" si="457"/>
        <v>2.2049431586788656E-15</v>
      </c>
      <c r="AS527">
        <f t="shared" si="440"/>
        <v>0</v>
      </c>
      <c r="AT527">
        <f t="shared" si="458"/>
        <v>0</v>
      </c>
      <c r="AU527">
        <f t="shared" si="459"/>
        <v>0</v>
      </c>
      <c r="AV527">
        <f t="shared" si="441"/>
        <v>1.6022122533307946E-20</v>
      </c>
      <c r="AW527" t="b">
        <f t="shared" si="460"/>
        <v>1</v>
      </c>
      <c r="AX527">
        <f t="shared" si="442"/>
        <v>7.8539816339744828</v>
      </c>
      <c r="AY527">
        <f t="shared" si="443"/>
        <v>5.0351548531090654E-2</v>
      </c>
      <c r="AZ527">
        <f t="shared" si="444"/>
        <v>1.9802627296179948E-2</v>
      </c>
      <c r="BA527">
        <f t="shared" si="445"/>
        <v>4.9356141566756059E-4</v>
      </c>
      <c r="BB527">
        <f t="shared" si="446"/>
        <v>-1.2337005501361696E-20</v>
      </c>
      <c r="BD527" s="15">
        <f t="shared" si="461"/>
        <v>7.9246293712174207</v>
      </c>
      <c r="BE527" s="10">
        <f t="shared" si="462"/>
        <v>0</v>
      </c>
      <c r="BF527">
        <f t="shared" si="463"/>
        <v>0</v>
      </c>
      <c r="BG527">
        <f t="shared" si="464"/>
        <v>0</v>
      </c>
      <c r="BH527">
        <f t="shared" si="465"/>
        <v>-9.0205620750793969E-17</v>
      </c>
      <c r="BI527">
        <f t="shared" si="466"/>
        <v>2.1857515797307769E-16</v>
      </c>
    </row>
    <row r="528" spans="1:61" x14ac:dyDescent="0.3">
      <c r="A528">
        <f t="shared" si="471"/>
        <v>0.49099999999999999</v>
      </c>
      <c r="B528">
        <f t="shared" si="414"/>
        <v>1.5425219929125884</v>
      </c>
      <c r="C528">
        <f t="shared" si="415"/>
        <v>1.5990706606772047</v>
      </c>
      <c r="D528">
        <f t="shared" si="416"/>
        <v>1.5990706606772047</v>
      </c>
      <c r="E528">
        <f t="shared" si="421"/>
        <v>0.99960030765025654</v>
      </c>
      <c r="F528">
        <f t="shared" si="422"/>
        <v>0.99960030765025654</v>
      </c>
      <c r="G528">
        <f t="shared" si="417"/>
        <v>1.5425219929125884</v>
      </c>
      <c r="H528">
        <f t="shared" si="418"/>
        <v>0.99960030765025654</v>
      </c>
      <c r="I528">
        <f t="shared" si="419"/>
        <v>0.99960030765025654</v>
      </c>
      <c r="J528">
        <f t="shared" si="467"/>
        <v>6.3687432616349704E+19</v>
      </c>
      <c r="K528">
        <f t="shared" si="468"/>
        <v>6.3687432616349704E+19</v>
      </c>
      <c r="L528">
        <f t="shared" si="423"/>
        <v>1</v>
      </c>
      <c r="M528">
        <f t="shared" si="420"/>
        <v>1.5990706606772046E-20</v>
      </c>
      <c r="N528" s="9">
        <f t="shared" si="469"/>
        <v>1.5990706606772046E-20</v>
      </c>
      <c r="O528">
        <f t="shared" si="470"/>
        <v>1.5990706606772046E-20</v>
      </c>
      <c r="Q528">
        <f t="shared" si="424"/>
        <v>45.600518926839477</v>
      </c>
      <c r="R528">
        <f t="shared" si="425"/>
        <v>-710542.73576010019</v>
      </c>
      <c r="S528">
        <f t="shared" si="447"/>
        <v>-45.58227923646313</v>
      </c>
      <c r="T528" s="9" t="e">
        <f t="shared" si="426"/>
        <v>#N/A</v>
      </c>
      <c r="U528">
        <f t="shared" si="448"/>
        <v>-1.0000000000000001E+300</v>
      </c>
      <c r="V528">
        <f t="shared" si="449"/>
        <v>0</v>
      </c>
      <c r="W528">
        <f t="shared" si="450"/>
        <v>0</v>
      </c>
      <c r="X528">
        <f t="shared" si="427"/>
        <v>1.5990706606772047</v>
      </c>
      <c r="Y528">
        <f t="shared" si="428"/>
        <v>7.8539816339744828</v>
      </c>
      <c r="Z528">
        <f t="shared" si="429"/>
        <v>-1.5990706606772047</v>
      </c>
      <c r="AA528">
        <f t="shared" si="451"/>
        <v>4.5224709853607763E-2</v>
      </c>
      <c r="AB528">
        <f t="shared" si="430"/>
        <v>7.8992063438280908</v>
      </c>
      <c r="AC528">
        <f t="shared" si="452"/>
        <v>1.7839918128331016E-2</v>
      </c>
      <c r="AD528">
        <f t="shared" si="431"/>
        <v>3.9977224802121468E-4</v>
      </c>
      <c r="AE528" s="9">
        <f t="shared" si="453"/>
        <v>7.9174460342044428</v>
      </c>
      <c r="AF528">
        <f t="shared" si="454"/>
        <v>0</v>
      </c>
      <c r="AH528">
        <f t="shared" si="432"/>
        <v>7.8539816339744828</v>
      </c>
      <c r="AI528">
        <f t="shared" si="433"/>
        <v>4.522470985360786E-2</v>
      </c>
      <c r="AJ528">
        <f t="shared" si="434"/>
        <v>1.7839918128331078E-2</v>
      </c>
      <c r="AK528">
        <f t="shared" si="435"/>
        <v>3.9977224802121468E-4</v>
      </c>
      <c r="AL528" s="9">
        <f t="shared" si="455"/>
        <v>7.9174460342044428</v>
      </c>
      <c r="AM528" t="e">
        <f t="shared" si="436"/>
        <v>#N/A</v>
      </c>
      <c r="AN528" t="e">
        <f t="shared" si="456"/>
        <v>#N/A</v>
      </c>
      <c r="AO528">
        <f t="shared" si="437"/>
        <v>0</v>
      </c>
      <c r="AP528">
        <f t="shared" si="438"/>
        <v>9.7144514654701197E-17</v>
      </c>
      <c r="AQ528">
        <f t="shared" si="439"/>
        <v>6.2450045135165055E-17</v>
      </c>
      <c r="AR528">
        <f t="shared" si="457"/>
        <v>2.1480406390479332E-15</v>
      </c>
      <c r="AS528">
        <f t="shared" si="440"/>
        <v>0</v>
      </c>
      <c r="AT528">
        <f t="shared" si="458"/>
        <v>0</v>
      </c>
      <c r="AU528">
        <f t="shared" si="459"/>
        <v>0</v>
      </c>
      <c r="AV528">
        <f t="shared" si="441"/>
        <v>1.5990706606772046E-20</v>
      </c>
      <c r="AW528" t="b">
        <f t="shared" si="460"/>
        <v>1</v>
      </c>
      <c r="AX528">
        <f t="shared" si="442"/>
        <v>7.8539816339744828</v>
      </c>
      <c r="AY528">
        <f t="shared" si="443"/>
        <v>4.5224709853607666E-2</v>
      </c>
      <c r="AZ528">
        <f t="shared" si="444"/>
        <v>1.7839918128331016E-2</v>
      </c>
      <c r="BA528">
        <f t="shared" si="445"/>
        <v>3.9977224802121468E-4</v>
      </c>
      <c r="BB528">
        <f t="shared" si="446"/>
        <v>-1.2337005501361696E-20</v>
      </c>
      <c r="BD528" s="15">
        <f t="shared" si="461"/>
        <v>7.9174460342044428</v>
      </c>
      <c r="BE528" s="10">
        <f t="shared" si="462"/>
        <v>0</v>
      </c>
      <c r="BF528">
        <f t="shared" si="463"/>
        <v>0</v>
      </c>
      <c r="BG528">
        <f t="shared" si="464"/>
        <v>0</v>
      </c>
      <c r="BH528">
        <f t="shared" si="465"/>
        <v>-9.7144514654701197E-17</v>
      </c>
      <c r="BI528">
        <f t="shared" si="466"/>
        <v>0</v>
      </c>
    </row>
    <row r="529" spans="1:61" x14ac:dyDescent="0.3">
      <c r="A529">
        <f t="shared" si="471"/>
        <v>0.49199999999999999</v>
      </c>
      <c r="B529">
        <f t="shared" si="414"/>
        <v>1.5456635855661782</v>
      </c>
      <c r="C529">
        <f t="shared" si="415"/>
        <v>1.5959290680236149</v>
      </c>
      <c r="D529">
        <f t="shared" si="416"/>
        <v>1.5959290680236149</v>
      </c>
      <c r="E529">
        <f t="shared" si="421"/>
        <v>0.99968418928329994</v>
      </c>
      <c r="F529">
        <f t="shared" si="422"/>
        <v>0.99968418928329994</v>
      </c>
      <c r="G529">
        <f t="shared" si="417"/>
        <v>1.5456635855661782</v>
      </c>
      <c r="H529">
        <f t="shared" si="418"/>
        <v>0.99968418928329994</v>
      </c>
      <c r="I529">
        <f t="shared" si="419"/>
        <v>0.99968418928329994</v>
      </c>
      <c r="J529">
        <f t="shared" si="467"/>
        <v>6.3682088722838659E+19</v>
      </c>
      <c r="K529">
        <f t="shared" si="468"/>
        <v>6.3682088722838659E+19</v>
      </c>
      <c r="L529">
        <f t="shared" si="423"/>
        <v>1</v>
      </c>
      <c r="M529">
        <f t="shared" si="420"/>
        <v>1.595929068023615E-20</v>
      </c>
      <c r="N529" s="9">
        <f t="shared" si="469"/>
        <v>1.595929068023615E-20</v>
      </c>
      <c r="O529">
        <f t="shared" si="470"/>
        <v>1.595929068023615E-20</v>
      </c>
      <c r="Q529">
        <f t="shared" si="424"/>
        <v>45.600435015186868</v>
      </c>
      <c r="R529">
        <f t="shared" si="425"/>
        <v>0</v>
      </c>
      <c r="S529">
        <f t="shared" si="447"/>
        <v>-45.584245805435167</v>
      </c>
      <c r="T529" s="9" t="e">
        <f t="shared" si="426"/>
        <v>#N/A</v>
      </c>
      <c r="U529">
        <f t="shared" si="448"/>
        <v>-1.0000000000000001E+300</v>
      </c>
      <c r="V529">
        <f t="shared" si="449"/>
        <v>0</v>
      </c>
      <c r="W529">
        <f t="shared" si="450"/>
        <v>0</v>
      </c>
      <c r="X529">
        <f t="shared" si="427"/>
        <v>1.5959290680236149</v>
      </c>
      <c r="Y529">
        <f t="shared" si="428"/>
        <v>7.8539816339744828</v>
      </c>
      <c r="Z529">
        <f t="shared" si="429"/>
        <v>-1.5959290680236149</v>
      </c>
      <c r="AA529">
        <f t="shared" si="451"/>
        <v>4.011851965867641E-2</v>
      </c>
      <c r="AB529">
        <f t="shared" si="430"/>
        <v>7.8941001536331594</v>
      </c>
      <c r="AC529">
        <f t="shared" si="452"/>
        <v>1.5873349156290163E-2</v>
      </c>
      <c r="AD529">
        <f t="shared" si="431"/>
        <v>3.1586059540621446E-4</v>
      </c>
      <c r="AE529" s="9">
        <f t="shared" si="453"/>
        <v>7.9102893633848561</v>
      </c>
      <c r="AF529">
        <f t="shared" si="454"/>
        <v>0</v>
      </c>
      <c r="AH529">
        <f t="shared" si="432"/>
        <v>7.8539816339744828</v>
      </c>
      <c r="AI529">
        <f t="shared" si="433"/>
        <v>4.0118519658676514E-2</v>
      </c>
      <c r="AJ529">
        <f t="shared" si="434"/>
        <v>1.5873349156294125E-2</v>
      </c>
      <c r="AK529">
        <f t="shared" si="435"/>
        <v>3.1586059540621446E-4</v>
      </c>
      <c r="AL529" s="9">
        <f t="shared" si="455"/>
        <v>7.9102893633848597</v>
      </c>
      <c r="AM529" t="e">
        <f t="shared" si="436"/>
        <v>#N/A</v>
      </c>
      <c r="AN529" t="e">
        <f t="shared" si="456"/>
        <v>#N/A</v>
      </c>
      <c r="AO529">
        <f t="shared" si="437"/>
        <v>0</v>
      </c>
      <c r="AP529">
        <f t="shared" si="438"/>
        <v>1.0408340855860843E-16</v>
      </c>
      <c r="AQ529">
        <f t="shared" si="439"/>
        <v>3.9621084191310274E-15</v>
      </c>
      <c r="AR529">
        <f t="shared" si="457"/>
        <v>2.5943980347265403E-15</v>
      </c>
      <c r="AS529">
        <f t="shared" si="440"/>
        <v>0</v>
      </c>
      <c r="AT529">
        <f t="shared" si="458"/>
        <v>0</v>
      </c>
      <c r="AU529">
        <f t="shared" si="459"/>
        <v>0</v>
      </c>
      <c r="AV529">
        <f t="shared" si="441"/>
        <v>1.5959290680236147E-20</v>
      </c>
      <c r="AW529" t="b">
        <f t="shared" si="460"/>
        <v>1</v>
      </c>
      <c r="AX529">
        <f t="shared" si="442"/>
        <v>7.8539816339744828</v>
      </c>
      <c r="AY529">
        <f t="shared" si="443"/>
        <v>4.0118519658676306E-2</v>
      </c>
      <c r="AZ529">
        <f t="shared" si="444"/>
        <v>1.5873349156290163E-2</v>
      </c>
      <c r="BA529">
        <f t="shared" si="445"/>
        <v>3.1586059540621446E-4</v>
      </c>
      <c r="BB529">
        <f t="shared" si="446"/>
        <v>-1.2337005501361696E-20</v>
      </c>
      <c r="BD529" s="15">
        <f t="shared" si="461"/>
        <v>7.9102893633848561</v>
      </c>
      <c r="BE529" s="10">
        <f t="shared" si="462"/>
        <v>0</v>
      </c>
      <c r="BF529">
        <f t="shared" si="463"/>
        <v>0</v>
      </c>
      <c r="BG529">
        <f t="shared" si="464"/>
        <v>0</v>
      </c>
      <c r="BH529">
        <f t="shared" si="465"/>
        <v>-1.0408340855860843E-16</v>
      </c>
      <c r="BI529">
        <f t="shared" si="466"/>
        <v>0</v>
      </c>
    </row>
    <row r="530" spans="1:61" x14ac:dyDescent="0.3">
      <c r="A530">
        <f t="shared" si="471"/>
        <v>0.49299999999999999</v>
      </c>
      <c r="B530">
        <f t="shared" si="414"/>
        <v>1.548805178219768</v>
      </c>
      <c r="C530">
        <f t="shared" si="415"/>
        <v>1.5927874753700251</v>
      </c>
      <c r="D530">
        <f t="shared" si="416"/>
        <v>1.5927874753700251</v>
      </c>
      <c r="E530">
        <f t="shared" si="421"/>
        <v>0.99975820443698404</v>
      </c>
      <c r="F530">
        <f t="shared" si="422"/>
        <v>0.99975820443698404</v>
      </c>
      <c r="G530">
        <f t="shared" si="417"/>
        <v>1.548805178219768</v>
      </c>
      <c r="H530">
        <f t="shared" si="418"/>
        <v>0.99975820443698404</v>
      </c>
      <c r="I530">
        <f t="shared" si="419"/>
        <v>0.99975820443698404</v>
      </c>
      <c r="J530">
        <f t="shared" si="467"/>
        <v>6.3677374143290499E+19</v>
      </c>
      <c r="K530">
        <f t="shared" si="468"/>
        <v>6.3677374143290499E+19</v>
      </c>
      <c r="L530">
        <f t="shared" si="423"/>
        <v>1</v>
      </c>
      <c r="M530">
        <f t="shared" si="420"/>
        <v>1.592787475370025E-20</v>
      </c>
      <c r="N530" s="9">
        <f t="shared" si="469"/>
        <v>1.592787475370025E-20</v>
      </c>
      <c r="O530">
        <f t="shared" si="470"/>
        <v>1.592787475370025E-20</v>
      </c>
      <c r="Q530">
        <f t="shared" si="424"/>
        <v>45.600360979391738</v>
      </c>
      <c r="R530">
        <f t="shared" si="425"/>
        <v>0</v>
      </c>
      <c r="S530">
        <f t="shared" si="447"/>
        <v>-45.586216249422471</v>
      </c>
      <c r="T530" s="9" t="e">
        <f t="shared" si="426"/>
        <v>#N/A</v>
      </c>
      <c r="U530">
        <f t="shared" si="448"/>
        <v>-1.0000000000000001E+300</v>
      </c>
      <c r="V530">
        <f t="shared" si="449"/>
        <v>0</v>
      </c>
      <c r="W530">
        <f t="shared" si="450"/>
        <v>0</v>
      </c>
      <c r="X530">
        <f t="shared" si="427"/>
        <v>1.5927874753700251</v>
      </c>
      <c r="Y530">
        <f t="shared" si="428"/>
        <v>7.8539816339744828</v>
      </c>
      <c r="Z530">
        <f t="shared" si="429"/>
        <v>-1.5927874753700251</v>
      </c>
      <c r="AA530">
        <f t="shared" si="451"/>
        <v>3.5032873624745303E-2</v>
      </c>
      <c r="AB530">
        <f t="shared" si="430"/>
        <v>7.889014507599228</v>
      </c>
      <c r="AC530">
        <f t="shared" si="452"/>
        <v>1.3902905168991434E-2</v>
      </c>
      <c r="AD530">
        <f t="shared" si="431"/>
        <v>2.4182480027615822E-4</v>
      </c>
      <c r="AE530" s="9">
        <f t="shared" si="453"/>
        <v>7.9031592375684951</v>
      </c>
      <c r="AF530">
        <f t="shared" si="454"/>
        <v>0</v>
      </c>
      <c r="AH530">
        <f t="shared" si="432"/>
        <v>7.8539816339744828</v>
      </c>
      <c r="AI530">
        <f t="shared" si="433"/>
        <v>3.50328736247454E-2</v>
      </c>
      <c r="AJ530">
        <f t="shared" si="434"/>
        <v>1.3902905168990287E-2</v>
      </c>
      <c r="AK530">
        <f t="shared" si="435"/>
        <v>2.4182480027615822E-4</v>
      </c>
      <c r="AL530" s="9">
        <f t="shared" si="455"/>
        <v>7.9031592375684943</v>
      </c>
      <c r="AM530" t="e">
        <f t="shared" si="436"/>
        <v>#N/A</v>
      </c>
      <c r="AN530" t="e">
        <f t="shared" si="456"/>
        <v>#N/A</v>
      </c>
      <c r="AO530">
        <f t="shared" si="437"/>
        <v>0</v>
      </c>
      <c r="AP530">
        <f t="shared" si="438"/>
        <v>9.7144514654701197E-17</v>
      </c>
      <c r="AQ530">
        <f t="shared" si="439"/>
        <v>-1.1466522176206695E-15</v>
      </c>
      <c r="AR530">
        <f t="shared" si="457"/>
        <v>2.7729530753104811E-15</v>
      </c>
      <c r="AS530">
        <f t="shared" si="440"/>
        <v>0</v>
      </c>
      <c r="AT530">
        <f t="shared" si="458"/>
        <v>0</v>
      </c>
      <c r="AU530">
        <f t="shared" si="459"/>
        <v>0</v>
      </c>
      <c r="AV530">
        <f t="shared" si="441"/>
        <v>1.592787475370025E-20</v>
      </c>
      <c r="AW530" t="b">
        <f t="shared" si="460"/>
        <v>1</v>
      </c>
      <c r="AX530">
        <f t="shared" si="442"/>
        <v>7.8539816339744828</v>
      </c>
      <c r="AY530">
        <f t="shared" si="443"/>
        <v>3.5032873624745199E-2</v>
      </c>
      <c r="AZ530">
        <f t="shared" si="444"/>
        <v>1.3902905168991434E-2</v>
      </c>
      <c r="BA530">
        <f t="shared" si="445"/>
        <v>2.4182480027615822E-4</v>
      </c>
      <c r="BB530">
        <f t="shared" si="446"/>
        <v>-1.2337005501361696E-20</v>
      </c>
      <c r="BD530" s="15">
        <f t="shared" si="461"/>
        <v>7.9031592375684951</v>
      </c>
      <c r="BE530" s="10">
        <f t="shared" si="462"/>
        <v>0</v>
      </c>
      <c r="BF530">
        <f t="shared" si="463"/>
        <v>0</v>
      </c>
      <c r="BG530">
        <f t="shared" si="464"/>
        <v>0</v>
      </c>
      <c r="BH530">
        <f t="shared" si="465"/>
        <v>-1.0408340855860843E-16</v>
      </c>
      <c r="BI530">
        <f t="shared" si="466"/>
        <v>0</v>
      </c>
    </row>
    <row r="531" spans="1:61" x14ac:dyDescent="0.3">
      <c r="A531">
        <f t="shared" si="471"/>
        <v>0.49399999999999999</v>
      </c>
      <c r="B531">
        <f t="shared" si="414"/>
        <v>1.5519467708733579</v>
      </c>
      <c r="C531">
        <f t="shared" si="415"/>
        <v>1.5896458827164353</v>
      </c>
      <c r="D531">
        <f t="shared" si="416"/>
        <v>1.5896458827164353</v>
      </c>
      <c r="E531">
        <f t="shared" si="421"/>
        <v>0.99982235238080897</v>
      </c>
      <c r="F531">
        <f t="shared" si="422"/>
        <v>0.99982235238080897</v>
      </c>
      <c r="G531">
        <f t="shared" si="417"/>
        <v>1.5519467708733579</v>
      </c>
      <c r="H531">
        <f t="shared" si="418"/>
        <v>0.99982235238080897</v>
      </c>
      <c r="I531">
        <f t="shared" si="419"/>
        <v>0.99982235238080897</v>
      </c>
      <c r="J531">
        <f t="shared" si="467"/>
        <v>6.3673288644891967E+19</v>
      </c>
      <c r="K531">
        <f t="shared" si="468"/>
        <v>6.3673288644891967E+19</v>
      </c>
      <c r="L531">
        <f t="shared" si="423"/>
        <v>1</v>
      </c>
      <c r="M531">
        <f t="shared" si="420"/>
        <v>1.589645882716435E-20</v>
      </c>
      <c r="N531" s="9">
        <f t="shared" si="469"/>
        <v>1.589645882716435E-20</v>
      </c>
      <c r="O531">
        <f t="shared" si="470"/>
        <v>1.589645882716435E-20</v>
      </c>
      <c r="Q531">
        <f t="shared" si="424"/>
        <v>45.600296817991854</v>
      </c>
      <c r="R531">
        <f t="shared" si="425"/>
        <v>-710542.73576010019</v>
      </c>
      <c r="S531">
        <f t="shared" si="447"/>
        <v>-45.588190583726188</v>
      </c>
      <c r="T531" s="9" t="e">
        <f t="shared" si="426"/>
        <v>#N/A</v>
      </c>
      <c r="U531">
        <f t="shared" si="448"/>
        <v>-1.0000000000000001E+300</v>
      </c>
      <c r="V531">
        <f t="shared" si="449"/>
        <v>0</v>
      </c>
      <c r="W531">
        <f t="shared" si="450"/>
        <v>0</v>
      </c>
      <c r="X531">
        <f t="shared" si="427"/>
        <v>1.5896458827164353</v>
      </c>
      <c r="Y531">
        <f t="shared" si="428"/>
        <v>7.8539816339744828</v>
      </c>
      <c r="Z531">
        <f t="shared" si="429"/>
        <v>-1.5896458827164353</v>
      </c>
      <c r="AA531">
        <f t="shared" si="451"/>
        <v>2.9967668274149054E-2</v>
      </c>
      <c r="AB531">
        <f t="shared" si="430"/>
        <v>7.8839493022486318</v>
      </c>
      <c r="AC531">
        <f t="shared" si="452"/>
        <v>1.1928570865273812E-2</v>
      </c>
      <c r="AD531">
        <f t="shared" si="431"/>
        <v>1.7766340039836051E-4</v>
      </c>
      <c r="AE531" s="9">
        <f t="shared" si="453"/>
        <v>7.8960555365143037</v>
      </c>
      <c r="AF531">
        <f t="shared" si="454"/>
        <v>0</v>
      </c>
      <c r="AH531">
        <f t="shared" si="432"/>
        <v>7.8539816339744828</v>
      </c>
      <c r="AI531">
        <f t="shared" si="433"/>
        <v>2.9967668274149154E-2</v>
      </c>
      <c r="AJ531">
        <f t="shared" si="434"/>
        <v>1.1928570865272548E-2</v>
      </c>
      <c r="AK531">
        <f t="shared" si="435"/>
        <v>1.7766340039836051E-4</v>
      </c>
      <c r="AL531" s="9">
        <f t="shared" si="455"/>
        <v>7.8960555365143028</v>
      </c>
      <c r="AM531" t="e">
        <f t="shared" si="436"/>
        <v>#N/A</v>
      </c>
      <c r="AN531" t="e">
        <f t="shared" si="456"/>
        <v>#N/A</v>
      </c>
      <c r="AO531">
        <f t="shared" si="437"/>
        <v>0</v>
      </c>
      <c r="AP531">
        <f t="shared" si="438"/>
        <v>1.0061396160665481E-16</v>
      </c>
      <c r="AQ531">
        <f t="shared" si="439"/>
        <v>-1.2646134139870924E-15</v>
      </c>
      <c r="AR531">
        <f t="shared" si="457"/>
        <v>3.3574170898523621E-15</v>
      </c>
      <c r="AS531">
        <f t="shared" si="440"/>
        <v>0</v>
      </c>
      <c r="AT531">
        <f t="shared" si="458"/>
        <v>0</v>
      </c>
      <c r="AU531">
        <f t="shared" si="459"/>
        <v>0</v>
      </c>
      <c r="AV531">
        <f t="shared" si="441"/>
        <v>1.589645882716435E-20</v>
      </c>
      <c r="AW531" t="b">
        <f t="shared" si="460"/>
        <v>1</v>
      </c>
      <c r="AX531">
        <f t="shared" si="442"/>
        <v>7.8539816339744828</v>
      </c>
      <c r="AY531">
        <f t="shared" si="443"/>
        <v>2.9967668274148949E-2</v>
      </c>
      <c r="AZ531">
        <f t="shared" si="444"/>
        <v>1.1928570865273812E-2</v>
      </c>
      <c r="BA531">
        <f t="shared" si="445"/>
        <v>1.7766340039836051E-4</v>
      </c>
      <c r="BB531">
        <f t="shared" si="446"/>
        <v>-1.2337005501361696E-20</v>
      </c>
      <c r="BD531" s="15">
        <f t="shared" si="461"/>
        <v>7.8960555365143037</v>
      </c>
      <c r="BE531" s="10">
        <f t="shared" si="462"/>
        <v>0</v>
      </c>
      <c r="BF531">
        <f t="shared" si="463"/>
        <v>0</v>
      </c>
      <c r="BG531">
        <f t="shared" si="464"/>
        <v>0</v>
      </c>
      <c r="BH531">
        <f t="shared" si="465"/>
        <v>-1.0408340855860843E-16</v>
      </c>
      <c r="BI531">
        <f t="shared" si="466"/>
        <v>0</v>
      </c>
    </row>
    <row r="532" spans="1:61" x14ac:dyDescent="0.3">
      <c r="A532">
        <f t="shared" si="471"/>
        <v>0.495</v>
      </c>
      <c r="B532">
        <f t="shared" si="414"/>
        <v>1.5550883635269477</v>
      </c>
      <c r="C532">
        <f t="shared" si="415"/>
        <v>1.5865042900628454</v>
      </c>
      <c r="D532">
        <f t="shared" si="416"/>
        <v>1.5865042900628454</v>
      </c>
      <c r="E532">
        <f t="shared" si="421"/>
        <v>0.99987663248166059</v>
      </c>
      <c r="F532">
        <f t="shared" si="422"/>
        <v>0.99987663248166059</v>
      </c>
      <c r="G532">
        <f t="shared" si="417"/>
        <v>1.5550883635269477</v>
      </c>
      <c r="H532">
        <f t="shared" si="418"/>
        <v>0.99987663248166059</v>
      </c>
      <c r="I532">
        <f t="shared" si="419"/>
        <v>0.99987663248166059</v>
      </c>
      <c r="J532">
        <f t="shared" si="467"/>
        <v>6.366983202592827E+19</v>
      </c>
      <c r="K532">
        <f t="shared" si="468"/>
        <v>6.366983202592827E+19</v>
      </c>
      <c r="L532">
        <f t="shared" si="423"/>
        <v>1</v>
      </c>
      <c r="M532">
        <f t="shared" si="420"/>
        <v>1.5865042900628454E-20</v>
      </c>
      <c r="N532" s="9">
        <f t="shared" si="469"/>
        <v>1.5865042900628454E-20</v>
      </c>
      <c r="O532">
        <f t="shared" si="470"/>
        <v>1.5865042900628454E-20</v>
      </c>
      <c r="Q532">
        <f t="shared" si="424"/>
        <v>45.600242529720198</v>
      </c>
      <c r="R532">
        <f t="shared" si="425"/>
        <v>0</v>
      </c>
      <c r="S532">
        <f t="shared" si="447"/>
        <v>-45.590168823738288</v>
      </c>
      <c r="T532" s="9" t="e">
        <f t="shared" si="426"/>
        <v>#N/A</v>
      </c>
      <c r="U532">
        <f t="shared" si="448"/>
        <v>-1.0000000000000001E+300</v>
      </c>
      <c r="V532">
        <f t="shared" si="449"/>
        <v>0</v>
      </c>
      <c r="W532">
        <f t="shared" si="450"/>
        <v>0</v>
      </c>
      <c r="X532">
        <f t="shared" si="427"/>
        <v>1.5865042900628454</v>
      </c>
      <c r="Y532">
        <f t="shared" si="428"/>
        <v>7.8539816339744828</v>
      </c>
      <c r="Z532">
        <f t="shared" si="429"/>
        <v>-1.5865042900628454</v>
      </c>
      <c r="AA532">
        <f t="shared" si="451"/>
        <v>2.4922800964686839E-2</v>
      </c>
      <c r="AB532">
        <f t="shared" si="430"/>
        <v>7.8789044349391695</v>
      </c>
      <c r="AC532">
        <f t="shared" si="452"/>
        <v>9.950330853168092E-3</v>
      </c>
      <c r="AD532">
        <f t="shared" si="431"/>
        <v>1.2337512873762663E-4</v>
      </c>
      <c r="AE532" s="9">
        <f t="shared" si="453"/>
        <v>7.8889781409210746</v>
      </c>
      <c r="AF532">
        <f t="shared" si="454"/>
        <v>0</v>
      </c>
      <c r="AH532">
        <f t="shared" si="432"/>
        <v>7.8539816339744828</v>
      </c>
      <c r="AI532">
        <f t="shared" si="433"/>
        <v>2.492280096468694E-2</v>
      </c>
      <c r="AJ532">
        <f t="shared" si="434"/>
        <v>9.9503308531723178E-3</v>
      </c>
      <c r="AK532">
        <f t="shared" si="435"/>
        <v>1.2337512873762663E-4</v>
      </c>
      <c r="AL532" s="9">
        <f t="shared" si="455"/>
        <v>7.8889781409210791</v>
      </c>
      <c r="AM532" t="e">
        <f t="shared" si="436"/>
        <v>#N/A</v>
      </c>
      <c r="AN532" t="e">
        <f t="shared" si="456"/>
        <v>#N/A</v>
      </c>
      <c r="AO532">
        <f t="shared" si="437"/>
        <v>0</v>
      </c>
      <c r="AP532">
        <f t="shared" si="438"/>
        <v>1.0061396160665481E-16</v>
      </c>
      <c r="AQ532">
        <f t="shared" si="439"/>
        <v>4.2257863874795021E-15</v>
      </c>
      <c r="AR532">
        <f t="shared" si="457"/>
        <v>4.0370246405776988E-15</v>
      </c>
      <c r="AS532">
        <f t="shared" si="440"/>
        <v>0</v>
      </c>
      <c r="AT532">
        <f t="shared" si="458"/>
        <v>0</v>
      </c>
      <c r="AU532">
        <f t="shared" si="459"/>
        <v>0</v>
      </c>
      <c r="AV532">
        <f t="shared" si="441"/>
        <v>1.5865042900628454E-20</v>
      </c>
      <c r="AW532" t="b">
        <f t="shared" si="460"/>
        <v>1</v>
      </c>
      <c r="AX532">
        <f t="shared" si="442"/>
        <v>7.8539816339744828</v>
      </c>
      <c r="AY532">
        <f t="shared" si="443"/>
        <v>2.4922800964686742E-2</v>
      </c>
      <c r="AZ532">
        <f t="shared" si="444"/>
        <v>9.950330853168092E-3</v>
      </c>
      <c r="BA532">
        <f t="shared" si="445"/>
        <v>1.2337512873762663E-4</v>
      </c>
      <c r="BB532">
        <f t="shared" si="446"/>
        <v>-1.2337005501361696E-20</v>
      </c>
      <c r="BD532" s="15">
        <f t="shared" si="461"/>
        <v>7.8889781409210746</v>
      </c>
      <c r="BE532" s="10">
        <f t="shared" si="462"/>
        <v>0</v>
      </c>
      <c r="BF532">
        <f t="shared" si="463"/>
        <v>0</v>
      </c>
      <c r="BG532">
        <f t="shared" si="464"/>
        <v>0</v>
      </c>
      <c r="BH532">
        <f t="shared" si="465"/>
        <v>-9.7144514654701197E-17</v>
      </c>
      <c r="BI532">
        <f t="shared" si="466"/>
        <v>0</v>
      </c>
    </row>
    <row r="533" spans="1:61" x14ac:dyDescent="0.3">
      <c r="A533">
        <f t="shared" si="471"/>
        <v>0.496</v>
      </c>
      <c r="B533">
        <f t="shared" si="414"/>
        <v>1.5582299561805373</v>
      </c>
      <c r="C533">
        <f t="shared" si="415"/>
        <v>1.5833626974092558</v>
      </c>
      <c r="D533">
        <f t="shared" si="416"/>
        <v>1.5833626974092558</v>
      </c>
      <c r="E533">
        <f t="shared" si="421"/>
        <v>0.99992104420381611</v>
      </c>
      <c r="F533">
        <f t="shared" si="422"/>
        <v>0.99992104420381611</v>
      </c>
      <c r="G533">
        <f t="shared" si="417"/>
        <v>1.5582299561805373</v>
      </c>
      <c r="H533">
        <f t="shared" si="418"/>
        <v>0.99992104420381611</v>
      </c>
      <c r="I533">
        <f t="shared" si="419"/>
        <v>0.99992104420381611</v>
      </c>
      <c r="J533">
        <f t="shared" si="467"/>
        <v>6.3667004115758744E+19</v>
      </c>
      <c r="K533">
        <f t="shared" si="468"/>
        <v>6.3667004115758744E+19</v>
      </c>
      <c r="L533">
        <f t="shared" si="423"/>
        <v>0</v>
      </c>
      <c r="M533">
        <f t="shared" si="420"/>
        <v>1.5833626974092557E-20</v>
      </c>
      <c r="N533" s="9">
        <f t="shared" si="469"/>
        <v>0</v>
      </c>
      <c r="O533">
        <f t="shared" si="470"/>
        <v>0</v>
      </c>
      <c r="Q533">
        <f t="shared" si="424"/>
        <v>45.600198113504817</v>
      </c>
      <c r="R533">
        <f t="shared" si="425"/>
        <v>0</v>
      </c>
      <c r="S533">
        <f t="shared" si="447"/>
        <v>-45.592150984942279</v>
      </c>
      <c r="T533" s="9" t="e">
        <f t="shared" si="426"/>
        <v>#N/A</v>
      </c>
      <c r="U533">
        <f t="shared" si="448"/>
        <v>-1.0000000000000001E+300</v>
      </c>
      <c r="V533">
        <f t="shared" si="449"/>
        <v>0</v>
      </c>
      <c r="W533">
        <f t="shared" si="450"/>
        <v>0</v>
      </c>
      <c r="X533">
        <f t="shared" si="427"/>
        <v>1.5833626974092558</v>
      </c>
      <c r="Y533">
        <f t="shared" si="428"/>
        <v>7.8539816339744828</v>
      </c>
      <c r="Z533">
        <f t="shared" si="429"/>
        <v>-1.5833626974092558</v>
      </c>
      <c r="AA533">
        <f t="shared" si="451"/>
        <v>1.9898169881303225E-2</v>
      </c>
      <c r="AB533">
        <f t="shared" si="430"/>
        <v>7.873879803855786</v>
      </c>
      <c r="AC533">
        <f t="shared" si="452"/>
        <v>7.9681696491768813E-3</v>
      </c>
      <c r="AD533">
        <f t="shared" si="431"/>
        <v>7.8958913356844108E-5</v>
      </c>
      <c r="AE533" s="9">
        <f t="shared" si="453"/>
        <v>7.8819269324183194</v>
      </c>
      <c r="AF533">
        <f t="shared" si="454"/>
        <v>0</v>
      </c>
      <c r="AH533">
        <f t="shared" si="432"/>
        <v>7.8539816339744828</v>
      </c>
      <c r="AI533">
        <f t="shared" si="433"/>
        <v>1.9898169881303322E-2</v>
      </c>
      <c r="AJ533">
        <f t="shared" si="434"/>
        <v>7.9681696491817888E-3</v>
      </c>
      <c r="AK533">
        <f t="shared" si="435"/>
        <v>7.8958913356844108E-5</v>
      </c>
      <c r="AL533" s="9">
        <f t="shared" si="455"/>
        <v>7.8819269324183248</v>
      </c>
      <c r="AM533" t="e">
        <f t="shared" si="436"/>
        <v>#N/A</v>
      </c>
      <c r="AN533" t="e">
        <f t="shared" si="456"/>
        <v>#N/A</v>
      </c>
      <c r="AO533">
        <f t="shared" si="437"/>
        <v>0</v>
      </c>
      <c r="AP533">
        <f t="shared" si="438"/>
        <v>9.7144514654701197E-17</v>
      </c>
      <c r="AQ533">
        <f t="shared" si="439"/>
        <v>4.9075327135383873E-15</v>
      </c>
      <c r="AR533">
        <f t="shared" si="457"/>
        <v>4.8820828867271819E-15</v>
      </c>
      <c r="AS533">
        <f t="shared" si="440"/>
        <v>0</v>
      </c>
      <c r="AT533">
        <f t="shared" si="458"/>
        <v>0</v>
      </c>
      <c r="AU533">
        <f t="shared" si="459"/>
        <v>0</v>
      </c>
      <c r="AV533">
        <f t="shared" si="441"/>
        <v>1.5833626974092557E-20</v>
      </c>
      <c r="AW533" t="b">
        <f t="shared" si="460"/>
        <v>1</v>
      </c>
      <c r="AX533">
        <f t="shared" si="442"/>
        <v>7.8539816339744828</v>
      </c>
      <c r="AY533">
        <f t="shared" si="443"/>
        <v>1.9898169881303125E-2</v>
      </c>
      <c r="AZ533">
        <f t="shared" si="444"/>
        <v>7.9681696491768813E-3</v>
      </c>
      <c r="BA533">
        <f t="shared" si="445"/>
        <v>7.8958913356844108E-5</v>
      </c>
      <c r="BB533">
        <f t="shared" si="446"/>
        <v>-1.2337005501361696E-20</v>
      </c>
      <c r="BD533" s="15">
        <f t="shared" si="461"/>
        <v>7.8819269324183194</v>
      </c>
      <c r="BE533" s="10">
        <f t="shared" si="462"/>
        <v>0</v>
      </c>
      <c r="BF533">
        <f t="shared" si="463"/>
        <v>0</v>
      </c>
      <c r="BG533">
        <f t="shared" si="464"/>
        <v>0</v>
      </c>
      <c r="BH533">
        <f t="shared" si="465"/>
        <v>-1.0061396160665481E-16</v>
      </c>
      <c r="BI533">
        <f t="shared" si="466"/>
        <v>0</v>
      </c>
    </row>
    <row r="534" spans="1:61" x14ac:dyDescent="0.3">
      <c r="A534">
        <f t="shared" si="471"/>
        <v>0.497</v>
      </c>
      <c r="B534">
        <f t="shared" si="414"/>
        <v>1.5613715488341271</v>
      </c>
      <c r="C534">
        <f t="shared" si="415"/>
        <v>1.580221104755666</v>
      </c>
      <c r="D534">
        <f t="shared" si="416"/>
        <v>1.580221104755666</v>
      </c>
      <c r="E534">
        <f t="shared" si="421"/>
        <v>0.99995558710894983</v>
      </c>
      <c r="F534">
        <f t="shared" si="422"/>
        <v>0.99995558710894983</v>
      </c>
      <c r="G534">
        <f t="shared" si="417"/>
        <v>1.5613715488341271</v>
      </c>
      <c r="H534">
        <f t="shared" si="418"/>
        <v>0.99995558710894983</v>
      </c>
      <c r="I534">
        <f t="shared" si="419"/>
        <v>0.99995558710894983</v>
      </c>
      <c r="J534">
        <f t="shared" si="467"/>
        <v>6.3664804774796337E+19</v>
      </c>
      <c r="K534">
        <f t="shared" si="468"/>
        <v>6.3664804774796337E+19</v>
      </c>
      <c r="L534">
        <f t="shared" si="423"/>
        <v>1</v>
      </c>
      <c r="M534">
        <f t="shared" si="420"/>
        <v>1.5802211047556661E-20</v>
      </c>
      <c r="N534" s="9">
        <f t="shared" si="469"/>
        <v>1.5802211047556661E-20</v>
      </c>
      <c r="O534">
        <f t="shared" si="470"/>
        <v>1.5802211047556661E-20</v>
      </c>
      <c r="Q534">
        <f t="shared" si="424"/>
        <v>45.600163568468794</v>
      </c>
      <c r="R534">
        <f t="shared" si="425"/>
        <v>0</v>
      </c>
      <c r="S534">
        <f t="shared" si="447"/>
        <v>-45.59413708291391</v>
      </c>
      <c r="T534" s="9" t="e">
        <f t="shared" si="426"/>
        <v>#N/A</v>
      </c>
      <c r="U534">
        <f t="shared" si="448"/>
        <v>-1.0000000000000001E+300</v>
      </c>
      <c r="V534">
        <f t="shared" si="449"/>
        <v>0</v>
      </c>
      <c r="W534">
        <f t="shared" si="450"/>
        <v>0</v>
      </c>
      <c r="X534">
        <f t="shared" si="427"/>
        <v>1.580221104755666</v>
      </c>
      <c r="Y534">
        <f t="shared" si="428"/>
        <v>7.8539816339744828</v>
      </c>
      <c r="Z534">
        <f t="shared" si="429"/>
        <v>-1.580221104755666</v>
      </c>
      <c r="AA534">
        <f t="shared" si="451"/>
        <v>1.4893674027867594E-2</v>
      </c>
      <c r="AB534">
        <f t="shared" si="430"/>
        <v>7.8688753080023508</v>
      </c>
      <c r="AC534">
        <f t="shared" si="452"/>
        <v>5.9820716775474689E-3</v>
      </c>
      <c r="AD534">
        <f t="shared" si="431"/>
        <v>4.4413877331820003E-5</v>
      </c>
      <c r="AE534" s="9">
        <f t="shared" si="453"/>
        <v>7.8749017935572301</v>
      </c>
      <c r="AF534">
        <f t="shared" si="454"/>
        <v>0</v>
      </c>
      <c r="AH534">
        <f t="shared" si="432"/>
        <v>7.8539816339744828</v>
      </c>
      <c r="AI534">
        <f t="shared" si="433"/>
        <v>1.4893674027867692E-2</v>
      </c>
      <c r="AJ534">
        <f t="shared" si="434"/>
        <v>5.9820716775504934E-3</v>
      </c>
      <c r="AK534">
        <f t="shared" si="435"/>
        <v>4.4413877331820003E-5</v>
      </c>
      <c r="AL534" s="9">
        <f t="shared" si="455"/>
        <v>7.8749017935572327</v>
      </c>
      <c r="AM534" t="e">
        <f t="shared" si="436"/>
        <v>#N/A</v>
      </c>
      <c r="AN534" t="e">
        <f t="shared" si="456"/>
        <v>#N/A</v>
      </c>
      <c r="AO534">
        <f t="shared" si="437"/>
        <v>0</v>
      </c>
      <c r="AP534">
        <f t="shared" si="438"/>
        <v>9.7144514654701197E-17</v>
      </c>
      <c r="AQ534">
        <f t="shared" si="439"/>
        <v>3.0244903803655632E-15</v>
      </c>
      <c r="AR534">
        <f t="shared" si="457"/>
        <v>6.5225353041118796E-15</v>
      </c>
      <c r="AS534">
        <f t="shared" si="440"/>
        <v>0</v>
      </c>
      <c r="AT534">
        <f t="shared" si="458"/>
        <v>0</v>
      </c>
      <c r="AU534">
        <f t="shared" si="459"/>
        <v>0</v>
      </c>
      <c r="AV534">
        <f t="shared" si="441"/>
        <v>1.5802211047556661E-20</v>
      </c>
      <c r="AW534" t="b">
        <f t="shared" si="460"/>
        <v>1</v>
      </c>
      <c r="AX534">
        <f t="shared" si="442"/>
        <v>7.8539816339744828</v>
      </c>
      <c r="AY534">
        <f t="shared" si="443"/>
        <v>1.4893674027867499E-2</v>
      </c>
      <c r="AZ534">
        <f t="shared" si="444"/>
        <v>5.9820716775476901E-3</v>
      </c>
      <c r="BA534">
        <f t="shared" si="445"/>
        <v>4.4413877331820003E-5</v>
      </c>
      <c r="BB534">
        <f t="shared" si="446"/>
        <v>-1.2337005501361696E-20</v>
      </c>
      <c r="BD534" s="15">
        <f t="shared" si="461"/>
        <v>7.8749017935572292</v>
      </c>
      <c r="BE534" s="10">
        <f t="shared" si="462"/>
        <v>0</v>
      </c>
      <c r="BF534">
        <f t="shared" si="463"/>
        <v>0</v>
      </c>
      <c r="BG534">
        <f t="shared" si="464"/>
        <v>0</v>
      </c>
      <c r="BH534">
        <f t="shared" si="465"/>
        <v>-9.540979117872439E-17</v>
      </c>
      <c r="BI534">
        <f t="shared" si="466"/>
        <v>2.211772431870429E-16</v>
      </c>
    </row>
    <row r="535" spans="1:61" x14ac:dyDescent="0.3">
      <c r="A535">
        <f t="shared" si="471"/>
        <v>0.498</v>
      </c>
      <c r="B535">
        <f t="shared" si="414"/>
        <v>1.5645131414877169</v>
      </c>
      <c r="C535">
        <f t="shared" si="415"/>
        <v>1.5770795121020762</v>
      </c>
      <c r="D535">
        <f t="shared" si="416"/>
        <v>1.5770795121020762</v>
      </c>
      <c r="E535">
        <f t="shared" si="421"/>
        <v>0.99998026085613712</v>
      </c>
      <c r="F535">
        <f t="shared" si="422"/>
        <v>0.99998026085613712</v>
      </c>
      <c r="G535">
        <f t="shared" si="417"/>
        <v>1.5645131414877169</v>
      </c>
      <c r="H535">
        <f t="shared" si="418"/>
        <v>0.99998026085613712</v>
      </c>
      <c r="I535">
        <f t="shared" si="419"/>
        <v>0.99998026085613712</v>
      </c>
      <c r="J535">
        <f t="shared" si="467"/>
        <v>6.3663233894490759E+19</v>
      </c>
      <c r="K535">
        <f t="shared" si="468"/>
        <v>6.3663233894490759E+19</v>
      </c>
      <c r="L535">
        <f t="shared" si="423"/>
        <v>1</v>
      </c>
      <c r="M535">
        <f t="shared" si="420"/>
        <v>1.5770795121020761E-20</v>
      </c>
      <c r="N535" s="9">
        <f t="shared" si="469"/>
        <v>1.5770795121020761E-20</v>
      </c>
      <c r="O535">
        <f t="shared" si="470"/>
        <v>1.5770795121020761E-20</v>
      </c>
      <c r="Q535">
        <f t="shared" si="424"/>
        <v>45.600138893930144</v>
      </c>
      <c r="R535">
        <f t="shared" si="425"/>
        <v>0</v>
      </c>
      <c r="S535">
        <f t="shared" si="447"/>
        <v>-45.596127133321922</v>
      </c>
      <c r="T535" s="9" t="e">
        <f t="shared" si="426"/>
        <v>#N/A</v>
      </c>
      <c r="U535">
        <f t="shared" si="448"/>
        <v>-1.0000000000000001E+300</v>
      </c>
      <c r="V535">
        <f t="shared" si="449"/>
        <v>0</v>
      </c>
      <c r="W535">
        <f t="shared" si="450"/>
        <v>0</v>
      </c>
      <c r="X535">
        <f t="shared" si="427"/>
        <v>1.5770795121020762</v>
      </c>
      <c r="Y535">
        <f t="shared" si="428"/>
        <v>7.8539816339744828</v>
      </c>
      <c r="Z535">
        <f t="shared" si="429"/>
        <v>-1.5770795121020762</v>
      </c>
      <c r="AA535">
        <f t="shared" si="451"/>
        <v>9.9092132190561968E-3</v>
      </c>
      <c r="AB535">
        <f t="shared" si="430"/>
        <v>7.8638908471935389</v>
      </c>
      <c r="AC535">
        <f t="shared" si="452"/>
        <v>3.9920212695374567E-3</v>
      </c>
      <c r="AD535">
        <f t="shared" si="431"/>
        <v>1.9739338682348604E-5</v>
      </c>
      <c r="AE535" s="9">
        <f t="shared" si="453"/>
        <v>7.8679026078017591</v>
      </c>
      <c r="AF535">
        <f t="shared" si="454"/>
        <v>0</v>
      </c>
      <c r="AH535">
        <f t="shared" si="432"/>
        <v>7.8539816339744828</v>
      </c>
      <c r="AI535">
        <f t="shared" si="433"/>
        <v>9.909213219056294E-3</v>
      </c>
      <c r="AJ535">
        <f t="shared" si="434"/>
        <v>3.9920212695392365E-3</v>
      </c>
      <c r="AK535">
        <f t="shared" si="435"/>
        <v>1.9739338682348604E-5</v>
      </c>
      <c r="AL535" s="9">
        <f t="shared" si="455"/>
        <v>7.8679026078017609</v>
      </c>
      <c r="AM535" t="e">
        <f t="shared" si="436"/>
        <v>#N/A</v>
      </c>
      <c r="AN535" t="e">
        <f t="shared" si="456"/>
        <v>#N/A</v>
      </c>
      <c r="AO535">
        <f t="shared" si="437"/>
        <v>0</v>
      </c>
      <c r="AP535">
        <f t="shared" si="438"/>
        <v>9.7144514654701197E-17</v>
      </c>
      <c r="AQ535">
        <f t="shared" si="439"/>
        <v>1.7798262863522041E-15</v>
      </c>
      <c r="AR535">
        <f t="shared" si="457"/>
        <v>9.8034538673447554E-15</v>
      </c>
      <c r="AS535">
        <f t="shared" si="440"/>
        <v>0</v>
      </c>
      <c r="AT535">
        <f t="shared" si="458"/>
        <v>0</v>
      </c>
      <c r="AU535">
        <f t="shared" si="459"/>
        <v>0</v>
      </c>
      <c r="AV535">
        <f t="shared" si="441"/>
        <v>1.5770795121020761E-20</v>
      </c>
      <c r="AW535" t="b">
        <f t="shared" si="460"/>
        <v>1</v>
      </c>
      <c r="AX535">
        <f t="shared" si="442"/>
        <v>7.8539816339744828</v>
      </c>
      <c r="AY535">
        <f t="shared" si="443"/>
        <v>9.9092132190561014E-3</v>
      </c>
      <c r="AZ535">
        <f t="shared" si="444"/>
        <v>3.9920212695374567E-3</v>
      </c>
      <c r="BA535">
        <f t="shared" si="445"/>
        <v>1.9739338682348604E-5</v>
      </c>
      <c r="BB535">
        <f t="shared" si="446"/>
        <v>-1.2337005501361696E-20</v>
      </c>
      <c r="BD535" s="15">
        <f t="shared" si="461"/>
        <v>7.8679026078017591</v>
      </c>
      <c r="BE535" s="10">
        <f t="shared" si="462"/>
        <v>0</v>
      </c>
      <c r="BF535">
        <f t="shared" si="463"/>
        <v>0</v>
      </c>
      <c r="BG535">
        <f t="shared" si="464"/>
        <v>0</v>
      </c>
      <c r="BH535">
        <f t="shared" si="465"/>
        <v>-9.540979117872439E-17</v>
      </c>
      <c r="BI535">
        <f t="shared" si="466"/>
        <v>0</v>
      </c>
    </row>
    <row r="536" spans="1:61" x14ac:dyDescent="0.3">
      <c r="A536">
        <f t="shared" si="471"/>
        <v>0.499</v>
      </c>
      <c r="B536">
        <f t="shared" ref="B536:B599" si="472">th_max*A536</f>
        <v>1.5676547341413067</v>
      </c>
      <c r="C536">
        <f t="shared" ref="C536:C599" si="473">th_max-B536</f>
        <v>1.5739379194484864</v>
      </c>
      <c r="D536">
        <f t="shared" ref="D536:D599" si="474">IF(use_th_l,B536,C536)</f>
        <v>1.5739379194484864</v>
      </c>
      <c r="E536">
        <f t="shared" si="421"/>
        <v>0.99999506520185821</v>
      </c>
      <c r="F536">
        <f t="shared" si="422"/>
        <v>0.99999506520185821</v>
      </c>
      <c r="G536">
        <f t="shared" ref="G536:G599" si="475">alpha*B536</f>
        <v>1.5676547341413067</v>
      </c>
      <c r="H536">
        <f t="shared" ref="H536:H599" si="476">SIN(G536)</f>
        <v>0.99999506520185821</v>
      </c>
      <c r="I536">
        <f t="shared" ref="I536:I599" si="477">SIN(alpha*C536+add_r)</f>
        <v>0.99999506520185821</v>
      </c>
      <c r="J536">
        <f t="shared" si="467"/>
        <v>6.3662291397315428E+19</v>
      </c>
      <c r="K536">
        <f t="shared" si="468"/>
        <v>6.3662291397315428E+19</v>
      </c>
      <c r="L536">
        <f t="shared" si="423"/>
        <v>1</v>
      </c>
      <c r="M536">
        <f t="shared" ref="M536:M599" si="478">-SIN((alpha_m_1)*B536+add_l)</f>
        <v>1.5739379194484864E-20</v>
      </c>
      <c r="N536" s="9">
        <f t="shared" si="469"/>
        <v>1.5739379194484864E-20</v>
      </c>
      <c r="O536">
        <f t="shared" si="470"/>
        <v>1.5739379194484864E-20</v>
      </c>
      <c r="Q536">
        <f t="shared" si="424"/>
        <v>45.600124089401774</v>
      </c>
      <c r="R536">
        <f t="shared" si="425"/>
        <v>-710542.73576010019</v>
      </c>
      <c r="S536">
        <f t="shared" si="447"/>
        <v>-45.598121151928787</v>
      </c>
      <c r="T536" s="9" t="e">
        <f t="shared" si="426"/>
        <v>#N/A</v>
      </c>
      <c r="U536">
        <f t="shared" si="448"/>
        <v>-1.0000000000000001E+300</v>
      </c>
      <c r="V536">
        <f t="shared" si="449"/>
        <v>0</v>
      </c>
      <c r="W536">
        <f t="shared" si="450"/>
        <v>0</v>
      </c>
      <c r="X536">
        <f t="shared" si="427"/>
        <v>1.5739379194484864</v>
      </c>
      <c r="Y536">
        <f t="shared" si="428"/>
        <v>7.8539816339744828</v>
      </c>
      <c r="Z536">
        <f t="shared" si="429"/>
        <v>-1.5739379194484864</v>
      </c>
      <c r="AA536">
        <f t="shared" si="451"/>
        <v>4.9446880723282346E-3</v>
      </c>
      <c r="AB536">
        <f t="shared" si="430"/>
        <v>7.8589263220468109</v>
      </c>
      <c r="AC536">
        <f t="shared" si="452"/>
        <v>1.9980026626730579E-3</v>
      </c>
      <c r="AD536">
        <f t="shared" si="431"/>
        <v>4.9348103179432862E-6</v>
      </c>
      <c r="AE536" s="9">
        <f t="shared" si="453"/>
        <v>7.8609292595198017</v>
      </c>
      <c r="AF536">
        <f t="shared" si="454"/>
        <v>0</v>
      </c>
      <c r="AH536">
        <f t="shared" si="432"/>
        <v>7.8539816339744828</v>
      </c>
      <c r="AI536">
        <f t="shared" si="433"/>
        <v>4.94468807232833E-3</v>
      </c>
      <c r="AJ536">
        <f t="shared" si="434"/>
        <v>1.9980026626740255E-3</v>
      </c>
      <c r="AK536">
        <f t="shared" si="435"/>
        <v>4.9348103179432862E-6</v>
      </c>
      <c r="AL536" s="9">
        <f t="shared" si="455"/>
        <v>7.8609292595198026</v>
      </c>
      <c r="AM536" t="e">
        <f t="shared" si="436"/>
        <v>#N/A</v>
      </c>
      <c r="AN536" t="e">
        <f t="shared" si="456"/>
        <v>#N/A</v>
      </c>
      <c r="AO536">
        <f t="shared" si="437"/>
        <v>0</v>
      </c>
      <c r="AP536">
        <f t="shared" si="438"/>
        <v>9.540979117872439E-17</v>
      </c>
      <c r="AQ536">
        <f t="shared" si="439"/>
        <v>9.6754201872606416E-16</v>
      </c>
      <c r="AR536">
        <f t="shared" si="457"/>
        <v>1.9295411516989445E-14</v>
      </c>
      <c r="AS536">
        <f t="shared" si="440"/>
        <v>0</v>
      </c>
      <c r="AT536">
        <f t="shared" si="458"/>
        <v>0</v>
      </c>
      <c r="AU536">
        <f t="shared" si="459"/>
        <v>0</v>
      </c>
      <c r="AV536">
        <f t="shared" si="441"/>
        <v>1.5739379194484861E-20</v>
      </c>
      <c r="AW536" t="b">
        <f t="shared" si="460"/>
        <v>1</v>
      </c>
      <c r="AX536">
        <f t="shared" si="442"/>
        <v>7.8539816339744828</v>
      </c>
      <c r="AY536">
        <f t="shared" si="443"/>
        <v>4.9446880723281366E-3</v>
      </c>
      <c r="AZ536">
        <f t="shared" si="444"/>
        <v>1.9980026626730579E-3</v>
      </c>
      <c r="BA536">
        <f t="shared" si="445"/>
        <v>4.9348103179432862E-6</v>
      </c>
      <c r="BB536">
        <f t="shared" si="446"/>
        <v>-1.2337005501361696E-20</v>
      </c>
      <c r="BD536" s="15">
        <f t="shared" si="461"/>
        <v>7.8609292595198017</v>
      </c>
      <c r="BE536" s="10">
        <f t="shared" si="462"/>
        <v>0</v>
      </c>
      <c r="BF536">
        <f t="shared" si="463"/>
        <v>0</v>
      </c>
      <c r="BG536">
        <f t="shared" si="464"/>
        <v>0</v>
      </c>
      <c r="BH536">
        <f t="shared" si="465"/>
        <v>-9.8011876392689601E-17</v>
      </c>
      <c r="BI536">
        <f t="shared" si="466"/>
        <v>0</v>
      </c>
    </row>
    <row r="537" spans="1:61" x14ac:dyDescent="0.3">
      <c r="A537">
        <f t="shared" si="471"/>
        <v>0.5</v>
      </c>
      <c r="B537">
        <f t="shared" si="472"/>
        <v>1.5707963267948966</v>
      </c>
      <c r="C537">
        <f t="shared" si="473"/>
        <v>1.5707963267948966</v>
      </c>
      <c r="D537">
        <f t="shared" si="474"/>
        <v>1.5707963267948966</v>
      </c>
      <c r="E537">
        <f t="shared" ref="E537:E600" si="479">SIN(B537-add_l)</f>
        <v>1</v>
      </c>
      <c r="F537">
        <f t="shared" ref="F537:F600" si="480">SIN(C537)</f>
        <v>1</v>
      </c>
      <c r="G537">
        <f t="shared" si="475"/>
        <v>1.5707963267948966</v>
      </c>
      <c r="H537">
        <f t="shared" si="476"/>
        <v>1</v>
      </c>
      <c r="I537">
        <f t="shared" si="477"/>
        <v>1</v>
      </c>
      <c r="J537">
        <f t="shared" si="467"/>
        <v>6.3661977236758143E+19</v>
      </c>
      <c r="K537">
        <f t="shared" si="468"/>
        <v>6.3661977236758143E+19</v>
      </c>
      <c r="L537">
        <f t="shared" ref="L537:L600" si="481">(cat0*E537*K537)^(1/(alpha_m_1))</f>
        <v>1</v>
      </c>
      <c r="M537">
        <f t="shared" si="478"/>
        <v>1.5707963267948965E-20</v>
      </c>
      <c r="N537" s="9">
        <f t="shared" si="469"/>
        <v>1.5707963267948965E-20</v>
      </c>
      <c r="O537">
        <f t="shared" si="470"/>
        <v>1.5707963267948965E-20</v>
      </c>
      <c r="Q537">
        <f t="shared" ref="Q537:Q600" si="482">alpha*LN(J537)</f>
        <v>45.600119154591461</v>
      </c>
      <c r="R537">
        <f t="shared" ref="R537:R600" si="483">(LN(cat0)+LN(E537)+Q537)/(alpha_m_1)</f>
        <v>0</v>
      </c>
      <c r="S537">
        <f t="shared" si="447"/>
        <v>-45.600119154591461</v>
      </c>
      <c r="T537" s="9" t="e">
        <f t="shared" ref="T537:T600" si="484">IF(ABS(alpha_m_1)&gt;0.00000000000001,R537+S537,NA())</f>
        <v>#N/A</v>
      </c>
      <c r="U537">
        <f t="shared" si="448"/>
        <v>-1.0000000000000001E+300</v>
      </c>
      <c r="V537">
        <f t="shared" si="449"/>
        <v>0</v>
      </c>
      <c r="W537">
        <f t="shared" si="450"/>
        <v>0</v>
      </c>
      <c r="X537">
        <f t="shared" ref="X537:X600" si="485">C537</f>
        <v>1.5707963267948966</v>
      </c>
      <c r="Y537">
        <f t="shared" ref="Y537:Y600" si="486">ea</f>
        <v>7.8539816339744828</v>
      </c>
      <c r="Z537">
        <f t="shared" ref="Z537:Z600" si="487">p2b+PI()/2-X537</f>
        <v>-1.5707963267948966</v>
      </c>
      <c r="AA537">
        <f t="shared" si="451"/>
        <v>0</v>
      </c>
      <c r="AB537">
        <f t="shared" ref="AB537:AB600" si="488">$AA$7+AA537</f>
        <v>7.8539816339744828</v>
      </c>
      <c r="AC537">
        <f t="shared" si="452"/>
        <v>0</v>
      </c>
      <c r="AD537">
        <f t="shared" ref="AD537:AD600" si="489">-LN(SIN(A537*PI()))</f>
        <v>0</v>
      </c>
      <c r="AE537" s="9">
        <f t="shared" si="453"/>
        <v>7.8539816339744828</v>
      </c>
      <c r="AF537">
        <f t="shared" si="454"/>
        <v>0</v>
      </c>
      <c r="AH537">
        <f t="shared" ref="AH537:AH600" si="490">IF(use_alpha_near_1,$D$18,NA())</f>
        <v>7.8539816339744828</v>
      </c>
      <c r="AI537">
        <f t="shared" ref="AI537:AI600" si="491">IF(use_alpha_near_1,alpha/(alpha_m_1)*(log1p(-SIN(add_l)*_xlfn.COT(B537)-2*SIN(add_l/2)^2)-log1p(SIN(alpha_m_1*B537)*_xlfn.COT(B537)-2*SIN(alpha_m_1*B537/2)^2)),NA())</f>
        <v>9.618592362094106E-17</v>
      </c>
      <c r="AJ537">
        <f t="shared" ref="AJ537:AJ600" si="492">IF(use_alpha_near_1,$D$21+LN(M537),NA())</f>
        <v>0</v>
      </c>
      <c r="AK537">
        <f t="shared" ref="AK537:AK600" si="493">IF(use_alpha_near_1,-LN(E537),NA())</f>
        <v>0</v>
      </c>
      <c r="AL537" s="9">
        <f t="shared" si="455"/>
        <v>7.8539816339744828</v>
      </c>
      <c r="AM537" t="e">
        <f t="shared" ref="AM537:AM600" si="494">AL537-T537</f>
        <v>#N/A</v>
      </c>
      <c r="AN537" t="e">
        <f t="shared" si="456"/>
        <v>#N/A</v>
      </c>
      <c r="AO537">
        <f t="shared" ref="AO537:AO600" si="495">AH537-Y537</f>
        <v>0</v>
      </c>
      <c r="AP537">
        <f t="shared" ref="AP537:AP600" si="496">AI537-AA537</f>
        <v>9.618592362094106E-17</v>
      </c>
      <c r="AQ537">
        <f t="shared" ref="AQ537:AQ600" si="497">AJ537-AC537</f>
        <v>0</v>
      </c>
      <c r="AR537">
        <f t="shared" si="457"/>
        <v>1</v>
      </c>
      <c r="AS537">
        <f t="shared" ref="AS537:AS600" si="498">AL537-AE537</f>
        <v>0</v>
      </c>
      <c r="AT537">
        <f t="shared" si="458"/>
        <v>0</v>
      </c>
      <c r="AU537">
        <f t="shared" si="459"/>
        <v>0</v>
      </c>
      <c r="AV537">
        <f t="shared" ref="AV537:AV600" si="499">alpha_m_1*C537+add_r</f>
        <v>1.5707963267948965E-20</v>
      </c>
      <c r="AW537" t="b">
        <f t="shared" si="460"/>
        <v>1</v>
      </c>
      <c r="AX537">
        <f t="shared" ref="AX537:AX600" si="500">IF(use_alpha_near_1,$D$18,NA())</f>
        <v>7.8539816339744828</v>
      </c>
      <c r="AY537">
        <f t="shared" ref="AY537:AY600" si="501">-alpha/alpha_m_1*log1p(_xlfn.COT(C537)*SIN(AV537)-2*SIN(AV537/2)^2)</f>
        <v>-9.6210597631943796E-17</v>
      </c>
      <c r="AZ537">
        <f t="shared" ref="AZ537:AZ600" si="502">LN(ABS(zeta)*SIN(AV537))</f>
        <v>0</v>
      </c>
      <c r="BA537">
        <f t="shared" ref="BA537:BA600" si="503">-LN(SIN(C537))</f>
        <v>0</v>
      </c>
      <c r="BB537">
        <f t="shared" ref="BB537:BB600" si="504">-log1p(zeta^-2)/(2*alpha_m_1)</f>
        <v>-1.2337005501361696E-20</v>
      </c>
      <c r="BD537" s="15">
        <f t="shared" si="461"/>
        <v>7.8539816339744828</v>
      </c>
      <c r="BE537" s="10">
        <f t="shared" si="462"/>
        <v>0</v>
      </c>
      <c r="BF537">
        <f t="shared" si="463"/>
        <v>0</v>
      </c>
      <c r="BG537">
        <f t="shared" si="464"/>
        <v>0</v>
      </c>
      <c r="BH537">
        <f t="shared" si="465"/>
        <v>-9.6210597631943796E-17</v>
      </c>
      <c r="BI537">
        <f t="shared" si="466"/>
        <v>0</v>
      </c>
    </row>
    <row r="538" spans="1:61" x14ac:dyDescent="0.3">
      <c r="A538">
        <f t="shared" si="471"/>
        <v>0.501</v>
      </c>
      <c r="B538">
        <f t="shared" si="472"/>
        <v>1.5739379194484864</v>
      </c>
      <c r="C538">
        <f t="shared" si="473"/>
        <v>1.5676547341413067</v>
      </c>
      <c r="D538">
        <f t="shared" si="474"/>
        <v>1.5676547341413067</v>
      </c>
      <c r="E538">
        <f t="shared" si="479"/>
        <v>0.99999506520185821</v>
      </c>
      <c r="F538">
        <f t="shared" si="480"/>
        <v>0.99999506520185821</v>
      </c>
      <c r="G538">
        <f t="shared" si="475"/>
        <v>1.5739379194484864</v>
      </c>
      <c r="H538">
        <f t="shared" si="476"/>
        <v>0.99999506520185821</v>
      </c>
      <c r="I538">
        <f t="shared" si="477"/>
        <v>0.99999506520185821</v>
      </c>
      <c r="J538">
        <f t="shared" si="467"/>
        <v>6.3662291397315428E+19</v>
      </c>
      <c r="K538">
        <f t="shared" si="468"/>
        <v>6.3662291397315428E+19</v>
      </c>
      <c r="L538">
        <f t="shared" si="481"/>
        <v>1</v>
      </c>
      <c r="M538">
        <f t="shared" si="478"/>
        <v>1.5676547341413068E-20</v>
      </c>
      <c r="N538" s="9">
        <f t="shared" si="469"/>
        <v>1.5676547341413068E-20</v>
      </c>
      <c r="O538">
        <f t="shared" si="470"/>
        <v>1.5676547341413068E-20</v>
      </c>
      <c r="Q538">
        <f t="shared" si="482"/>
        <v>45.600124089401774</v>
      </c>
      <c r="R538">
        <f t="shared" si="483"/>
        <v>-710542.73576010019</v>
      </c>
      <c r="S538">
        <f t="shared" ref="S538:S601" si="505">LN(M538)</f>
        <v>-45.602121157262133</v>
      </c>
      <c r="T538" s="9" t="e">
        <f t="shared" si="484"/>
        <v>#N/A</v>
      </c>
      <c r="U538">
        <f t="shared" ref="U538:U601" si="506">IFERROR(T538-EXP(T538),-1E+300)</f>
        <v>-1.0000000000000001E+300</v>
      </c>
      <c r="V538">
        <f t="shared" ref="V538:V601" si="507">EXP(U538)</f>
        <v>0</v>
      </c>
      <c r="W538">
        <f t="shared" ref="W538:W601" si="508">IFERROR(T538-LN(N538),0)</f>
        <v>0</v>
      </c>
      <c r="X538">
        <f t="shared" si="485"/>
        <v>1.5676547341413067</v>
      </c>
      <c r="Y538">
        <f t="shared" si="486"/>
        <v>7.8539816339744828</v>
      </c>
      <c r="Z538">
        <f t="shared" si="487"/>
        <v>-1.5676547341413067</v>
      </c>
      <c r="AA538">
        <f t="shared" ref="AA538:AA601" si="509">Z538*TAN(PI()/2-X538)</f>
        <v>-4.9249487985864046E-3</v>
      </c>
      <c r="AB538">
        <f t="shared" si="488"/>
        <v>7.8490566851758965</v>
      </c>
      <c r="AC538">
        <f t="shared" ref="AC538:AC601" si="510">LN(Z538/$AA$6)</f>
        <v>-2.0020026706730793E-3</v>
      </c>
      <c r="AD538">
        <f t="shared" si="489"/>
        <v>4.9348103179432862E-6</v>
      </c>
      <c r="AE538" s="9">
        <f t="shared" ref="AE538:AE601" si="511">AB538+AC538+AD538</f>
        <v>7.8470596173155407</v>
      </c>
      <c r="AF538">
        <f t="shared" ref="AF538:AF601" si="512">IFERROR(EXP(AE538)*EXP(-EXP(AE538)),0)</f>
        <v>0</v>
      </c>
      <c r="AH538">
        <f t="shared" si="490"/>
        <v>7.8539816339744828</v>
      </c>
      <c r="AI538">
        <f t="shared" si="491"/>
        <v>-4.9249487985863092E-3</v>
      </c>
      <c r="AJ538">
        <f t="shared" si="492"/>
        <v>-2.0020026706717431E-3</v>
      </c>
      <c r="AK538">
        <f t="shared" si="493"/>
        <v>4.9348103179432862E-6</v>
      </c>
      <c r="AL538" s="9">
        <f t="shared" ref="AL538:AL601" si="513">SUM(AH538:AK538)</f>
        <v>7.8470596173155425</v>
      </c>
      <c r="AM538" t="e">
        <f t="shared" si="494"/>
        <v>#N/A</v>
      </c>
      <c r="AN538" t="e">
        <f t="shared" ref="AN538:AN601" si="514">AM538/AL538</f>
        <v>#N/A</v>
      </c>
      <c r="AO538">
        <f t="shared" si="495"/>
        <v>0</v>
      </c>
      <c r="AP538">
        <f t="shared" si="496"/>
        <v>9.540979117872439E-17</v>
      </c>
      <c r="AQ538">
        <f t="shared" si="497"/>
        <v>1.3361707573711357E-15</v>
      </c>
      <c r="AR538">
        <f t="shared" ref="AR538:AR601" si="515">AP538/AI538</f>
        <v>-1.9372747835695563E-14</v>
      </c>
      <c r="AS538">
        <f t="shared" si="498"/>
        <v>0</v>
      </c>
      <c r="AT538">
        <f t="shared" ref="AT538:AT601" si="516">AS538/AL538</f>
        <v>0</v>
      </c>
      <c r="AU538">
        <f t="shared" ref="AU538:AU601" si="517">IFERROR(EXP(AL538)*EXP(-EXP(AL538)),0)</f>
        <v>0</v>
      </c>
      <c r="AV538">
        <f t="shared" si="499"/>
        <v>1.5676547341413065E-20</v>
      </c>
      <c r="AW538" t="b">
        <f t="shared" ref="AW538:AW601" si="518">(ABS(_xlfn.COT(C538)*SIN(AV538))&lt;0.00000001)</f>
        <v>1</v>
      </c>
      <c r="AX538">
        <f t="shared" si="500"/>
        <v>7.8539816339744828</v>
      </c>
      <c r="AY538">
        <f t="shared" si="501"/>
        <v>-4.9249487985865001E-3</v>
      </c>
      <c r="AZ538">
        <f t="shared" si="502"/>
        <v>-2.0020026706730793E-3</v>
      </c>
      <c r="BA538">
        <f t="shared" si="503"/>
        <v>4.9348103179432862E-6</v>
      </c>
      <c r="BB538">
        <f t="shared" si="504"/>
        <v>-1.2337005501361696E-20</v>
      </c>
      <c r="BD538" s="15">
        <f t="shared" ref="BD538:BD601" si="519">SUM(AX538:BB538)</f>
        <v>7.8470596173155407</v>
      </c>
      <c r="BE538" s="10">
        <f t="shared" ref="BE538:BE601" si="520">BD538-AL538</f>
        <v>0</v>
      </c>
      <c r="BF538">
        <f t="shared" ref="BF538:BF601" si="521">BD538-AE538</f>
        <v>0</v>
      </c>
      <c r="BG538">
        <f t="shared" ref="BG538:BG601" si="522">AX538-Y538</f>
        <v>0</v>
      </c>
      <c r="BH538">
        <f t="shared" ref="BH538:BH601" si="523">AY538-AA538</f>
        <v>-9.540979117872439E-17</v>
      </c>
      <c r="BI538">
        <f t="shared" ref="BI538:BI601" si="524">AZ538-AC538</f>
        <v>0</v>
      </c>
    </row>
    <row r="539" spans="1:61" x14ac:dyDescent="0.3">
      <c r="A539">
        <f t="shared" si="471"/>
        <v>0.502</v>
      </c>
      <c r="B539">
        <f t="shared" si="472"/>
        <v>1.5770795121020762</v>
      </c>
      <c r="C539">
        <f t="shared" si="473"/>
        <v>1.5645131414877169</v>
      </c>
      <c r="D539">
        <f t="shared" si="474"/>
        <v>1.5645131414877169</v>
      </c>
      <c r="E539">
        <f t="shared" si="479"/>
        <v>0.99998026085613712</v>
      </c>
      <c r="F539">
        <f t="shared" si="480"/>
        <v>0.99998026085613712</v>
      </c>
      <c r="G539">
        <f t="shared" si="475"/>
        <v>1.5770795121020762</v>
      </c>
      <c r="H539">
        <f t="shared" si="476"/>
        <v>0.99998026085613712</v>
      </c>
      <c r="I539">
        <f t="shared" si="477"/>
        <v>0.99998026085613712</v>
      </c>
      <c r="J539">
        <f t="shared" si="467"/>
        <v>6.3663233894490759E+19</v>
      </c>
      <c r="K539">
        <f t="shared" si="468"/>
        <v>6.3663233894490759E+19</v>
      </c>
      <c r="L539">
        <f t="shared" si="481"/>
        <v>1</v>
      </c>
      <c r="M539">
        <f t="shared" si="478"/>
        <v>1.5645131414877169E-20</v>
      </c>
      <c r="N539" s="9">
        <f t="shared" si="469"/>
        <v>1.5645131414877169E-20</v>
      </c>
      <c r="O539">
        <f t="shared" si="470"/>
        <v>1.5645131414877169E-20</v>
      </c>
      <c r="Q539">
        <f t="shared" si="482"/>
        <v>45.600138893930144</v>
      </c>
      <c r="R539">
        <f t="shared" si="483"/>
        <v>0</v>
      </c>
      <c r="S539">
        <f t="shared" si="505"/>
        <v>-45.604127175988999</v>
      </c>
      <c r="T539" s="9" t="e">
        <f t="shared" si="484"/>
        <v>#N/A</v>
      </c>
      <c r="U539">
        <f t="shared" si="506"/>
        <v>-1.0000000000000001E+300</v>
      </c>
      <c r="V539">
        <f t="shared" si="507"/>
        <v>0</v>
      </c>
      <c r="W539">
        <f t="shared" si="508"/>
        <v>0</v>
      </c>
      <c r="X539">
        <f t="shared" si="485"/>
        <v>1.5645131414877169</v>
      </c>
      <c r="Y539">
        <f t="shared" si="486"/>
        <v>7.8539816339744828</v>
      </c>
      <c r="Z539">
        <f t="shared" si="487"/>
        <v>-1.5645131414877169</v>
      </c>
      <c r="AA539">
        <f t="shared" si="509"/>
        <v>-9.8302553448007691E-3</v>
      </c>
      <c r="AB539">
        <f t="shared" si="488"/>
        <v>7.8441513786296824</v>
      </c>
      <c r="AC539">
        <f t="shared" si="510"/>
        <v>-4.0080213975388218E-3</v>
      </c>
      <c r="AD539">
        <f t="shared" si="489"/>
        <v>1.9739338682348604E-5</v>
      </c>
      <c r="AE539" s="9">
        <f t="shared" si="511"/>
        <v>7.8401630965708264</v>
      </c>
      <c r="AF539">
        <f t="shared" si="512"/>
        <v>0</v>
      </c>
      <c r="AH539">
        <f t="shared" si="490"/>
        <v>7.8539816339744828</v>
      </c>
      <c r="AI539">
        <f t="shared" si="491"/>
        <v>-9.8302553448006719E-3</v>
      </c>
      <c r="AJ539">
        <f t="shared" si="492"/>
        <v>-4.0080213975386414E-3</v>
      </c>
      <c r="AK539">
        <f t="shared" si="493"/>
        <v>1.9739338682348604E-5</v>
      </c>
      <c r="AL539" s="9">
        <f t="shared" si="513"/>
        <v>7.8401630965708264</v>
      </c>
      <c r="AM539" t="e">
        <f t="shared" si="494"/>
        <v>#N/A</v>
      </c>
      <c r="AN539" t="e">
        <f t="shared" si="514"/>
        <v>#N/A</v>
      </c>
      <c r="AO539">
        <f t="shared" si="495"/>
        <v>0</v>
      </c>
      <c r="AP539">
        <f t="shared" si="496"/>
        <v>9.7144514654701197E-17</v>
      </c>
      <c r="AQ539">
        <f t="shared" si="497"/>
        <v>1.8041124150158794E-16</v>
      </c>
      <c r="AR539">
        <f t="shared" si="515"/>
        <v>-9.8821964686890837E-15</v>
      </c>
      <c r="AS539">
        <f t="shared" si="498"/>
        <v>0</v>
      </c>
      <c r="AT539">
        <f t="shared" si="516"/>
        <v>0</v>
      </c>
      <c r="AU539">
        <f t="shared" si="517"/>
        <v>0</v>
      </c>
      <c r="AV539">
        <f t="shared" si="499"/>
        <v>1.5645131414877169E-20</v>
      </c>
      <c r="AW539" t="b">
        <f t="shared" si="518"/>
        <v>1</v>
      </c>
      <c r="AX539">
        <f t="shared" si="500"/>
        <v>7.8539816339744828</v>
      </c>
      <c r="AY539">
        <f t="shared" si="501"/>
        <v>-9.8302553448008645E-3</v>
      </c>
      <c r="AZ539">
        <f t="shared" si="502"/>
        <v>-4.0080213975388218E-3</v>
      </c>
      <c r="BA539">
        <f t="shared" si="503"/>
        <v>1.9739338682348604E-5</v>
      </c>
      <c r="BB539">
        <f t="shared" si="504"/>
        <v>-1.2337005501361696E-20</v>
      </c>
      <c r="BD539" s="15">
        <f t="shared" si="519"/>
        <v>7.8401630965708264</v>
      </c>
      <c r="BE539" s="10">
        <f t="shared" si="520"/>
        <v>0</v>
      </c>
      <c r="BF539">
        <f t="shared" si="521"/>
        <v>0</v>
      </c>
      <c r="BG539">
        <f t="shared" si="522"/>
        <v>0</v>
      </c>
      <c r="BH539">
        <f t="shared" si="523"/>
        <v>-9.540979117872439E-17</v>
      </c>
      <c r="BI539">
        <f t="shared" si="524"/>
        <v>0</v>
      </c>
    </row>
    <row r="540" spans="1:61" x14ac:dyDescent="0.3">
      <c r="A540">
        <f t="shared" si="471"/>
        <v>0.503</v>
      </c>
      <c r="B540">
        <f t="shared" si="472"/>
        <v>1.580221104755666</v>
      </c>
      <c r="C540">
        <f t="shared" si="473"/>
        <v>1.5613715488341271</v>
      </c>
      <c r="D540">
        <f t="shared" si="474"/>
        <v>1.5613715488341271</v>
      </c>
      <c r="E540">
        <f t="shared" si="479"/>
        <v>0.99995558710894983</v>
      </c>
      <c r="F540">
        <f t="shared" si="480"/>
        <v>0.99995558710894983</v>
      </c>
      <c r="G540">
        <f t="shared" si="475"/>
        <v>1.580221104755666</v>
      </c>
      <c r="H540">
        <f t="shared" si="476"/>
        <v>0.99995558710894983</v>
      </c>
      <c r="I540">
        <f t="shared" si="477"/>
        <v>0.99995558710894983</v>
      </c>
      <c r="J540">
        <f t="shared" si="467"/>
        <v>6.3664804774796337E+19</v>
      </c>
      <c r="K540">
        <f t="shared" si="468"/>
        <v>6.3664804774796337E+19</v>
      </c>
      <c r="L540">
        <f t="shared" si="481"/>
        <v>1</v>
      </c>
      <c r="M540">
        <f t="shared" si="478"/>
        <v>1.5613715488341269E-20</v>
      </c>
      <c r="N540" s="9">
        <f t="shared" si="469"/>
        <v>1.5613715488341269E-20</v>
      </c>
      <c r="O540">
        <f t="shared" si="470"/>
        <v>1.5613715488341269E-20</v>
      </c>
      <c r="Q540">
        <f t="shared" si="482"/>
        <v>45.600163568468794</v>
      </c>
      <c r="R540">
        <f t="shared" si="483"/>
        <v>0</v>
      </c>
      <c r="S540">
        <f t="shared" si="505"/>
        <v>-45.606137226917021</v>
      </c>
      <c r="T540" s="9" t="e">
        <f t="shared" si="484"/>
        <v>#N/A</v>
      </c>
      <c r="U540">
        <f t="shared" si="506"/>
        <v>-1.0000000000000001E+300</v>
      </c>
      <c r="V540">
        <f t="shared" si="507"/>
        <v>0</v>
      </c>
      <c r="W540">
        <f t="shared" si="508"/>
        <v>0</v>
      </c>
      <c r="X540">
        <f t="shared" si="485"/>
        <v>1.5613715488341271</v>
      </c>
      <c r="Y540">
        <f t="shared" si="486"/>
        <v>7.8539816339744828</v>
      </c>
      <c r="Z540">
        <f t="shared" si="487"/>
        <v>-1.5613715488341271</v>
      </c>
      <c r="AA540">
        <f t="shared" si="509"/>
        <v>-1.4716015888370166E-2</v>
      </c>
      <c r="AB540">
        <f t="shared" si="488"/>
        <v>7.8392656180861122</v>
      </c>
      <c r="AC540">
        <f t="shared" si="510"/>
        <v>-6.0180723255630212E-3</v>
      </c>
      <c r="AD540">
        <f t="shared" si="489"/>
        <v>4.4413877331820003E-5</v>
      </c>
      <c r="AE540" s="9">
        <f t="shared" si="511"/>
        <v>7.8332919596378803</v>
      </c>
      <c r="AF540">
        <f t="shared" si="512"/>
        <v>0</v>
      </c>
      <c r="AH540">
        <f t="shared" si="490"/>
        <v>7.8539816339744828</v>
      </c>
      <c r="AI540">
        <f t="shared" si="491"/>
        <v>-1.4716015888370071E-2</v>
      </c>
      <c r="AJ540">
        <f t="shared" si="492"/>
        <v>-6.0180723255598423E-3</v>
      </c>
      <c r="AK540">
        <f t="shared" si="493"/>
        <v>4.4413877331820003E-5</v>
      </c>
      <c r="AL540" s="9">
        <f t="shared" si="513"/>
        <v>7.8332919596378847</v>
      </c>
      <c r="AM540" t="e">
        <f t="shared" si="494"/>
        <v>#N/A</v>
      </c>
      <c r="AN540" t="e">
        <f t="shared" si="514"/>
        <v>#N/A</v>
      </c>
      <c r="AO540">
        <f t="shared" si="495"/>
        <v>0</v>
      </c>
      <c r="AP540">
        <f t="shared" si="496"/>
        <v>9.540979117872439E-17</v>
      </c>
      <c r="AQ540">
        <f t="shared" si="497"/>
        <v>3.178880769727499E-15</v>
      </c>
      <c r="AR540">
        <f t="shared" si="515"/>
        <v>-6.4833982174567952E-15</v>
      </c>
      <c r="AS540">
        <f t="shared" si="498"/>
        <v>0</v>
      </c>
      <c r="AT540">
        <f t="shared" si="516"/>
        <v>0</v>
      </c>
      <c r="AU540">
        <f t="shared" si="517"/>
        <v>0</v>
      </c>
      <c r="AV540">
        <f t="shared" si="499"/>
        <v>1.5613715488341269E-20</v>
      </c>
      <c r="AW540" t="b">
        <f t="shared" si="518"/>
        <v>1</v>
      </c>
      <c r="AX540">
        <f t="shared" si="500"/>
        <v>7.8539816339744828</v>
      </c>
      <c r="AY540">
        <f t="shared" si="501"/>
        <v>-1.471601588837026E-2</v>
      </c>
      <c r="AZ540">
        <f t="shared" si="502"/>
        <v>-6.0180723255631331E-3</v>
      </c>
      <c r="BA540">
        <f t="shared" si="503"/>
        <v>4.4413877331820003E-5</v>
      </c>
      <c r="BB540">
        <f t="shared" si="504"/>
        <v>-1.2337005501361696E-20</v>
      </c>
      <c r="BD540" s="15">
        <f t="shared" si="519"/>
        <v>7.8332919596378803</v>
      </c>
      <c r="BE540" s="10">
        <f t="shared" si="520"/>
        <v>0</v>
      </c>
      <c r="BF540">
        <f t="shared" si="521"/>
        <v>0</v>
      </c>
      <c r="BG540">
        <f t="shared" si="522"/>
        <v>0</v>
      </c>
      <c r="BH540">
        <f t="shared" si="523"/>
        <v>-9.3675067702747583E-17</v>
      </c>
      <c r="BI540">
        <f t="shared" si="524"/>
        <v>-1.1188966420050406E-16</v>
      </c>
    </row>
    <row r="541" spans="1:61" x14ac:dyDescent="0.3">
      <c r="A541">
        <f t="shared" si="471"/>
        <v>0.504</v>
      </c>
      <c r="B541">
        <f t="shared" si="472"/>
        <v>1.5833626974092558</v>
      </c>
      <c r="C541">
        <f t="shared" si="473"/>
        <v>1.5582299561805373</v>
      </c>
      <c r="D541">
        <f t="shared" si="474"/>
        <v>1.5582299561805373</v>
      </c>
      <c r="E541">
        <f t="shared" si="479"/>
        <v>0.99992104420381611</v>
      </c>
      <c r="F541">
        <f t="shared" si="480"/>
        <v>0.99992104420381611</v>
      </c>
      <c r="G541">
        <f t="shared" si="475"/>
        <v>1.5833626974092558</v>
      </c>
      <c r="H541">
        <f t="shared" si="476"/>
        <v>0.99992104420381611</v>
      </c>
      <c r="I541">
        <f t="shared" si="477"/>
        <v>0.99992104420381611</v>
      </c>
      <c r="J541">
        <f t="shared" si="467"/>
        <v>6.3667004115758744E+19</v>
      </c>
      <c r="K541">
        <f t="shared" si="468"/>
        <v>6.3667004115758744E+19</v>
      </c>
      <c r="L541">
        <f t="shared" si="481"/>
        <v>0</v>
      </c>
      <c r="M541">
        <f t="shared" si="478"/>
        <v>1.5582299561805372E-20</v>
      </c>
      <c r="N541" s="9">
        <f t="shared" si="469"/>
        <v>0</v>
      </c>
      <c r="O541">
        <f t="shared" si="470"/>
        <v>0</v>
      </c>
      <c r="Q541">
        <f t="shared" si="482"/>
        <v>45.600198113504817</v>
      </c>
      <c r="R541">
        <f t="shared" si="483"/>
        <v>0</v>
      </c>
      <c r="S541">
        <f t="shared" si="505"/>
        <v>-45.60815132628872</v>
      </c>
      <c r="T541" s="9" t="e">
        <f t="shared" si="484"/>
        <v>#N/A</v>
      </c>
      <c r="U541">
        <f t="shared" si="506"/>
        <v>-1.0000000000000001E+300</v>
      </c>
      <c r="V541">
        <f t="shared" si="507"/>
        <v>0</v>
      </c>
      <c r="W541">
        <f t="shared" si="508"/>
        <v>0</v>
      </c>
      <c r="X541">
        <f t="shared" si="485"/>
        <v>1.5582299561805373</v>
      </c>
      <c r="Y541">
        <f t="shared" si="486"/>
        <v>7.8539816339744828</v>
      </c>
      <c r="Z541">
        <f t="shared" si="487"/>
        <v>-1.5582299561805373</v>
      </c>
      <c r="AA541">
        <f t="shared" si="509"/>
        <v>-1.9582325914933328E-2</v>
      </c>
      <c r="AB541">
        <f t="shared" si="488"/>
        <v>7.8343993080595498</v>
      </c>
      <c r="AC541">
        <f t="shared" si="510"/>
        <v>-8.0321716972643776E-3</v>
      </c>
      <c r="AD541">
        <f t="shared" si="489"/>
        <v>7.8958913356844108E-5</v>
      </c>
      <c r="AE541" s="9">
        <f t="shared" si="511"/>
        <v>7.8264460952756423</v>
      </c>
      <c r="AF541">
        <f t="shared" si="512"/>
        <v>0</v>
      </c>
      <c r="AH541">
        <f t="shared" si="490"/>
        <v>7.8539816339744828</v>
      </c>
      <c r="AI541">
        <f t="shared" si="491"/>
        <v>-1.9582325914933231E-2</v>
      </c>
      <c r="AJ541">
        <f t="shared" si="492"/>
        <v>-8.0321716972591162E-3</v>
      </c>
      <c r="AK541">
        <f t="shared" si="493"/>
        <v>7.8958913356844108E-5</v>
      </c>
      <c r="AL541" s="9">
        <f t="shared" si="513"/>
        <v>7.8264460952756476</v>
      </c>
      <c r="AM541" t="e">
        <f t="shared" si="494"/>
        <v>#N/A</v>
      </c>
      <c r="AN541" t="e">
        <f t="shared" si="514"/>
        <v>#N/A</v>
      </c>
      <c r="AO541">
        <f t="shared" si="495"/>
        <v>0</v>
      </c>
      <c r="AP541">
        <f t="shared" si="496"/>
        <v>9.7144514654701197E-17</v>
      </c>
      <c r="AQ541">
        <f t="shared" si="497"/>
        <v>5.2614163026376559E-15</v>
      </c>
      <c r="AR541">
        <f t="shared" si="515"/>
        <v>-4.9608261590937997E-15</v>
      </c>
      <c r="AS541">
        <f t="shared" si="498"/>
        <v>0</v>
      </c>
      <c r="AT541">
        <f t="shared" si="516"/>
        <v>0</v>
      </c>
      <c r="AU541">
        <f t="shared" si="517"/>
        <v>0</v>
      </c>
      <c r="AV541">
        <f t="shared" si="499"/>
        <v>1.5582299561805372E-20</v>
      </c>
      <c r="AW541" t="b">
        <f t="shared" si="518"/>
        <v>1</v>
      </c>
      <c r="AX541">
        <f t="shared" si="500"/>
        <v>7.8539816339744828</v>
      </c>
      <c r="AY541">
        <f t="shared" si="501"/>
        <v>-1.9582325914933422E-2</v>
      </c>
      <c r="AZ541">
        <f t="shared" si="502"/>
        <v>-8.0321716972642666E-3</v>
      </c>
      <c r="BA541">
        <f t="shared" si="503"/>
        <v>7.8958913356844108E-5</v>
      </c>
      <c r="BB541">
        <f t="shared" si="504"/>
        <v>-1.2337005501361696E-20</v>
      </c>
      <c r="BD541" s="15">
        <f t="shared" si="519"/>
        <v>7.8264460952756423</v>
      </c>
      <c r="BE541" s="10">
        <f t="shared" si="520"/>
        <v>0</v>
      </c>
      <c r="BF541">
        <f t="shared" si="521"/>
        <v>0</v>
      </c>
      <c r="BG541">
        <f t="shared" si="522"/>
        <v>0</v>
      </c>
      <c r="BH541">
        <f t="shared" si="523"/>
        <v>-9.3675067702747583E-17</v>
      </c>
      <c r="BI541">
        <f t="shared" si="524"/>
        <v>1.1102230246251565E-16</v>
      </c>
    </row>
    <row r="542" spans="1:61" x14ac:dyDescent="0.3">
      <c r="A542">
        <f t="shared" si="471"/>
        <v>0.505</v>
      </c>
      <c r="B542">
        <f t="shared" si="472"/>
        <v>1.5865042900628454</v>
      </c>
      <c r="C542">
        <f t="shared" si="473"/>
        <v>1.5550883635269477</v>
      </c>
      <c r="D542">
        <f t="shared" si="474"/>
        <v>1.5550883635269477</v>
      </c>
      <c r="E542">
        <f t="shared" si="479"/>
        <v>0.99987663248166059</v>
      </c>
      <c r="F542">
        <f t="shared" si="480"/>
        <v>0.99987663248166059</v>
      </c>
      <c r="G542">
        <f t="shared" si="475"/>
        <v>1.5865042900628454</v>
      </c>
      <c r="H542">
        <f t="shared" si="476"/>
        <v>0.99987663248166059</v>
      </c>
      <c r="I542">
        <f t="shared" si="477"/>
        <v>0.99987663248166059</v>
      </c>
      <c r="J542">
        <f t="shared" si="467"/>
        <v>6.366983202592827E+19</v>
      </c>
      <c r="K542">
        <f t="shared" si="468"/>
        <v>6.366983202592827E+19</v>
      </c>
      <c r="L542">
        <f t="shared" si="481"/>
        <v>1</v>
      </c>
      <c r="M542">
        <f t="shared" si="478"/>
        <v>1.5550883635269476E-20</v>
      </c>
      <c r="N542" s="9">
        <f t="shared" si="469"/>
        <v>1.5550883635269476E-20</v>
      </c>
      <c r="O542">
        <f t="shared" si="470"/>
        <v>1.5550883635269476E-20</v>
      </c>
      <c r="Q542">
        <f t="shared" si="482"/>
        <v>45.600242529720198</v>
      </c>
      <c r="R542">
        <f t="shared" si="483"/>
        <v>0</v>
      </c>
      <c r="S542">
        <f t="shared" si="505"/>
        <v>-45.61016949044496</v>
      </c>
      <c r="T542" s="9" t="e">
        <f t="shared" si="484"/>
        <v>#N/A</v>
      </c>
      <c r="U542">
        <f t="shared" si="506"/>
        <v>-1.0000000000000001E+300</v>
      </c>
      <c r="V542">
        <f t="shared" si="507"/>
        <v>0</v>
      </c>
      <c r="W542">
        <f t="shared" si="508"/>
        <v>0</v>
      </c>
      <c r="X542">
        <f t="shared" si="485"/>
        <v>1.5550883635269477</v>
      </c>
      <c r="Y542">
        <f t="shared" si="486"/>
        <v>7.8539816339744828</v>
      </c>
      <c r="Z542">
        <f t="shared" si="487"/>
        <v>-1.5550883635269477</v>
      </c>
      <c r="AA542">
        <f t="shared" si="509"/>
        <v>-2.4429280153504925E-2</v>
      </c>
      <c r="AB542">
        <f t="shared" si="488"/>
        <v>7.8295523538209775</v>
      </c>
      <c r="AC542">
        <f t="shared" si="510"/>
        <v>-1.0050335853501338E-2</v>
      </c>
      <c r="AD542">
        <f t="shared" si="489"/>
        <v>1.2337512873762663E-4</v>
      </c>
      <c r="AE542" s="9">
        <f t="shared" si="511"/>
        <v>7.8196253930962136</v>
      </c>
      <c r="AF542">
        <f t="shared" si="512"/>
        <v>0</v>
      </c>
      <c r="AH542">
        <f t="shared" si="490"/>
        <v>7.8539816339744828</v>
      </c>
      <c r="AI542">
        <f t="shared" si="491"/>
        <v>-2.4429280153504821E-2</v>
      </c>
      <c r="AJ542">
        <f t="shared" si="492"/>
        <v>-1.0050335853499348E-2</v>
      </c>
      <c r="AK542">
        <f t="shared" si="493"/>
        <v>1.2337512873762663E-4</v>
      </c>
      <c r="AL542" s="9">
        <f t="shared" si="513"/>
        <v>7.8196253930962163</v>
      </c>
      <c r="AM542" t="e">
        <f t="shared" si="494"/>
        <v>#N/A</v>
      </c>
      <c r="AN542" t="e">
        <f t="shared" si="514"/>
        <v>#N/A</v>
      </c>
      <c r="AO542">
        <f t="shared" si="495"/>
        <v>0</v>
      </c>
      <c r="AP542">
        <f t="shared" si="496"/>
        <v>1.0408340855860843E-16</v>
      </c>
      <c r="AQ542">
        <f t="shared" si="497"/>
        <v>1.9897278269453977E-15</v>
      </c>
      <c r="AR542">
        <f t="shared" si="515"/>
        <v>-4.2606007178511063E-15</v>
      </c>
      <c r="AS542">
        <f t="shared" si="498"/>
        <v>0</v>
      </c>
      <c r="AT542">
        <f t="shared" si="516"/>
        <v>0</v>
      </c>
      <c r="AU542">
        <f t="shared" si="517"/>
        <v>0</v>
      </c>
      <c r="AV542">
        <f t="shared" si="499"/>
        <v>1.5550883635269476E-20</v>
      </c>
      <c r="AW542" t="b">
        <f t="shared" si="518"/>
        <v>1</v>
      </c>
      <c r="AX542">
        <f t="shared" si="500"/>
        <v>7.8539816339744828</v>
      </c>
      <c r="AY542">
        <f t="shared" si="501"/>
        <v>-2.4429280153505019E-2</v>
      </c>
      <c r="AZ542">
        <f t="shared" si="502"/>
        <v>-1.0050335853501338E-2</v>
      </c>
      <c r="BA542">
        <f t="shared" si="503"/>
        <v>1.2337512873762663E-4</v>
      </c>
      <c r="BB542">
        <f t="shared" si="504"/>
        <v>-1.2337005501361696E-20</v>
      </c>
      <c r="BD542" s="15">
        <f t="shared" si="519"/>
        <v>7.8196253930962136</v>
      </c>
      <c r="BE542" s="10">
        <f t="shared" si="520"/>
        <v>0</v>
      </c>
      <c r="BF542">
        <f t="shared" si="521"/>
        <v>0</v>
      </c>
      <c r="BG542">
        <f t="shared" si="522"/>
        <v>0</v>
      </c>
      <c r="BH542">
        <f t="shared" si="523"/>
        <v>-9.3675067702747583E-17</v>
      </c>
      <c r="BI542">
        <f t="shared" si="524"/>
        <v>0</v>
      </c>
    </row>
    <row r="543" spans="1:61" x14ac:dyDescent="0.3">
      <c r="A543">
        <f t="shared" si="471"/>
        <v>0.50600000000000001</v>
      </c>
      <c r="B543">
        <f t="shared" si="472"/>
        <v>1.5896458827164353</v>
      </c>
      <c r="C543">
        <f t="shared" si="473"/>
        <v>1.5519467708733579</v>
      </c>
      <c r="D543">
        <f t="shared" si="474"/>
        <v>1.5519467708733579</v>
      </c>
      <c r="E543">
        <f t="shared" si="479"/>
        <v>0.99982235238080897</v>
      </c>
      <c r="F543">
        <f t="shared" si="480"/>
        <v>0.99982235238080897</v>
      </c>
      <c r="G543">
        <f t="shared" si="475"/>
        <v>1.5896458827164353</v>
      </c>
      <c r="H543">
        <f t="shared" si="476"/>
        <v>0.99982235238080897</v>
      </c>
      <c r="I543">
        <f t="shared" si="477"/>
        <v>0.99982235238080897</v>
      </c>
      <c r="J543">
        <f t="shared" si="467"/>
        <v>6.3673288644891967E+19</v>
      </c>
      <c r="K543">
        <f t="shared" si="468"/>
        <v>6.3673288644891967E+19</v>
      </c>
      <c r="L543">
        <f t="shared" si="481"/>
        <v>1</v>
      </c>
      <c r="M543">
        <f t="shared" si="478"/>
        <v>1.5519467708733579E-20</v>
      </c>
      <c r="N543" s="9">
        <f t="shared" si="469"/>
        <v>1.5519467708733579E-20</v>
      </c>
      <c r="O543">
        <f t="shared" si="470"/>
        <v>1.5519467708733579E-20</v>
      </c>
      <c r="Q543">
        <f t="shared" si="482"/>
        <v>45.600296817991854</v>
      </c>
      <c r="R543">
        <f t="shared" si="483"/>
        <v>-710542.73576010019</v>
      </c>
      <c r="S543">
        <f t="shared" si="505"/>
        <v>-45.612191735825725</v>
      </c>
      <c r="T543" s="9" t="e">
        <f t="shared" si="484"/>
        <v>#N/A</v>
      </c>
      <c r="U543">
        <f t="shared" si="506"/>
        <v>-1.0000000000000001E+300</v>
      </c>
      <c r="V543">
        <f t="shared" si="507"/>
        <v>0</v>
      </c>
      <c r="W543">
        <f t="shared" si="508"/>
        <v>0</v>
      </c>
      <c r="X543">
        <f t="shared" si="485"/>
        <v>1.5519467708733579</v>
      </c>
      <c r="Y543">
        <f t="shared" si="486"/>
        <v>7.8539816339744828</v>
      </c>
      <c r="Z543">
        <f t="shared" si="487"/>
        <v>-1.5519467708733579</v>
      </c>
      <c r="AA543">
        <f t="shared" si="509"/>
        <v>-2.9256972583853031E-2</v>
      </c>
      <c r="AB543">
        <f t="shared" si="488"/>
        <v>7.8247246613906301</v>
      </c>
      <c r="AC543">
        <f t="shared" si="510"/>
        <v>-1.2072581234269249E-2</v>
      </c>
      <c r="AD543">
        <f t="shared" si="489"/>
        <v>1.7766340039836051E-4</v>
      </c>
      <c r="AE543" s="9">
        <f t="shared" si="511"/>
        <v>7.8128297435567591</v>
      </c>
      <c r="AF543">
        <f t="shared" si="512"/>
        <v>0</v>
      </c>
      <c r="AH543">
        <f t="shared" si="490"/>
        <v>7.8539816339744828</v>
      </c>
      <c r="AI543">
        <f t="shared" si="491"/>
        <v>-2.9256972583852934E-2</v>
      </c>
      <c r="AJ543">
        <f t="shared" si="492"/>
        <v>-1.2072581234264135E-2</v>
      </c>
      <c r="AK543">
        <f t="shared" si="493"/>
        <v>1.7766340039836051E-4</v>
      </c>
      <c r="AL543" s="9">
        <f t="shared" si="513"/>
        <v>7.8128297435567644</v>
      </c>
      <c r="AM543" t="e">
        <f t="shared" si="494"/>
        <v>#N/A</v>
      </c>
      <c r="AN543" t="e">
        <f t="shared" si="514"/>
        <v>#N/A</v>
      </c>
      <c r="AO543">
        <f t="shared" si="495"/>
        <v>0</v>
      </c>
      <c r="AP543">
        <f t="shared" si="496"/>
        <v>9.7144514654701197E-17</v>
      </c>
      <c r="AQ543">
        <f t="shared" si="497"/>
        <v>5.1139648071796273E-15</v>
      </c>
      <c r="AR543">
        <f t="shared" si="515"/>
        <v>-3.320388477525379E-15</v>
      </c>
      <c r="AS543">
        <f t="shared" si="498"/>
        <v>0</v>
      </c>
      <c r="AT543">
        <f t="shared" si="516"/>
        <v>0</v>
      </c>
      <c r="AU543">
        <f t="shared" si="517"/>
        <v>0</v>
      </c>
      <c r="AV543">
        <f t="shared" si="499"/>
        <v>1.5519467708733579E-20</v>
      </c>
      <c r="AW543" t="b">
        <f t="shared" si="518"/>
        <v>1</v>
      </c>
      <c r="AX543">
        <f t="shared" si="500"/>
        <v>7.8539816339744828</v>
      </c>
      <c r="AY543">
        <f t="shared" si="501"/>
        <v>-2.9256972583853128E-2</v>
      </c>
      <c r="AZ543">
        <f t="shared" si="502"/>
        <v>-1.2072581234269023E-2</v>
      </c>
      <c r="BA543">
        <f t="shared" si="503"/>
        <v>1.7766340039836051E-4</v>
      </c>
      <c r="BB543">
        <f t="shared" si="504"/>
        <v>-1.2337005501361696E-20</v>
      </c>
      <c r="BD543" s="15">
        <f t="shared" si="519"/>
        <v>7.8128297435567591</v>
      </c>
      <c r="BE543" s="10">
        <f t="shared" si="520"/>
        <v>0</v>
      </c>
      <c r="BF543">
        <f t="shared" si="521"/>
        <v>0</v>
      </c>
      <c r="BG543">
        <f t="shared" si="522"/>
        <v>0</v>
      </c>
      <c r="BH543">
        <f t="shared" si="523"/>
        <v>-9.7144514654701197E-17</v>
      </c>
      <c r="BI543">
        <f t="shared" si="524"/>
        <v>2.2551405187698492E-16</v>
      </c>
    </row>
    <row r="544" spans="1:61" x14ac:dyDescent="0.3">
      <c r="A544">
        <f t="shared" si="471"/>
        <v>0.50700000000000001</v>
      </c>
      <c r="B544">
        <f t="shared" si="472"/>
        <v>1.5927874753700251</v>
      </c>
      <c r="C544">
        <f t="shared" si="473"/>
        <v>1.548805178219768</v>
      </c>
      <c r="D544">
        <f t="shared" si="474"/>
        <v>1.548805178219768</v>
      </c>
      <c r="E544">
        <f t="shared" si="479"/>
        <v>0.99975820443698404</v>
      </c>
      <c r="F544">
        <f t="shared" si="480"/>
        <v>0.99975820443698404</v>
      </c>
      <c r="G544">
        <f t="shared" si="475"/>
        <v>1.5927874753700251</v>
      </c>
      <c r="H544">
        <f t="shared" si="476"/>
        <v>0.99975820443698404</v>
      </c>
      <c r="I544">
        <f t="shared" si="477"/>
        <v>0.99975820443698404</v>
      </c>
      <c r="J544">
        <f t="shared" si="467"/>
        <v>6.3677374143290499E+19</v>
      </c>
      <c r="K544">
        <f t="shared" si="468"/>
        <v>6.3677374143290499E+19</v>
      </c>
      <c r="L544">
        <f t="shared" si="481"/>
        <v>1</v>
      </c>
      <c r="M544">
        <f t="shared" si="478"/>
        <v>1.548805178219768E-20</v>
      </c>
      <c r="N544" s="9">
        <f t="shared" si="469"/>
        <v>1.548805178219768E-20</v>
      </c>
      <c r="O544">
        <f t="shared" si="470"/>
        <v>1.548805178219768E-20</v>
      </c>
      <c r="Q544">
        <f t="shared" si="482"/>
        <v>45.600360979391738</v>
      </c>
      <c r="R544">
        <f t="shared" si="483"/>
        <v>0</v>
      </c>
      <c r="S544">
        <f t="shared" si="505"/>
        <v>-45.614218078970957</v>
      </c>
      <c r="T544" s="9" t="e">
        <f t="shared" si="484"/>
        <v>#N/A</v>
      </c>
      <c r="U544">
        <f t="shared" si="506"/>
        <v>-1.0000000000000001E+300</v>
      </c>
      <c r="V544">
        <f t="shared" si="507"/>
        <v>0</v>
      </c>
      <c r="W544">
        <f t="shared" si="508"/>
        <v>0</v>
      </c>
      <c r="X544">
        <f t="shared" si="485"/>
        <v>1.548805178219768</v>
      </c>
      <c r="Y544">
        <f t="shared" si="486"/>
        <v>7.8539816339744828</v>
      </c>
      <c r="Z544">
        <f t="shared" si="487"/>
        <v>-1.548805178219768</v>
      </c>
      <c r="AA544">
        <f t="shared" si="509"/>
        <v>-3.406549644378587E-2</v>
      </c>
      <c r="AB544">
        <f t="shared" si="488"/>
        <v>7.8199161375306971</v>
      </c>
      <c r="AC544">
        <f t="shared" si="510"/>
        <v>-1.4098924379501648E-2</v>
      </c>
      <c r="AD544">
        <f t="shared" si="489"/>
        <v>2.4182480027615822E-4</v>
      </c>
      <c r="AE544" s="9">
        <f t="shared" si="511"/>
        <v>7.8060590379514716</v>
      </c>
      <c r="AF544">
        <f t="shared" si="512"/>
        <v>0</v>
      </c>
      <c r="AH544">
        <f t="shared" si="490"/>
        <v>7.8539816339744828</v>
      </c>
      <c r="AI544">
        <f t="shared" si="491"/>
        <v>-3.4065496443785766E-2</v>
      </c>
      <c r="AJ544">
        <f t="shared" si="492"/>
        <v>-1.4098924379496225E-2</v>
      </c>
      <c r="AK544">
        <f t="shared" si="493"/>
        <v>2.4182480027615822E-4</v>
      </c>
      <c r="AL544" s="9">
        <f t="shared" si="513"/>
        <v>7.8060590379514769</v>
      </c>
      <c r="AM544" t="e">
        <f t="shared" si="494"/>
        <v>#N/A</v>
      </c>
      <c r="AN544" t="e">
        <f t="shared" si="514"/>
        <v>#N/A</v>
      </c>
      <c r="AO544">
        <f t="shared" si="495"/>
        <v>0</v>
      </c>
      <c r="AP544">
        <f t="shared" si="496"/>
        <v>1.0408340855860843E-16</v>
      </c>
      <c r="AQ544">
        <f t="shared" si="497"/>
        <v>5.422745585903499E-15</v>
      </c>
      <c r="AR544">
        <f t="shared" si="515"/>
        <v>-3.055390921144064E-15</v>
      </c>
      <c r="AS544">
        <f t="shared" si="498"/>
        <v>0</v>
      </c>
      <c r="AT544">
        <f t="shared" si="516"/>
        <v>0</v>
      </c>
      <c r="AU544">
        <f t="shared" si="517"/>
        <v>0</v>
      </c>
      <c r="AV544">
        <f t="shared" si="499"/>
        <v>1.548805178219768E-20</v>
      </c>
      <c r="AW544" t="b">
        <f t="shared" si="518"/>
        <v>1</v>
      </c>
      <c r="AX544">
        <f t="shared" si="500"/>
        <v>7.8539816339744828</v>
      </c>
      <c r="AY544">
        <f t="shared" si="501"/>
        <v>-3.406549644378596E-2</v>
      </c>
      <c r="AZ544">
        <f t="shared" si="502"/>
        <v>-1.4098924379501535E-2</v>
      </c>
      <c r="BA544">
        <f t="shared" si="503"/>
        <v>2.4182480027615822E-4</v>
      </c>
      <c r="BB544">
        <f t="shared" si="504"/>
        <v>-1.2337005501361696E-20</v>
      </c>
      <c r="BD544" s="15">
        <f t="shared" si="519"/>
        <v>7.8060590379514716</v>
      </c>
      <c r="BE544" s="10">
        <f t="shared" si="520"/>
        <v>0</v>
      </c>
      <c r="BF544">
        <f t="shared" si="521"/>
        <v>0</v>
      </c>
      <c r="BG544">
        <f t="shared" si="522"/>
        <v>0</v>
      </c>
      <c r="BH544">
        <f t="shared" si="523"/>
        <v>-9.0205620750793969E-17</v>
      </c>
      <c r="BI544">
        <f t="shared" si="524"/>
        <v>1.1275702593849246E-16</v>
      </c>
    </row>
    <row r="545" spans="1:61" x14ac:dyDescent="0.3">
      <c r="A545">
        <f t="shared" si="471"/>
        <v>0.50800000000000001</v>
      </c>
      <c r="B545">
        <f t="shared" si="472"/>
        <v>1.5959290680236149</v>
      </c>
      <c r="C545">
        <f t="shared" si="473"/>
        <v>1.5456635855661782</v>
      </c>
      <c r="D545">
        <f t="shared" si="474"/>
        <v>1.5456635855661782</v>
      </c>
      <c r="E545">
        <f t="shared" si="479"/>
        <v>0.99968418928329994</v>
      </c>
      <c r="F545">
        <f t="shared" si="480"/>
        <v>0.99968418928329994</v>
      </c>
      <c r="G545">
        <f t="shared" si="475"/>
        <v>1.5959290680236149</v>
      </c>
      <c r="H545">
        <f t="shared" si="476"/>
        <v>0.99968418928329994</v>
      </c>
      <c r="I545">
        <f t="shared" si="477"/>
        <v>0.99968418928329994</v>
      </c>
      <c r="J545">
        <f t="shared" si="467"/>
        <v>6.3682088722838659E+19</v>
      </c>
      <c r="K545">
        <f t="shared" si="468"/>
        <v>6.3682088722838659E+19</v>
      </c>
      <c r="L545">
        <f t="shared" si="481"/>
        <v>1</v>
      </c>
      <c r="M545">
        <f t="shared" si="478"/>
        <v>1.5456635855661783E-20</v>
      </c>
      <c r="N545" s="9">
        <f t="shared" si="469"/>
        <v>1.5456635855661783E-20</v>
      </c>
      <c r="O545">
        <f t="shared" si="470"/>
        <v>1.5456635855661783E-20</v>
      </c>
      <c r="Q545">
        <f t="shared" si="482"/>
        <v>45.600435015186868</v>
      </c>
      <c r="R545">
        <f t="shared" si="483"/>
        <v>0</v>
      </c>
      <c r="S545">
        <f t="shared" si="505"/>
        <v>-45.61624853652134</v>
      </c>
      <c r="T545" s="9" t="e">
        <f t="shared" si="484"/>
        <v>#N/A</v>
      </c>
      <c r="U545">
        <f t="shared" si="506"/>
        <v>-1.0000000000000001E+300</v>
      </c>
      <c r="V545">
        <f t="shared" si="507"/>
        <v>0</v>
      </c>
      <c r="W545">
        <f t="shared" si="508"/>
        <v>0</v>
      </c>
      <c r="X545">
        <f t="shared" si="485"/>
        <v>1.5456635855661782</v>
      </c>
      <c r="Y545">
        <f t="shared" si="486"/>
        <v>7.8539816339744828</v>
      </c>
      <c r="Z545">
        <f t="shared" si="487"/>
        <v>-1.5456635855661782</v>
      </c>
      <c r="AA545">
        <f t="shared" si="509"/>
        <v>-3.8854944236355896E-2</v>
      </c>
      <c r="AB545">
        <f t="shared" si="488"/>
        <v>7.8151266897381273</v>
      </c>
      <c r="AC545">
        <f t="shared" si="510"/>
        <v>-1.6129381929883644E-2</v>
      </c>
      <c r="AD545">
        <f t="shared" si="489"/>
        <v>3.1586059540621446E-4</v>
      </c>
      <c r="AE545" s="9">
        <f t="shared" si="511"/>
        <v>7.7993131684036499</v>
      </c>
      <c r="AF545">
        <f t="shared" si="512"/>
        <v>0</v>
      </c>
      <c r="AH545">
        <f t="shared" si="490"/>
        <v>7.8539816339744828</v>
      </c>
      <c r="AI545">
        <f t="shared" si="491"/>
        <v>-3.8854944236355798E-2</v>
      </c>
      <c r="AJ545">
        <f t="shared" si="492"/>
        <v>-1.6129381929879116E-2</v>
      </c>
      <c r="AK545">
        <f t="shared" si="493"/>
        <v>3.1586059540621446E-4</v>
      </c>
      <c r="AL545" s="9">
        <f t="shared" si="513"/>
        <v>7.7993131684036543</v>
      </c>
      <c r="AM545" t="e">
        <f t="shared" si="494"/>
        <v>#N/A</v>
      </c>
      <c r="AN545" t="e">
        <f t="shared" si="514"/>
        <v>#N/A</v>
      </c>
      <c r="AO545">
        <f t="shared" si="495"/>
        <v>0</v>
      </c>
      <c r="AP545">
        <f t="shared" si="496"/>
        <v>9.7144514654701197E-17</v>
      </c>
      <c r="AQ545">
        <f t="shared" si="497"/>
        <v>4.5276282722994665E-15</v>
      </c>
      <c r="AR545">
        <f t="shared" si="515"/>
        <v>-2.5001841223543696E-15</v>
      </c>
      <c r="AS545">
        <f t="shared" si="498"/>
        <v>0</v>
      </c>
      <c r="AT545">
        <f t="shared" si="516"/>
        <v>0</v>
      </c>
      <c r="AU545">
        <f t="shared" si="517"/>
        <v>0</v>
      </c>
      <c r="AV545">
        <f t="shared" si="499"/>
        <v>1.545663585566178E-20</v>
      </c>
      <c r="AW545" t="b">
        <f t="shared" si="518"/>
        <v>1</v>
      </c>
      <c r="AX545">
        <f t="shared" si="500"/>
        <v>7.8539816339744828</v>
      </c>
      <c r="AY545">
        <f t="shared" si="501"/>
        <v>-3.8854944236355986E-2</v>
      </c>
      <c r="AZ545">
        <f t="shared" si="502"/>
        <v>-1.6129381929883644E-2</v>
      </c>
      <c r="BA545">
        <f t="shared" si="503"/>
        <v>3.1586059540621446E-4</v>
      </c>
      <c r="BB545">
        <f t="shared" si="504"/>
        <v>-1.2337005501361696E-20</v>
      </c>
      <c r="BD545" s="15">
        <f t="shared" si="519"/>
        <v>7.799313168403649</v>
      </c>
      <c r="BE545" s="10">
        <f t="shared" si="520"/>
        <v>0</v>
      </c>
      <c r="BF545">
        <f t="shared" si="521"/>
        <v>0</v>
      </c>
      <c r="BG545">
        <f t="shared" si="522"/>
        <v>0</v>
      </c>
      <c r="BH545">
        <f t="shared" si="523"/>
        <v>-9.0205620750793969E-17</v>
      </c>
      <c r="BI545">
        <f t="shared" si="524"/>
        <v>0</v>
      </c>
    </row>
    <row r="546" spans="1:61" x14ac:dyDescent="0.3">
      <c r="A546">
        <f t="shared" si="471"/>
        <v>0.50900000000000001</v>
      </c>
      <c r="B546">
        <f t="shared" si="472"/>
        <v>1.5990706606772047</v>
      </c>
      <c r="C546">
        <f t="shared" si="473"/>
        <v>1.5425219929125884</v>
      </c>
      <c r="D546">
        <f t="shared" si="474"/>
        <v>1.5425219929125884</v>
      </c>
      <c r="E546">
        <f t="shared" si="479"/>
        <v>0.99960030765025654</v>
      </c>
      <c r="F546">
        <f t="shared" si="480"/>
        <v>0.99960030765025654</v>
      </c>
      <c r="G546">
        <f t="shared" si="475"/>
        <v>1.5990706606772047</v>
      </c>
      <c r="H546">
        <f t="shared" si="476"/>
        <v>0.99960030765025654</v>
      </c>
      <c r="I546">
        <f t="shared" si="477"/>
        <v>0.99960030765025654</v>
      </c>
      <c r="J546">
        <f t="shared" si="467"/>
        <v>6.3687432616349704E+19</v>
      </c>
      <c r="K546">
        <f t="shared" si="468"/>
        <v>6.3687432616349704E+19</v>
      </c>
      <c r="L546">
        <f t="shared" si="481"/>
        <v>1</v>
      </c>
      <c r="M546">
        <f t="shared" si="478"/>
        <v>1.5425219929125883E-20</v>
      </c>
      <c r="N546" s="9">
        <f t="shared" si="469"/>
        <v>1.5425219929125883E-20</v>
      </c>
      <c r="O546">
        <f t="shared" si="470"/>
        <v>1.5425219929125883E-20</v>
      </c>
      <c r="Q546">
        <f t="shared" si="482"/>
        <v>45.600518926839477</v>
      </c>
      <c r="R546">
        <f t="shared" si="483"/>
        <v>-710542.73576010019</v>
      </c>
      <c r="S546">
        <f t="shared" si="505"/>
        <v>-45.618283125219129</v>
      </c>
      <c r="T546" s="9" t="e">
        <f t="shared" si="484"/>
        <v>#N/A</v>
      </c>
      <c r="U546">
        <f t="shared" si="506"/>
        <v>-1.0000000000000001E+300</v>
      </c>
      <c r="V546">
        <f t="shared" si="507"/>
        <v>0</v>
      </c>
      <c r="W546">
        <f t="shared" si="508"/>
        <v>0</v>
      </c>
      <c r="X546">
        <f t="shared" si="485"/>
        <v>1.5425219929125884</v>
      </c>
      <c r="Y546">
        <f t="shared" si="486"/>
        <v>7.8539816339744828</v>
      </c>
      <c r="Z546">
        <f t="shared" si="487"/>
        <v>-1.5425219929125884</v>
      </c>
      <c r="AA546">
        <f t="shared" si="509"/>
        <v>-4.3625407736977234E-2</v>
      </c>
      <c r="AB546">
        <f t="shared" si="488"/>
        <v>7.8103562262375057</v>
      </c>
      <c r="AC546">
        <f t="shared" si="510"/>
        <v>-1.816397062767118E-2</v>
      </c>
      <c r="AD546">
        <f t="shared" si="489"/>
        <v>3.9977224802121468E-4</v>
      </c>
      <c r="AE546" s="9">
        <f t="shared" si="511"/>
        <v>7.7925920278578555</v>
      </c>
      <c r="AF546">
        <f t="shared" si="512"/>
        <v>0</v>
      </c>
      <c r="AH546">
        <f t="shared" si="490"/>
        <v>7.8539816339744828</v>
      </c>
      <c r="AI546">
        <f t="shared" si="491"/>
        <v>-4.362540773697713E-2</v>
      </c>
      <c r="AJ546">
        <f t="shared" si="492"/>
        <v>-1.8163970627668391E-2</v>
      </c>
      <c r="AK546">
        <f t="shared" si="493"/>
        <v>3.9977224802121468E-4</v>
      </c>
      <c r="AL546" s="9">
        <f t="shared" si="513"/>
        <v>7.7925920278578582</v>
      </c>
      <c r="AM546" t="e">
        <f t="shared" si="494"/>
        <v>#N/A</v>
      </c>
      <c r="AN546" t="e">
        <f t="shared" si="514"/>
        <v>#N/A</v>
      </c>
      <c r="AO546">
        <f t="shared" si="495"/>
        <v>0</v>
      </c>
      <c r="AP546">
        <f t="shared" si="496"/>
        <v>1.0408340855860843E-16</v>
      </c>
      <c r="AQ546">
        <f t="shared" si="497"/>
        <v>2.7894353493707058E-15</v>
      </c>
      <c r="AR546">
        <f t="shared" si="515"/>
        <v>-2.3858437996990175E-15</v>
      </c>
      <c r="AS546">
        <f t="shared" si="498"/>
        <v>0</v>
      </c>
      <c r="AT546">
        <f t="shared" si="516"/>
        <v>0</v>
      </c>
      <c r="AU546">
        <f t="shared" si="517"/>
        <v>0</v>
      </c>
      <c r="AV546">
        <f t="shared" si="499"/>
        <v>1.5425219929125883E-20</v>
      </c>
      <c r="AW546" t="b">
        <f t="shared" si="518"/>
        <v>1</v>
      </c>
      <c r="AX546">
        <f t="shared" si="500"/>
        <v>7.8539816339744828</v>
      </c>
      <c r="AY546">
        <f t="shared" si="501"/>
        <v>-4.3625407736977331E-2</v>
      </c>
      <c r="AZ546">
        <f t="shared" si="502"/>
        <v>-1.8163970627671066E-2</v>
      </c>
      <c r="BA546">
        <f t="shared" si="503"/>
        <v>3.9977224802121468E-4</v>
      </c>
      <c r="BB546">
        <f t="shared" si="504"/>
        <v>-1.2337005501361696E-20</v>
      </c>
      <c r="BD546" s="15">
        <f t="shared" si="519"/>
        <v>7.7925920278578555</v>
      </c>
      <c r="BE546" s="10">
        <f t="shared" si="520"/>
        <v>0</v>
      </c>
      <c r="BF546">
        <f t="shared" si="521"/>
        <v>0</v>
      </c>
      <c r="BG546">
        <f t="shared" si="522"/>
        <v>0</v>
      </c>
      <c r="BH546">
        <f t="shared" si="523"/>
        <v>-9.7144514654701197E-17</v>
      </c>
      <c r="BI546">
        <f t="shared" si="524"/>
        <v>1.1449174941446927E-16</v>
      </c>
    </row>
    <row r="547" spans="1:61" x14ac:dyDescent="0.3">
      <c r="A547">
        <f t="shared" si="471"/>
        <v>0.51</v>
      </c>
      <c r="B547">
        <f t="shared" si="472"/>
        <v>1.6022122533307945</v>
      </c>
      <c r="C547">
        <f t="shared" si="473"/>
        <v>1.5393804002589986</v>
      </c>
      <c r="D547">
        <f t="shared" si="474"/>
        <v>1.5393804002589986</v>
      </c>
      <c r="E547">
        <f t="shared" si="479"/>
        <v>0.9995065603657316</v>
      </c>
      <c r="F547">
        <f t="shared" si="480"/>
        <v>0.9995065603657316</v>
      </c>
      <c r="G547">
        <f t="shared" si="475"/>
        <v>1.6022122533307945</v>
      </c>
      <c r="H547">
        <f t="shared" si="476"/>
        <v>0.9995065603657316</v>
      </c>
      <c r="I547">
        <f t="shared" si="477"/>
        <v>0.9995065603657316</v>
      </c>
      <c r="J547">
        <f t="shared" si="467"/>
        <v>6.3693406087763395E+19</v>
      </c>
      <c r="K547">
        <f t="shared" si="468"/>
        <v>6.3693406087763395E+19</v>
      </c>
      <c r="L547">
        <f t="shared" si="481"/>
        <v>0</v>
      </c>
      <c r="M547">
        <f t="shared" si="478"/>
        <v>1.5393804002589984E-20</v>
      </c>
      <c r="N547" s="9">
        <f t="shared" si="469"/>
        <v>0</v>
      </c>
      <c r="O547">
        <f t="shared" si="470"/>
        <v>0</v>
      </c>
      <c r="Q547">
        <f t="shared" si="482"/>
        <v>45.600612716007127</v>
      </c>
      <c r="R547">
        <f t="shared" si="483"/>
        <v>0</v>
      </c>
      <c r="S547">
        <f t="shared" si="505"/>
        <v>-45.620321861908977</v>
      </c>
      <c r="T547" s="9" t="e">
        <f t="shared" si="484"/>
        <v>#N/A</v>
      </c>
      <c r="U547">
        <f t="shared" si="506"/>
        <v>-1.0000000000000001E+300</v>
      </c>
      <c r="V547">
        <f t="shared" si="507"/>
        <v>0</v>
      </c>
      <c r="W547">
        <f t="shared" si="508"/>
        <v>0</v>
      </c>
      <c r="X547">
        <f t="shared" si="485"/>
        <v>1.5393804002589986</v>
      </c>
      <c r="Y547">
        <f t="shared" si="486"/>
        <v>7.8539816339744828</v>
      </c>
      <c r="Z547">
        <f t="shared" si="487"/>
        <v>-1.5393804002589986</v>
      </c>
      <c r="AA547">
        <f t="shared" si="509"/>
        <v>-4.8376978000459731E-2</v>
      </c>
      <c r="AB547">
        <f t="shared" si="488"/>
        <v>7.8056046559740233</v>
      </c>
      <c r="AC547">
        <f t="shared" si="510"/>
        <v>-2.0202707317519466E-2</v>
      </c>
      <c r="AD547">
        <f t="shared" si="489"/>
        <v>4.9356141566756059E-4</v>
      </c>
      <c r="AE547" s="9">
        <f t="shared" si="511"/>
        <v>7.7858955100721712</v>
      </c>
      <c r="AF547">
        <f t="shared" si="512"/>
        <v>0</v>
      </c>
      <c r="AH547">
        <f t="shared" si="490"/>
        <v>7.8539816339744828</v>
      </c>
      <c r="AI547">
        <f t="shared" si="491"/>
        <v>-4.8376978000459633E-2</v>
      </c>
      <c r="AJ547">
        <f t="shared" si="492"/>
        <v>-2.0202707317515944E-2</v>
      </c>
      <c r="AK547">
        <f t="shared" si="493"/>
        <v>4.9356141566756059E-4</v>
      </c>
      <c r="AL547" s="9">
        <f t="shared" si="513"/>
        <v>7.7858955100721747</v>
      </c>
      <c r="AM547" t="e">
        <f t="shared" si="494"/>
        <v>#N/A</v>
      </c>
      <c r="AN547" t="e">
        <f t="shared" si="514"/>
        <v>#N/A</v>
      </c>
      <c r="AO547">
        <f t="shared" si="495"/>
        <v>0</v>
      </c>
      <c r="AP547">
        <f t="shared" si="496"/>
        <v>9.7144514654701197E-17</v>
      </c>
      <c r="AQ547">
        <f t="shared" si="497"/>
        <v>3.5214886562329184E-15</v>
      </c>
      <c r="AR547">
        <f t="shared" si="515"/>
        <v>-2.0080732337968326E-15</v>
      </c>
      <c r="AS547">
        <f t="shared" si="498"/>
        <v>0</v>
      </c>
      <c r="AT547">
        <f t="shared" si="516"/>
        <v>0</v>
      </c>
      <c r="AU547">
        <f t="shared" si="517"/>
        <v>0</v>
      </c>
      <c r="AV547">
        <f t="shared" si="499"/>
        <v>1.5393804002589984E-20</v>
      </c>
      <c r="AW547" t="b">
        <f t="shared" si="518"/>
        <v>1</v>
      </c>
      <c r="AX547">
        <f t="shared" si="500"/>
        <v>7.8539816339744828</v>
      </c>
      <c r="AY547">
        <f t="shared" si="501"/>
        <v>-4.8376978000459821E-2</v>
      </c>
      <c r="AZ547">
        <f t="shared" si="502"/>
        <v>-2.0202707317519466E-2</v>
      </c>
      <c r="BA547">
        <f t="shared" si="503"/>
        <v>4.9356141566756059E-4</v>
      </c>
      <c r="BB547">
        <f t="shared" si="504"/>
        <v>-1.2337005501361696E-20</v>
      </c>
      <c r="BD547" s="15">
        <f t="shared" si="519"/>
        <v>7.7858955100721712</v>
      </c>
      <c r="BE547" s="10">
        <f t="shared" si="520"/>
        <v>0</v>
      </c>
      <c r="BF547">
        <f t="shared" si="521"/>
        <v>0</v>
      </c>
      <c r="BG547">
        <f t="shared" si="522"/>
        <v>0</v>
      </c>
      <c r="BH547">
        <f t="shared" si="523"/>
        <v>-9.0205620750793969E-17</v>
      </c>
      <c r="BI547">
        <f t="shared" si="524"/>
        <v>0</v>
      </c>
    </row>
    <row r="548" spans="1:61" x14ac:dyDescent="0.3">
      <c r="A548">
        <f t="shared" si="471"/>
        <v>0.51100000000000001</v>
      </c>
      <c r="B548">
        <f t="shared" si="472"/>
        <v>1.6053538459843844</v>
      </c>
      <c r="C548">
        <f t="shared" si="473"/>
        <v>1.5362388076054088</v>
      </c>
      <c r="D548">
        <f t="shared" si="474"/>
        <v>1.5362388076054088</v>
      </c>
      <c r="E548">
        <f t="shared" si="479"/>
        <v>0.9994029483549729</v>
      </c>
      <c r="F548">
        <f t="shared" si="480"/>
        <v>0.9994029483549729</v>
      </c>
      <c r="G548">
        <f t="shared" si="475"/>
        <v>1.6053538459843844</v>
      </c>
      <c r="H548">
        <f t="shared" si="476"/>
        <v>0.9994029483549729</v>
      </c>
      <c r="I548">
        <f t="shared" si="477"/>
        <v>0.9994029483549729</v>
      </c>
      <c r="J548">
        <f t="shared" si="467"/>
        <v>6.3700009432177869E+19</v>
      </c>
      <c r="K548">
        <f t="shared" si="468"/>
        <v>6.3700009432177869E+19</v>
      </c>
      <c r="L548" t="e">
        <f t="shared" si="481"/>
        <v>#NUM!</v>
      </c>
      <c r="M548">
        <f t="shared" si="478"/>
        <v>1.5362388076054087E-20</v>
      </c>
      <c r="N548" s="9" t="e">
        <f t="shared" si="469"/>
        <v>#NUM!</v>
      </c>
      <c r="O548" t="e">
        <f t="shared" si="470"/>
        <v>#NUM!</v>
      </c>
      <c r="Q548">
        <f t="shared" si="482"/>
        <v>45.600716384542793</v>
      </c>
      <c r="R548">
        <f t="shared" si="483"/>
        <v>-710542.73576010019</v>
      </c>
      <c r="S548">
        <f t="shared" si="505"/>
        <v>-45.622364763538776</v>
      </c>
      <c r="T548" s="9" t="e">
        <f t="shared" si="484"/>
        <v>#N/A</v>
      </c>
      <c r="U548">
        <f t="shared" si="506"/>
        <v>-1.0000000000000001E+300</v>
      </c>
      <c r="V548">
        <f t="shared" si="507"/>
        <v>0</v>
      </c>
      <c r="W548">
        <f t="shared" si="508"/>
        <v>0</v>
      </c>
      <c r="X548">
        <f t="shared" si="485"/>
        <v>1.5362388076054088</v>
      </c>
      <c r="Y548">
        <f t="shared" si="486"/>
        <v>7.8539816339744828</v>
      </c>
      <c r="Z548">
        <f t="shared" si="487"/>
        <v>-1.5362388076054088</v>
      </c>
      <c r="AA548">
        <f t="shared" si="509"/>
        <v>-5.3109745367960405E-2</v>
      </c>
      <c r="AB548">
        <f t="shared" si="488"/>
        <v>7.8008718886065225</v>
      </c>
      <c r="AC548">
        <f t="shared" si="510"/>
        <v>-2.2245608947319737E-2</v>
      </c>
      <c r="AD548">
        <f t="shared" si="489"/>
        <v>5.9722995133609953E-4</v>
      </c>
      <c r="AE548" s="9">
        <f t="shared" si="511"/>
        <v>7.7792235096105387</v>
      </c>
      <c r="AF548">
        <f t="shared" si="512"/>
        <v>0</v>
      </c>
      <c r="AH548">
        <f t="shared" si="490"/>
        <v>7.8539816339744828</v>
      </c>
      <c r="AI548">
        <f t="shared" si="491"/>
        <v>-5.3109745367960301E-2</v>
      </c>
      <c r="AJ548">
        <f t="shared" si="492"/>
        <v>-2.2245608947315532E-2</v>
      </c>
      <c r="AK548">
        <f t="shared" si="493"/>
        <v>5.9722995133609953E-4</v>
      </c>
      <c r="AL548" s="9">
        <f t="shared" si="513"/>
        <v>7.7792235096105431</v>
      </c>
      <c r="AM548" t="e">
        <f t="shared" si="494"/>
        <v>#N/A</v>
      </c>
      <c r="AN548" t="e">
        <f t="shared" si="514"/>
        <v>#N/A</v>
      </c>
      <c r="AO548">
        <f t="shared" si="495"/>
        <v>0</v>
      </c>
      <c r="AP548">
        <f t="shared" si="496"/>
        <v>1.0408340855860843E-16</v>
      </c>
      <c r="AQ548">
        <f t="shared" si="497"/>
        <v>4.2049697057677804E-15</v>
      </c>
      <c r="AR548">
        <f t="shared" si="515"/>
        <v>-1.9597798452522648E-15</v>
      </c>
      <c r="AS548">
        <f t="shared" si="498"/>
        <v>0</v>
      </c>
      <c r="AT548">
        <f t="shared" si="516"/>
        <v>0</v>
      </c>
      <c r="AU548">
        <f t="shared" si="517"/>
        <v>0</v>
      </c>
      <c r="AV548">
        <f t="shared" si="499"/>
        <v>1.5362388076054087E-20</v>
      </c>
      <c r="AW548" t="b">
        <f t="shared" si="518"/>
        <v>1</v>
      </c>
      <c r="AX548">
        <f t="shared" si="500"/>
        <v>7.8539816339744828</v>
      </c>
      <c r="AY548">
        <f t="shared" si="501"/>
        <v>-5.3109745367960495E-2</v>
      </c>
      <c r="AZ548">
        <f t="shared" si="502"/>
        <v>-2.2245608947319737E-2</v>
      </c>
      <c r="BA548">
        <f t="shared" si="503"/>
        <v>5.9722995133609953E-4</v>
      </c>
      <c r="BB548">
        <f t="shared" si="504"/>
        <v>-1.2337005501361696E-20</v>
      </c>
      <c r="BD548" s="15">
        <f t="shared" si="519"/>
        <v>7.7792235096105387</v>
      </c>
      <c r="BE548" s="10">
        <f t="shared" si="520"/>
        <v>0</v>
      </c>
      <c r="BF548">
        <f t="shared" si="521"/>
        <v>0</v>
      </c>
      <c r="BG548">
        <f t="shared" si="522"/>
        <v>0</v>
      </c>
      <c r="BH548">
        <f t="shared" si="523"/>
        <v>-9.0205620750793969E-17</v>
      </c>
      <c r="BI548">
        <f t="shared" si="524"/>
        <v>0</v>
      </c>
    </row>
    <row r="549" spans="1:61" x14ac:dyDescent="0.3">
      <c r="A549">
        <f t="shared" si="471"/>
        <v>0.51200000000000001</v>
      </c>
      <c r="B549">
        <f t="shared" si="472"/>
        <v>1.6084954386379742</v>
      </c>
      <c r="C549">
        <f t="shared" si="473"/>
        <v>1.5330972149518189</v>
      </c>
      <c r="D549">
        <f t="shared" si="474"/>
        <v>1.5330972149518189</v>
      </c>
      <c r="E549">
        <f t="shared" si="479"/>
        <v>0.9992894726405892</v>
      </c>
      <c r="F549">
        <f t="shared" si="480"/>
        <v>0.9992894726405892</v>
      </c>
      <c r="G549">
        <f t="shared" si="475"/>
        <v>1.6084954386379742</v>
      </c>
      <c r="H549">
        <f t="shared" si="476"/>
        <v>0.9992894726405892</v>
      </c>
      <c r="I549">
        <f t="shared" si="477"/>
        <v>0.9992894726405892</v>
      </c>
      <c r="J549">
        <f t="shared" ref="J549:J612" si="525">x_m_zeta/H549</f>
        <v>6.370724297588514E+19</v>
      </c>
      <c r="K549">
        <f t="shared" ref="K549:K612" si="526">(J549)^alpha</f>
        <v>6.370724297588514E+19</v>
      </c>
      <c r="L549" t="e">
        <f t="shared" si="481"/>
        <v>#NUM!</v>
      </c>
      <c r="M549">
        <f t="shared" si="478"/>
        <v>1.5330972149518188E-20</v>
      </c>
      <c r="N549" s="9" t="e">
        <f t="shared" si="469"/>
        <v>#NUM!</v>
      </c>
      <c r="O549" t="e">
        <f t="shared" si="470"/>
        <v>#NUM!</v>
      </c>
      <c r="Q549">
        <f t="shared" si="482"/>
        <v>45.600829934495067</v>
      </c>
      <c r="R549">
        <f t="shared" si="483"/>
        <v>0</v>
      </c>
      <c r="S549">
        <f t="shared" si="505"/>
        <v>-45.624411847160502</v>
      </c>
      <c r="T549" s="9" t="e">
        <f t="shared" si="484"/>
        <v>#N/A</v>
      </c>
      <c r="U549">
        <f t="shared" si="506"/>
        <v>-1.0000000000000001E+300</v>
      </c>
      <c r="V549">
        <f t="shared" si="507"/>
        <v>0</v>
      </c>
      <c r="W549">
        <f t="shared" si="508"/>
        <v>0</v>
      </c>
      <c r="X549">
        <f t="shared" si="485"/>
        <v>1.5330972149518189</v>
      </c>
      <c r="Y549">
        <f t="shared" si="486"/>
        <v>7.8539816339744828</v>
      </c>
      <c r="Z549">
        <f t="shared" si="487"/>
        <v>-1.5330972149518189</v>
      </c>
      <c r="AA549">
        <f t="shared" si="509"/>
        <v>-5.7823799473853361E-2</v>
      </c>
      <c r="AB549">
        <f t="shared" si="488"/>
        <v>7.7961578345006295</v>
      </c>
      <c r="AC549">
        <f t="shared" si="510"/>
        <v>-2.4292692569044587E-2</v>
      </c>
      <c r="AD549">
        <f t="shared" si="489"/>
        <v>7.1077990360849134E-4</v>
      </c>
      <c r="AE549" s="9">
        <f t="shared" si="511"/>
        <v>7.7725759218351929</v>
      </c>
      <c r="AF549">
        <f t="shared" si="512"/>
        <v>0</v>
      </c>
      <c r="AH549">
        <f t="shared" si="490"/>
        <v>7.8539816339744828</v>
      </c>
      <c r="AI549">
        <f t="shared" si="491"/>
        <v>-5.7823799473853264E-2</v>
      </c>
      <c r="AJ549">
        <f t="shared" si="492"/>
        <v>-2.4292692569041208E-2</v>
      </c>
      <c r="AK549">
        <f t="shared" si="493"/>
        <v>7.1077990360849134E-4</v>
      </c>
      <c r="AL549" s="9">
        <f t="shared" si="513"/>
        <v>7.7725759218351964</v>
      </c>
      <c r="AM549" t="e">
        <f t="shared" si="494"/>
        <v>#N/A</v>
      </c>
      <c r="AN549" t="e">
        <f t="shared" si="514"/>
        <v>#N/A</v>
      </c>
      <c r="AO549">
        <f t="shared" si="495"/>
        <v>0</v>
      </c>
      <c r="AP549">
        <f t="shared" si="496"/>
        <v>9.7144514654701197E-17</v>
      </c>
      <c r="AQ549">
        <f t="shared" si="497"/>
        <v>3.3792413312028202E-15</v>
      </c>
      <c r="AR549">
        <f t="shared" si="515"/>
        <v>-1.6800091923850137E-15</v>
      </c>
      <c r="AS549">
        <f t="shared" si="498"/>
        <v>0</v>
      </c>
      <c r="AT549">
        <f t="shared" si="516"/>
        <v>0</v>
      </c>
      <c r="AU549">
        <f t="shared" si="517"/>
        <v>0</v>
      </c>
      <c r="AV549">
        <f t="shared" si="499"/>
        <v>1.5330972149518188E-20</v>
      </c>
      <c r="AW549" t="b">
        <f t="shared" si="518"/>
        <v>1</v>
      </c>
      <c r="AX549">
        <f t="shared" si="500"/>
        <v>7.8539816339744828</v>
      </c>
      <c r="AY549">
        <f t="shared" si="501"/>
        <v>-5.7823799473853438E-2</v>
      </c>
      <c r="AZ549">
        <f t="shared" si="502"/>
        <v>-2.4292692569044701E-2</v>
      </c>
      <c r="BA549">
        <f t="shared" si="503"/>
        <v>7.1077990360849134E-4</v>
      </c>
      <c r="BB549">
        <f t="shared" si="504"/>
        <v>-1.2337005501361696E-20</v>
      </c>
      <c r="BD549" s="15">
        <f t="shared" si="519"/>
        <v>7.7725759218351929</v>
      </c>
      <c r="BE549" s="10">
        <f t="shared" si="520"/>
        <v>0</v>
      </c>
      <c r="BF549">
        <f t="shared" si="521"/>
        <v>0</v>
      </c>
      <c r="BG549">
        <f t="shared" si="522"/>
        <v>0</v>
      </c>
      <c r="BH549">
        <f t="shared" si="523"/>
        <v>-7.6327832942979512E-17</v>
      </c>
      <c r="BI549">
        <f t="shared" si="524"/>
        <v>-1.1449174941446927E-16</v>
      </c>
    </row>
    <row r="550" spans="1:61" x14ac:dyDescent="0.3">
      <c r="A550">
        <f t="shared" si="471"/>
        <v>0.51300000000000001</v>
      </c>
      <c r="B550">
        <f t="shared" si="472"/>
        <v>1.611637031291564</v>
      </c>
      <c r="C550">
        <f t="shared" si="473"/>
        <v>1.5299556222982291</v>
      </c>
      <c r="D550">
        <f t="shared" si="474"/>
        <v>1.5299556222982291</v>
      </c>
      <c r="E550">
        <f t="shared" si="479"/>
        <v>0.99916613434254009</v>
      </c>
      <c r="F550">
        <f t="shared" si="480"/>
        <v>0.99916613434254009</v>
      </c>
      <c r="G550">
        <f t="shared" si="475"/>
        <v>1.611637031291564</v>
      </c>
      <c r="H550">
        <f t="shared" si="476"/>
        <v>0.99916613434254009</v>
      </c>
      <c r="I550">
        <f t="shared" si="477"/>
        <v>0.99916613434254009</v>
      </c>
      <c r="J550">
        <f t="shared" si="525"/>
        <v>6.371510707641054E+19</v>
      </c>
      <c r="K550">
        <f t="shared" si="526"/>
        <v>6.371510707641054E+19</v>
      </c>
      <c r="L550">
        <f t="shared" si="481"/>
        <v>1</v>
      </c>
      <c r="M550">
        <f t="shared" si="478"/>
        <v>1.5299556222982291E-20</v>
      </c>
      <c r="N550" s="9">
        <f t="shared" ref="N550:N613" si="527">L550*M550</f>
        <v>1.5299556222982291E-20</v>
      </c>
      <c r="O550">
        <f t="shared" ref="O550:O613" si="528">N550*EXP(-N550)</f>
        <v>1.5299556222982291E-20</v>
      </c>
      <c r="Q550">
        <f t="shared" si="482"/>
        <v>45.600953368108279</v>
      </c>
      <c r="R550">
        <f t="shared" si="483"/>
        <v>0</v>
      </c>
      <c r="S550">
        <f t="shared" si="505"/>
        <v>-45.626463129931061</v>
      </c>
      <c r="T550" s="9" t="e">
        <f t="shared" si="484"/>
        <v>#N/A</v>
      </c>
      <c r="U550">
        <f t="shared" si="506"/>
        <v>-1.0000000000000001E+300</v>
      </c>
      <c r="V550">
        <f t="shared" si="507"/>
        <v>0</v>
      </c>
      <c r="W550">
        <f t="shared" si="508"/>
        <v>0</v>
      </c>
      <c r="X550">
        <f t="shared" si="485"/>
        <v>1.5299556222982291</v>
      </c>
      <c r="Y550">
        <f t="shared" si="486"/>
        <v>7.8539816339744828</v>
      </c>
      <c r="Z550">
        <f t="shared" si="487"/>
        <v>-1.5299556222982291</v>
      </c>
      <c r="AA550">
        <f t="shared" si="509"/>
        <v>-6.2519229252519418E-2</v>
      </c>
      <c r="AB550">
        <f t="shared" si="488"/>
        <v>7.7914624047219636</v>
      </c>
      <c r="AC550">
        <f t="shared" si="510"/>
        <v>-2.6343975339602088E-2</v>
      </c>
      <c r="AD550">
        <f t="shared" si="489"/>
        <v>8.3421351681934718E-4</v>
      </c>
      <c r="AE550" s="9">
        <f t="shared" si="511"/>
        <v>7.7659526428991814</v>
      </c>
      <c r="AF550">
        <f t="shared" si="512"/>
        <v>0</v>
      </c>
      <c r="AH550">
        <f t="shared" si="490"/>
        <v>7.8539816339744828</v>
      </c>
      <c r="AI550">
        <f t="shared" si="491"/>
        <v>-6.2519229252519334E-2</v>
      </c>
      <c r="AJ550">
        <f t="shared" si="492"/>
        <v>-2.6343975339599979E-2</v>
      </c>
      <c r="AK550">
        <f t="shared" si="493"/>
        <v>8.3421351681934718E-4</v>
      </c>
      <c r="AL550" s="9">
        <f t="shared" si="513"/>
        <v>7.7659526428991832</v>
      </c>
      <c r="AM550" t="e">
        <f t="shared" si="494"/>
        <v>#N/A</v>
      </c>
      <c r="AN550" t="e">
        <f t="shared" si="514"/>
        <v>#N/A</v>
      </c>
      <c r="AO550">
        <f t="shared" si="495"/>
        <v>0</v>
      </c>
      <c r="AP550">
        <f t="shared" si="496"/>
        <v>0</v>
      </c>
      <c r="AQ550">
        <f t="shared" si="497"/>
        <v>2.1094237467877974E-15</v>
      </c>
      <c r="AR550">
        <f t="shared" si="515"/>
        <v>0</v>
      </c>
      <c r="AS550">
        <f t="shared" si="498"/>
        <v>0</v>
      </c>
      <c r="AT550">
        <f t="shared" si="516"/>
        <v>0</v>
      </c>
      <c r="AU550">
        <f t="shared" si="517"/>
        <v>0</v>
      </c>
      <c r="AV550">
        <f t="shared" si="499"/>
        <v>1.5299556222982291E-20</v>
      </c>
      <c r="AW550" t="b">
        <f t="shared" si="518"/>
        <v>1</v>
      </c>
      <c r="AX550">
        <f t="shared" si="500"/>
        <v>7.8539816339744828</v>
      </c>
      <c r="AY550">
        <f t="shared" si="501"/>
        <v>-6.2519229252519501E-2</v>
      </c>
      <c r="AZ550">
        <f t="shared" si="502"/>
        <v>-2.6343975339601977E-2</v>
      </c>
      <c r="BA550">
        <f t="shared" si="503"/>
        <v>8.3421351681934718E-4</v>
      </c>
      <c r="BB550">
        <f t="shared" si="504"/>
        <v>-1.2337005501361696E-20</v>
      </c>
      <c r="BD550" s="15">
        <f t="shared" si="519"/>
        <v>7.7659526428991814</v>
      </c>
      <c r="BE550" s="10">
        <f t="shared" si="520"/>
        <v>0</v>
      </c>
      <c r="BF550">
        <f t="shared" si="521"/>
        <v>0</v>
      </c>
      <c r="BG550">
        <f t="shared" si="522"/>
        <v>0</v>
      </c>
      <c r="BH550">
        <f t="shared" si="523"/>
        <v>0</v>
      </c>
      <c r="BI550">
        <f t="shared" si="524"/>
        <v>1.1102230246251565E-16</v>
      </c>
    </row>
    <row r="551" spans="1:61" x14ac:dyDescent="0.3">
      <c r="A551">
        <f t="shared" ref="A551:A614" si="529">ROUND(A550+1/1000,3)</f>
        <v>0.51400000000000001</v>
      </c>
      <c r="B551">
        <f t="shared" si="472"/>
        <v>1.6147786239451536</v>
      </c>
      <c r="C551">
        <f t="shared" si="473"/>
        <v>1.5268140296446395</v>
      </c>
      <c r="D551">
        <f t="shared" si="474"/>
        <v>1.5268140296446395</v>
      </c>
      <c r="E551">
        <f t="shared" si="479"/>
        <v>0.99903293467812471</v>
      </c>
      <c r="F551">
        <f t="shared" si="480"/>
        <v>0.99903293467812471</v>
      </c>
      <c r="G551">
        <f t="shared" si="475"/>
        <v>1.6147786239451536</v>
      </c>
      <c r="H551">
        <f t="shared" si="476"/>
        <v>0.99903293467812471</v>
      </c>
      <c r="I551">
        <f t="shared" si="477"/>
        <v>0.99903293467812471</v>
      </c>
      <c r="J551">
        <f t="shared" si="525"/>
        <v>6.3723602122555843E+19</v>
      </c>
      <c r="K551">
        <f t="shared" si="526"/>
        <v>6.3723602122555843E+19</v>
      </c>
      <c r="L551">
        <f t="shared" si="481"/>
        <v>1</v>
      </c>
      <c r="M551">
        <f t="shared" si="478"/>
        <v>1.5268140296446394E-20</v>
      </c>
      <c r="N551" s="9">
        <f t="shared" si="527"/>
        <v>1.5268140296446394E-20</v>
      </c>
      <c r="O551">
        <f t="shared" si="528"/>
        <v>1.5268140296446394E-20</v>
      </c>
      <c r="Q551">
        <f t="shared" si="482"/>
        <v>45.601086687822693</v>
      </c>
      <c r="R551">
        <f t="shared" si="483"/>
        <v>0</v>
      </c>
      <c r="S551">
        <f t="shared" si="505"/>
        <v>-45.628518629113159</v>
      </c>
      <c r="T551" s="9" t="e">
        <f t="shared" si="484"/>
        <v>#N/A</v>
      </c>
      <c r="U551">
        <f t="shared" si="506"/>
        <v>-1.0000000000000001E+300</v>
      </c>
      <c r="V551">
        <f t="shared" si="507"/>
        <v>0</v>
      </c>
      <c r="W551">
        <f t="shared" si="508"/>
        <v>0</v>
      </c>
      <c r="X551">
        <f t="shared" si="485"/>
        <v>1.5268140296446395</v>
      </c>
      <c r="Y551">
        <f t="shared" si="486"/>
        <v>7.8539816339744828</v>
      </c>
      <c r="Z551">
        <f t="shared" si="487"/>
        <v>-1.5268140296446395</v>
      </c>
      <c r="AA551">
        <f t="shared" si="509"/>
        <v>-6.7196122945056128E-2</v>
      </c>
      <c r="AB551">
        <f t="shared" si="488"/>
        <v>7.7867855110294268</v>
      </c>
      <c r="AC551">
        <f t="shared" si="510"/>
        <v>-2.8399474521697887E-2</v>
      </c>
      <c r="AD551">
        <f t="shared" si="489"/>
        <v>9.6753323123394673E-4</v>
      </c>
      <c r="AE551" s="9">
        <f t="shared" si="511"/>
        <v>7.7593535697389626</v>
      </c>
      <c r="AF551">
        <f t="shared" si="512"/>
        <v>0</v>
      </c>
      <c r="AH551">
        <f t="shared" si="490"/>
        <v>7.8539816339744828</v>
      </c>
      <c r="AI551">
        <f t="shared" si="491"/>
        <v>-6.7196122945056017E-2</v>
      </c>
      <c r="AJ551">
        <f t="shared" si="492"/>
        <v>-2.8399474521698664E-2</v>
      </c>
      <c r="AK551">
        <f t="shared" si="493"/>
        <v>9.6753323123394673E-4</v>
      </c>
      <c r="AL551" s="9">
        <f t="shared" si="513"/>
        <v>7.7593535697389617</v>
      </c>
      <c r="AM551" t="e">
        <f t="shared" si="494"/>
        <v>#N/A</v>
      </c>
      <c r="AN551" t="e">
        <f t="shared" si="514"/>
        <v>#N/A</v>
      </c>
      <c r="AO551">
        <f t="shared" si="495"/>
        <v>0</v>
      </c>
      <c r="AP551">
        <f t="shared" si="496"/>
        <v>1.1102230246251565E-16</v>
      </c>
      <c r="AQ551">
        <f t="shared" si="497"/>
        <v>-7.7715611723760958E-16</v>
      </c>
      <c r="AR551">
        <f t="shared" si="515"/>
        <v>-1.6522129193866559E-15</v>
      </c>
      <c r="AS551">
        <f t="shared" si="498"/>
        <v>0</v>
      </c>
      <c r="AT551">
        <f t="shared" si="516"/>
        <v>0</v>
      </c>
      <c r="AU551">
        <f t="shared" si="517"/>
        <v>0</v>
      </c>
      <c r="AV551">
        <f t="shared" si="499"/>
        <v>1.5268140296446394E-20</v>
      </c>
      <c r="AW551" t="b">
        <f t="shared" si="518"/>
        <v>1</v>
      </c>
      <c r="AX551">
        <f t="shared" si="500"/>
        <v>7.8539816339744828</v>
      </c>
      <c r="AY551">
        <f t="shared" si="501"/>
        <v>-6.7196122945056211E-2</v>
      </c>
      <c r="AZ551">
        <f t="shared" si="502"/>
        <v>-2.8399474521697887E-2</v>
      </c>
      <c r="BA551">
        <f t="shared" si="503"/>
        <v>9.6753323123394673E-4</v>
      </c>
      <c r="BB551">
        <f t="shared" si="504"/>
        <v>-1.2337005501361696E-20</v>
      </c>
      <c r="BD551" s="15">
        <f t="shared" si="519"/>
        <v>7.7593535697389626</v>
      </c>
      <c r="BE551" s="10">
        <f t="shared" si="520"/>
        <v>0</v>
      </c>
      <c r="BF551">
        <f t="shared" si="521"/>
        <v>0</v>
      </c>
      <c r="BG551">
        <f t="shared" si="522"/>
        <v>0</v>
      </c>
      <c r="BH551">
        <f t="shared" si="523"/>
        <v>0</v>
      </c>
      <c r="BI551">
        <f t="shared" si="524"/>
        <v>0</v>
      </c>
    </row>
    <row r="552" spans="1:61" x14ac:dyDescent="0.3">
      <c r="A552">
        <f t="shared" si="529"/>
        <v>0.51500000000000001</v>
      </c>
      <c r="B552">
        <f t="shared" si="472"/>
        <v>1.6179202165987434</v>
      </c>
      <c r="C552">
        <f t="shared" si="473"/>
        <v>1.5236724369910497</v>
      </c>
      <c r="D552">
        <f t="shared" si="474"/>
        <v>1.5236724369910497</v>
      </c>
      <c r="E552">
        <f t="shared" si="479"/>
        <v>0.99888987496197001</v>
      </c>
      <c r="F552">
        <f t="shared" si="480"/>
        <v>0.99888987496197001</v>
      </c>
      <c r="G552">
        <f t="shared" si="475"/>
        <v>1.6179202165987434</v>
      </c>
      <c r="H552">
        <f t="shared" si="476"/>
        <v>0.99888987496197001</v>
      </c>
      <c r="I552">
        <f t="shared" si="477"/>
        <v>0.99888987496197001</v>
      </c>
      <c r="J552">
        <f t="shared" si="525"/>
        <v>6.3732728534446203E+19</v>
      </c>
      <c r="K552">
        <f t="shared" si="526"/>
        <v>6.3732728534446203E+19</v>
      </c>
      <c r="L552">
        <f t="shared" si="481"/>
        <v>1</v>
      </c>
      <c r="M552">
        <f t="shared" si="478"/>
        <v>1.5236724369910498E-20</v>
      </c>
      <c r="N552" s="9">
        <f t="shared" si="527"/>
        <v>1.5236724369910498E-20</v>
      </c>
      <c r="O552">
        <f t="shared" si="528"/>
        <v>1.5236724369910498E-20</v>
      </c>
      <c r="Q552">
        <f t="shared" si="482"/>
        <v>45.601229896274702</v>
      </c>
      <c r="R552">
        <f t="shared" si="483"/>
        <v>0</v>
      </c>
      <c r="S552">
        <f t="shared" si="505"/>
        <v>-45.630578362076164</v>
      </c>
      <c r="T552" s="9" t="e">
        <f t="shared" si="484"/>
        <v>#N/A</v>
      </c>
      <c r="U552">
        <f t="shared" si="506"/>
        <v>-1.0000000000000001E+300</v>
      </c>
      <c r="V552">
        <f t="shared" si="507"/>
        <v>0</v>
      </c>
      <c r="W552">
        <f t="shared" si="508"/>
        <v>0</v>
      </c>
      <c r="X552">
        <f t="shared" si="485"/>
        <v>1.5236724369910497</v>
      </c>
      <c r="Y552">
        <f t="shared" si="486"/>
        <v>7.8539816339744828</v>
      </c>
      <c r="Z552">
        <f t="shared" si="487"/>
        <v>-1.5236724369910497</v>
      </c>
      <c r="AA552">
        <f t="shared" si="509"/>
        <v>-7.1854568105911135E-2</v>
      </c>
      <c r="AB552">
        <f t="shared" si="488"/>
        <v>7.7821270658685719</v>
      </c>
      <c r="AC552">
        <f t="shared" si="510"/>
        <v>-3.0459207484708574E-2</v>
      </c>
      <c r="AD552">
        <f t="shared" si="489"/>
        <v>1.1107416832411188E-3</v>
      </c>
      <c r="AE552" s="9">
        <f t="shared" si="511"/>
        <v>7.7527786000671037</v>
      </c>
      <c r="AF552">
        <f t="shared" si="512"/>
        <v>0</v>
      </c>
      <c r="AH552">
        <f t="shared" si="490"/>
        <v>7.8539816339744828</v>
      </c>
      <c r="AI552">
        <f t="shared" si="491"/>
        <v>-7.1854568105911037E-2</v>
      </c>
      <c r="AJ552">
        <f t="shared" si="492"/>
        <v>-3.0459207484703654E-2</v>
      </c>
      <c r="AK552">
        <f t="shared" si="493"/>
        <v>1.1107416832411188E-3</v>
      </c>
      <c r="AL552" s="9">
        <f t="shared" si="513"/>
        <v>7.7527786000671091</v>
      </c>
      <c r="AM552" t="e">
        <f t="shared" si="494"/>
        <v>#N/A</v>
      </c>
      <c r="AN552" t="e">
        <f t="shared" si="514"/>
        <v>#N/A</v>
      </c>
      <c r="AO552">
        <f t="shared" si="495"/>
        <v>0</v>
      </c>
      <c r="AP552">
        <f t="shared" si="496"/>
        <v>0</v>
      </c>
      <c r="AQ552">
        <f t="shared" si="497"/>
        <v>4.9196757778702249E-15</v>
      </c>
      <c r="AR552">
        <f t="shared" si="515"/>
        <v>0</v>
      </c>
      <c r="AS552">
        <f t="shared" si="498"/>
        <v>0</v>
      </c>
      <c r="AT552">
        <f t="shared" si="516"/>
        <v>0</v>
      </c>
      <c r="AU552">
        <f t="shared" si="517"/>
        <v>0</v>
      </c>
      <c r="AV552">
        <f t="shared" si="499"/>
        <v>1.5236724369910498E-20</v>
      </c>
      <c r="AW552" t="b">
        <f t="shared" si="518"/>
        <v>1</v>
      </c>
      <c r="AX552">
        <f t="shared" si="500"/>
        <v>7.8539816339744828</v>
      </c>
      <c r="AY552">
        <f t="shared" si="501"/>
        <v>-7.1854568105911218E-2</v>
      </c>
      <c r="AZ552">
        <f t="shared" si="502"/>
        <v>-3.0459207484708345E-2</v>
      </c>
      <c r="BA552">
        <f t="shared" si="503"/>
        <v>1.1107416832411188E-3</v>
      </c>
      <c r="BB552">
        <f t="shared" si="504"/>
        <v>-1.2337005501361696E-20</v>
      </c>
      <c r="BD552" s="15">
        <f t="shared" si="519"/>
        <v>7.7527786000671046</v>
      </c>
      <c r="BE552" s="10">
        <f t="shared" si="520"/>
        <v>0</v>
      </c>
      <c r="BF552">
        <f t="shared" si="521"/>
        <v>0</v>
      </c>
      <c r="BG552">
        <f t="shared" si="522"/>
        <v>0</v>
      </c>
      <c r="BH552">
        <f t="shared" si="523"/>
        <v>0</v>
      </c>
      <c r="BI552">
        <f t="shared" si="524"/>
        <v>2.2898349882893854E-16</v>
      </c>
    </row>
    <row r="553" spans="1:61" x14ac:dyDescent="0.3">
      <c r="A553">
        <f t="shared" si="529"/>
        <v>0.51600000000000001</v>
      </c>
      <c r="B553">
        <f t="shared" si="472"/>
        <v>1.6210618092523332</v>
      </c>
      <c r="C553">
        <f t="shared" si="473"/>
        <v>1.5205308443374599</v>
      </c>
      <c r="D553">
        <f t="shared" si="474"/>
        <v>1.5205308443374599</v>
      </c>
      <c r="E553">
        <f t="shared" si="479"/>
        <v>0.99873695660601747</v>
      </c>
      <c r="F553">
        <f t="shared" si="480"/>
        <v>0.99873695660601747</v>
      </c>
      <c r="G553">
        <f t="shared" si="475"/>
        <v>1.6210618092523332</v>
      </c>
      <c r="H553">
        <f t="shared" si="476"/>
        <v>0.99873695660601747</v>
      </c>
      <c r="I553">
        <f t="shared" si="477"/>
        <v>0.99873695660601747</v>
      </c>
      <c r="J553">
        <f t="shared" si="525"/>
        <v>6.3742486763580899E+19</v>
      </c>
      <c r="K553">
        <f t="shared" si="526"/>
        <v>6.3742486763580899E+19</v>
      </c>
      <c r="L553">
        <f t="shared" si="481"/>
        <v>0</v>
      </c>
      <c r="M553">
        <f t="shared" si="478"/>
        <v>1.5205308443374598E-20</v>
      </c>
      <c r="N553" s="9">
        <f t="shared" si="527"/>
        <v>0</v>
      </c>
      <c r="O553">
        <f t="shared" si="528"/>
        <v>0</v>
      </c>
      <c r="Q553">
        <f t="shared" si="482"/>
        <v>45.601382996297019</v>
      </c>
      <c r="R553">
        <f t="shared" si="483"/>
        <v>-710542.73576010019</v>
      </c>
      <c r="S553">
        <f t="shared" si="505"/>
        <v>-45.632642346297018</v>
      </c>
      <c r="T553" s="9" t="e">
        <f t="shared" si="484"/>
        <v>#N/A</v>
      </c>
      <c r="U553">
        <f t="shared" si="506"/>
        <v>-1.0000000000000001E+300</v>
      </c>
      <c r="V553">
        <f t="shared" si="507"/>
        <v>0</v>
      </c>
      <c r="W553">
        <f t="shared" si="508"/>
        <v>0</v>
      </c>
      <c r="X553">
        <f t="shared" si="485"/>
        <v>1.5205308443374599</v>
      </c>
      <c r="Y553">
        <f t="shared" si="486"/>
        <v>7.8539816339744828</v>
      </c>
      <c r="Z553">
        <f t="shared" si="487"/>
        <v>-1.5205308443374599</v>
      </c>
      <c r="AA553">
        <f t="shared" si="509"/>
        <v>-7.6494651609435249E-2</v>
      </c>
      <c r="AB553">
        <f t="shared" si="488"/>
        <v>7.7774869823650477</v>
      </c>
      <c r="AC553">
        <f t="shared" si="510"/>
        <v>-3.2523191705560062E-2</v>
      </c>
      <c r="AD553">
        <f t="shared" si="489"/>
        <v>1.2638417055623181E-3</v>
      </c>
      <c r="AE553" s="9">
        <f t="shared" si="511"/>
        <v>7.7462276323650494</v>
      </c>
      <c r="AF553">
        <f t="shared" si="512"/>
        <v>0</v>
      </c>
      <c r="AH553">
        <f t="shared" si="490"/>
        <v>7.8539816339744828</v>
      </c>
      <c r="AI553">
        <f t="shared" si="491"/>
        <v>-7.6494651609435166E-2</v>
      </c>
      <c r="AJ553">
        <f t="shared" si="492"/>
        <v>-3.2523191705557508E-2</v>
      </c>
      <c r="AK553">
        <f t="shared" si="493"/>
        <v>1.2638417055623181E-3</v>
      </c>
      <c r="AL553" s="9">
        <f t="shared" si="513"/>
        <v>7.7462276323650521</v>
      </c>
      <c r="AM553" t="e">
        <f t="shared" si="494"/>
        <v>#N/A</v>
      </c>
      <c r="AN553" t="e">
        <f t="shared" si="514"/>
        <v>#N/A</v>
      </c>
      <c r="AO553">
        <f t="shared" si="495"/>
        <v>0</v>
      </c>
      <c r="AP553">
        <f t="shared" si="496"/>
        <v>0</v>
      </c>
      <c r="AQ553">
        <f t="shared" si="497"/>
        <v>2.55351295663786E-15</v>
      </c>
      <c r="AR553">
        <f t="shared" si="515"/>
        <v>0</v>
      </c>
      <c r="AS553">
        <f t="shared" si="498"/>
        <v>0</v>
      </c>
      <c r="AT553">
        <f t="shared" si="516"/>
        <v>0</v>
      </c>
      <c r="AU553">
        <f t="shared" si="517"/>
        <v>0</v>
      </c>
      <c r="AV553">
        <f t="shared" si="499"/>
        <v>1.5205308443374598E-20</v>
      </c>
      <c r="AW553" t="b">
        <f t="shared" si="518"/>
        <v>1</v>
      </c>
      <c r="AX553">
        <f t="shared" si="500"/>
        <v>7.8539816339744828</v>
      </c>
      <c r="AY553">
        <f t="shared" si="501"/>
        <v>-7.6494651609435332E-2</v>
      </c>
      <c r="AZ553">
        <f t="shared" si="502"/>
        <v>-3.2523191705559951E-2</v>
      </c>
      <c r="BA553">
        <f t="shared" si="503"/>
        <v>1.2638417055623181E-3</v>
      </c>
      <c r="BB553">
        <f t="shared" si="504"/>
        <v>-1.2337005501361696E-20</v>
      </c>
      <c r="BD553" s="15">
        <f t="shared" si="519"/>
        <v>7.7462276323650494</v>
      </c>
      <c r="BE553" s="10">
        <f t="shared" si="520"/>
        <v>0</v>
      </c>
      <c r="BF553">
        <f t="shared" si="521"/>
        <v>0</v>
      </c>
      <c r="BG553">
        <f t="shared" si="522"/>
        <v>0</v>
      </c>
      <c r="BH553">
        <f t="shared" si="523"/>
        <v>0</v>
      </c>
      <c r="BI553">
        <f t="shared" si="524"/>
        <v>1.1102230246251565E-16</v>
      </c>
    </row>
    <row r="554" spans="1:61" x14ac:dyDescent="0.3">
      <c r="A554">
        <f t="shared" si="529"/>
        <v>0.51700000000000002</v>
      </c>
      <c r="B554">
        <f t="shared" si="472"/>
        <v>1.624203401905923</v>
      </c>
      <c r="C554">
        <f t="shared" si="473"/>
        <v>1.5173892516838701</v>
      </c>
      <c r="D554">
        <f t="shared" si="474"/>
        <v>1.5173892516838701</v>
      </c>
      <c r="E554">
        <f t="shared" si="479"/>
        <v>0.9985741811195098</v>
      </c>
      <c r="F554">
        <f t="shared" si="480"/>
        <v>0.99857418111950969</v>
      </c>
      <c r="G554">
        <f t="shared" si="475"/>
        <v>1.624203401905923</v>
      </c>
      <c r="H554">
        <f t="shared" si="476"/>
        <v>0.9985741811195098</v>
      </c>
      <c r="I554">
        <f t="shared" si="477"/>
        <v>0.99857418111950969</v>
      </c>
      <c r="J554">
        <f t="shared" si="525"/>
        <v>6.3752877292887917E+19</v>
      </c>
      <c r="K554">
        <f t="shared" si="526"/>
        <v>6.3752877292887917E+19</v>
      </c>
      <c r="L554">
        <f t="shared" si="481"/>
        <v>1</v>
      </c>
      <c r="M554">
        <f t="shared" si="478"/>
        <v>1.5173892516838701E-20</v>
      </c>
      <c r="N554" s="9">
        <f t="shared" si="527"/>
        <v>1.5173892516838701E-20</v>
      </c>
      <c r="O554">
        <f t="shared" si="528"/>
        <v>1.5173892516838701E-20</v>
      </c>
      <c r="Q554">
        <f t="shared" si="482"/>
        <v>45.601545990918936</v>
      </c>
      <c r="R554">
        <f t="shared" si="483"/>
        <v>0</v>
      </c>
      <c r="S554">
        <f t="shared" si="505"/>
        <v>-45.634710599361078</v>
      </c>
      <c r="T554" s="9" t="e">
        <f t="shared" si="484"/>
        <v>#N/A</v>
      </c>
      <c r="U554">
        <f t="shared" si="506"/>
        <v>-1.0000000000000001E+300</v>
      </c>
      <c r="V554">
        <f t="shared" si="507"/>
        <v>0</v>
      </c>
      <c r="W554">
        <f t="shared" si="508"/>
        <v>0</v>
      </c>
      <c r="X554">
        <f t="shared" si="485"/>
        <v>1.5173892516838701</v>
      </c>
      <c r="Y554">
        <f t="shared" si="486"/>
        <v>7.8539816339744828</v>
      </c>
      <c r="Z554">
        <f t="shared" si="487"/>
        <v>-1.5173892516838701</v>
      </c>
      <c r="AA554">
        <f t="shared" si="509"/>
        <v>-8.1116459656362647E-2</v>
      </c>
      <c r="AB554">
        <f t="shared" si="488"/>
        <v>7.7728651743181203</v>
      </c>
      <c r="AC554">
        <f t="shared" si="510"/>
        <v>-3.459144476961909E-2</v>
      </c>
      <c r="AD554">
        <f t="shared" si="489"/>
        <v>1.426836327475266E-3</v>
      </c>
      <c r="AE554" s="9">
        <f t="shared" si="511"/>
        <v>7.7397005658759763</v>
      </c>
      <c r="AF554">
        <f t="shared" si="512"/>
        <v>0</v>
      </c>
      <c r="AH554">
        <f t="shared" si="490"/>
        <v>7.8539816339744828</v>
      </c>
      <c r="AI554">
        <f t="shared" si="491"/>
        <v>-8.111645965636255E-2</v>
      </c>
      <c r="AJ554">
        <f t="shared" si="492"/>
        <v>-3.4591444769617397E-2</v>
      </c>
      <c r="AK554">
        <f t="shared" si="493"/>
        <v>1.426836327475266E-3</v>
      </c>
      <c r="AL554" s="9">
        <f t="shared" si="513"/>
        <v>7.7397005658759781</v>
      </c>
      <c r="AM554" t="e">
        <f t="shared" si="494"/>
        <v>#N/A</v>
      </c>
      <c r="AN554" t="e">
        <f t="shared" si="514"/>
        <v>#N/A</v>
      </c>
      <c r="AO554">
        <f t="shared" si="495"/>
        <v>0</v>
      </c>
      <c r="AP554">
        <f t="shared" si="496"/>
        <v>0</v>
      </c>
      <c r="AQ554">
        <f t="shared" si="497"/>
        <v>1.6930901125533637E-15</v>
      </c>
      <c r="AR554">
        <f t="shared" si="515"/>
        <v>0</v>
      </c>
      <c r="AS554">
        <f t="shared" si="498"/>
        <v>0</v>
      </c>
      <c r="AT554">
        <f t="shared" si="516"/>
        <v>0</v>
      </c>
      <c r="AU554">
        <f t="shared" si="517"/>
        <v>0</v>
      </c>
      <c r="AV554">
        <f t="shared" si="499"/>
        <v>1.5173892516838698E-20</v>
      </c>
      <c r="AW554" t="b">
        <f t="shared" si="518"/>
        <v>1</v>
      </c>
      <c r="AX554">
        <f t="shared" si="500"/>
        <v>7.8539816339744828</v>
      </c>
      <c r="AY554">
        <f t="shared" si="501"/>
        <v>-8.1116459656362716E-2</v>
      </c>
      <c r="AZ554">
        <f t="shared" si="502"/>
        <v>-3.459144476961909E-2</v>
      </c>
      <c r="BA554">
        <f t="shared" si="503"/>
        <v>1.4268363274753772E-3</v>
      </c>
      <c r="BB554">
        <f t="shared" si="504"/>
        <v>-1.2337005501361696E-20</v>
      </c>
      <c r="BD554" s="15">
        <f t="shared" si="519"/>
        <v>7.7397005658759763</v>
      </c>
      <c r="BE554" s="10">
        <f t="shared" si="520"/>
        <v>0</v>
      </c>
      <c r="BF554">
        <f t="shared" si="521"/>
        <v>0</v>
      </c>
      <c r="BG554">
        <f t="shared" si="522"/>
        <v>0</v>
      </c>
      <c r="BH554">
        <f t="shared" si="523"/>
        <v>0</v>
      </c>
      <c r="BI554">
        <f t="shared" si="524"/>
        <v>0</v>
      </c>
    </row>
    <row r="555" spans="1:61" x14ac:dyDescent="0.3">
      <c r="A555">
        <f t="shared" si="529"/>
        <v>0.51800000000000002</v>
      </c>
      <c r="B555">
        <f t="shared" si="472"/>
        <v>1.6273449945595129</v>
      </c>
      <c r="C555">
        <f t="shared" si="473"/>
        <v>1.5142476590302802</v>
      </c>
      <c r="D555">
        <f t="shared" si="474"/>
        <v>1.5142476590302802</v>
      </c>
      <c r="E555">
        <f t="shared" si="479"/>
        <v>0.99840155010897502</v>
      </c>
      <c r="F555">
        <f t="shared" si="480"/>
        <v>0.99840155010897502</v>
      </c>
      <c r="G555">
        <f t="shared" si="475"/>
        <v>1.6273449945595129</v>
      </c>
      <c r="H555">
        <f t="shared" si="476"/>
        <v>0.99840155010897502</v>
      </c>
      <c r="I555">
        <f t="shared" si="477"/>
        <v>0.99840155010897502</v>
      </c>
      <c r="J555">
        <f t="shared" si="525"/>
        <v>6.3763900636782338E+19</v>
      </c>
      <c r="K555">
        <f t="shared" si="526"/>
        <v>6.3763900636782338E+19</v>
      </c>
      <c r="L555" t="e">
        <f t="shared" si="481"/>
        <v>#NUM!</v>
      </c>
      <c r="M555">
        <f t="shared" si="478"/>
        <v>1.5142476590302802E-20</v>
      </c>
      <c r="N555" s="9" t="e">
        <f t="shared" si="527"/>
        <v>#NUM!</v>
      </c>
      <c r="O555" t="e">
        <f t="shared" si="528"/>
        <v>#NUM!</v>
      </c>
      <c r="Q555">
        <f t="shared" si="482"/>
        <v>45.601718883366516</v>
      </c>
      <c r="R555">
        <f t="shared" si="483"/>
        <v>0</v>
      </c>
      <c r="S555">
        <f t="shared" si="505"/>
        <v>-45.636783138963054</v>
      </c>
      <c r="T555" s="9" t="e">
        <f t="shared" si="484"/>
        <v>#N/A</v>
      </c>
      <c r="U555">
        <f t="shared" si="506"/>
        <v>-1.0000000000000001E+300</v>
      </c>
      <c r="V555">
        <f t="shared" si="507"/>
        <v>0</v>
      </c>
      <c r="W555">
        <f t="shared" si="508"/>
        <v>0</v>
      </c>
      <c r="X555">
        <f t="shared" si="485"/>
        <v>1.5142476590302802</v>
      </c>
      <c r="Y555">
        <f t="shared" si="486"/>
        <v>7.8539816339744828</v>
      </c>
      <c r="Z555">
        <f t="shared" si="487"/>
        <v>-1.5142476590302802</v>
      </c>
      <c r="AA555">
        <f t="shared" si="509"/>
        <v>-8.5720077780214288E-2</v>
      </c>
      <c r="AB555">
        <f t="shared" si="488"/>
        <v>7.7682615561942683</v>
      </c>
      <c r="AC555">
        <f t="shared" si="510"/>
        <v>-3.666398437159147E-2</v>
      </c>
      <c r="AD555">
        <f t="shared" si="489"/>
        <v>1.599728775055084E-3</v>
      </c>
      <c r="AE555" s="9">
        <f t="shared" si="511"/>
        <v>7.7331973005977321</v>
      </c>
      <c r="AF555">
        <f t="shared" si="512"/>
        <v>0</v>
      </c>
      <c r="AH555">
        <f t="shared" si="490"/>
        <v>7.8539816339744828</v>
      </c>
      <c r="AI555">
        <f t="shared" si="491"/>
        <v>-8.5720077780214191E-2</v>
      </c>
      <c r="AJ555">
        <f t="shared" si="492"/>
        <v>-3.6663984371593017E-2</v>
      </c>
      <c r="AK555">
        <f t="shared" si="493"/>
        <v>1.599728775055084E-3</v>
      </c>
      <c r="AL555" s="9">
        <f t="shared" si="513"/>
        <v>7.7331973005977304</v>
      </c>
      <c r="AM555" t="e">
        <f t="shared" si="494"/>
        <v>#N/A</v>
      </c>
      <c r="AN555" t="e">
        <f t="shared" si="514"/>
        <v>#N/A</v>
      </c>
      <c r="AO555">
        <f t="shared" si="495"/>
        <v>0</v>
      </c>
      <c r="AP555">
        <f t="shared" si="496"/>
        <v>0</v>
      </c>
      <c r="AQ555">
        <f t="shared" si="497"/>
        <v>-1.5473733405713119E-15</v>
      </c>
      <c r="AR555">
        <f t="shared" si="515"/>
        <v>0</v>
      </c>
      <c r="AS555">
        <f t="shared" si="498"/>
        <v>0</v>
      </c>
      <c r="AT555">
        <f t="shared" si="516"/>
        <v>0</v>
      </c>
      <c r="AU555">
        <f t="shared" si="517"/>
        <v>0</v>
      </c>
      <c r="AV555">
        <f t="shared" si="499"/>
        <v>1.5142476590302802E-20</v>
      </c>
      <c r="AW555" t="b">
        <f t="shared" si="518"/>
        <v>1</v>
      </c>
      <c r="AX555">
        <f t="shared" si="500"/>
        <v>7.8539816339744828</v>
      </c>
      <c r="AY555">
        <f t="shared" si="501"/>
        <v>-8.5720077780214385E-2</v>
      </c>
      <c r="AZ555">
        <f t="shared" si="502"/>
        <v>-3.6663984371591359E-2</v>
      </c>
      <c r="BA555">
        <f t="shared" si="503"/>
        <v>1.599728775055084E-3</v>
      </c>
      <c r="BB555">
        <f t="shared" si="504"/>
        <v>-1.2337005501361696E-20</v>
      </c>
      <c r="BD555" s="15">
        <f t="shared" si="519"/>
        <v>7.7331973005977321</v>
      </c>
      <c r="BE555" s="10">
        <f t="shared" si="520"/>
        <v>0</v>
      </c>
      <c r="BF555">
        <f t="shared" si="521"/>
        <v>0</v>
      </c>
      <c r="BG555">
        <f t="shared" si="522"/>
        <v>0</v>
      </c>
      <c r="BH555">
        <f t="shared" si="523"/>
        <v>0</v>
      </c>
      <c r="BI555">
        <f t="shared" si="524"/>
        <v>1.1102230246251565E-16</v>
      </c>
    </row>
    <row r="556" spans="1:61" x14ac:dyDescent="0.3">
      <c r="A556">
        <f t="shared" si="529"/>
        <v>0.51900000000000002</v>
      </c>
      <c r="B556">
        <f t="shared" si="472"/>
        <v>1.6304865872131027</v>
      </c>
      <c r="C556">
        <f t="shared" si="473"/>
        <v>1.5111060663766904</v>
      </c>
      <c r="D556">
        <f t="shared" si="474"/>
        <v>1.5111060663766904</v>
      </c>
      <c r="E556">
        <f t="shared" si="479"/>
        <v>0.9982190652782118</v>
      </c>
      <c r="F556">
        <f t="shared" si="480"/>
        <v>0.9982190652782118</v>
      </c>
      <c r="G556">
        <f t="shared" si="475"/>
        <v>1.6304865872131027</v>
      </c>
      <c r="H556">
        <f t="shared" si="476"/>
        <v>0.9982190652782118</v>
      </c>
      <c r="I556">
        <f t="shared" si="477"/>
        <v>0.9982190652782118</v>
      </c>
      <c r="J556">
        <f t="shared" si="525"/>
        <v>6.3775557341228532E+19</v>
      </c>
      <c r="K556">
        <f t="shared" si="526"/>
        <v>6.3775557341228532E+19</v>
      </c>
      <c r="L556">
        <f t="shared" si="481"/>
        <v>1</v>
      </c>
      <c r="M556">
        <f t="shared" si="478"/>
        <v>1.5111060663766902E-20</v>
      </c>
      <c r="N556" s="9">
        <f t="shared" si="527"/>
        <v>1.5111060663766902E-20</v>
      </c>
      <c r="O556">
        <f t="shared" si="528"/>
        <v>1.5111060663766902E-20</v>
      </c>
      <c r="Q556">
        <f t="shared" si="482"/>
        <v>45.601901677062891</v>
      </c>
      <c r="R556">
        <f t="shared" si="483"/>
        <v>0</v>
      </c>
      <c r="S556">
        <f t="shared" si="505"/>
        <v>-45.638859982907888</v>
      </c>
      <c r="T556" s="9" t="e">
        <f t="shared" si="484"/>
        <v>#N/A</v>
      </c>
      <c r="U556">
        <f t="shared" si="506"/>
        <v>-1.0000000000000001E+300</v>
      </c>
      <c r="V556">
        <f t="shared" si="507"/>
        <v>0</v>
      </c>
      <c r="W556">
        <f t="shared" si="508"/>
        <v>0</v>
      </c>
      <c r="X556">
        <f t="shared" si="485"/>
        <v>1.5111060663766904</v>
      </c>
      <c r="Y556">
        <f t="shared" si="486"/>
        <v>7.8539816339744828</v>
      </c>
      <c r="Z556">
        <f t="shared" si="487"/>
        <v>-1.5111060663766904</v>
      </c>
      <c r="AA556">
        <f t="shared" si="509"/>
        <v>-9.0305590853627812E-2</v>
      </c>
      <c r="AB556">
        <f t="shared" si="488"/>
        <v>7.7636760431208547</v>
      </c>
      <c r="AC556">
        <f t="shared" si="510"/>
        <v>-3.8740828316430595E-2</v>
      </c>
      <c r="AD556">
        <f t="shared" si="489"/>
        <v>1.7825224714288473E-3</v>
      </c>
      <c r="AE556" s="9">
        <f t="shared" si="511"/>
        <v>7.7267177372758535</v>
      </c>
      <c r="AF556">
        <f t="shared" si="512"/>
        <v>0</v>
      </c>
      <c r="AH556">
        <f t="shared" si="490"/>
        <v>7.8539816339744828</v>
      </c>
      <c r="AI556">
        <f t="shared" si="491"/>
        <v>-9.0305590853627729E-2</v>
      </c>
      <c r="AJ556">
        <f t="shared" si="492"/>
        <v>-3.8740828316427667E-2</v>
      </c>
      <c r="AK556">
        <f t="shared" si="493"/>
        <v>1.7825224714288473E-3</v>
      </c>
      <c r="AL556" s="9">
        <f t="shared" si="513"/>
        <v>7.7267177372758562</v>
      </c>
      <c r="AM556" t="e">
        <f t="shared" si="494"/>
        <v>#N/A</v>
      </c>
      <c r="AN556" t="e">
        <f t="shared" si="514"/>
        <v>#N/A</v>
      </c>
      <c r="AO556">
        <f t="shared" si="495"/>
        <v>0</v>
      </c>
      <c r="AP556">
        <f t="shared" si="496"/>
        <v>0</v>
      </c>
      <c r="AQ556">
        <f t="shared" si="497"/>
        <v>2.9282132274488504E-15</v>
      </c>
      <c r="AR556">
        <f t="shared" si="515"/>
        <v>0</v>
      </c>
      <c r="AS556">
        <f t="shared" si="498"/>
        <v>0</v>
      </c>
      <c r="AT556">
        <f t="shared" si="516"/>
        <v>0</v>
      </c>
      <c r="AU556">
        <f t="shared" si="517"/>
        <v>0</v>
      </c>
      <c r="AV556">
        <f t="shared" si="499"/>
        <v>1.5111060663766902E-20</v>
      </c>
      <c r="AW556" t="b">
        <f t="shared" si="518"/>
        <v>1</v>
      </c>
      <c r="AX556">
        <f t="shared" si="500"/>
        <v>7.8539816339744828</v>
      </c>
      <c r="AY556">
        <f t="shared" si="501"/>
        <v>-9.0305590853627909E-2</v>
      </c>
      <c r="AZ556">
        <f t="shared" si="502"/>
        <v>-3.8740828316430595E-2</v>
      </c>
      <c r="BA556">
        <f t="shared" si="503"/>
        <v>1.7825224714288473E-3</v>
      </c>
      <c r="BB556">
        <f t="shared" si="504"/>
        <v>-1.2337005501361696E-20</v>
      </c>
      <c r="BD556" s="15">
        <f t="shared" si="519"/>
        <v>7.7267177372758535</v>
      </c>
      <c r="BE556" s="10">
        <f t="shared" si="520"/>
        <v>0</v>
      </c>
      <c r="BF556">
        <f t="shared" si="521"/>
        <v>0</v>
      </c>
      <c r="BG556">
        <f t="shared" si="522"/>
        <v>0</v>
      </c>
      <c r="BH556">
        <f t="shared" si="523"/>
        <v>0</v>
      </c>
      <c r="BI556">
        <f t="shared" si="524"/>
        <v>0</v>
      </c>
    </row>
    <row r="557" spans="1:61" x14ac:dyDescent="0.3">
      <c r="A557">
        <f t="shared" si="529"/>
        <v>0.52</v>
      </c>
      <c r="B557">
        <f t="shared" si="472"/>
        <v>1.6336281798666925</v>
      </c>
      <c r="C557">
        <f t="shared" si="473"/>
        <v>1.5079644737231006</v>
      </c>
      <c r="D557">
        <f t="shared" si="474"/>
        <v>1.5079644737231006</v>
      </c>
      <c r="E557">
        <f t="shared" si="479"/>
        <v>0.99802672842827156</v>
      </c>
      <c r="F557">
        <f t="shared" si="480"/>
        <v>0.99802672842827156</v>
      </c>
      <c r="G557">
        <f t="shared" si="475"/>
        <v>1.6336281798666925</v>
      </c>
      <c r="H557">
        <f t="shared" si="476"/>
        <v>0.99802672842827156</v>
      </c>
      <c r="I557">
        <f t="shared" si="477"/>
        <v>0.99802672842827156</v>
      </c>
      <c r="J557">
        <f t="shared" si="525"/>
        <v>6.3787847983806325E+19</v>
      </c>
      <c r="K557">
        <f t="shared" si="526"/>
        <v>6.3787847983806325E+19</v>
      </c>
      <c r="L557">
        <f t="shared" si="481"/>
        <v>1</v>
      </c>
      <c r="M557">
        <f t="shared" si="478"/>
        <v>1.5079644737231006E-20</v>
      </c>
      <c r="N557" s="9">
        <f t="shared" si="527"/>
        <v>1.5079644737231006E-20</v>
      </c>
      <c r="O557">
        <f t="shared" si="528"/>
        <v>1.5079644737231006E-20</v>
      </c>
      <c r="Q557">
        <f t="shared" si="482"/>
        <v>45.602094375628511</v>
      </c>
      <c r="R557">
        <f t="shared" si="483"/>
        <v>0</v>
      </c>
      <c r="S557">
        <f t="shared" si="505"/>
        <v>-45.640941149111711</v>
      </c>
      <c r="T557" s="9" t="e">
        <f t="shared" si="484"/>
        <v>#N/A</v>
      </c>
      <c r="U557">
        <f t="shared" si="506"/>
        <v>-1.0000000000000001E+300</v>
      </c>
      <c r="V557">
        <f t="shared" si="507"/>
        <v>0</v>
      </c>
      <c r="W557">
        <f t="shared" si="508"/>
        <v>0</v>
      </c>
      <c r="X557">
        <f t="shared" si="485"/>
        <v>1.5079644737231006</v>
      </c>
      <c r="Y557">
        <f t="shared" si="486"/>
        <v>7.8539816339744828</v>
      </c>
      <c r="Z557">
        <f t="shared" si="487"/>
        <v>-1.5079644737231006</v>
      </c>
      <c r="AA557">
        <f t="shared" si="509"/>
        <v>-9.4873083094614077E-2</v>
      </c>
      <c r="AB557">
        <f t="shared" si="488"/>
        <v>7.7591085508798683</v>
      </c>
      <c r="AC557">
        <f t="shared" si="510"/>
        <v>-4.0821994520255166E-2</v>
      </c>
      <c r="AD557">
        <f t="shared" si="489"/>
        <v>1.9752210370481576E-3</v>
      </c>
      <c r="AE557" s="9">
        <f t="shared" si="511"/>
        <v>7.7202617773966615</v>
      </c>
      <c r="AF557">
        <f t="shared" si="512"/>
        <v>0</v>
      </c>
      <c r="AH557">
        <f t="shared" si="490"/>
        <v>7.8539816339744828</v>
      </c>
      <c r="AI557">
        <f t="shared" si="491"/>
        <v>-9.487308309461398E-2</v>
      </c>
      <c r="AJ557">
        <f t="shared" si="492"/>
        <v>-4.0821994520250371E-2</v>
      </c>
      <c r="AK557">
        <f t="shared" si="493"/>
        <v>1.9752210370481576E-3</v>
      </c>
      <c r="AL557" s="9">
        <f t="shared" si="513"/>
        <v>7.7202617773966669</v>
      </c>
      <c r="AM557" t="e">
        <f t="shared" si="494"/>
        <v>#N/A</v>
      </c>
      <c r="AN557" t="e">
        <f t="shared" si="514"/>
        <v>#N/A</v>
      </c>
      <c r="AO557">
        <f t="shared" si="495"/>
        <v>0</v>
      </c>
      <c r="AP557">
        <f t="shared" si="496"/>
        <v>0</v>
      </c>
      <c r="AQ557">
        <f t="shared" si="497"/>
        <v>4.7947756875998948E-15</v>
      </c>
      <c r="AR557">
        <f t="shared" si="515"/>
        <v>0</v>
      </c>
      <c r="AS557">
        <f t="shared" si="498"/>
        <v>0</v>
      </c>
      <c r="AT557">
        <f t="shared" si="516"/>
        <v>0</v>
      </c>
      <c r="AU557">
        <f t="shared" si="517"/>
        <v>0</v>
      </c>
      <c r="AV557">
        <f t="shared" si="499"/>
        <v>1.5079644737231006E-20</v>
      </c>
      <c r="AW557" t="b">
        <f t="shared" si="518"/>
        <v>1</v>
      </c>
      <c r="AX557">
        <f t="shared" si="500"/>
        <v>7.8539816339744828</v>
      </c>
      <c r="AY557">
        <f t="shared" si="501"/>
        <v>-9.4873083094614188E-2</v>
      </c>
      <c r="AZ557">
        <f t="shared" si="502"/>
        <v>-4.0821994520255166E-2</v>
      </c>
      <c r="BA557">
        <f t="shared" si="503"/>
        <v>1.9752210370481576E-3</v>
      </c>
      <c r="BB557">
        <f t="shared" si="504"/>
        <v>-1.2337005501361696E-20</v>
      </c>
      <c r="BD557" s="15">
        <f t="shared" si="519"/>
        <v>7.7202617773966615</v>
      </c>
      <c r="BE557" s="10">
        <f t="shared" si="520"/>
        <v>0</v>
      </c>
      <c r="BF557">
        <f t="shared" si="521"/>
        <v>0</v>
      </c>
      <c r="BG557">
        <f t="shared" si="522"/>
        <v>0</v>
      </c>
      <c r="BH557">
        <f t="shared" si="523"/>
        <v>-1.1102230246251565E-16</v>
      </c>
      <c r="BI557">
        <f t="shared" si="524"/>
        <v>0</v>
      </c>
    </row>
    <row r="558" spans="1:61" x14ac:dyDescent="0.3">
      <c r="A558">
        <f t="shared" si="529"/>
        <v>0.52100000000000002</v>
      </c>
      <c r="B558">
        <f t="shared" si="472"/>
        <v>1.6367697725202823</v>
      </c>
      <c r="C558">
        <f t="shared" si="473"/>
        <v>1.5048228810695108</v>
      </c>
      <c r="D558">
        <f t="shared" si="474"/>
        <v>1.5048228810695108</v>
      </c>
      <c r="E558">
        <f t="shared" si="479"/>
        <v>0.99782454145744148</v>
      </c>
      <c r="F558">
        <f t="shared" si="480"/>
        <v>0.99782454145744148</v>
      </c>
      <c r="G558">
        <f t="shared" si="475"/>
        <v>1.6367697725202823</v>
      </c>
      <c r="H558">
        <f t="shared" si="476"/>
        <v>0.99782454145744148</v>
      </c>
      <c r="I558">
        <f t="shared" si="477"/>
        <v>0.99782454145744148</v>
      </c>
      <c r="J558">
        <f t="shared" si="525"/>
        <v>6.3800773173780881E+19</v>
      </c>
      <c r="K558">
        <f t="shared" si="526"/>
        <v>6.3800773173780881E+19</v>
      </c>
      <c r="L558">
        <f t="shared" si="481"/>
        <v>1</v>
      </c>
      <c r="M558">
        <f t="shared" si="478"/>
        <v>1.5048228810695106E-20</v>
      </c>
      <c r="N558" s="9">
        <f t="shared" si="527"/>
        <v>1.5048228810695106E-20</v>
      </c>
      <c r="O558">
        <f t="shared" si="528"/>
        <v>1.5048228810695106E-20</v>
      </c>
      <c r="Q558">
        <f t="shared" si="482"/>
        <v>45.602296982881434</v>
      </c>
      <c r="R558">
        <f t="shared" si="483"/>
        <v>0</v>
      </c>
      <c r="S558">
        <f t="shared" si="505"/>
        <v>-45.643026655602739</v>
      </c>
      <c r="T558" s="9" t="e">
        <f t="shared" si="484"/>
        <v>#N/A</v>
      </c>
      <c r="U558">
        <f t="shared" si="506"/>
        <v>-1.0000000000000001E+300</v>
      </c>
      <c r="V558">
        <f t="shared" si="507"/>
        <v>0</v>
      </c>
      <c r="W558">
        <f t="shared" si="508"/>
        <v>0</v>
      </c>
      <c r="X558">
        <f t="shared" si="485"/>
        <v>1.5048228810695108</v>
      </c>
      <c r="Y558">
        <f t="shared" si="486"/>
        <v>7.8539816339744828</v>
      </c>
      <c r="Z558">
        <f t="shared" si="487"/>
        <v>-1.5048228810695108</v>
      </c>
      <c r="AA558">
        <f t="shared" si="509"/>
        <v>-9.942263807274189E-2</v>
      </c>
      <c r="AB558">
        <f t="shared" si="488"/>
        <v>7.7545589959017409</v>
      </c>
      <c r="AC558">
        <f t="shared" si="510"/>
        <v>-4.290750101127655E-2</v>
      </c>
      <c r="AD558">
        <f t="shared" si="489"/>
        <v>2.1778282899756734E-3</v>
      </c>
      <c r="AE558" s="9">
        <f t="shared" si="511"/>
        <v>7.7138293231804402</v>
      </c>
      <c r="AF558">
        <f t="shared" si="512"/>
        <v>0</v>
      </c>
      <c r="AH558">
        <f t="shared" si="490"/>
        <v>7.8539816339744828</v>
      </c>
      <c r="AI558">
        <f t="shared" si="491"/>
        <v>-9.9422638072741792E-2</v>
      </c>
      <c r="AJ558">
        <f t="shared" si="492"/>
        <v>-4.2907501011278271E-2</v>
      </c>
      <c r="AK558">
        <f t="shared" si="493"/>
        <v>2.1778282899756734E-3</v>
      </c>
      <c r="AL558" s="9">
        <f t="shared" si="513"/>
        <v>7.7138293231804385</v>
      </c>
      <c r="AM558" t="e">
        <f t="shared" si="494"/>
        <v>#N/A</v>
      </c>
      <c r="AN558" t="e">
        <f t="shared" si="514"/>
        <v>#N/A</v>
      </c>
      <c r="AO558">
        <f t="shared" si="495"/>
        <v>0</v>
      </c>
      <c r="AP558">
        <f t="shared" si="496"/>
        <v>0</v>
      </c>
      <c r="AQ558">
        <f t="shared" si="497"/>
        <v>-1.7208456881689926E-15</v>
      </c>
      <c r="AR558">
        <f t="shared" si="515"/>
        <v>0</v>
      </c>
      <c r="AS558">
        <f t="shared" si="498"/>
        <v>0</v>
      </c>
      <c r="AT558">
        <f t="shared" si="516"/>
        <v>0</v>
      </c>
      <c r="AU558">
        <f t="shared" si="517"/>
        <v>0</v>
      </c>
      <c r="AV558">
        <f t="shared" si="499"/>
        <v>1.5048228810695106E-20</v>
      </c>
      <c r="AW558" t="b">
        <f t="shared" si="518"/>
        <v>1</v>
      </c>
      <c r="AX558">
        <f t="shared" si="500"/>
        <v>7.8539816339744828</v>
      </c>
      <c r="AY558">
        <f t="shared" si="501"/>
        <v>-9.9422638072741987E-2</v>
      </c>
      <c r="AZ558">
        <f t="shared" si="502"/>
        <v>-4.2907501011276661E-2</v>
      </c>
      <c r="BA558">
        <f t="shared" si="503"/>
        <v>2.1778282899756734E-3</v>
      </c>
      <c r="BB558">
        <f t="shared" si="504"/>
        <v>-1.2337005501361696E-20</v>
      </c>
      <c r="BD558" s="15">
        <f t="shared" si="519"/>
        <v>7.7138293231804402</v>
      </c>
      <c r="BE558" s="10">
        <f t="shared" si="520"/>
        <v>0</v>
      </c>
      <c r="BF558">
        <f t="shared" si="521"/>
        <v>0</v>
      </c>
      <c r="BG558">
        <f t="shared" si="522"/>
        <v>0</v>
      </c>
      <c r="BH558">
        <f t="shared" si="523"/>
        <v>0</v>
      </c>
      <c r="BI558">
        <f t="shared" si="524"/>
        <v>-1.1102230246251565E-16</v>
      </c>
    </row>
    <row r="559" spans="1:61" x14ac:dyDescent="0.3">
      <c r="A559">
        <f t="shared" si="529"/>
        <v>0.52200000000000002</v>
      </c>
      <c r="B559">
        <f t="shared" si="472"/>
        <v>1.6399113651738721</v>
      </c>
      <c r="C559">
        <f t="shared" si="473"/>
        <v>1.501681288415921</v>
      </c>
      <c r="D559">
        <f t="shared" si="474"/>
        <v>1.501681288415921</v>
      </c>
      <c r="E559">
        <f t="shared" si="479"/>
        <v>0.99761250636122523</v>
      </c>
      <c r="F559">
        <f t="shared" si="480"/>
        <v>0.99761250636122523</v>
      </c>
      <c r="G559">
        <f t="shared" si="475"/>
        <v>1.6399113651738721</v>
      </c>
      <c r="H559">
        <f t="shared" si="476"/>
        <v>0.99761250636122523</v>
      </c>
      <c r="I559">
        <f t="shared" si="477"/>
        <v>0.99761250636122523</v>
      </c>
      <c r="J559">
        <f t="shared" si="525"/>
        <v>6.381433355217662E+19</v>
      </c>
      <c r="K559">
        <f t="shared" si="526"/>
        <v>6.381433355217662E+19</v>
      </c>
      <c r="L559" t="e">
        <f t="shared" si="481"/>
        <v>#NUM!</v>
      </c>
      <c r="M559">
        <f t="shared" si="478"/>
        <v>1.5016812884159209E-20</v>
      </c>
      <c r="N559" s="9" t="e">
        <f t="shared" si="527"/>
        <v>#NUM!</v>
      </c>
      <c r="O559" t="e">
        <f t="shared" si="528"/>
        <v>#NUM!</v>
      </c>
      <c r="Q559">
        <f t="shared" si="482"/>
        <v>45.602509502837648</v>
      </c>
      <c r="R559">
        <f t="shared" si="483"/>
        <v>0</v>
      </c>
      <c r="S559">
        <f t="shared" si="505"/>
        <v>-45.645116520522194</v>
      </c>
      <c r="T559" s="9" t="e">
        <f t="shared" si="484"/>
        <v>#N/A</v>
      </c>
      <c r="U559">
        <f t="shared" si="506"/>
        <v>-1.0000000000000001E+300</v>
      </c>
      <c r="V559">
        <f t="shared" si="507"/>
        <v>0</v>
      </c>
      <c r="W559">
        <f t="shared" si="508"/>
        <v>0</v>
      </c>
      <c r="X559">
        <f t="shared" si="485"/>
        <v>1.501681288415921</v>
      </c>
      <c r="Y559">
        <f t="shared" si="486"/>
        <v>7.8539816339744828</v>
      </c>
      <c r="Z559">
        <f t="shared" si="487"/>
        <v>-1.501681288415921</v>
      </c>
      <c r="AA559">
        <f t="shared" si="509"/>
        <v>-0.10395433871525145</v>
      </c>
      <c r="AB559">
        <f t="shared" si="488"/>
        <v>7.7500272952592315</v>
      </c>
      <c r="AC559">
        <f t="shared" si="510"/>
        <v>-4.4997365930735805E-2</v>
      </c>
      <c r="AD559">
        <f t="shared" si="489"/>
        <v>2.3903482461888619E-3</v>
      </c>
      <c r="AE559" s="9">
        <f t="shared" si="511"/>
        <v>7.7074202775746841</v>
      </c>
      <c r="AF559">
        <f t="shared" si="512"/>
        <v>0</v>
      </c>
      <c r="AH559">
        <f t="shared" si="490"/>
        <v>7.8539816339744828</v>
      </c>
      <c r="AI559">
        <f t="shared" si="491"/>
        <v>-0.10395433871525137</v>
      </c>
      <c r="AJ559">
        <f t="shared" si="492"/>
        <v>-4.4997365930733224E-2</v>
      </c>
      <c r="AK559">
        <f t="shared" si="493"/>
        <v>2.3903482461888619E-3</v>
      </c>
      <c r="AL559" s="9">
        <f t="shared" si="513"/>
        <v>7.7074202775746867</v>
      </c>
      <c r="AM559" t="e">
        <f t="shared" si="494"/>
        <v>#N/A</v>
      </c>
      <c r="AN559" t="e">
        <f t="shared" si="514"/>
        <v>#N/A</v>
      </c>
      <c r="AO559">
        <f t="shared" si="495"/>
        <v>0</v>
      </c>
      <c r="AP559">
        <f t="shared" si="496"/>
        <v>0</v>
      </c>
      <c r="AQ559">
        <f t="shared" si="497"/>
        <v>2.581268532253489E-15</v>
      </c>
      <c r="AR559">
        <f t="shared" si="515"/>
        <v>0</v>
      </c>
      <c r="AS559">
        <f t="shared" si="498"/>
        <v>0</v>
      </c>
      <c r="AT559">
        <f t="shared" si="516"/>
        <v>0</v>
      </c>
      <c r="AU559">
        <f t="shared" si="517"/>
        <v>0</v>
      </c>
      <c r="AV559">
        <f t="shared" si="499"/>
        <v>1.5016812884159209E-20</v>
      </c>
      <c r="AW559" t="b">
        <f t="shared" si="518"/>
        <v>1</v>
      </c>
      <c r="AX559">
        <f t="shared" si="500"/>
        <v>7.8539816339744828</v>
      </c>
      <c r="AY559">
        <f t="shared" si="501"/>
        <v>-0.10395433871525153</v>
      </c>
      <c r="AZ559">
        <f t="shared" si="502"/>
        <v>-4.4997365930735805E-2</v>
      </c>
      <c r="BA559">
        <f t="shared" si="503"/>
        <v>2.3903482461888619E-3</v>
      </c>
      <c r="BB559">
        <f t="shared" si="504"/>
        <v>-1.2337005501361696E-20</v>
      </c>
      <c r="BD559" s="15">
        <f t="shared" si="519"/>
        <v>7.7074202775746841</v>
      </c>
      <c r="BE559" s="10">
        <f t="shared" si="520"/>
        <v>0</v>
      </c>
      <c r="BF559">
        <f t="shared" si="521"/>
        <v>0</v>
      </c>
      <c r="BG559">
        <f t="shared" si="522"/>
        <v>0</v>
      </c>
      <c r="BH559">
        <f t="shared" si="523"/>
        <v>0</v>
      </c>
      <c r="BI559">
        <f t="shared" si="524"/>
        <v>0</v>
      </c>
    </row>
    <row r="560" spans="1:61" x14ac:dyDescent="0.3">
      <c r="A560">
        <f t="shared" si="529"/>
        <v>0.52300000000000002</v>
      </c>
      <c r="B560">
        <f t="shared" si="472"/>
        <v>1.643052957827462</v>
      </c>
      <c r="C560">
        <f t="shared" si="473"/>
        <v>1.4985396957623311</v>
      </c>
      <c r="D560">
        <f t="shared" si="474"/>
        <v>1.4985396957623311</v>
      </c>
      <c r="E560">
        <f t="shared" si="479"/>
        <v>0.99739062523232369</v>
      </c>
      <c r="F560">
        <f t="shared" si="480"/>
        <v>0.99739062523232358</v>
      </c>
      <c r="G560">
        <f t="shared" si="475"/>
        <v>1.643052957827462</v>
      </c>
      <c r="H560">
        <f t="shared" si="476"/>
        <v>0.99739062523232369</v>
      </c>
      <c r="I560">
        <f t="shared" si="477"/>
        <v>0.99739062523232358</v>
      </c>
      <c r="J560">
        <f t="shared" si="525"/>
        <v>6.3828529791854887E+19</v>
      </c>
      <c r="K560">
        <f t="shared" si="526"/>
        <v>6.3828529791854887E+19</v>
      </c>
      <c r="L560">
        <f t="shared" si="481"/>
        <v>1</v>
      </c>
      <c r="M560">
        <f t="shared" si="478"/>
        <v>1.498539695762331E-20</v>
      </c>
      <c r="N560" s="9">
        <f t="shared" si="527"/>
        <v>1.498539695762331E-20</v>
      </c>
      <c r="O560">
        <f t="shared" si="528"/>
        <v>1.498539695762331E-20</v>
      </c>
      <c r="Q560">
        <f t="shared" si="482"/>
        <v>45.602731939711354</v>
      </c>
      <c r="R560">
        <f t="shared" si="483"/>
        <v>-710542.73576010019</v>
      </c>
      <c r="S560">
        <f t="shared" si="505"/>
        <v>-45.647210762125312</v>
      </c>
      <c r="T560" s="9" t="e">
        <f t="shared" si="484"/>
        <v>#N/A</v>
      </c>
      <c r="U560">
        <f t="shared" si="506"/>
        <v>-1.0000000000000001E+300</v>
      </c>
      <c r="V560">
        <f t="shared" si="507"/>
        <v>0</v>
      </c>
      <c r="W560">
        <f t="shared" si="508"/>
        <v>0</v>
      </c>
      <c r="X560">
        <f t="shared" si="485"/>
        <v>1.4985396957623311</v>
      </c>
      <c r="Y560">
        <f t="shared" si="486"/>
        <v>7.8539816339744828</v>
      </c>
      <c r="Z560">
        <f t="shared" si="487"/>
        <v>-1.4985396957623311</v>
      </c>
      <c r="AA560">
        <f t="shared" si="509"/>
        <v>-0.10846826731309768</v>
      </c>
      <c r="AB560">
        <f t="shared" si="488"/>
        <v>7.7455133666613847</v>
      </c>
      <c r="AC560">
        <f t="shared" si="510"/>
        <v>-4.7091607533850686E-2</v>
      </c>
      <c r="AD560">
        <f t="shared" si="489"/>
        <v>2.6127851198985883E-3</v>
      </c>
      <c r="AE560" s="9">
        <f t="shared" si="511"/>
        <v>7.7010345442474328</v>
      </c>
      <c r="AF560">
        <f t="shared" si="512"/>
        <v>0</v>
      </c>
      <c r="AH560">
        <f t="shared" si="490"/>
        <v>7.8539816339744828</v>
      </c>
      <c r="AI560">
        <f t="shared" si="491"/>
        <v>-0.1084682673130976</v>
      </c>
      <c r="AJ560">
        <f t="shared" si="492"/>
        <v>-4.7091607533850777E-2</v>
      </c>
      <c r="AK560">
        <f t="shared" si="493"/>
        <v>2.6127851198985883E-3</v>
      </c>
      <c r="AL560" s="9">
        <f t="shared" si="513"/>
        <v>7.7010345442474337</v>
      </c>
      <c r="AM560" t="e">
        <f t="shared" si="494"/>
        <v>#N/A</v>
      </c>
      <c r="AN560" t="e">
        <f t="shared" si="514"/>
        <v>#N/A</v>
      </c>
      <c r="AO560">
        <f t="shared" si="495"/>
        <v>0</v>
      </c>
      <c r="AP560">
        <f t="shared" si="496"/>
        <v>0</v>
      </c>
      <c r="AQ560">
        <f t="shared" si="497"/>
        <v>-9.0205620750793969E-17</v>
      </c>
      <c r="AR560">
        <f t="shared" si="515"/>
        <v>0</v>
      </c>
      <c r="AS560">
        <f t="shared" si="498"/>
        <v>0</v>
      </c>
      <c r="AT560">
        <f t="shared" si="516"/>
        <v>0</v>
      </c>
      <c r="AU560">
        <f t="shared" si="517"/>
        <v>0</v>
      </c>
      <c r="AV560">
        <f t="shared" si="499"/>
        <v>1.498539695762331E-20</v>
      </c>
      <c r="AW560" t="b">
        <f t="shared" si="518"/>
        <v>1</v>
      </c>
      <c r="AX560">
        <f t="shared" si="500"/>
        <v>7.8539816339744828</v>
      </c>
      <c r="AY560">
        <f t="shared" si="501"/>
        <v>-0.10846826731309775</v>
      </c>
      <c r="AZ560">
        <f t="shared" si="502"/>
        <v>-4.7091607533850686E-2</v>
      </c>
      <c r="BA560">
        <f t="shared" si="503"/>
        <v>2.6127851198986998E-3</v>
      </c>
      <c r="BB560">
        <f t="shared" si="504"/>
        <v>-1.2337005501361696E-20</v>
      </c>
      <c r="BD560" s="15">
        <f t="shared" si="519"/>
        <v>7.7010345442474328</v>
      </c>
      <c r="BE560" s="10">
        <f t="shared" si="520"/>
        <v>0</v>
      </c>
      <c r="BF560">
        <f t="shared" si="521"/>
        <v>0</v>
      </c>
      <c r="BG560">
        <f t="shared" si="522"/>
        <v>0</v>
      </c>
      <c r="BH560">
        <f t="shared" si="523"/>
        <v>0</v>
      </c>
      <c r="BI560">
        <f t="shared" si="524"/>
        <v>0</v>
      </c>
    </row>
    <row r="561" spans="1:61" x14ac:dyDescent="0.3">
      <c r="A561">
        <f t="shared" si="529"/>
        <v>0.52400000000000002</v>
      </c>
      <c r="B561">
        <f t="shared" si="472"/>
        <v>1.6461945504810516</v>
      </c>
      <c r="C561">
        <f t="shared" si="473"/>
        <v>1.4953981031087415</v>
      </c>
      <c r="D561">
        <f t="shared" si="474"/>
        <v>1.4953981031087415</v>
      </c>
      <c r="E561">
        <f t="shared" si="479"/>
        <v>0.99715890026061393</v>
      </c>
      <c r="F561">
        <f t="shared" si="480"/>
        <v>0.99715890026061393</v>
      </c>
      <c r="G561">
        <f t="shared" si="475"/>
        <v>1.6461945504810516</v>
      </c>
      <c r="H561">
        <f t="shared" si="476"/>
        <v>0.99715890026061393</v>
      </c>
      <c r="I561">
        <f t="shared" si="477"/>
        <v>0.99715890026061393</v>
      </c>
      <c r="J561">
        <f t="shared" si="525"/>
        <v>6.3843362597595701E+19</v>
      </c>
      <c r="K561">
        <f t="shared" si="526"/>
        <v>6.3843362597595701E+19</v>
      </c>
      <c r="L561">
        <f t="shared" si="481"/>
        <v>1</v>
      </c>
      <c r="M561">
        <f t="shared" si="478"/>
        <v>1.4953981031087416E-20</v>
      </c>
      <c r="N561" s="9">
        <f t="shared" si="527"/>
        <v>1.4953981031087416E-20</v>
      </c>
      <c r="O561">
        <f t="shared" si="528"/>
        <v>1.4953981031087416E-20</v>
      </c>
      <c r="Q561">
        <f t="shared" si="482"/>
        <v>45.602964297915342</v>
      </c>
      <c r="R561">
        <f t="shared" si="483"/>
        <v>0</v>
      </c>
      <c r="S561">
        <f t="shared" si="505"/>
        <v>-45.649309398782229</v>
      </c>
      <c r="T561" s="9" t="e">
        <f t="shared" si="484"/>
        <v>#N/A</v>
      </c>
      <c r="U561">
        <f t="shared" si="506"/>
        <v>-1.0000000000000001E+300</v>
      </c>
      <c r="V561">
        <f t="shared" si="507"/>
        <v>0</v>
      </c>
      <c r="W561">
        <f t="shared" si="508"/>
        <v>0</v>
      </c>
      <c r="X561">
        <f t="shared" si="485"/>
        <v>1.4953981031087415</v>
      </c>
      <c r="Y561">
        <f t="shared" si="486"/>
        <v>7.8539816339744828</v>
      </c>
      <c r="Z561">
        <f t="shared" si="487"/>
        <v>-1.4953981031087415</v>
      </c>
      <c r="AA561">
        <f t="shared" si="509"/>
        <v>-0.11296450552692403</v>
      </c>
      <c r="AB561">
        <f t="shared" si="488"/>
        <v>7.7410171284475586</v>
      </c>
      <c r="AC561">
        <f t="shared" si="510"/>
        <v>-4.9190244190771663E-2</v>
      </c>
      <c r="AD561">
        <f t="shared" si="489"/>
        <v>2.8451433238845872E-3</v>
      </c>
      <c r="AE561" s="9">
        <f t="shared" si="511"/>
        <v>7.6946720275806717</v>
      </c>
      <c r="AF561">
        <f t="shared" si="512"/>
        <v>0</v>
      </c>
      <c r="AH561">
        <f t="shared" si="490"/>
        <v>7.8539816339744828</v>
      </c>
      <c r="AI561">
        <f t="shared" si="491"/>
        <v>-0.11296450552692396</v>
      </c>
      <c r="AJ561">
        <f t="shared" si="492"/>
        <v>-4.919024419076834E-2</v>
      </c>
      <c r="AK561">
        <f t="shared" si="493"/>
        <v>2.8451433238845872E-3</v>
      </c>
      <c r="AL561" s="9">
        <f t="shared" si="513"/>
        <v>7.6946720275806753</v>
      </c>
      <c r="AM561" t="e">
        <f t="shared" si="494"/>
        <v>#N/A</v>
      </c>
      <c r="AN561" t="e">
        <f t="shared" si="514"/>
        <v>#N/A</v>
      </c>
      <c r="AO561">
        <f t="shared" si="495"/>
        <v>0</v>
      </c>
      <c r="AP561">
        <f t="shared" si="496"/>
        <v>0</v>
      </c>
      <c r="AQ561">
        <f t="shared" si="497"/>
        <v>3.3237301799715624E-15</v>
      </c>
      <c r="AR561">
        <f t="shared" si="515"/>
        <v>0</v>
      </c>
      <c r="AS561">
        <f t="shared" si="498"/>
        <v>0</v>
      </c>
      <c r="AT561">
        <f t="shared" si="516"/>
        <v>0</v>
      </c>
      <c r="AU561">
        <f t="shared" si="517"/>
        <v>0</v>
      </c>
      <c r="AV561">
        <f t="shared" si="499"/>
        <v>1.4953981031087413E-20</v>
      </c>
      <c r="AW561" t="b">
        <f t="shared" si="518"/>
        <v>1</v>
      </c>
      <c r="AX561">
        <f t="shared" si="500"/>
        <v>7.8539816339744828</v>
      </c>
      <c r="AY561">
        <f t="shared" si="501"/>
        <v>-0.11296450552692412</v>
      </c>
      <c r="AZ561">
        <f t="shared" si="502"/>
        <v>-4.9190244190771781E-2</v>
      </c>
      <c r="BA561">
        <f t="shared" si="503"/>
        <v>2.8451433238845872E-3</v>
      </c>
      <c r="BB561">
        <f t="shared" si="504"/>
        <v>-1.2337005501361696E-20</v>
      </c>
      <c r="BD561" s="15">
        <f t="shared" si="519"/>
        <v>7.6946720275806717</v>
      </c>
      <c r="BE561" s="10">
        <f t="shared" si="520"/>
        <v>0</v>
      </c>
      <c r="BF561">
        <f t="shared" si="521"/>
        <v>0</v>
      </c>
      <c r="BG561">
        <f t="shared" si="522"/>
        <v>0</v>
      </c>
      <c r="BH561">
        <f t="shared" si="523"/>
        <v>0</v>
      </c>
      <c r="BI561">
        <f t="shared" si="524"/>
        <v>-1.1796119636642288E-16</v>
      </c>
    </row>
    <row r="562" spans="1:61" x14ac:dyDescent="0.3">
      <c r="A562">
        <f t="shared" si="529"/>
        <v>0.52500000000000002</v>
      </c>
      <c r="B562">
        <f t="shared" si="472"/>
        <v>1.6493361431346414</v>
      </c>
      <c r="C562">
        <f t="shared" si="473"/>
        <v>1.4922565104551517</v>
      </c>
      <c r="D562">
        <f t="shared" si="474"/>
        <v>1.4922565104551517</v>
      </c>
      <c r="E562">
        <f t="shared" si="479"/>
        <v>0.99691733373312796</v>
      </c>
      <c r="F562">
        <f t="shared" si="480"/>
        <v>0.99691733373312796</v>
      </c>
      <c r="G562">
        <f t="shared" si="475"/>
        <v>1.6493361431346414</v>
      </c>
      <c r="H562">
        <f t="shared" si="476"/>
        <v>0.99691733373312796</v>
      </c>
      <c r="I562">
        <f t="shared" si="477"/>
        <v>0.99691733373312796</v>
      </c>
      <c r="J562">
        <f t="shared" si="525"/>
        <v>6.3858832706183315E+19</v>
      </c>
      <c r="K562">
        <f t="shared" si="526"/>
        <v>6.3858832706183315E+19</v>
      </c>
      <c r="L562">
        <f t="shared" si="481"/>
        <v>1</v>
      </c>
      <c r="M562">
        <f t="shared" si="478"/>
        <v>1.4922565104551517E-20</v>
      </c>
      <c r="N562" s="9">
        <f t="shared" si="527"/>
        <v>1.4922565104551517E-20</v>
      </c>
      <c r="O562">
        <f t="shared" si="528"/>
        <v>1.4922565104551517E-20</v>
      </c>
      <c r="Q562">
        <f t="shared" si="482"/>
        <v>45.603206582061304</v>
      </c>
      <c r="R562">
        <f t="shared" si="483"/>
        <v>0</v>
      </c>
      <c r="S562">
        <f t="shared" si="505"/>
        <v>-45.651412448979009</v>
      </c>
      <c r="T562" s="9" t="e">
        <f t="shared" si="484"/>
        <v>#N/A</v>
      </c>
      <c r="U562">
        <f t="shared" si="506"/>
        <v>-1.0000000000000001E+300</v>
      </c>
      <c r="V562">
        <f t="shared" si="507"/>
        <v>0</v>
      </c>
      <c r="W562">
        <f t="shared" si="508"/>
        <v>0</v>
      </c>
      <c r="X562">
        <f t="shared" si="485"/>
        <v>1.4922565104551517</v>
      </c>
      <c r="Y562">
        <f t="shared" si="486"/>
        <v>7.8539816339744828</v>
      </c>
      <c r="Z562">
        <f t="shared" si="487"/>
        <v>-1.4922565104551517</v>
      </c>
      <c r="AA562">
        <f t="shared" si="509"/>
        <v>-0.11744313439296951</v>
      </c>
      <c r="AB562">
        <f t="shared" si="488"/>
        <v>7.7365384995815134</v>
      </c>
      <c r="AC562">
        <f t="shared" si="510"/>
        <v>-5.1293294387550578E-2</v>
      </c>
      <c r="AD562">
        <f t="shared" si="489"/>
        <v>3.0874274698461037E-3</v>
      </c>
      <c r="AE562" s="9">
        <f t="shared" si="511"/>
        <v>7.6883326326638093</v>
      </c>
      <c r="AF562">
        <f t="shared" si="512"/>
        <v>0</v>
      </c>
      <c r="AH562">
        <f t="shared" si="490"/>
        <v>7.8539816339744828</v>
      </c>
      <c r="AI562">
        <f t="shared" si="491"/>
        <v>-0.11744313439296945</v>
      </c>
      <c r="AJ562">
        <f t="shared" si="492"/>
        <v>-5.1293294387548372E-2</v>
      </c>
      <c r="AK562">
        <f t="shared" si="493"/>
        <v>3.0874274698461037E-3</v>
      </c>
      <c r="AL562" s="9">
        <f t="shared" si="513"/>
        <v>7.6883326326638111</v>
      </c>
      <c r="AM562" t="e">
        <f t="shared" si="494"/>
        <v>#N/A</v>
      </c>
      <c r="AN562" t="e">
        <f t="shared" si="514"/>
        <v>#N/A</v>
      </c>
      <c r="AO562">
        <f t="shared" si="495"/>
        <v>0</v>
      </c>
      <c r="AP562">
        <f t="shared" si="496"/>
        <v>0</v>
      </c>
      <c r="AQ562">
        <f t="shared" si="497"/>
        <v>2.2065682614424986E-15</v>
      </c>
      <c r="AR562">
        <f t="shared" si="515"/>
        <v>0</v>
      </c>
      <c r="AS562">
        <f t="shared" si="498"/>
        <v>0</v>
      </c>
      <c r="AT562">
        <f t="shared" si="516"/>
        <v>0</v>
      </c>
      <c r="AU562">
        <f t="shared" si="517"/>
        <v>0</v>
      </c>
      <c r="AV562">
        <f t="shared" si="499"/>
        <v>1.4922565104551517E-20</v>
      </c>
      <c r="AW562" t="b">
        <f t="shared" si="518"/>
        <v>1</v>
      </c>
      <c r="AX562">
        <f t="shared" si="500"/>
        <v>7.8539816339744828</v>
      </c>
      <c r="AY562">
        <f t="shared" si="501"/>
        <v>-0.11744313439296962</v>
      </c>
      <c r="AZ562">
        <f t="shared" si="502"/>
        <v>-5.129329438755046E-2</v>
      </c>
      <c r="BA562">
        <f t="shared" si="503"/>
        <v>3.0874274698461037E-3</v>
      </c>
      <c r="BB562">
        <f t="shared" si="504"/>
        <v>-1.2337005501361696E-20</v>
      </c>
      <c r="BD562" s="15">
        <f t="shared" si="519"/>
        <v>7.6883326326638093</v>
      </c>
      <c r="BE562" s="10">
        <f t="shared" si="520"/>
        <v>0</v>
      </c>
      <c r="BF562">
        <f t="shared" si="521"/>
        <v>0</v>
      </c>
      <c r="BG562">
        <f t="shared" si="522"/>
        <v>0</v>
      </c>
      <c r="BH562">
        <f t="shared" si="523"/>
        <v>-1.1102230246251565E-16</v>
      </c>
      <c r="BI562">
        <f t="shared" si="524"/>
        <v>1.1796119636642288E-16</v>
      </c>
    </row>
    <row r="563" spans="1:61" x14ac:dyDescent="0.3">
      <c r="A563">
        <f t="shared" si="529"/>
        <v>0.52600000000000002</v>
      </c>
      <c r="B563">
        <f t="shared" si="472"/>
        <v>1.6524777357882312</v>
      </c>
      <c r="C563">
        <f t="shared" si="473"/>
        <v>1.4891149178015619</v>
      </c>
      <c r="D563">
        <f t="shared" si="474"/>
        <v>1.4891149178015619</v>
      </c>
      <c r="E563">
        <f t="shared" si="479"/>
        <v>0.99666592803402987</v>
      </c>
      <c r="F563">
        <f t="shared" si="480"/>
        <v>0.99666592803402987</v>
      </c>
      <c r="G563">
        <f t="shared" si="475"/>
        <v>1.6524777357882312</v>
      </c>
      <c r="H563">
        <f t="shared" si="476"/>
        <v>0.99666592803402987</v>
      </c>
      <c r="I563">
        <f t="shared" si="477"/>
        <v>0.99666592803402987</v>
      </c>
      <c r="J563">
        <f t="shared" si="525"/>
        <v>6.3874940886495805E+19</v>
      </c>
      <c r="K563">
        <f t="shared" si="526"/>
        <v>6.3874940886495805E+19</v>
      </c>
      <c r="L563">
        <f t="shared" si="481"/>
        <v>1</v>
      </c>
      <c r="M563">
        <f t="shared" si="478"/>
        <v>1.489114917801562E-20</v>
      </c>
      <c r="N563" s="9">
        <f t="shared" si="527"/>
        <v>1.489114917801562E-20</v>
      </c>
      <c r="O563">
        <f t="shared" si="528"/>
        <v>1.489114917801562E-20</v>
      </c>
      <c r="Q563">
        <f t="shared" si="482"/>
        <v>45.603458796960226</v>
      </c>
      <c r="R563">
        <f t="shared" si="483"/>
        <v>-710542.73576010019</v>
      </c>
      <c r="S563">
        <f t="shared" si="505"/>
        <v>-45.653519931318577</v>
      </c>
      <c r="T563" s="9" t="e">
        <f t="shared" si="484"/>
        <v>#N/A</v>
      </c>
      <c r="U563">
        <f t="shared" si="506"/>
        <v>-1.0000000000000001E+300</v>
      </c>
      <c r="V563">
        <f t="shared" si="507"/>
        <v>0</v>
      </c>
      <c r="W563">
        <f t="shared" si="508"/>
        <v>0</v>
      </c>
      <c r="X563">
        <f t="shared" si="485"/>
        <v>1.4891149178015619</v>
      </c>
      <c r="Y563">
        <f t="shared" si="486"/>
        <v>7.8539816339744828</v>
      </c>
      <c r="Z563">
        <f t="shared" si="487"/>
        <v>-1.4891149178015619</v>
      </c>
      <c r="AA563">
        <f t="shared" si="509"/>
        <v>-0.12190423432890519</v>
      </c>
      <c r="AB563">
        <f t="shared" si="488"/>
        <v>7.7320773996455774</v>
      </c>
      <c r="AC563">
        <f t="shared" si="510"/>
        <v>-5.3400776727115296E-2</v>
      </c>
      <c r="AD563">
        <f t="shared" si="489"/>
        <v>3.3396423687693144E-3</v>
      </c>
      <c r="AE563" s="9">
        <f t="shared" si="511"/>
        <v>7.6820162652872312</v>
      </c>
      <c r="AF563">
        <f t="shared" si="512"/>
        <v>0</v>
      </c>
      <c r="AH563">
        <f t="shared" si="490"/>
        <v>7.8539816339744828</v>
      </c>
      <c r="AI563">
        <f t="shared" si="491"/>
        <v>-0.12190423432890511</v>
      </c>
      <c r="AJ563">
        <f t="shared" si="492"/>
        <v>-5.3400776727116295E-2</v>
      </c>
      <c r="AK563">
        <f t="shared" si="493"/>
        <v>3.3396423687693144E-3</v>
      </c>
      <c r="AL563" s="9">
        <f t="shared" si="513"/>
        <v>7.6820162652872304</v>
      </c>
      <c r="AM563" t="e">
        <f t="shared" si="494"/>
        <v>#N/A</v>
      </c>
      <c r="AN563" t="e">
        <f t="shared" si="514"/>
        <v>#N/A</v>
      </c>
      <c r="AO563">
        <f t="shared" si="495"/>
        <v>0</v>
      </c>
      <c r="AP563">
        <f t="shared" si="496"/>
        <v>0</v>
      </c>
      <c r="AQ563">
        <f t="shared" si="497"/>
        <v>-9.9920072216264089E-16</v>
      </c>
      <c r="AR563">
        <f t="shared" si="515"/>
        <v>0</v>
      </c>
      <c r="AS563">
        <f t="shared" si="498"/>
        <v>0</v>
      </c>
      <c r="AT563">
        <f t="shared" si="516"/>
        <v>0</v>
      </c>
      <c r="AU563">
        <f t="shared" si="517"/>
        <v>0</v>
      </c>
      <c r="AV563">
        <f t="shared" si="499"/>
        <v>1.4891149178015617E-20</v>
      </c>
      <c r="AW563" t="b">
        <f t="shared" si="518"/>
        <v>1</v>
      </c>
      <c r="AX563">
        <f t="shared" si="500"/>
        <v>7.8539816339744828</v>
      </c>
      <c r="AY563">
        <f t="shared" si="501"/>
        <v>-0.12190423432890528</v>
      </c>
      <c r="AZ563">
        <f t="shared" si="502"/>
        <v>-5.3400776727115296E-2</v>
      </c>
      <c r="BA563">
        <f t="shared" si="503"/>
        <v>3.3396423687693144E-3</v>
      </c>
      <c r="BB563">
        <f t="shared" si="504"/>
        <v>-1.2337005501361696E-20</v>
      </c>
      <c r="BD563" s="15">
        <f t="shared" si="519"/>
        <v>7.6820162652872312</v>
      </c>
      <c r="BE563" s="10">
        <f t="shared" si="520"/>
        <v>0</v>
      </c>
      <c r="BF563">
        <f t="shared" si="521"/>
        <v>0</v>
      </c>
      <c r="BG563">
        <f t="shared" si="522"/>
        <v>0</v>
      </c>
      <c r="BH563">
        <f t="shared" si="523"/>
        <v>0</v>
      </c>
      <c r="BI563">
        <f t="shared" si="524"/>
        <v>0</v>
      </c>
    </row>
    <row r="564" spans="1:61" x14ac:dyDescent="0.3">
      <c r="A564">
        <f t="shared" si="529"/>
        <v>0.52700000000000002</v>
      </c>
      <c r="B564">
        <f t="shared" si="472"/>
        <v>1.655619328441821</v>
      </c>
      <c r="C564">
        <f t="shared" si="473"/>
        <v>1.4859733251479721</v>
      </c>
      <c r="D564">
        <f t="shared" si="474"/>
        <v>1.4859733251479721</v>
      </c>
      <c r="E564">
        <f t="shared" si="479"/>
        <v>0.99640468564459239</v>
      </c>
      <c r="F564">
        <f t="shared" si="480"/>
        <v>0.99640468564459239</v>
      </c>
      <c r="G564">
        <f t="shared" si="475"/>
        <v>1.655619328441821</v>
      </c>
      <c r="H564">
        <f t="shared" si="476"/>
        <v>0.99640468564459239</v>
      </c>
      <c r="I564">
        <f t="shared" si="477"/>
        <v>0.99640468564459239</v>
      </c>
      <c r="J564">
        <f t="shared" si="525"/>
        <v>6.3891687939598606E+19</v>
      </c>
      <c r="K564">
        <f t="shared" si="526"/>
        <v>6.3891687939598606E+19</v>
      </c>
      <c r="L564" t="e">
        <f t="shared" si="481"/>
        <v>#NUM!</v>
      </c>
      <c r="M564">
        <f t="shared" si="478"/>
        <v>1.485973325147972E-20</v>
      </c>
      <c r="N564" s="9" t="e">
        <f t="shared" si="527"/>
        <v>#NUM!</v>
      </c>
      <c r="O564" t="e">
        <f t="shared" si="528"/>
        <v>#NUM!</v>
      </c>
      <c r="Q564">
        <f t="shared" si="482"/>
        <v>45.603720947622769</v>
      </c>
      <c r="R564">
        <f t="shared" si="483"/>
        <v>0</v>
      </c>
      <c r="S564">
        <f t="shared" si="505"/>
        <v>-45.655631864521716</v>
      </c>
      <c r="T564" s="9" t="e">
        <f t="shared" si="484"/>
        <v>#N/A</v>
      </c>
      <c r="U564">
        <f t="shared" si="506"/>
        <v>-1.0000000000000001E+300</v>
      </c>
      <c r="V564">
        <f t="shared" si="507"/>
        <v>0</v>
      </c>
      <c r="W564">
        <f t="shared" si="508"/>
        <v>0</v>
      </c>
      <c r="X564">
        <f t="shared" si="485"/>
        <v>1.4859733251479721</v>
      </c>
      <c r="Y564">
        <f t="shared" si="486"/>
        <v>7.8539816339744828</v>
      </c>
      <c r="Z564">
        <f t="shared" si="487"/>
        <v>-1.4859733251479721</v>
      </c>
      <c r="AA564">
        <f t="shared" si="509"/>
        <v>-0.12634788513960729</v>
      </c>
      <c r="AB564">
        <f t="shared" si="488"/>
        <v>7.7276337488348759</v>
      </c>
      <c r="AC564">
        <f t="shared" si="510"/>
        <v>-5.5512709930258829E-2</v>
      </c>
      <c r="AD564">
        <f t="shared" si="489"/>
        <v>3.6017930313104805E-3</v>
      </c>
      <c r="AE564" s="9">
        <f t="shared" si="511"/>
        <v>7.6757228319359276</v>
      </c>
      <c r="AF564">
        <f t="shared" si="512"/>
        <v>0</v>
      </c>
      <c r="AH564">
        <f t="shared" si="490"/>
        <v>7.8539816339744828</v>
      </c>
      <c r="AI564">
        <f t="shared" si="491"/>
        <v>-0.12634788513960718</v>
      </c>
      <c r="AJ564">
        <f t="shared" si="492"/>
        <v>-5.5512709930255255E-2</v>
      </c>
      <c r="AK564">
        <f t="shared" si="493"/>
        <v>3.6017930313104805E-3</v>
      </c>
      <c r="AL564" s="9">
        <f t="shared" si="513"/>
        <v>7.6757228319359312</v>
      </c>
      <c r="AM564" t="e">
        <f t="shared" si="494"/>
        <v>#N/A</v>
      </c>
      <c r="AN564" t="e">
        <f t="shared" si="514"/>
        <v>#N/A</v>
      </c>
      <c r="AO564">
        <f t="shared" si="495"/>
        <v>0</v>
      </c>
      <c r="AP564">
        <f t="shared" si="496"/>
        <v>0</v>
      </c>
      <c r="AQ564">
        <f t="shared" si="497"/>
        <v>3.5735303605122226E-15</v>
      </c>
      <c r="AR564">
        <f t="shared" si="515"/>
        <v>0</v>
      </c>
      <c r="AS564">
        <f t="shared" si="498"/>
        <v>0</v>
      </c>
      <c r="AT564">
        <f t="shared" si="516"/>
        <v>0</v>
      </c>
      <c r="AU564">
        <f t="shared" si="517"/>
        <v>0</v>
      </c>
      <c r="AV564">
        <f t="shared" si="499"/>
        <v>1.485973325147972E-20</v>
      </c>
      <c r="AW564" t="b">
        <f t="shared" si="518"/>
        <v>1</v>
      </c>
      <c r="AX564">
        <f t="shared" si="500"/>
        <v>7.8539816339744828</v>
      </c>
      <c r="AY564">
        <f t="shared" si="501"/>
        <v>-0.12634788513960737</v>
      </c>
      <c r="AZ564">
        <f t="shared" si="502"/>
        <v>-5.5512709930258711E-2</v>
      </c>
      <c r="BA564">
        <f t="shared" si="503"/>
        <v>3.6017930313104805E-3</v>
      </c>
      <c r="BB564">
        <f t="shared" si="504"/>
        <v>-1.2337005501361696E-20</v>
      </c>
      <c r="BD564" s="15">
        <f t="shared" si="519"/>
        <v>7.6757228319359276</v>
      </c>
      <c r="BE564" s="10">
        <f t="shared" si="520"/>
        <v>0</v>
      </c>
      <c r="BF564">
        <f t="shared" si="521"/>
        <v>0</v>
      </c>
      <c r="BG564">
        <f t="shared" si="522"/>
        <v>0</v>
      </c>
      <c r="BH564">
        <f t="shared" si="523"/>
        <v>0</v>
      </c>
      <c r="BI564">
        <f t="shared" si="524"/>
        <v>1.1796119636642288E-16</v>
      </c>
    </row>
    <row r="565" spans="1:61" x14ac:dyDescent="0.3">
      <c r="A565">
        <f t="shared" si="529"/>
        <v>0.52800000000000002</v>
      </c>
      <c r="B565">
        <f t="shared" si="472"/>
        <v>1.6587609210954108</v>
      </c>
      <c r="C565">
        <f t="shared" si="473"/>
        <v>1.4828317324943823</v>
      </c>
      <c r="D565">
        <f t="shared" si="474"/>
        <v>1.4828317324943823</v>
      </c>
      <c r="E565">
        <f t="shared" si="479"/>
        <v>0.9961336091431725</v>
      </c>
      <c r="F565">
        <f t="shared" si="480"/>
        <v>0.9961336091431725</v>
      </c>
      <c r="G565">
        <f t="shared" si="475"/>
        <v>1.6587609210954108</v>
      </c>
      <c r="H565">
        <f t="shared" si="476"/>
        <v>0.9961336091431725</v>
      </c>
      <c r="I565">
        <f t="shared" si="477"/>
        <v>0.9961336091431725</v>
      </c>
      <c r="J565">
        <f t="shared" si="525"/>
        <v>6.3909074698842055E+19</v>
      </c>
      <c r="K565">
        <f t="shared" si="526"/>
        <v>6.3909074698842055E+19</v>
      </c>
      <c r="L565" t="e">
        <f t="shared" si="481"/>
        <v>#NUM!</v>
      </c>
      <c r="M565">
        <f t="shared" si="478"/>
        <v>1.4828317324943821E-20</v>
      </c>
      <c r="N565" s="9" t="e">
        <f t="shared" si="527"/>
        <v>#NUM!</v>
      </c>
      <c r="O565" t="e">
        <f t="shared" si="528"/>
        <v>#NUM!</v>
      </c>
      <c r="Q565">
        <f t="shared" si="482"/>
        <v>45.603993039259656</v>
      </c>
      <c r="R565">
        <f t="shared" si="483"/>
        <v>0</v>
      </c>
      <c r="S565">
        <f t="shared" si="505"/>
        <v>-45.657748267428097</v>
      </c>
      <c r="T565" s="9" t="e">
        <f t="shared" si="484"/>
        <v>#N/A</v>
      </c>
      <c r="U565">
        <f t="shared" si="506"/>
        <v>-1.0000000000000001E+300</v>
      </c>
      <c r="V565">
        <f t="shared" si="507"/>
        <v>0</v>
      </c>
      <c r="W565">
        <f t="shared" si="508"/>
        <v>0</v>
      </c>
      <c r="X565">
        <f t="shared" si="485"/>
        <v>1.4828317324943823</v>
      </c>
      <c r="Y565">
        <f t="shared" si="486"/>
        <v>7.8539816339744828</v>
      </c>
      <c r="Z565">
        <f t="shared" si="487"/>
        <v>-1.4828317324943823</v>
      </c>
      <c r="AA565">
        <f t="shared" si="509"/>
        <v>-0.13077416602286315</v>
      </c>
      <c r="AB565">
        <f t="shared" si="488"/>
        <v>7.7232074679516201</v>
      </c>
      <c r="AC565">
        <f t="shared" si="510"/>
        <v>-5.7629112836636416E-2</v>
      </c>
      <c r="AD565">
        <f t="shared" si="489"/>
        <v>3.8738846681953456E-3</v>
      </c>
      <c r="AE565" s="9">
        <f t="shared" si="511"/>
        <v>7.6694522397831788</v>
      </c>
      <c r="AF565">
        <f t="shared" si="512"/>
        <v>0</v>
      </c>
      <c r="AH565">
        <f t="shared" si="490"/>
        <v>7.8539816339744828</v>
      </c>
      <c r="AI565">
        <f t="shared" si="491"/>
        <v>-0.13077416602286307</v>
      </c>
      <c r="AJ565">
        <f t="shared" si="492"/>
        <v>-5.7629112836636409E-2</v>
      </c>
      <c r="AK565">
        <f t="shared" si="493"/>
        <v>3.8738846681953456E-3</v>
      </c>
      <c r="AL565" s="9">
        <f t="shared" si="513"/>
        <v>7.6694522397831788</v>
      </c>
      <c r="AM565" t="e">
        <f t="shared" si="494"/>
        <v>#N/A</v>
      </c>
      <c r="AN565" t="e">
        <f t="shared" si="514"/>
        <v>#N/A</v>
      </c>
      <c r="AO565">
        <f t="shared" si="495"/>
        <v>0</v>
      </c>
      <c r="AP565">
        <f t="shared" si="496"/>
        <v>0</v>
      </c>
      <c r="AQ565">
        <f t="shared" si="497"/>
        <v>0</v>
      </c>
      <c r="AR565">
        <f t="shared" si="515"/>
        <v>0</v>
      </c>
      <c r="AS565">
        <f t="shared" si="498"/>
        <v>0</v>
      </c>
      <c r="AT565">
        <f t="shared" si="516"/>
        <v>0</v>
      </c>
      <c r="AU565">
        <f t="shared" si="517"/>
        <v>0</v>
      </c>
      <c r="AV565">
        <f t="shared" si="499"/>
        <v>1.4828317324943821E-20</v>
      </c>
      <c r="AW565" t="b">
        <f t="shared" si="518"/>
        <v>1</v>
      </c>
      <c r="AX565">
        <f t="shared" si="500"/>
        <v>7.8539816339744828</v>
      </c>
      <c r="AY565">
        <f t="shared" si="501"/>
        <v>-0.13077416602286324</v>
      </c>
      <c r="AZ565">
        <f t="shared" si="502"/>
        <v>-5.7629112836636416E-2</v>
      </c>
      <c r="BA565">
        <f t="shared" si="503"/>
        <v>3.8738846681953456E-3</v>
      </c>
      <c r="BB565">
        <f t="shared" si="504"/>
        <v>-1.2337005501361696E-20</v>
      </c>
      <c r="BD565" s="15">
        <f t="shared" si="519"/>
        <v>7.6694522397831779</v>
      </c>
      <c r="BE565" s="10">
        <f t="shared" si="520"/>
        <v>0</v>
      </c>
      <c r="BF565">
        <f t="shared" si="521"/>
        <v>0</v>
      </c>
      <c r="BG565">
        <f t="shared" si="522"/>
        <v>0</v>
      </c>
      <c r="BH565">
        <f t="shared" si="523"/>
        <v>0</v>
      </c>
      <c r="BI565">
        <f t="shared" si="524"/>
        <v>0</v>
      </c>
    </row>
    <row r="566" spans="1:61" x14ac:dyDescent="0.3">
      <c r="A566">
        <f t="shared" si="529"/>
        <v>0.52900000000000003</v>
      </c>
      <c r="B566">
        <f t="shared" si="472"/>
        <v>1.6619025137490007</v>
      </c>
      <c r="C566">
        <f t="shared" si="473"/>
        <v>1.4796901398407925</v>
      </c>
      <c r="D566">
        <f t="shared" si="474"/>
        <v>1.4796901398407925</v>
      </c>
      <c r="E566">
        <f t="shared" si="479"/>
        <v>0.99585270120518565</v>
      </c>
      <c r="F566">
        <f t="shared" si="480"/>
        <v>0.99585270120518565</v>
      </c>
      <c r="G566">
        <f t="shared" si="475"/>
        <v>1.6619025137490007</v>
      </c>
      <c r="H566">
        <f t="shared" si="476"/>
        <v>0.99585270120518565</v>
      </c>
      <c r="I566">
        <f t="shared" si="477"/>
        <v>0.99585270120518565</v>
      </c>
      <c r="J566">
        <f t="shared" si="525"/>
        <v>6.3927102029962985E+19</v>
      </c>
      <c r="K566">
        <f t="shared" si="526"/>
        <v>6.3927102029962985E+19</v>
      </c>
      <c r="L566" t="e">
        <f t="shared" si="481"/>
        <v>#NUM!</v>
      </c>
      <c r="M566">
        <f t="shared" si="478"/>
        <v>1.4796901398407924E-20</v>
      </c>
      <c r="N566" s="9" t="e">
        <f t="shared" si="527"/>
        <v>#NUM!</v>
      </c>
      <c r="O566" t="e">
        <f t="shared" si="528"/>
        <v>#NUM!</v>
      </c>
      <c r="Q566">
        <f t="shared" si="482"/>
        <v>45.604275077282097</v>
      </c>
      <c r="R566">
        <f t="shared" si="483"/>
        <v>0</v>
      </c>
      <c r="S566">
        <f t="shared" si="505"/>
        <v>-45.659869158997232</v>
      </c>
      <c r="T566" s="9" t="e">
        <f t="shared" si="484"/>
        <v>#N/A</v>
      </c>
      <c r="U566">
        <f t="shared" si="506"/>
        <v>-1.0000000000000001E+300</v>
      </c>
      <c r="V566">
        <f t="shared" si="507"/>
        <v>0</v>
      </c>
      <c r="W566">
        <f t="shared" si="508"/>
        <v>0</v>
      </c>
      <c r="X566">
        <f t="shared" si="485"/>
        <v>1.4796901398407925</v>
      </c>
      <c r="Y566">
        <f t="shared" si="486"/>
        <v>7.8539816339744828</v>
      </c>
      <c r="Z566">
        <f t="shared" si="487"/>
        <v>-1.4796901398407925</v>
      </c>
      <c r="AA566">
        <f t="shared" si="509"/>
        <v>-0.13518315557501279</v>
      </c>
      <c r="AB566">
        <f t="shared" si="488"/>
        <v>7.7187984783994699</v>
      </c>
      <c r="AC566">
        <f t="shared" si="510"/>
        <v>-5.9750004405774049E-2</v>
      </c>
      <c r="AD566">
        <f t="shared" si="489"/>
        <v>4.1559226906351734E-3</v>
      </c>
      <c r="AE566" s="9">
        <f t="shared" si="511"/>
        <v>7.6632043966843311</v>
      </c>
      <c r="AF566">
        <f t="shared" si="512"/>
        <v>0</v>
      </c>
      <c r="AH566">
        <f t="shared" si="490"/>
        <v>7.8539816339744828</v>
      </c>
      <c r="AI566">
        <f t="shared" si="491"/>
        <v>-0.13518315557501268</v>
      </c>
      <c r="AJ566">
        <f t="shared" si="492"/>
        <v>-5.9750004405771051E-2</v>
      </c>
      <c r="AK566">
        <f t="shared" si="493"/>
        <v>4.1559226906351734E-3</v>
      </c>
      <c r="AL566" s="9">
        <f t="shared" si="513"/>
        <v>7.6632043966843337</v>
      </c>
      <c r="AM566" t="e">
        <f t="shared" si="494"/>
        <v>#N/A</v>
      </c>
      <c r="AN566" t="e">
        <f t="shared" si="514"/>
        <v>#N/A</v>
      </c>
      <c r="AO566">
        <f t="shared" si="495"/>
        <v>0</v>
      </c>
      <c r="AP566">
        <f t="shared" si="496"/>
        <v>0</v>
      </c>
      <c r="AQ566">
        <f t="shared" si="497"/>
        <v>2.9976021664879227E-15</v>
      </c>
      <c r="AR566">
        <f t="shared" si="515"/>
        <v>0</v>
      </c>
      <c r="AS566">
        <f t="shared" si="498"/>
        <v>0</v>
      </c>
      <c r="AT566">
        <f t="shared" si="516"/>
        <v>0</v>
      </c>
      <c r="AU566">
        <f t="shared" si="517"/>
        <v>0</v>
      </c>
      <c r="AV566">
        <f t="shared" si="499"/>
        <v>1.4796901398407924E-20</v>
      </c>
      <c r="AW566" t="b">
        <f t="shared" si="518"/>
        <v>1</v>
      </c>
      <c r="AX566">
        <f t="shared" si="500"/>
        <v>7.8539816339744828</v>
      </c>
      <c r="AY566">
        <f t="shared" si="501"/>
        <v>-0.13518315557501287</v>
      </c>
      <c r="AZ566">
        <f t="shared" si="502"/>
        <v>-5.9750004405774049E-2</v>
      </c>
      <c r="BA566">
        <f t="shared" si="503"/>
        <v>4.1559226906351734E-3</v>
      </c>
      <c r="BB566">
        <f t="shared" si="504"/>
        <v>-1.2337005501361696E-20</v>
      </c>
      <c r="BD566" s="15">
        <f t="shared" si="519"/>
        <v>7.6632043966843311</v>
      </c>
      <c r="BE566" s="10">
        <f t="shared" si="520"/>
        <v>0</v>
      </c>
      <c r="BF566">
        <f t="shared" si="521"/>
        <v>0</v>
      </c>
      <c r="BG566">
        <f t="shared" si="522"/>
        <v>0</v>
      </c>
      <c r="BH566">
        <f t="shared" si="523"/>
        <v>0</v>
      </c>
      <c r="BI566">
        <f t="shared" si="524"/>
        <v>0</v>
      </c>
    </row>
    <row r="567" spans="1:61" x14ac:dyDescent="0.3">
      <c r="A567">
        <f t="shared" si="529"/>
        <v>0.53</v>
      </c>
      <c r="B567">
        <f t="shared" si="472"/>
        <v>1.6650441064025905</v>
      </c>
      <c r="C567">
        <f t="shared" si="473"/>
        <v>1.4765485471872026</v>
      </c>
      <c r="D567">
        <f t="shared" si="474"/>
        <v>1.4765485471872026</v>
      </c>
      <c r="E567">
        <f t="shared" si="479"/>
        <v>0.99556196460308</v>
      </c>
      <c r="F567">
        <f t="shared" si="480"/>
        <v>0.99556196460308</v>
      </c>
      <c r="G567">
        <f t="shared" si="475"/>
        <v>1.6650441064025905</v>
      </c>
      <c r="H567">
        <f t="shared" si="476"/>
        <v>0.99556196460308</v>
      </c>
      <c r="I567">
        <f t="shared" si="477"/>
        <v>0.99556196460308</v>
      </c>
      <c r="J567">
        <f t="shared" si="525"/>
        <v>6.3945770831190303E+19</v>
      </c>
      <c r="K567">
        <f t="shared" si="526"/>
        <v>6.3945770831190303E+19</v>
      </c>
      <c r="L567">
        <f t="shared" si="481"/>
        <v>1</v>
      </c>
      <c r="M567">
        <f t="shared" si="478"/>
        <v>1.4765485471872025E-20</v>
      </c>
      <c r="N567" s="9">
        <f t="shared" si="527"/>
        <v>1.4765485471872025E-20</v>
      </c>
      <c r="O567">
        <f t="shared" si="528"/>
        <v>1.4765485471872025E-20</v>
      </c>
      <c r="Q567">
        <f t="shared" si="482"/>
        <v>45.60456706730222</v>
      </c>
      <c r="R567">
        <f t="shared" si="483"/>
        <v>0</v>
      </c>
      <c r="S567">
        <f t="shared" si="505"/>
        <v>-45.661994558309544</v>
      </c>
      <c r="T567" s="9" t="e">
        <f t="shared" si="484"/>
        <v>#N/A</v>
      </c>
      <c r="U567">
        <f t="shared" si="506"/>
        <v>-1.0000000000000001E+300</v>
      </c>
      <c r="V567">
        <f t="shared" si="507"/>
        <v>0</v>
      </c>
      <c r="W567">
        <f t="shared" si="508"/>
        <v>0</v>
      </c>
      <c r="X567">
        <f t="shared" si="485"/>
        <v>1.4765485471872026</v>
      </c>
      <c r="Y567">
        <f t="shared" si="486"/>
        <v>7.8539816339744828</v>
      </c>
      <c r="Z567">
        <f t="shared" si="487"/>
        <v>-1.4765485471872026</v>
      </c>
      <c r="AA567">
        <f t="shared" si="509"/>
        <v>-0.13957493179652625</v>
      </c>
      <c r="AB567">
        <f t="shared" si="488"/>
        <v>7.714406702177957</v>
      </c>
      <c r="AC567">
        <f t="shared" si="510"/>
        <v>-6.1875403718087529E-2</v>
      </c>
      <c r="AD567">
        <f t="shared" si="489"/>
        <v>4.4479127107581737E-3</v>
      </c>
      <c r="AE567" s="9">
        <f t="shared" si="511"/>
        <v>7.6569792111706283</v>
      </c>
      <c r="AF567">
        <f t="shared" si="512"/>
        <v>0</v>
      </c>
      <c r="AH567">
        <f t="shared" si="490"/>
        <v>7.8539816339744828</v>
      </c>
      <c r="AI567">
        <f t="shared" si="491"/>
        <v>-0.13957493179652614</v>
      </c>
      <c r="AJ567">
        <f t="shared" si="492"/>
        <v>-6.1875403718083533E-2</v>
      </c>
      <c r="AK567">
        <f t="shared" si="493"/>
        <v>4.4479127107581737E-3</v>
      </c>
      <c r="AL567" s="9">
        <f t="shared" si="513"/>
        <v>7.6569792111706318</v>
      </c>
      <c r="AM567" t="e">
        <f t="shared" si="494"/>
        <v>#N/A</v>
      </c>
      <c r="AN567" t="e">
        <f t="shared" si="514"/>
        <v>#N/A</v>
      </c>
      <c r="AO567">
        <f t="shared" si="495"/>
        <v>0</v>
      </c>
      <c r="AP567">
        <f t="shared" si="496"/>
        <v>0</v>
      </c>
      <c r="AQ567">
        <f t="shared" si="497"/>
        <v>3.9968028886505635E-15</v>
      </c>
      <c r="AR567">
        <f t="shared" si="515"/>
        <v>0</v>
      </c>
      <c r="AS567">
        <f t="shared" si="498"/>
        <v>0</v>
      </c>
      <c r="AT567">
        <f t="shared" si="516"/>
        <v>0</v>
      </c>
      <c r="AU567">
        <f t="shared" si="517"/>
        <v>0</v>
      </c>
      <c r="AV567">
        <f t="shared" si="499"/>
        <v>1.4765485471872025E-20</v>
      </c>
      <c r="AW567" t="b">
        <f t="shared" si="518"/>
        <v>1</v>
      </c>
      <c r="AX567">
        <f t="shared" si="500"/>
        <v>7.8539816339744828</v>
      </c>
      <c r="AY567">
        <f t="shared" si="501"/>
        <v>-0.13957493179652636</v>
      </c>
      <c r="AZ567">
        <f t="shared" si="502"/>
        <v>-6.1875403718087529E-2</v>
      </c>
      <c r="BA567">
        <f t="shared" si="503"/>
        <v>4.4479127107581737E-3</v>
      </c>
      <c r="BB567">
        <f t="shared" si="504"/>
        <v>-1.2337005501361696E-20</v>
      </c>
      <c r="BD567" s="15">
        <f t="shared" si="519"/>
        <v>7.6569792111706265</v>
      </c>
      <c r="BE567" s="10">
        <f t="shared" si="520"/>
        <v>0</v>
      </c>
      <c r="BF567">
        <f t="shared" si="521"/>
        <v>0</v>
      </c>
      <c r="BG567">
        <f t="shared" si="522"/>
        <v>0</v>
      </c>
      <c r="BH567">
        <f t="shared" si="523"/>
        <v>0</v>
      </c>
      <c r="BI567">
        <f t="shared" si="524"/>
        <v>0</v>
      </c>
    </row>
    <row r="568" spans="1:61" x14ac:dyDescent="0.3">
      <c r="A568">
        <f t="shared" si="529"/>
        <v>0.53100000000000003</v>
      </c>
      <c r="B568">
        <f t="shared" si="472"/>
        <v>1.6681856990561803</v>
      </c>
      <c r="C568">
        <f t="shared" si="473"/>
        <v>1.4734069545336128</v>
      </c>
      <c r="D568">
        <f t="shared" si="474"/>
        <v>1.4734069545336128</v>
      </c>
      <c r="E568">
        <f t="shared" si="479"/>
        <v>0.99526140220630832</v>
      </c>
      <c r="F568">
        <f t="shared" si="480"/>
        <v>0.99526140220630832</v>
      </c>
      <c r="G568">
        <f t="shared" si="475"/>
        <v>1.6681856990561803</v>
      </c>
      <c r="H568">
        <f t="shared" si="476"/>
        <v>0.99526140220630832</v>
      </c>
      <c r="I568">
        <f t="shared" si="477"/>
        <v>0.99526140220630832</v>
      </c>
      <c r="J568">
        <f t="shared" si="525"/>
        <v>6.3965082033354703E+19</v>
      </c>
      <c r="K568">
        <f t="shared" si="526"/>
        <v>6.3965082033354703E+19</v>
      </c>
      <c r="L568">
        <f t="shared" si="481"/>
        <v>1</v>
      </c>
      <c r="M568">
        <f t="shared" si="478"/>
        <v>1.4734069545336128E-20</v>
      </c>
      <c r="N568" s="9">
        <f t="shared" si="527"/>
        <v>1.4734069545336128E-20</v>
      </c>
      <c r="O568">
        <f t="shared" si="528"/>
        <v>1.4734069545336128E-20</v>
      </c>
      <c r="Q568">
        <f t="shared" si="482"/>
        <v>45.604869015133517</v>
      </c>
      <c r="R568">
        <f t="shared" si="483"/>
        <v>0</v>
      </c>
      <c r="S568">
        <f t="shared" si="505"/>
        <v>-45.664124484567374</v>
      </c>
      <c r="T568" s="9" t="e">
        <f t="shared" si="484"/>
        <v>#N/A</v>
      </c>
      <c r="U568">
        <f t="shared" si="506"/>
        <v>-1.0000000000000001E+300</v>
      </c>
      <c r="V568">
        <f t="shared" si="507"/>
        <v>0</v>
      </c>
      <c r="W568">
        <f t="shared" si="508"/>
        <v>0</v>
      </c>
      <c r="X568">
        <f t="shared" si="485"/>
        <v>1.4734069545336128</v>
      </c>
      <c r="Y568">
        <f t="shared" si="486"/>
        <v>7.8539816339744828</v>
      </c>
      <c r="Z568">
        <f t="shared" si="487"/>
        <v>-1.4734069545336128</v>
      </c>
      <c r="AA568">
        <f t="shared" si="509"/>
        <v>-0.14394957209751841</v>
      </c>
      <c r="AB568">
        <f t="shared" si="488"/>
        <v>7.710032061876964</v>
      </c>
      <c r="AC568">
        <f t="shared" si="510"/>
        <v>-6.4005329975912434E-2</v>
      </c>
      <c r="AD568">
        <f t="shared" si="489"/>
        <v>4.7498605420587068E-3</v>
      </c>
      <c r="AE568" s="9">
        <f t="shared" si="511"/>
        <v>7.6507765924431101</v>
      </c>
      <c r="AF568">
        <f t="shared" si="512"/>
        <v>0</v>
      </c>
      <c r="AH568">
        <f t="shared" si="490"/>
        <v>7.8539816339744828</v>
      </c>
      <c r="AI568">
        <f t="shared" si="491"/>
        <v>-0.14394957209751835</v>
      </c>
      <c r="AJ568">
        <f t="shared" si="492"/>
        <v>-6.4005329975913128E-2</v>
      </c>
      <c r="AK568">
        <f t="shared" si="493"/>
        <v>4.7498605420587068E-3</v>
      </c>
      <c r="AL568" s="9">
        <f t="shared" si="513"/>
        <v>7.6507765924431093</v>
      </c>
      <c r="AM568" t="e">
        <f t="shared" si="494"/>
        <v>#N/A</v>
      </c>
      <c r="AN568" t="e">
        <f t="shared" si="514"/>
        <v>#N/A</v>
      </c>
      <c r="AO568">
        <f t="shared" si="495"/>
        <v>0</v>
      </c>
      <c r="AP568">
        <f t="shared" si="496"/>
        <v>0</v>
      </c>
      <c r="AQ568">
        <f t="shared" si="497"/>
        <v>-6.9388939039072284E-16</v>
      </c>
      <c r="AR568">
        <f t="shared" si="515"/>
        <v>0</v>
      </c>
      <c r="AS568">
        <f t="shared" si="498"/>
        <v>0</v>
      </c>
      <c r="AT568">
        <f t="shared" si="516"/>
        <v>0</v>
      </c>
      <c r="AU568">
        <f t="shared" si="517"/>
        <v>0</v>
      </c>
      <c r="AV568">
        <f t="shared" si="499"/>
        <v>1.4734069545336128E-20</v>
      </c>
      <c r="AW568" t="b">
        <f t="shared" si="518"/>
        <v>1</v>
      </c>
      <c r="AX568">
        <f t="shared" si="500"/>
        <v>7.8539816339744828</v>
      </c>
      <c r="AY568">
        <f t="shared" si="501"/>
        <v>-0.14394957209751852</v>
      </c>
      <c r="AZ568">
        <f t="shared" si="502"/>
        <v>-6.4005329975912434E-2</v>
      </c>
      <c r="BA568">
        <f t="shared" si="503"/>
        <v>4.7498605420587068E-3</v>
      </c>
      <c r="BB568">
        <f t="shared" si="504"/>
        <v>-1.2337005501361696E-20</v>
      </c>
      <c r="BD568" s="15">
        <f t="shared" si="519"/>
        <v>7.6507765924431101</v>
      </c>
      <c r="BE568" s="10">
        <f t="shared" si="520"/>
        <v>0</v>
      </c>
      <c r="BF568">
        <f t="shared" si="521"/>
        <v>0</v>
      </c>
      <c r="BG568">
        <f t="shared" si="522"/>
        <v>0</v>
      </c>
      <c r="BH568">
        <f t="shared" si="523"/>
        <v>0</v>
      </c>
      <c r="BI568">
        <f t="shared" si="524"/>
        <v>0</v>
      </c>
    </row>
    <row r="569" spans="1:61" x14ac:dyDescent="0.3">
      <c r="A569">
        <f t="shared" si="529"/>
        <v>0.53200000000000003</v>
      </c>
      <c r="B569">
        <f t="shared" si="472"/>
        <v>1.6713272917097701</v>
      </c>
      <c r="C569">
        <f t="shared" si="473"/>
        <v>1.470265361880023</v>
      </c>
      <c r="D569">
        <f t="shared" si="474"/>
        <v>1.470265361880023</v>
      </c>
      <c r="E569">
        <f t="shared" si="479"/>
        <v>0.99495101698130017</v>
      </c>
      <c r="F569">
        <f t="shared" si="480"/>
        <v>0.99495101698130017</v>
      </c>
      <c r="G569">
        <f t="shared" si="475"/>
        <v>1.6713272917097701</v>
      </c>
      <c r="H569">
        <f t="shared" si="476"/>
        <v>0.99495101698130017</v>
      </c>
      <c r="I569">
        <f t="shared" si="477"/>
        <v>0.99495101698130017</v>
      </c>
      <c r="J569">
        <f t="shared" si="525"/>
        <v>6.3985036600002445E+19</v>
      </c>
      <c r="K569">
        <f t="shared" si="526"/>
        <v>6.3985036600002445E+19</v>
      </c>
      <c r="L569" t="e">
        <f t="shared" si="481"/>
        <v>#NUM!</v>
      </c>
      <c r="M569">
        <f t="shared" si="478"/>
        <v>1.4702653618800228E-20</v>
      </c>
      <c r="N569" s="9" t="e">
        <f t="shared" si="527"/>
        <v>#NUM!</v>
      </c>
      <c r="O569" t="e">
        <f t="shared" si="528"/>
        <v>#NUM!</v>
      </c>
      <c r="Q569">
        <f t="shared" si="482"/>
        <v>45.60518092679132</v>
      </c>
      <c r="R569">
        <f t="shared" si="483"/>
        <v>0</v>
      </c>
      <c r="S569">
        <f t="shared" si="505"/>
        <v>-45.666258957096005</v>
      </c>
      <c r="T569" s="9" t="e">
        <f t="shared" si="484"/>
        <v>#N/A</v>
      </c>
      <c r="U569">
        <f t="shared" si="506"/>
        <v>-1.0000000000000001E+300</v>
      </c>
      <c r="V569">
        <f t="shared" si="507"/>
        <v>0</v>
      </c>
      <c r="W569">
        <f t="shared" si="508"/>
        <v>0</v>
      </c>
      <c r="X569">
        <f t="shared" si="485"/>
        <v>1.470265361880023</v>
      </c>
      <c r="Y569">
        <f t="shared" si="486"/>
        <v>7.8539816339744828</v>
      </c>
      <c r="Z569">
        <f t="shared" si="487"/>
        <v>-1.470265361880023</v>
      </c>
      <c r="AA569">
        <f t="shared" si="509"/>
        <v>-0.14830715330320099</v>
      </c>
      <c r="AB569">
        <f t="shared" si="488"/>
        <v>7.7056744806712816</v>
      </c>
      <c r="AC569">
        <f t="shared" si="510"/>
        <v>-6.6139802504545181E-2</v>
      </c>
      <c r="AD569">
        <f t="shared" si="489"/>
        <v>5.0617721998618111E-3</v>
      </c>
      <c r="AE569" s="9">
        <f t="shared" si="511"/>
        <v>7.6445964503665982</v>
      </c>
      <c r="AF569">
        <f t="shared" si="512"/>
        <v>0</v>
      </c>
      <c r="AH569">
        <f t="shared" si="490"/>
        <v>7.8539816339744828</v>
      </c>
      <c r="AI569">
        <f t="shared" si="491"/>
        <v>-0.14830715330320085</v>
      </c>
      <c r="AJ569">
        <f t="shared" si="492"/>
        <v>-6.6139802504544321E-2</v>
      </c>
      <c r="AK569">
        <f t="shared" si="493"/>
        <v>5.0617721998618111E-3</v>
      </c>
      <c r="AL569" s="9">
        <f t="shared" si="513"/>
        <v>7.6445964503665991</v>
      </c>
      <c r="AM569" t="e">
        <f t="shared" si="494"/>
        <v>#N/A</v>
      </c>
      <c r="AN569" t="e">
        <f t="shared" si="514"/>
        <v>#N/A</v>
      </c>
      <c r="AO569">
        <f t="shared" si="495"/>
        <v>0</v>
      </c>
      <c r="AP569">
        <f t="shared" si="496"/>
        <v>0</v>
      </c>
      <c r="AQ569">
        <f t="shared" si="497"/>
        <v>8.6042284408449632E-16</v>
      </c>
      <c r="AR569">
        <f t="shared" si="515"/>
        <v>0</v>
      </c>
      <c r="AS569">
        <f t="shared" si="498"/>
        <v>0</v>
      </c>
      <c r="AT569">
        <f t="shared" si="516"/>
        <v>0</v>
      </c>
      <c r="AU569">
        <f t="shared" si="517"/>
        <v>0</v>
      </c>
      <c r="AV569">
        <f t="shared" si="499"/>
        <v>1.4702653618800228E-20</v>
      </c>
      <c r="AW569" t="b">
        <f t="shared" si="518"/>
        <v>1</v>
      </c>
      <c r="AX569">
        <f t="shared" si="500"/>
        <v>7.8539816339744828</v>
      </c>
      <c r="AY569">
        <f t="shared" si="501"/>
        <v>-0.14830715330320104</v>
      </c>
      <c r="AZ569">
        <f t="shared" si="502"/>
        <v>-6.6139802504545181E-2</v>
      </c>
      <c r="BA569">
        <f t="shared" si="503"/>
        <v>5.0617721998618111E-3</v>
      </c>
      <c r="BB569">
        <f t="shared" si="504"/>
        <v>-1.2337005501361696E-20</v>
      </c>
      <c r="BD569" s="15">
        <f t="shared" si="519"/>
        <v>7.6445964503665982</v>
      </c>
      <c r="BE569" s="10">
        <f t="shared" si="520"/>
        <v>0</v>
      </c>
      <c r="BF569">
        <f t="shared" si="521"/>
        <v>0</v>
      </c>
      <c r="BG569">
        <f t="shared" si="522"/>
        <v>0</v>
      </c>
      <c r="BH569">
        <f t="shared" si="523"/>
        <v>0</v>
      </c>
      <c r="BI569">
        <f t="shared" si="524"/>
        <v>0</v>
      </c>
    </row>
    <row r="570" spans="1:61" x14ac:dyDescent="0.3">
      <c r="A570">
        <f t="shared" si="529"/>
        <v>0.53300000000000003</v>
      </c>
      <c r="B570">
        <f t="shared" si="472"/>
        <v>1.6744688843633597</v>
      </c>
      <c r="C570">
        <f t="shared" si="473"/>
        <v>1.4671237692264334</v>
      </c>
      <c r="D570">
        <f t="shared" si="474"/>
        <v>1.4671237692264334</v>
      </c>
      <c r="E570">
        <f t="shared" si="479"/>
        <v>0.99463081199143233</v>
      </c>
      <c r="F570">
        <f t="shared" si="480"/>
        <v>0.99463081199143233</v>
      </c>
      <c r="G570">
        <f t="shared" si="475"/>
        <v>1.6744688843633597</v>
      </c>
      <c r="H570">
        <f t="shared" si="476"/>
        <v>0.99463081199143233</v>
      </c>
      <c r="I570">
        <f t="shared" si="477"/>
        <v>0.99463081199143233</v>
      </c>
      <c r="J570">
        <f t="shared" si="525"/>
        <v>6.4005635527513219E+19</v>
      </c>
      <c r="K570">
        <f t="shared" si="526"/>
        <v>6.4005635527513219E+19</v>
      </c>
      <c r="L570">
        <f t="shared" si="481"/>
        <v>1</v>
      </c>
      <c r="M570">
        <f t="shared" si="478"/>
        <v>1.4671237692264335E-20</v>
      </c>
      <c r="N570" s="9">
        <f t="shared" si="527"/>
        <v>1.4671237692264335E-20</v>
      </c>
      <c r="O570">
        <f t="shared" si="528"/>
        <v>1.4671237692264335E-20</v>
      </c>
      <c r="Q570">
        <f t="shared" si="482"/>
        <v>45.605502808493263</v>
      </c>
      <c r="R570">
        <f t="shared" si="483"/>
        <v>0</v>
      </c>
      <c r="S570">
        <f t="shared" si="505"/>
        <v>-45.668397995344755</v>
      </c>
      <c r="T570" s="9" t="e">
        <f t="shared" si="484"/>
        <v>#N/A</v>
      </c>
      <c r="U570">
        <f t="shared" si="506"/>
        <v>-1.0000000000000001E+300</v>
      </c>
      <c r="V570">
        <f t="shared" si="507"/>
        <v>0</v>
      </c>
      <c r="W570">
        <f t="shared" si="508"/>
        <v>0</v>
      </c>
      <c r="X570">
        <f t="shared" si="485"/>
        <v>1.4671237692264334</v>
      </c>
      <c r="Y570">
        <f t="shared" si="486"/>
        <v>7.8539816339744828</v>
      </c>
      <c r="Z570">
        <f t="shared" si="487"/>
        <v>-1.4671237692264334</v>
      </c>
      <c r="AA570">
        <f t="shared" si="509"/>
        <v>-0.15264775165927319</v>
      </c>
      <c r="AB570">
        <f t="shared" si="488"/>
        <v>7.7013338823152093</v>
      </c>
      <c r="AC570">
        <f t="shared" si="510"/>
        <v>-6.8278840753294379E-2</v>
      </c>
      <c r="AD570">
        <f t="shared" si="489"/>
        <v>5.3836539018049974E-3</v>
      </c>
      <c r="AE570" s="9">
        <f t="shared" si="511"/>
        <v>7.6384386954637202</v>
      </c>
      <c r="AF570">
        <f t="shared" si="512"/>
        <v>0</v>
      </c>
      <c r="AH570">
        <f t="shared" si="490"/>
        <v>7.8539816339744828</v>
      </c>
      <c r="AI570">
        <f t="shared" si="491"/>
        <v>-0.15264775165927311</v>
      </c>
      <c r="AJ570">
        <f t="shared" si="492"/>
        <v>-6.8278840753293935E-2</v>
      </c>
      <c r="AK570">
        <f t="shared" si="493"/>
        <v>5.3836539018049974E-3</v>
      </c>
      <c r="AL570" s="9">
        <f t="shared" si="513"/>
        <v>7.6384386954637202</v>
      </c>
      <c r="AM570" t="e">
        <f t="shared" si="494"/>
        <v>#N/A</v>
      </c>
      <c r="AN570" t="e">
        <f t="shared" si="514"/>
        <v>#N/A</v>
      </c>
      <c r="AO570">
        <f t="shared" si="495"/>
        <v>0</v>
      </c>
      <c r="AP570">
        <f t="shared" si="496"/>
        <v>0</v>
      </c>
      <c r="AQ570">
        <f t="shared" si="497"/>
        <v>4.4408920985006262E-16</v>
      </c>
      <c r="AR570">
        <f t="shared" si="515"/>
        <v>0</v>
      </c>
      <c r="AS570">
        <f t="shared" si="498"/>
        <v>0</v>
      </c>
      <c r="AT570">
        <f t="shared" si="516"/>
        <v>0</v>
      </c>
      <c r="AU570">
        <f t="shared" si="517"/>
        <v>0</v>
      </c>
      <c r="AV570">
        <f t="shared" si="499"/>
        <v>1.4671237692264332E-20</v>
      </c>
      <c r="AW570" t="b">
        <f t="shared" si="518"/>
        <v>1</v>
      </c>
      <c r="AX570">
        <f t="shared" si="500"/>
        <v>7.8539816339744828</v>
      </c>
      <c r="AY570">
        <f t="shared" si="501"/>
        <v>-0.1526477516592733</v>
      </c>
      <c r="AZ570">
        <f t="shared" si="502"/>
        <v>-6.827884075329449E-2</v>
      </c>
      <c r="BA570">
        <f t="shared" si="503"/>
        <v>5.3836539018049974E-3</v>
      </c>
      <c r="BB570">
        <f t="shared" si="504"/>
        <v>-1.2337005501361696E-20</v>
      </c>
      <c r="BD570" s="15">
        <f t="shared" si="519"/>
        <v>7.6384386954637193</v>
      </c>
      <c r="BE570" s="10">
        <f t="shared" si="520"/>
        <v>0</v>
      </c>
      <c r="BF570">
        <f t="shared" si="521"/>
        <v>0</v>
      </c>
      <c r="BG570">
        <f t="shared" si="522"/>
        <v>0</v>
      </c>
      <c r="BH570">
        <f t="shared" si="523"/>
        <v>0</v>
      </c>
      <c r="BI570">
        <f t="shared" si="524"/>
        <v>-1.1102230246251565E-16</v>
      </c>
    </row>
    <row r="571" spans="1:61" x14ac:dyDescent="0.3">
      <c r="A571">
        <f t="shared" si="529"/>
        <v>0.53400000000000003</v>
      </c>
      <c r="B571">
        <f t="shared" si="472"/>
        <v>1.6776104770169495</v>
      </c>
      <c r="C571">
        <f t="shared" si="473"/>
        <v>1.4639821765728436</v>
      </c>
      <c r="D571">
        <f t="shared" si="474"/>
        <v>1.4639821765728436</v>
      </c>
      <c r="E571">
        <f t="shared" si="479"/>
        <v>0.99430079039699892</v>
      </c>
      <c r="F571">
        <f t="shared" si="480"/>
        <v>0.99430079039699892</v>
      </c>
      <c r="G571">
        <f t="shared" si="475"/>
        <v>1.6776104770169495</v>
      </c>
      <c r="H571">
        <f t="shared" si="476"/>
        <v>0.99430079039699892</v>
      </c>
      <c r="I571">
        <f t="shared" si="477"/>
        <v>0.99430079039699892</v>
      </c>
      <c r="J571">
        <f t="shared" si="525"/>
        <v>6.4026879845222228E+19</v>
      </c>
      <c r="K571">
        <f t="shared" si="526"/>
        <v>6.4026879845222228E+19</v>
      </c>
      <c r="L571">
        <f t="shared" si="481"/>
        <v>1</v>
      </c>
      <c r="M571">
        <f t="shared" si="478"/>
        <v>1.4639821765728435E-20</v>
      </c>
      <c r="N571" s="9">
        <f t="shared" si="527"/>
        <v>1.4639821765728435E-20</v>
      </c>
      <c r="O571">
        <f t="shared" si="528"/>
        <v>1.4639821765728435E-20</v>
      </c>
      <c r="Q571">
        <f t="shared" si="482"/>
        <v>45.605834666659796</v>
      </c>
      <c r="R571">
        <f t="shared" si="483"/>
        <v>0</v>
      </c>
      <c r="S571">
        <f t="shared" si="505"/>
        <v>-45.670541618888002</v>
      </c>
      <c r="T571" s="9" t="e">
        <f t="shared" si="484"/>
        <v>#N/A</v>
      </c>
      <c r="U571">
        <f t="shared" si="506"/>
        <v>-1.0000000000000001E+300</v>
      </c>
      <c r="V571">
        <f t="shared" si="507"/>
        <v>0</v>
      </c>
      <c r="W571">
        <f t="shared" si="508"/>
        <v>0</v>
      </c>
      <c r="X571">
        <f t="shared" si="485"/>
        <v>1.4639821765728436</v>
      </c>
      <c r="Y571">
        <f t="shared" si="486"/>
        <v>7.8539816339744828</v>
      </c>
      <c r="Z571">
        <f t="shared" si="487"/>
        <v>-1.4639821765728436</v>
      </c>
      <c r="AA571">
        <f t="shared" si="509"/>
        <v>-0.15697144283725326</v>
      </c>
      <c r="AB571">
        <f t="shared" si="488"/>
        <v>7.6970101911372293</v>
      </c>
      <c r="AC571">
        <f t="shared" si="510"/>
        <v>-7.0422464296545931E-2</v>
      </c>
      <c r="AD571">
        <f t="shared" si="489"/>
        <v>5.7155120683360771E-3</v>
      </c>
      <c r="AE571" s="9">
        <f t="shared" si="511"/>
        <v>7.6323032389090191</v>
      </c>
      <c r="AF571">
        <f t="shared" si="512"/>
        <v>0</v>
      </c>
      <c r="AH571">
        <f t="shared" si="490"/>
        <v>7.8539816339744828</v>
      </c>
      <c r="AI571">
        <f t="shared" si="491"/>
        <v>-0.15697144283725314</v>
      </c>
      <c r="AJ571">
        <f t="shared" si="492"/>
        <v>-7.042246429654142E-2</v>
      </c>
      <c r="AK571">
        <f t="shared" si="493"/>
        <v>5.7155120683360771E-3</v>
      </c>
      <c r="AL571" s="9">
        <f t="shared" si="513"/>
        <v>7.6323032389090235</v>
      </c>
      <c r="AM571" t="e">
        <f t="shared" si="494"/>
        <v>#N/A</v>
      </c>
      <c r="AN571" t="e">
        <f t="shared" si="514"/>
        <v>#N/A</v>
      </c>
      <c r="AO571">
        <f t="shared" si="495"/>
        <v>0</v>
      </c>
      <c r="AP571">
        <f t="shared" si="496"/>
        <v>0</v>
      </c>
      <c r="AQ571">
        <f t="shared" si="497"/>
        <v>4.5102810375396984E-15</v>
      </c>
      <c r="AR571">
        <f t="shared" si="515"/>
        <v>0</v>
      </c>
      <c r="AS571">
        <f t="shared" si="498"/>
        <v>0</v>
      </c>
      <c r="AT571">
        <f t="shared" si="516"/>
        <v>0</v>
      </c>
      <c r="AU571">
        <f t="shared" si="517"/>
        <v>0</v>
      </c>
      <c r="AV571">
        <f t="shared" si="499"/>
        <v>1.4639821765728435E-20</v>
      </c>
      <c r="AW571" t="b">
        <f t="shared" si="518"/>
        <v>1</v>
      </c>
      <c r="AX571">
        <f t="shared" si="500"/>
        <v>7.8539816339744828</v>
      </c>
      <c r="AY571">
        <f t="shared" si="501"/>
        <v>-0.15697144283725334</v>
      </c>
      <c r="AZ571">
        <f t="shared" si="502"/>
        <v>-7.042246429654582E-2</v>
      </c>
      <c r="BA571">
        <f t="shared" si="503"/>
        <v>5.7155120683360771E-3</v>
      </c>
      <c r="BB571">
        <f t="shared" si="504"/>
        <v>-1.2337005501361696E-20</v>
      </c>
      <c r="BD571" s="15">
        <f t="shared" si="519"/>
        <v>7.6323032389090191</v>
      </c>
      <c r="BE571" s="10">
        <f t="shared" si="520"/>
        <v>0</v>
      </c>
      <c r="BF571">
        <f t="shared" si="521"/>
        <v>0</v>
      </c>
      <c r="BG571">
        <f t="shared" si="522"/>
        <v>0</v>
      </c>
      <c r="BH571">
        <f t="shared" si="523"/>
        <v>0</v>
      </c>
      <c r="BI571">
        <f t="shared" si="524"/>
        <v>1.1102230246251565E-16</v>
      </c>
    </row>
    <row r="572" spans="1:61" x14ac:dyDescent="0.3">
      <c r="A572">
        <f t="shared" si="529"/>
        <v>0.53500000000000003</v>
      </c>
      <c r="B572">
        <f t="shared" si="472"/>
        <v>1.6807520696705394</v>
      </c>
      <c r="C572">
        <f t="shared" si="473"/>
        <v>1.4608405839192538</v>
      </c>
      <c r="D572">
        <f t="shared" si="474"/>
        <v>1.4608405839192538</v>
      </c>
      <c r="E572">
        <f t="shared" si="479"/>
        <v>0.99396095545517971</v>
      </c>
      <c r="F572">
        <f t="shared" si="480"/>
        <v>0.99396095545517971</v>
      </c>
      <c r="G572">
        <f t="shared" si="475"/>
        <v>1.6807520696705394</v>
      </c>
      <c r="H572">
        <f t="shared" si="476"/>
        <v>0.99396095545517971</v>
      </c>
      <c r="I572">
        <f t="shared" si="477"/>
        <v>0.99396095545517971</v>
      </c>
      <c r="J572">
        <f t="shared" si="525"/>
        <v>6.4048770615546405E+19</v>
      </c>
      <c r="K572">
        <f t="shared" si="526"/>
        <v>6.4048770615546405E+19</v>
      </c>
      <c r="L572">
        <f t="shared" si="481"/>
        <v>1</v>
      </c>
      <c r="M572">
        <f t="shared" si="478"/>
        <v>1.4608405839192535E-20</v>
      </c>
      <c r="N572" s="9">
        <f t="shared" si="527"/>
        <v>1.4608405839192535E-20</v>
      </c>
      <c r="O572">
        <f t="shared" si="528"/>
        <v>1.4608405839192535E-20</v>
      </c>
      <c r="Q572">
        <f t="shared" si="482"/>
        <v>45.606176507914689</v>
      </c>
      <c r="R572">
        <f t="shared" si="483"/>
        <v>0</v>
      </c>
      <c r="S572">
        <f t="shared" si="505"/>
        <v>-45.672689847426291</v>
      </c>
      <c r="T572" s="9" t="e">
        <f t="shared" si="484"/>
        <v>#N/A</v>
      </c>
      <c r="U572">
        <f t="shared" si="506"/>
        <v>-1.0000000000000001E+300</v>
      </c>
      <c r="V572">
        <f t="shared" si="507"/>
        <v>0</v>
      </c>
      <c r="W572">
        <f t="shared" si="508"/>
        <v>0</v>
      </c>
      <c r="X572">
        <f t="shared" si="485"/>
        <v>1.4608405839192538</v>
      </c>
      <c r="Y572">
        <f t="shared" si="486"/>
        <v>7.8539816339744828</v>
      </c>
      <c r="Z572">
        <f t="shared" si="487"/>
        <v>-1.4608405839192538</v>
      </c>
      <c r="AA572">
        <f t="shared" si="509"/>
        <v>-0.16127830193974677</v>
      </c>
      <c r="AB572">
        <f t="shared" si="488"/>
        <v>7.6927033320347364</v>
      </c>
      <c r="AC572">
        <f t="shared" si="510"/>
        <v>-7.2570692834835498E-2</v>
      </c>
      <c r="AD572">
        <f t="shared" si="489"/>
        <v>6.0573533232286605E-3</v>
      </c>
      <c r="AE572" s="9">
        <f t="shared" si="511"/>
        <v>7.6261899925231296</v>
      </c>
      <c r="AF572">
        <f t="shared" si="512"/>
        <v>0</v>
      </c>
      <c r="AH572">
        <f t="shared" si="490"/>
        <v>7.8539816339744828</v>
      </c>
      <c r="AI572">
        <f t="shared" si="491"/>
        <v>-0.16127830193974668</v>
      </c>
      <c r="AJ572">
        <f t="shared" si="492"/>
        <v>-7.2570692834830197E-2</v>
      </c>
      <c r="AK572">
        <f t="shared" si="493"/>
        <v>6.0573533232286605E-3</v>
      </c>
      <c r="AL572" s="9">
        <f t="shared" si="513"/>
        <v>7.6261899925231349</v>
      </c>
      <c r="AM572" t="e">
        <f t="shared" si="494"/>
        <v>#N/A</v>
      </c>
      <c r="AN572" t="e">
        <f t="shared" si="514"/>
        <v>#N/A</v>
      </c>
      <c r="AO572">
        <f t="shared" si="495"/>
        <v>0</v>
      </c>
      <c r="AP572">
        <f t="shared" si="496"/>
        <v>0</v>
      </c>
      <c r="AQ572">
        <f t="shared" si="497"/>
        <v>5.3013149425851225E-15</v>
      </c>
      <c r="AR572">
        <f t="shared" si="515"/>
        <v>0</v>
      </c>
      <c r="AS572">
        <f t="shared" si="498"/>
        <v>0</v>
      </c>
      <c r="AT572">
        <f t="shared" si="516"/>
        <v>0</v>
      </c>
      <c r="AU572">
        <f t="shared" si="517"/>
        <v>0</v>
      </c>
      <c r="AV572">
        <f t="shared" si="499"/>
        <v>1.4608405839192535E-20</v>
      </c>
      <c r="AW572" t="b">
        <f t="shared" si="518"/>
        <v>1</v>
      </c>
      <c r="AX572">
        <f t="shared" si="500"/>
        <v>7.8539816339744828</v>
      </c>
      <c r="AY572">
        <f t="shared" si="501"/>
        <v>-0.16127830193974685</v>
      </c>
      <c r="AZ572">
        <f t="shared" si="502"/>
        <v>-7.2570692834835498E-2</v>
      </c>
      <c r="BA572">
        <f t="shared" si="503"/>
        <v>6.0573533232286605E-3</v>
      </c>
      <c r="BB572">
        <f t="shared" si="504"/>
        <v>-1.2337005501361696E-20</v>
      </c>
      <c r="BD572" s="15">
        <f t="shared" si="519"/>
        <v>7.6261899925231287</v>
      </c>
      <c r="BE572" s="10">
        <f t="shared" si="520"/>
        <v>0</v>
      </c>
      <c r="BF572">
        <f t="shared" si="521"/>
        <v>0</v>
      </c>
      <c r="BG572">
        <f t="shared" si="522"/>
        <v>0</v>
      </c>
      <c r="BH572">
        <f t="shared" si="523"/>
        <v>0</v>
      </c>
      <c r="BI572">
        <f t="shared" si="524"/>
        <v>0</v>
      </c>
    </row>
    <row r="573" spans="1:61" x14ac:dyDescent="0.3">
      <c r="A573">
        <f t="shared" si="529"/>
        <v>0.53600000000000003</v>
      </c>
      <c r="B573">
        <f t="shared" si="472"/>
        <v>1.6838936623241292</v>
      </c>
      <c r="C573">
        <f t="shared" si="473"/>
        <v>1.4576989912656639</v>
      </c>
      <c r="D573">
        <f t="shared" si="474"/>
        <v>1.4576989912656639</v>
      </c>
      <c r="E573">
        <f t="shared" si="479"/>
        <v>0.9936113105200084</v>
      </c>
      <c r="F573">
        <f t="shared" si="480"/>
        <v>0.9936113105200084</v>
      </c>
      <c r="G573">
        <f t="shared" si="475"/>
        <v>1.6838936623241292</v>
      </c>
      <c r="H573">
        <f t="shared" si="476"/>
        <v>0.9936113105200084</v>
      </c>
      <c r="I573">
        <f t="shared" si="477"/>
        <v>0.9936113105200084</v>
      </c>
      <c r="J573">
        <f t="shared" si="525"/>
        <v>6.4071308934114812E+19</v>
      </c>
      <c r="K573">
        <f t="shared" si="526"/>
        <v>6.4071308934114812E+19</v>
      </c>
      <c r="L573">
        <f t="shared" si="481"/>
        <v>1</v>
      </c>
      <c r="M573">
        <f t="shared" si="478"/>
        <v>1.4576989912656639E-20</v>
      </c>
      <c r="N573" s="9">
        <f t="shared" si="527"/>
        <v>1.4576989912656639E-20</v>
      </c>
      <c r="O573">
        <f t="shared" si="528"/>
        <v>1.4576989912656639E-20</v>
      </c>
      <c r="Q573">
        <f t="shared" si="482"/>
        <v>45.606528339085571</v>
      </c>
      <c r="R573">
        <f t="shared" si="483"/>
        <v>0</v>
      </c>
      <c r="S573">
        <f t="shared" si="505"/>
        <v>-45.674842700787394</v>
      </c>
      <c r="T573" s="9" t="e">
        <f t="shared" si="484"/>
        <v>#N/A</v>
      </c>
      <c r="U573">
        <f t="shared" si="506"/>
        <v>-1.0000000000000001E+300</v>
      </c>
      <c r="V573">
        <f t="shared" si="507"/>
        <v>0</v>
      </c>
      <c r="W573">
        <f t="shared" si="508"/>
        <v>0</v>
      </c>
      <c r="X573">
        <f t="shared" si="485"/>
        <v>1.4576989912656639</v>
      </c>
      <c r="Y573">
        <f t="shared" si="486"/>
        <v>7.8539816339744828</v>
      </c>
      <c r="Z573">
        <f t="shared" si="487"/>
        <v>-1.4576989912656639</v>
      </c>
      <c r="AA573">
        <f t="shared" si="509"/>
        <v>-0.16556840350565949</v>
      </c>
      <c r="AB573">
        <f t="shared" si="488"/>
        <v>7.6884132304688233</v>
      </c>
      <c r="AC573">
        <f t="shared" si="510"/>
        <v>-7.4723546195936547E-2</v>
      </c>
      <c r="AD573">
        <f t="shared" si="489"/>
        <v>6.4091844941134074E-3</v>
      </c>
      <c r="AE573" s="9">
        <f t="shared" si="511"/>
        <v>7.6200988687670002</v>
      </c>
      <c r="AF573">
        <f t="shared" si="512"/>
        <v>0</v>
      </c>
      <c r="AH573">
        <f t="shared" si="490"/>
        <v>7.8539816339744828</v>
      </c>
      <c r="AI573">
        <f t="shared" si="491"/>
        <v>-0.16556840350565938</v>
      </c>
      <c r="AJ573">
        <f t="shared" si="492"/>
        <v>-7.4723546195933466E-2</v>
      </c>
      <c r="AK573">
        <f t="shared" si="493"/>
        <v>6.4091844941134074E-3</v>
      </c>
      <c r="AL573" s="9">
        <f t="shared" si="513"/>
        <v>7.6200988687670028</v>
      </c>
      <c r="AM573" t="e">
        <f t="shared" si="494"/>
        <v>#N/A</v>
      </c>
      <c r="AN573" t="e">
        <f t="shared" si="514"/>
        <v>#N/A</v>
      </c>
      <c r="AO573">
        <f t="shared" si="495"/>
        <v>0</v>
      </c>
      <c r="AP573">
        <f t="shared" si="496"/>
        <v>0</v>
      </c>
      <c r="AQ573">
        <f t="shared" si="497"/>
        <v>3.0808688933348094E-15</v>
      </c>
      <c r="AR573">
        <f t="shared" si="515"/>
        <v>0</v>
      </c>
      <c r="AS573">
        <f t="shared" si="498"/>
        <v>0</v>
      </c>
      <c r="AT573">
        <f t="shared" si="516"/>
        <v>0</v>
      </c>
      <c r="AU573">
        <f t="shared" si="517"/>
        <v>0</v>
      </c>
      <c r="AV573">
        <f t="shared" si="499"/>
        <v>1.4576989912656639E-20</v>
      </c>
      <c r="AW573" t="b">
        <f t="shared" si="518"/>
        <v>1</v>
      </c>
      <c r="AX573">
        <f t="shared" si="500"/>
        <v>7.8539816339744828</v>
      </c>
      <c r="AY573">
        <f t="shared" si="501"/>
        <v>-0.16556840350565957</v>
      </c>
      <c r="AZ573">
        <f t="shared" si="502"/>
        <v>-7.4723546195936422E-2</v>
      </c>
      <c r="BA573">
        <f t="shared" si="503"/>
        <v>6.4091844941134074E-3</v>
      </c>
      <c r="BB573">
        <f t="shared" si="504"/>
        <v>-1.2337005501361696E-20</v>
      </c>
      <c r="BD573" s="15">
        <f t="shared" si="519"/>
        <v>7.6200988687670002</v>
      </c>
      <c r="BE573" s="10">
        <f t="shared" si="520"/>
        <v>0</v>
      </c>
      <c r="BF573">
        <f t="shared" si="521"/>
        <v>0</v>
      </c>
      <c r="BG573">
        <f t="shared" si="522"/>
        <v>0</v>
      </c>
      <c r="BH573">
        <f t="shared" si="523"/>
        <v>0</v>
      </c>
      <c r="BI573">
        <f t="shared" si="524"/>
        <v>1.2490009027033011E-16</v>
      </c>
    </row>
    <row r="574" spans="1:61" x14ac:dyDescent="0.3">
      <c r="A574">
        <f t="shared" si="529"/>
        <v>0.53700000000000003</v>
      </c>
      <c r="B574">
        <f t="shared" si="472"/>
        <v>1.687035254977719</v>
      </c>
      <c r="C574">
        <f t="shared" si="473"/>
        <v>1.4545573986120741</v>
      </c>
      <c r="D574">
        <f t="shared" si="474"/>
        <v>1.4545573986120741</v>
      </c>
      <c r="E574">
        <f t="shared" si="479"/>
        <v>0.99325185904233937</v>
      </c>
      <c r="F574">
        <f t="shared" si="480"/>
        <v>0.99325185904233937</v>
      </c>
      <c r="G574">
        <f t="shared" si="475"/>
        <v>1.687035254977719</v>
      </c>
      <c r="H574">
        <f t="shared" si="476"/>
        <v>0.99325185904233937</v>
      </c>
      <c r="I574">
        <f t="shared" si="477"/>
        <v>0.99325185904233937</v>
      </c>
      <c r="J574">
        <f t="shared" si="525"/>
        <v>6.4094495929903333E+19</v>
      </c>
      <c r="K574">
        <f t="shared" si="526"/>
        <v>6.4094495929903333E+19</v>
      </c>
      <c r="L574">
        <f t="shared" si="481"/>
        <v>1</v>
      </c>
      <c r="M574">
        <f t="shared" si="478"/>
        <v>1.4545573986120739E-20</v>
      </c>
      <c r="N574" s="9">
        <f t="shared" si="527"/>
        <v>1.4545573986120739E-20</v>
      </c>
      <c r="O574">
        <f t="shared" si="528"/>
        <v>1.4545573986120739E-20</v>
      </c>
      <c r="Q574">
        <f t="shared" si="482"/>
        <v>45.606890167204483</v>
      </c>
      <c r="R574">
        <f t="shared" si="483"/>
        <v>-710542.73576010019</v>
      </c>
      <c r="S574">
        <f t="shared" si="505"/>
        <v>-45.677000198927416</v>
      </c>
      <c r="T574" s="9" t="e">
        <f t="shared" si="484"/>
        <v>#N/A</v>
      </c>
      <c r="U574">
        <f t="shared" si="506"/>
        <v>-1.0000000000000001E+300</v>
      </c>
      <c r="V574">
        <f t="shared" si="507"/>
        <v>0</v>
      </c>
      <c r="W574">
        <f t="shared" si="508"/>
        <v>0</v>
      </c>
      <c r="X574">
        <f t="shared" si="485"/>
        <v>1.4545573986120741</v>
      </c>
      <c r="Y574">
        <f t="shared" si="486"/>
        <v>7.8539816339744828</v>
      </c>
      <c r="Z574">
        <f t="shared" si="487"/>
        <v>-1.4545573986120741</v>
      </c>
      <c r="AA574">
        <f t="shared" si="509"/>
        <v>-0.16984182151534993</v>
      </c>
      <c r="AB574">
        <f t="shared" si="488"/>
        <v>7.6841398124591329</v>
      </c>
      <c r="AC574">
        <f t="shared" si="510"/>
        <v>-7.6881044335957743E-2</v>
      </c>
      <c r="AD574">
        <f t="shared" si="489"/>
        <v>6.7710126130269077E-3</v>
      </c>
      <c r="AE574" s="9">
        <f t="shared" si="511"/>
        <v>7.6140297807362023</v>
      </c>
      <c r="AF574">
        <f t="shared" si="512"/>
        <v>0</v>
      </c>
      <c r="AH574">
        <f t="shared" si="490"/>
        <v>7.8539816339744828</v>
      </c>
      <c r="AI574">
        <f t="shared" si="491"/>
        <v>-0.16984182151534979</v>
      </c>
      <c r="AJ574">
        <f t="shared" si="492"/>
        <v>-7.6881044335955551E-2</v>
      </c>
      <c r="AK574">
        <f t="shared" si="493"/>
        <v>6.7710126130269077E-3</v>
      </c>
      <c r="AL574" s="9">
        <f t="shared" si="513"/>
        <v>7.6140297807362041</v>
      </c>
      <c r="AM574" t="e">
        <f t="shared" si="494"/>
        <v>#N/A</v>
      </c>
      <c r="AN574" t="e">
        <f t="shared" si="514"/>
        <v>#N/A</v>
      </c>
      <c r="AO574">
        <f t="shared" si="495"/>
        <v>0</v>
      </c>
      <c r="AP574">
        <f t="shared" si="496"/>
        <v>0</v>
      </c>
      <c r="AQ574">
        <f t="shared" si="497"/>
        <v>2.1926904736346842E-15</v>
      </c>
      <c r="AR574">
        <f t="shared" si="515"/>
        <v>0</v>
      </c>
      <c r="AS574">
        <f t="shared" si="498"/>
        <v>0</v>
      </c>
      <c r="AT574">
        <f t="shared" si="516"/>
        <v>0</v>
      </c>
      <c r="AU574">
        <f t="shared" si="517"/>
        <v>0</v>
      </c>
      <c r="AV574">
        <f t="shared" si="499"/>
        <v>1.4545573986120739E-20</v>
      </c>
      <c r="AW574" t="b">
        <f t="shared" si="518"/>
        <v>1</v>
      </c>
      <c r="AX574">
        <f t="shared" si="500"/>
        <v>7.8539816339744828</v>
      </c>
      <c r="AY574">
        <f t="shared" si="501"/>
        <v>-0.16984182151535002</v>
      </c>
      <c r="AZ574">
        <f t="shared" si="502"/>
        <v>-7.6881044335957743E-2</v>
      </c>
      <c r="BA574">
        <f t="shared" si="503"/>
        <v>6.7710126130269077E-3</v>
      </c>
      <c r="BB574">
        <f t="shared" si="504"/>
        <v>-1.2337005501361696E-20</v>
      </c>
      <c r="BD574" s="15">
        <f t="shared" si="519"/>
        <v>7.6140297807362023</v>
      </c>
      <c r="BE574" s="10">
        <f t="shared" si="520"/>
        <v>0</v>
      </c>
      <c r="BF574">
        <f t="shared" si="521"/>
        <v>0</v>
      </c>
      <c r="BG574">
        <f t="shared" si="522"/>
        <v>0</v>
      </c>
      <c r="BH574">
        <f t="shared" si="523"/>
        <v>0</v>
      </c>
      <c r="BI574">
        <f t="shared" si="524"/>
        <v>0</v>
      </c>
    </row>
    <row r="575" spans="1:61" x14ac:dyDescent="0.3">
      <c r="A575">
        <f t="shared" si="529"/>
        <v>0.53800000000000003</v>
      </c>
      <c r="B575">
        <f t="shared" si="472"/>
        <v>1.6901768476313088</v>
      </c>
      <c r="C575">
        <f t="shared" si="473"/>
        <v>1.4514158059584843</v>
      </c>
      <c r="D575">
        <f t="shared" si="474"/>
        <v>1.4514158059584843</v>
      </c>
      <c r="E575">
        <f t="shared" si="479"/>
        <v>0.9928826045698137</v>
      </c>
      <c r="F575">
        <f t="shared" si="480"/>
        <v>0.9928826045698137</v>
      </c>
      <c r="G575">
        <f t="shared" si="475"/>
        <v>1.6901768476313088</v>
      </c>
      <c r="H575">
        <f t="shared" si="476"/>
        <v>0.9928826045698137</v>
      </c>
      <c r="I575">
        <f t="shared" si="477"/>
        <v>0.9928826045698137</v>
      </c>
      <c r="J575">
        <f t="shared" si="525"/>
        <v>6.4118332765373579E+19</v>
      </c>
      <c r="K575">
        <f t="shared" si="526"/>
        <v>6.4118332765373579E+19</v>
      </c>
      <c r="L575">
        <f t="shared" si="481"/>
        <v>1</v>
      </c>
      <c r="M575">
        <f t="shared" si="478"/>
        <v>1.4514158059584843E-20</v>
      </c>
      <c r="N575" s="9">
        <f t="shared" si="527"/>
        <v>1.4514158059584843E-20</v>
      </c>
      <c r="O575">
        <f t="shared" si="528"/>
        <v>1.4514158059584843E-20</v>
      </c>
      <c r="Q575">
        <f t="shared" si="482"/>
        <v>45.607261999508438</v>
      </c>
      <c r="R575">
        <f t="shared" si="483"/>
        <v>0</v>
      </c>
      <c r="S575">
        <f t="shared" si="505"/>
        <v>-45.679162361931915</v>
      </c>
      <c r="T575" s="9" t="e">
        <f t="shared" si="484"/>
        <v>#N/A</v>
      </c>
      <c r="U575">
        <f t="shared" si="506"/>
        <v>-1.0000000000000001E+300</v>
      </c>
      <c r="V575">
        <f t="shared" si="507"/>
        <v>0</v>
      </c>
      <c r="W575">
        <f t="shared" si="508"/>
        <v>0</v>
      </c>
      <c r="X575">
        <f t="shared" si="485"/>
        <v>1.4514158059584843</v>
      </c>
      <c r="Y575">
        <f t="shared" si="486"/>
        <v>7.8539816339744828</v>
      </c>
      <c r="Z575">
        <f t="shared" si="487"/>
        <v>-1.4514158059584843</v>
      </c>
      <c r="AA575">
        <f t="shared" si="509"/>
        <v>-0.17409862939572499</v>
      </c>
      <c r="AB575">
        <f t="shared" si="488"/>
        <v>7.6798830045787581</v>
      </c>
      <c r="AC575">
        <f t="shared" si="510"/>
        <v>-7.9043207340452962E-2</v>
      </c>
      <c r="AD575">
        <f t="shared" si="489"/>
        <v>7.1428449169772829E-3</v>
      </c>
      <c r="AE575" s="9">
        <f t="shared" si="511"/>
        <v>7.6079826421552825</v>
      </c>
      <c r="AF575">
        <f t="shared" si="512"/>
        <v>0</v>
      </c>
      <c r="AH575">
        <f t="shared" si="490"/>
        <v>7.8539816339744828</v>
      </c>
      <c r="AI575">
        <f t="shared" si="491"/>
        <v>-0.17409862939572487</v>
      </c>
      <c r="AJ575">
        <f t="shared" si="492"/>
        <v>-7.9043207340454558E-2</v>
      </c>
      <c r="AK575">
        <f t="shared" si="493"/>
        <v>7.1428449169772829E-3</v>
      </c>
      <c r="AL575" s="9">
        <f t="shared" si="513"/>
        <v>7.6079826421552808</v>
      </c>
      <c r="AM575" t="e">
        <f t="shared" si="494"/>
        <v>#N/A</v>
      </c>
      <c r="AN575" t="e">
        <f t="shared" si="514"/>
        <v>#N/A</v>
      </c>
      <c r="AO575">
        <f t="shared" si="495"/>
        <v>0</v>
      </c>
      <c r="AP575">
        <f t="shared" si="496"/>
        <v>0</v>
      </c>
      <c r="AQ575">
        <f t="shared" si="497"/>
        <v>-1.5959455978986625E-15</v>
      </c>
      <c r="AR575">
        <f t="shared" si="515"/>
        <v>0</v>
      </c>
      <c r="AS575">
        <f t="shared" si="498"/>
        <v>0</v>
      </c>
      <c r="AT575">
        <f t="shared" si="516"/>
        <v>0</v>
      </c>
      <c r="AU575">
        <f t="shared" si="517"/>
        <v>0</v>
      </c>
      <c r="AV575">
        <f t="shared" si="499"/>
        <v>1.4514158059584843E-20</v>
      </c>
      <c r="AW575" t="b">
        <f t="shared" si="518"/>
        <v>1</v>
      </c>
      <c r="AX575">
        <f t="shared" si="500"/>
        <v>7.8539816339744828</v>
      </c>
      <c r="AY575">
        <f t="shared" si="501"/>
        <v>-0.1740986293957251</v>
      </c>
      <c r="AZ575">
        <f t="shared" si="502"/>
        <v>-7.9043207340452851E-2</v>
      </c>
      <c r="BA575">
        <f t="shared" si="503"/>
        <v>7.1428449169772829E-3</v>
      </c>
      <c r="BB575">
        <f t="shared" si="504"/>
        <v>-1.2337005501361696E-20</v>
      </c>
      <c r="BD575" s="15">
        <f t="shared" si="519"/>
        <v>7.6079826421552825</v>
      </c>
      <c r="BE575" s="10">
        <f t="shared" si="520"/>
        <v>0</v>
      </c>
      <c r="BF575">
        <f t="shared" si="521"/>
        <v>0</v>
      </c>
      <c r="BG575">
        <f t="shared" si="522"/>
        <v>0</v>
      </c>
      <c r="BH575">
        <f t="shared" si="523"/>
        <v>0</v>
      </c>
      <c r="BI575">
        <f t="shared" si="524"/>
        <v>1.1102230246251565E-16</v>
      </c>
    </row>
    <row r="576" spans="1:61" x14ac:dyDescent="0.3">
      <c r="A576">
        <f t="shared" si="529"/>
        <v>0.53900000000000003</v>
      </c>
      <c r="B576">
        <f t="shared" si="472"/>
        <v>1.6933184402848986</v>
      </c>
      <c r="C576">
        <f t="shared" si="473"/>
        <v>1.4482742133048945</v>
      </c>
      <c r="D576">
        <f t="shared" si="474"/>
        <v>1.4482742133048945</v>
      </c>
      <c r="E576">
        <f t="shared" si="479"/>
        <v>0.99250355074682373</v>
      </c>
      <c r="F576">
        <f t="shared" si="480"/>
        <v>0.99250355074682373</v>
      </c>
      <c r="G576">
        <f t="shared" si="475"/>
        <v>1.6933184402848986</v>
      </c>
      <c r="H576">
        <f t="shared" si="476"/>
        <v>0.99250355074682373</v>
      </c>
      <c r="I576">
        <f t="shared" si="477"/>
        <v>0.99250355074682373</v>
      </c>
      <c r="J576">
        <f t="shared" si="525"/>
        <v>6.4142820636616122E+19</v>
      </c>
      <c r="K576">
        <f t="shared" si="526"/>
        <v>6.4142820636616122E+19</v>
      </c>
      <c r="L576">
        <f t="shared" si="481"/>
        <v>1</v>
      </c>
      <c r="M576">
        <f t="shared" si="478"/>
        <v>1.4482742133048943E-20</v>
      </c>
      <c r="N576" s="9">
        <f t="shared" si="527"/>
        <v>1.4482742133048943E-20</v>
      </c>
      <c r="O576">
        <f t="shared" si="528"/>
        <v>1.4482742133048943E-20</v>
      </c>
      <c r="Q576">
        <f t="shared" si="482"/>
        <v>45.607643843439988</v>
      </c>
      <c r="R576">
        <f t="shared" si="483"/>
        <v>0</v>
      </c>
      <c r="S576">
        <f t="shared" si="505"/>
        <v>-45.681329210017005</v>
      </c>
      <c r="T576" s="9" t="e">
        <f t="shared" si="484"/>
        <v>#N/A</v>
      </c>
      <c r="U576">
        <f t="shared" si="506"/>
        <v>-1.0000000000000001E+300</v>
      </c>
      <c r="V576">
        <f t="shared" si="507"/>
        <v>0</v>
      </c>
      <c r="W576">
        <f t="shared" si="508"/>
        <v>0</v>
      </c>
      <c r="X576">
        <f t="shared" si="485"/>
        <v>1.4482742133048945</v>
      </c>
      <c r="Y576">
        <f t="shared" si="486"/>
        <v>7.8539816339744828</v>
      </c>
      <c r="Z576">
        <f t="shared" si="487"/>
        <v>-1.4482742133048945</v>
      </c>
      <c r="AA576">
        <f t="shared" si="509"/>
        <v>-0.17833890002527875</v>
      </c>
      <c r="AB576">
        <f t="shared" si="488"/>
        <v>7.6756427339492044</v>
      </c>
      <c r="AC576">
        <f t="shared" si="510"/>
        <v>-8.1210055425543298E-2</v>
      </c>
      <c r="AD576">
        <f t="shared" si="489"/>
        <v>7.5246888485273888E-3</v>
      </c>
      <c r="AE576" s="9">
        <f t="shared" si="511"/>
        <v>7.6019573673721883</v>
      </c>
      <c r="AF576">
        <f t="shared" si="512"/>
        <v>0</v>
      </c>
      <c r="AH576">
        <f t="shared" si="490"/>
        <v>7.8539816339744828</v>
      </c>
      <c r="AI576">
        <f t="shared" si="491"/>
        <v>-0.17833890002527863</v>
      </c>
      <c r="AJ576">
        <f t="shared" si="492"/>
        <v>-8.1210055425543715E-2</v>
      </c>
      <c r="AK576">
        <f t="shared" si="493"/>
        <v>7.5246888485273888E-3</v>
      </c>
      <c r="AL576" s="9">
        <f t="shared" si="513"/>
        <v>7.6019573673721883</v>
      </c>
      <c r="AM576" t="e">
        <f t="shared" si="494"/>
        <v>#N/A</v>
      </c>
      <c r="AN576" t="e">
        <f t="shared" si="514"/>
        <v>#N/A</v>
      </c>
      <c r="AO576">
        <f t="shared" si="495"/>
        <v>0</v>
      </c>
      <c r="AP576">
        <f t="shared" si="496"/>
        <v>0</v>
      </c>
      <c r="AQ576">
        <f t="shared" si="497"/>
        <v>-4.163336342344337E-16</v>
      </c>
      <c r="AR576">
        <f t="shared" si="515"/>
        <v>0</v>
      </c>
      <c r="AS576">
        <f t="shared" si="498"/>
        <v>0</v>
      </c>
      <c r="AT576">
        <f t="shared" si="516"/>
        <v>0</v>
      </c>
      <c r="AU576">
        <f t="shared" si="517"/>
        <v>0</v>
      </c>
      <c r="AV576">
        <f t="shared" si="499"/>
        <v>1.4482742133048943E-20</v>
      </c>
      <c r="AW576" t="b">
        <f t="shared" si="518"/>
        <v>1</v>
      </c>
      <c r="AX576">
        <f t="shared" si="500"/>
        <v>7.8539816339744828</v>
      </c>
      <c r="AY576">
        <f t="shared" si="501"/>
        <v>-0.17833890002527883</v>
      </c>
      <c r="AZ576">
        <f t="shared" si="502"/>
        <v>-8.1210055425543298E-2</v>
      </c>
      <c r="BA576">
        <f t="shared" si="503"/>
        <v>7.5246888485273888E-3</v>
      </c>
      <c r="BB576">
        <f t="shared" si="504"/>
        <v>-1.2337005501361696E-20</v>
      </c>
      <c r="BD576" s="15">
        <f t="shared" si="519"/>
        <v>7.6019573673721883</v>
      </c>
      <c r="BE576" s="10">
        <f t="shared" si="520"/>
        <v>0</v>
      </c>
      <c r="BF576">
        <f t="shared" si="521"/>
        <v>0</v>
      </c>
      <c r="BG576">
        <f t="shared" si="522"/>
        <v>0</v>
      </c>
      <c r="BH576">
        <f t="shared" si="523"/>
        <v>0</v>
      </c>
      <c r="BI576">
        <f t="shared" si="524"/>
        <v>0</v>
      </c>
    </row>
    <row r="577" spans="1:61" x14ac:dyDescent="0.3">
      <c r="A577">
        <f t="shared" si="529"/>
        <v>0.54</v>
      </c>
      <c r="B577">
        <f t="shared" si="472"/>
        <v>1.6964600329384885</v>
      </c>
      <c r="C577">
        <f t="shared" si="473"/>
        <v>1.4451326206513047</v>
      </c>
      <c r="D577">
        <f t="shared" si="474"/>
        <v>1.4451326206513047</v>
      </c>
      <c r="E577">
        <f t="shared" si="479"/>
        <v>0.99211470131447776</v>
      </c>
      <c r="F577">
        <f t="shared" si="480"/>
        <v>0.99211470131447776</v>
      </c>
      <c r="G577">
        <f t="shared" si="475"/>
        <v>1.6964600329384885</v>
      </c>
      <c r="H577">
        <f t="shared" si="476"/>
        <v>0.99211470131447776</v>
      </c>
      <c r="I577">
        <f t="shared" si="477"/>
        <v>0.99211470131447776</v>
      </c>
      <c r="J577">
        <f t="shared" si="525"/>
        <v>6.4167960773498053E+19</v>
      </c>
      <c r="K577">
        <f t="shared" si="526"/>
        <v>6.4167960773498053E+19</v>
      </c>
      <c r="L577">
        <f t="shared" si="481"/>
        <v>1</v>
      </c>
      <c r="M577">
        <f t="shared" si="478"/>
        <v>1.4451326206513046E-20</v>
      </c>
      <c r="N577" s="9">
        <f t="shared" si="527"/>
        <v>1.4451326206513046E-20</v>
      </c>
      <c r="O577">
        <f t="shared" si="528"/>
        <v>1.4451326206513046E-20</v>
      </c>
      <c r="Q577">
        <f t="shared" si="482"/>
        <v>45.608035706647854</v>
      </c>
      <c r="R577">
        <f t="shared" si="483"/>
        <v>0</v>
      </c>
      <c r="S577">
        <f t="shared" si="505"/>
        <v>-45.68350076353051</v>
      </c>
      <c r="T577" s="9" t="e">
        <f t="shared" si="484"/>
        <v>#N/A</v>
      </c>
      <c r="U577">
        <f t="shared" si="506"/>
        <v>-1.0000000000000001E+300</v>
      </c>
      <c r="V577">
        <f t="shared" si="507"/>
        <v>0</v>
      </c>
      <c r="W577">
        <f t="shared" si="508"/>
        <v>0</v>
      </c>
      <c r="X577">
        <f t="shared" si="485"/>
        <v>1.4451326206513047</v>
      </c>
      <c r="Y577">
        <f t="shared" si="486"/>
        <v>7.8539816339744828</v>
      </c>
      <c r="Z577">
        <f t="shared" si="487"/>
        <v>-1.4451326206513047</v>
      </c>
      <c r="AA577">
        <f t="shared" si="509"/>
        <v>-0.18256270573907499</v>
      </c>
      <c r="AB577">
        <f t="shared" si="488"/>
        <v>7.6714189282354077</v>
      </c>
      <c r="AC577">
        <f t="shared" si="510"/>
        <v>-8.3381608939051138E-2</v>
      </c>
      <c r="AD577">
        <f t="shared" si="489"/>
        <v>7.9165520563941501E-3</v>
      </c>
      <c r="AE577" s="9">
        <f t="shared" si="511"/>
        <v>7.5959538713527506</v>
      </c>
      <c r="AF577">
        <f t="shared" si="512"/>
        <v>0</v>
      </c>
      <c r="AH577">
        <f t="shared" si="490"/>
        <v>7.8539816339744828</v>
      </c>
      <c r="AI577">
        <f t="shared" si="491"/>
        <v>-0.1825627057390749</v>
      </c>
      <c r="AJ577">
        <f t="shared" si="492"/>
        <v>-8.3381608939049556E-2</v>
      </c>
      <c r="AK577">
        <f t="shared" si="493"/>
        <v>7.9165520563941501E-3</v>
      </c>
      <c r="AL577" s="9">
        <f t="shared" si="513"/>
        <v>7.5959538713527524</v>
      </c>
      <c r="AM577" t="e">
        <f t="shared" si="494"/>
        <v>#N/A</v>
      </c>
      <c r="AN577" t="e">
        <f t="shared" si="514"/>
        <v>#N/A</v>
      </c>
      <c r="AO577">
        <f t="shared" si="495"/>
        <v>0</v>
      </c>
      <c r="AP577">
        <f t="shared" si="496"/>
        <v>0</v>
      </c>
      <c r="AQ577">
        <f t="shared" si="497"/>
        <v>1.5820678100908481E-15</v>
      </c>
      <c r="AR577">
        <f t="shared" si="515"/>
        <v>0</v>
      </c>
      <c r="AS577">
        <f t="shared" si="498"/>
        <v>0</v>
      </c>
      <c r="AT577">
        <f t="shared" si="516"/>
        <v>0</v>
      </c>
      <c r="AU577">
        <f t="shared" si="517"/>
        <v>0</v>
      </c>
      <c r="AV577">
        <f t="shared" si="499"/>
        <v>1.4451326206513046E-20</v>
      </c>
      <c r="AW577" t="b">
        <f t="shared" si="518"/>
        <v>1</v>
      </c>
      <c r="AX577">
        <f t="shared" si="500"/>
        <v>7.8539816339744828</v>
      </c>
      <c r="AY577">
        <f t="shared" si="501"/>
        <v>-0.1825627057390751</v>
      </c>
      <c r="AZ577">
        <f t="shared" si="502"/>
        <v>-8.3381608939051138E-2</v>
      </c>
      <c r="BA577">
        <f t="shared" si="503"/>
        <v>7.9165520563941501E-3</v>
      </c>
      <c r="BB577">
        <f t="shared" si="504"/>
        <v>-1.2337005501361696E-20</v>
      </c>
      <c r="BD577" s="15">
        <f t="shared" si="519"/>
        <v>7.5959538713527506</v>
      </c>
      <c r="BE577" s="10">
        <f t="shared" si="520"/>
        <v>0</v>
      </c>
      <c r="BF577">
        <f t="shared" si="521"/>
        <v>0</v>
      </c>
      <c r="BG577">
        <f t="shared" si="522"/>
        <v>0</v>
      </c>
      <c r="BH577">
        <f t="shared" si="523"/>
        <v>0</v>
      </c>
      <c r="BI577">
        <f t="shared" si="524"/>
        <v>0</v>
      </c>
    </row>
    <row r="578" spans="1:61" x14ac:dyDescent="0.3">
      <c r="A578">
        <f t="shared" si="529"/>
        <v>0.54100000000000004</v>
      </c>
      <c r="B578">
        <f t="shared" si="472"/>
        <v>1.6996016255920783</v>
      </c>
      <c r="C578">
        <f t="shared" si="473"/>
        <v>1.4419910279977148</v>
      </c>
      <c r="D578">
        <f t="shared" si="474"/>
        <v>1.4419910279977148</v>
      </c>
      <c r="E578">
        <f t="shared" si="479"/>
        <v>0.99171606011056279</v>
      </c>
      <c r="F578">
        <f t="shared" si="480"/>
        <v>0.99171606011056279</v>
      </c>
      <c r="G578">
        <f t="shared" si="475"/>
        <v>1.6996016255920783</v>
      </c>
      <c r="H578">
        <f t="shared" si="476"/>
        <v>0.99171606011056279</v>
      </c>
      <c r="I578">
        <f t="shared" si="477"/>
        <v>0.99171606011056279</v>
      </c>
      <c r="J578">
        <f t="shared" si="525"/>
        <v>6.4193754439814865E+19</v>
      </c>
      <c r="K578">
        <f t="shared" si="526"/>
        <v>6.4193754439814865E+19</v>
      </c>
      <c r="L578">
        <f t="shared" si="481"/>
        <v>1</v>
      </c>
      <c r="M578">
        <f t="shared" si="478"/>
        <v>1.4419910279977147E-20</v>
      </c>
      <c r="N578" s="9">
        <f t="shared" si="527"/>
        <v>1.4419910279977147E-20</v>
      </c>
      <c r="O578">
        <f t="shared" si="528"/>
        <v>1.4419910279977147E-20</v>
      </c>
      <c r="Q578">
        <f t="shared" si="482"/>
        <v>45.608437596987528</v>
      </c>
      <c r="R578">
        <f t="shared" si="483"/>
        <v>0</v>
      </c>
      <c r="S578">
        <f t="shared" si="505"/>
        <v>-45.685677042953103</v>
      </c>
      <c r="T578" s="9" t="e">
        <f t="shared" si="484"/>
        <v>#N/A</v>
      </c>
      <c r="U578">
        <f t="shared" si="506"/>
        <v>-1.0000000000000001E+300</v>
      </c>
      <c r="V578">
        <f t="shared" si="507"/>
        <v>0</v>
      </c>
      <c r="W578">
        <f t="shared" si="508"/>
        <v>0</v>
      </c>
      <c r="X578">
        <f t="shared" si="485"/>
        <v>1.4419910279977148</v>
      </c>
      <c r="Y578">
        <f t="shared" si="486"/>
        <v>7.8539816339744828</v>
      </c>
      <c r="Z578">
        <f t="shared" si="487"/>
        <v>-1.4419910279977148</v>
      </c>
      <c r="AA578">
        <f t="shared" si="509"/>
        <v>-0.18677011833367493</v>
      </c>
      <c r="AB578">
        <f t="shared" si="488"/>
        <v>7.6672115156408083</v>
      </c>
      <c r="AC578">
        <f t="shared" si="510"/>
        <v>-8.5557888361646794E-2</v>
      </c>
      <c r="AD578">
        <f t="shared" si="489"/>
        <v>8.3184423960662619E-3</v>
      </c>
      <c r="AE578" s="9">
        <f t="shared" si="511"/>
        <v>7.5899720696752278</v>
      </c>
      <c r="AF578">
        <f t="shared" si="512"/>
        <v>0</v>
      </c>
      <c r="AH578">
        <f t="shared" si="490"/>
        <v>7.8539816339744828</v>
      </c>
      <c r="AI578">
        <f t="shared" si="491"/>
        <v>-0.18677011833367482</v>
      </c>
      <c r="AJ578">
        <f t="shared" si="492"/>
        <v>-8.5557888361641687E-2</v>
      </c>
      <c r="AK578">
        <f t="shared" si="493"/>
        <v>8.3184423960662619E-3</v>
      </c>
      <c r="AL578" s="9">
        <f t="shared" si="513"/>
        <v>7.5899720696752331</v>
      </c>
      <c r="AM578" t="e">
        <f t="shared" si="494"/>
        <v>#N/A</v>
      </c>
      <c r="AN578" t="e">
        <f t="shared" si="514"/>
        <v>#N/A</v>
      </c>
      <c r="AO578">
        <f t="shared" si="495"/>
        <v>0</v>
      </c>
      <c r="AP578">
        <f t="shared" si="496"/>
        <v>0</v>
      </c>
      <c r="AQ578">
        <f t="shared" si="497"/>
        <v>5.1070259132757201E-15</v>
      </c>
      <c r="AR578">
        <f t="shared" si="515"/>
        <v>0</v>
      </c>
      <c r="AS578">
        <f t="shared" si="498"/>
        <v>0</v>
      </c>
      <c r="AT578">
        <f t="shared" si="516"/>
        <v>0</v>
      </c>
      <c r="AU578">
        <f t="shared" si="517"/>
        <v>0</v>
      </c>
      <c r="AV578">
        <f t="shared" si="499"/>
        <v>1.4419910279977147E-20</v>
      </c>
      <c r="AW578" t="b">
        <f t="shared" si="518"/>
        <v>1</v>
      </c>
      <c r="AX578">
        <f t="shared" si="500"/>
        <v>7.8539816339744828</v>
      </c>
      <c r="AY578">
        <f t="shared" si="501"/>
        <v>-0.18677011833367502</v>
      </c>
      <c r="AZ578">
        <f t="shared" si="502"/>
        <v>-8.5557888361646794E-2</v>
      </c>
      <c r="BA578">
        <f t="shared" si="503"/>
        <v>8.3184423960662619E-3</v>
      </c>
      <c r="BB578">
        <f t="shared" si="504"/>
        <v>-1.2337005501361696E-20</v>
      </c>
      <c r="BD578" s="15">
        <f t="shared" si="519"/>
        <v>7.5899720696752269</v>
      </c>
      <c r="BE578" s="10">
        <f t="shared" si="520"/>
        <v>0</v>
      </c>
      <c r="BF578">
        <f t="shared" si="521"/>
        <v>0</v>
      </c>
      <c r="BG578">
        <f t="shared" si="522"/>
        <v>0</v>
      </c>
      <c r="BH578">
        <f t="shared" si="523"/>
        <v>0</v>
      </c>
      <c r="BI578">
        <f t="shared" si="524"/>
        <v>0</v>
      </c>
    </row>
    <row r="579" spans="1:61" x14ac:dyDescent="0.3">
      <c r="A579">
        <f t="shared" si="529"/>
        <v>0.54200000000000004</v>
      </c>
      <c r="B579">
        <f t="shared" si="472"/>
        <v>1.7027432182456679</v>
      </c>
      <c r="C579">
        <f t="shared" si="473"/>
        <v>1.4388494353441252</v>
      </c>
      <c r="D579">
        <f t="shared" si="474"/>
        <v>1.4388494353441252</v>
      </c>
      <c r="E579">
        <f t="shared" si="479"/>
        <v>0.99130763106950659</v>
      </c>
      <c r="F579">
        <f t="shared" si="480"/>
        <v>0.99130763106950659</v>
      </c>
      <c r="G579">
        <f t="shared" si="475"/>
        <v>1.7027432182456679</v>
      </c>
      <c r="H579">
        <f t="shared" si="476"/>
        <v>0.99130763106950659</v>
      </c>
      <c r="I579">
        <f t="shared" si="477"/>
        <v>0.99130763106950659</v>
      </c>
      <c r="J579">
        <f t="shared" si="525"/>
        <v>6.422020293344682E+19</v>
      </c>
      <c r="K579">
        <f t="shared" si="526"/>
        <v>6.422020293344682E+19</v>
      </c>
      <c r="L579">
        <f t="shared" si="481"/>
        <v>1</v>
      </c>
      <c r="M579">
        <f t="shared" si="478"/>
        <v>1.4388494353441253E-20</v>
      </c>
      <c r="N579" s="9">
        <f t="shared" si="527"/>
        <v>1.4388494353441253E-20</v>
      </c>
      <c r="O579">
        <f t="shared" si="528"/>
        <v>1.4388494353441253E-20</v>
      </c>
      <c r="Q579">
        <f t="shared" si="482"/>
        <v>45.608849522521901</v>
      </c>
      <c r="R579">
        <f t="shared" si="483"/>
        <v>0</v>
      </c>
      <c r="S579">
        <f t="shared" si="505"/>
        <v>-45.687858068899466</v>
      </c>
      <c r="T579" s="9" t="e">
        <f t="shared" si="484"/>
        <v>#N/A</v>
      </c>
      <c r="U579">
        <f t="shared" si="506"/>
        <v>-1.0000000000000001E+300</v>
      </c>
      <c r="V579">
        <f t="shared" si="507"/>
        <v>0</v>
      </c>
      <c r="W579">
        <f t="shared" si="508"/>
        <v>0</v>
      </c>
      <c r="X579">
        <f t="shared" si="485"/>
        <v>1.4388494353441252</v>
      </c>
      <c r="Y579">
        <f t="shared" si="486"/>
        <v>7.8539816339744828</v>
      </c>
      <c r="Z579">
        <f t="shared" si="487"/>
        <v>-1.4388494353441252</v>
      </c>
      <c r="AA579">
        <f t="shared" si="509"/>
        <v>-0.19096120907200942</v>
      </c>
      <c r="AB579">
        <f t="shared" si="488"/>
        <v>7.6630204249024736</v>
      </c>
      <c r="AC579">
        <f t="shared" si="510"/>
        <v>-8.7738914308006746E-2</v>
      </c>
      <c r="AD579">
        <f t="shared" si="489"/>
        <v>8.7303679304389023E-3</v>
      </c>
      <c r="AE579" s="9">
        <f t="shared" si="511"/>
        <v>7.5840118785249055</v>
      </c>
      <c r="AF579">
        <f t="shared" si="512"/>
        <v>0</v>
      </c>
      <c r="AH579">
        <f t="shared" si="490"/>
        <v>7.8539816339744828</v>
      </c>
      <c r="AI579">
        <f t="shared" si="491"/>
        <v>-0.19096120907200936</v>
      </c>
      <c r="AJ579">
        <f t="shared" si="492"/>
        <v>-8.7738914308005178E-2</v>
      </c>
      <c r="AK579">
        <f t="shared" si="493"/>
        <v>8.7303679304389023E-3</v>
      </c>
      <c r="AL579" s="9">
        <f t="shared" si="513"/>
        <v>7.5840118785249073</v>
      </c>
      <c r="AM579" t="e">
        <f t="shared" si="494"/>
        <v>#N/A</v>
      </c>
      <c r="AN579" t="e">
        <f t="shared" si="514"/>
        <v>#N/A</v>
      </c>
      <c r="AO579">
        <f t="shared" si="495"/>
        <v>0</v>
      </c>
      <c r="AP579">
        <f t="shared" si="496"/>
        <v>0</v>
      </c>
      <c r="AQ579">
        <f t="shared" si="497"/>
        <v>1.5681900222830336E-15</v>
      </c>
      <c r="AR579">
        <f t="shared" si="515"/>
        <v>0</v>
      </c>
      <c r="AS579">
        <f t="shared" si="498"/>
        <v>0</v>
      </c>
      <c r="AT579">
        <f t="shared" si="516"/>
        <v>0</v>
      </c>
      <c r="AU579">
        <f t="shared" si="517"/>
        <v>0</v>
      </c>
      <c r="AV579">
        <f t="shared" si="499"/>
        <v>1.438849435344125E-20</v>
      </c>
      <c r="AW579" t="b">
        <f t="shared" si="518"/>
        <v>1</v>
      </c>
      <c r="AX579">
        <f t="shared" si="500"/>
        <v>7.8539816339744828</v>
      </c>
      <c r="AY579">
        <f t="shared" si="501"/>
        <v>-0.19096120907200947</v>
      </c>
      <c r="AZ579">
        <f t="shared" si="502"/>
        <v>-8.7738914308006871E-2</v>
      </c>
      <c r="BA579">
        <f t="shared" si="503"/>
        <v>8.7303679304389023E-3</v>
      </c>
      <c r="BB579">
        <f t="shared" si="504"/>
        <v>-1.2337005501361696E-20</v>
      </c>
      <c r="BD579" s="15">
        <f t="shared" si="519"/>
        <v>7.5840118785249055</v>
      </c>
      <c r="BE579" s="10">
        <f t="shared" si="520"/>
        <v>0</v>
      </c>
      <c r="BF579">
        <f t="shared" si="521"/>
        <v>0</v>
      </c>
      <c r="BG579">
        <f t="shared" si="522"/>
        <v>0</v>
      </c>
      <c r="BH579">
        <f t="shared" si="523"/>
        <v>0</v>
      </c>
      <c r="BI579">
        <f t="shared" si="524"/>
        <v>-1.2490009027033011E-16</v>
      </c>
    </row>
    <row r="580" spans="1:61" x14ac:dyDescent="0.3">
      <c r="A580">
        <f t="shared" si="529"/>
        <v>0.54300000000000004</v>
      </c>
      <c r="B580">
        <f t="shared" si="472"/>
        <v>1.7058848108992577</v>
      </c>
      <c r="C580">
        <f t="shared" si="473"/>
        <v>1.4357078426905354</v>
      </c>
      <c r="D580">
        <f t="shared" si="474"/>
        <v>1.4357078426905354</v>
      </c>
      <c r="E580">
        <f t="shared" si="479"/>
        <v>0.99088941822233867</v>
      </c>
      <c r="F580">
        <f t="shared" si="480"/>
        <v>0.99088941822233867</v>
      </c>
      <c r="G580">
        <f t="shared" si="475"/>
        <v>1.7058848108992577</v>
      </c>
      <c r="H580">
        <f t="shared" si="476"/>
        <v>0.99088941822233867</v>
      </c>
      <c r="I580">
        <f t="shared" si="477"/>
        <v>0.99088941822233867</v>
      </c>
      <c r="J580">
        <f t="shared" si="525"/>
        <v>6.4247307586519695E+19</v>
      </c>
      <c r="K580">
        <f t="shared" si="526"/>
        <v>6.4247307586519695E+19</v>
      </c>
      <c r="L580" t="e">
        <f t="shared" si="481"/>
        <v>#NUM!</v>
      </c>
      <c r="M580">
        <f t="shared" si="478"/>
        <v>1.4357078426905354E-20</v>
      </c>
      <c r="N580" s="9" t="e">
        <f t="shared" si="527"/>
        <v>#NUM!</v>
      </c>
      <c r="O580" t="e">
        <f t="shared" si="528"/>
        <v>#NUM!</v>
      </c>
      <c r="Q580">
        <f t="shared" si="482"/>
        <v>45.609271491521923</v>
      </c>
      <c r="R580">
        <f t="shared" si="483"/>
        <v>-710542.73576010019</v>
      </c>
      <c r="S580">
        <f t="shared" si="505"/>
        <v>-45.690043862119445</v>
      </c>
      <c r="T580" s="9" t="e">
        <f t="shared" si="484"/>
        <v>#N/A</v>
      </c>
      <c r="U580">
        <f t="shared" si="506"/>
        <v>-1.0000000000000001E+300</v>
      </c>
      <c r="V580">
        <f t="shared" si="507"/>
        <v>0</v>
      </c>
      <c r="W580">
        <f t="shared" si="508"/>
        <v>0</v>
      </c>
      <c r="X580">
        <f t="shared" si="485"/>
        <v>1.4357078426905354</v>
      </c>
      <c r="Y580">
        <f t="shared" si="486"/>
        <v>7.8539816339744828</v>
      </c>
      <c r="Z580">
        <f t="shared" si="487"/>
        <v>-1.4357078426905354</v>
      </c>
      <c r="AA580">
        <f t="shared" si="509"/>
        <v>-0.19513604868819914</v>
      </c>
      <c r="AB580">
        <f t="shared" si="488"/>
        <v>7.6588455852862838</v>
      </c>
      <c r="AC580">
        <f t="shared" si="510"/>
        <v>-8.9924707527987133E-2</v>
      </c>
      <c r="AD580">
        <f t="shared" si="489"/>
        <v>9.1523369304662566E-3</v>
      </c>
      <c r="AE580" s="9">
        <f t="shared" si="511"/>
        <v>7.5780732146887626</v>
      </c>
      <c r="AF580">
        <f t="shared" si="512"/>
        <v>0</v>
      </c>
      <c r="AH580">
        <f t="shared" si="490"/>
        <v>7.8539816339744828</v>
      </c>
      <c r="AI580">
        <f t="shared" si="491"/>
        <v>-0.19513604868819903</v>
      </c>
      <c r="AJ580">
        <f t="shared" si="492"/>
        <v>-8.9924707527984538E-2</v>
      </c>
      <c r="AK580">
        <f t="shared" si="493"/>
        <v>9.1523369304662566E-3</v>
      </c>
      <c r="AL580" s="9">
        <f t="shared" si="513"/>
        <v>7.5780732146887653</v>
      </c>
      <c r="AM580" t="e">
        <f t="shared" si="494"/>
        <v>#N/A</v>
      </c>
      <c r="AN580" t="e">
        <f t="shared" si="514"/>
        <v>#N/A</v>
      </c>
      <c r="AO580">
        <f t="shared" si="495"/>
        <v>0</v>
      </c>
      <c r="AP580">
        <f t="shared" si="496"/>
        <v>0</v>
      </c>
      <c r="AQ580">
        <f t="shared" si="497"/>
        <v>2.5951463200613034E-15</v>
      </c>
      <c r="AR580">
        <f t="shared" si="515"/>
        <v>0</v>
      </c>
      <c r="AS580">
        <f t="shared" si="498"/>
        <v>0</v>
      </c>
      <c r="AT580">
        <f t="shared" si="516"/>
        <v>0</v>
      </c>
      <c r="AU580">
        <f t="shared" si="517"/>
        <v>0</v>
      </c>
      <c r="AV580">
        <f t="shared" si="499"/>
        <v>1.4357078426905354E-20</v>
      </c>
      <c r="AW580" t="b">
        <f t="shared" si="518"/>
        <v>1</v>
      </c>
      <c r="AX580">
        <f t="shared" si="500"/>
        <v>7.8539816339744828</v>
      </c>
      <c r="AY580">
        <f t="shared" si="501"/>
        <v>-0.1951360486881992</v>
      </c>
      <c r="AZ580">
        <f t="shared" si="502"/>
        <v>-8.9924707527987008E-2</v>
      </c>
      <c r="BA580">
        <f t="shared" si="503"/>
        <v>9.1523369304662566E-3</v>
      </c>
      <c r="BB580">
        <f t="shared" si="504"/>
        <v>-1.2337005501361696E-20</v>
      </c>
      <c r="BD580" s="15">
        <f t="shared" si="519"/>
        <v>7.5780732146887626</v>
      </c>
      <c r="BE580" s="10">
        <f t="shared" si="520"/>
        <v>0</v>
      </c>
      <c r="BF580">
        <f t="shared" si="521"/>
        <v>0</v>
      </c>
      <c r="BG580">
        <f t="shared" si="522"/>
        <v>0</v>
      </c>
      <c r="BH580">
        <f t="shared" si="523"/>
        <v>0</v>
      </c>
      <c r="BI580">
        <f t="shared" si="524"/>
        <v>1.2490009027033011E-16</v>
      </c>
    </row>
    <row r="581" spans="1:61" x14ac:dyDescent="0.3">
      <c r="A581">
        <f t="shared" si="529"/>
        <v>0.54400000000000004</v>
      </c>
      <c r="B581">
        <f t="shared" si="472"/>
        <v>1.7090264035528475</v>
      </c>
      <c r="C581">
        <f t="shared" si="473"/>
        <v>1.4325662500369456</v>
      </c>
      <c r="D581">
        <f t="shared" si="474"/>
        <v>1.4325662500369456</v>
      </c>
      <c r="E581">
        <f t="shared" si="479"/>
        <v>0.99046142569665119</v>
      </c>
      <c r="F581">
        <f t="shared" si="480"/>
        <v>0.99046142569665119</v>
      </c>
      <c r="G581">
        <f t="shared" si="475"/>
        <v>1.7090264035528475</v>
      </c>
      <c r="H581">
        <f t="shared" si="476"/>
        <v>0.99046142569665119</v>
      </c>
      <c r="I581">
        <f t="shared" si="477"/>
        <v>0.99046142569665119</v>
      </c>
      <c r="J581">
        <f t="shared" si="525"/>
        <v>6.4275069765569962E+19</v>
      </c>
      <c r="K581">
        <f t="shared" si="526"/>
        <v>6.4275069765569962E+19</v>
      </c>
      <c r="L581">
        <f t="shared" si="481"/>
        <v>1</v>
      </c>
      <c r="M581">
        <f t="shared" si="478"/>
        <v>1.4325662500369454E-20</v>
      </c>
      <c r="N581" s="9">
        <f t="shared" si="527"/>
        <v>1.4325662500369454E-20</v>
      </c>
      <c r="O581">
        <f t="shared" si="528"/>
        <v>1.4325662500369454E-20</v>
      </c>
      <c r="Q581">
        <f t="shared" si="482"/>
        <v>45.609703512467291</v>
      </c>
      <c r="R581">
        <f t="shared" si="483"/>
        <v>0</v>
      </c>
      <c r="S581">
        <f t="shared" si="505"/>
        <v>-45.692234443499267</v>
      </c>
      <c r="T581" s="9" t="e">
        <f t="shared" si="484"/>
        <v>#N/A</v>
      </c>
      <c r="U581">
        <f t="shared" si="506"/>
        <v>-1.0000000000000001E+300</v>
      </c>
      <c r="V581">
        <f t="shared" si="507"/>
        <v>0</v>
      </c>
      <c r="W581">
        <f t="shared" si="508"/>
        <v>0</v>
      </c>
      <c r="X581">
        <f t="shared" si="485"/>
        <v>1.4325662500369456</v>
      </c>
      <c r="Y581">
        <f t="shared" si="486"/>
        <v>7.8539816339744828</v>
      </c>
      <c r="Z581">
        <f t="shared" si="487"/>
        <v>-1.4325662500369456</v>
      </c>
      <c r="AA581">
        <f t="shared" si="509"/>
        <v>-0.1992947073923185</v>
      </c>
      <c r="AB581">
        <f t="shared" si="488"/>
        <v>7.6546869265821647</v>
      </c>
      <c r="AC581">
        <f t="shared" si="510"/>
        <v>-9.2115288907805751E-2</v>
      </c>
      <c r="AD581">
        <f t="shared" si="489"/>
        <v>9.5843578758307083E-3</v>
      </c>
      <c r="AE581" s="9">
        <f t="shared" si="511"/>
        <v>7.5721559955501894</v>
      </c>
      <c r="AF581">
        <f t="shared" si="512"/>
        <v>0</v>
      </c>
      <c r="AH581">
        <f t="shared" si="490"/>
        <v>7.8539816339744828</v>
      </c>
      <c r="AI581">
        <f t="shared" si="491"/>
        <v>-0.19929470739231836</v>
      </c>
      <c r="AJ581">
        <f t="shared" si="492"/>
        <v>-9.2115288907805848E-2</v>
      </c>
      <c r="AK581">
        <f t="shared" si="493"/>
        <v>9.5843578758307083E-3</v>
      </c>
      <c r="AL581" s="9">
        <f t="shared" si="513"/>
        <v>7.5721559955501894</v>
      </c>
      <c r="AM581" t="e">
        <f t="shared" si="494"/>
        <v>#N/A</v>
      </c>
      <c r="AN581" t="e">
        <f t="shared" si="514"/>
        <v>#N/A</v>
      </c>
      <c r="AO581">
        <f t="shared" si="495"/>
        <v>0</v>
      </c>
      <c r="AP581">
        <f t="shared" si="496"/>
        <v>0</v>
      </c>
      <c r="AQ581">
        <f t="shared" si="497"/>
        <v>0</v>
      </c>
      <c r="AR581">
        <f t="shared" si="515"/>
        <v>0</v>
      </c>
      <c r="AS581">
        <f t="shared" si="498"/>
        <v>0</v>
      </c>
      <c r="AT581">
        <f t="shared" si="516"/>
        <v>0</v>
      </c>
      <c r="AU581">
        <f t="shared" si="517"/>
        <v>0</v>
      </c>
      <c r="AV581">
        <f t="shared" si="499"/>
        <v>1.4325662500369454E-20</v>
      </c>
      <c r="AW581" t="b">
        <f t="shared" si="518"/>
        <v>1</v>
      </c>
      <c r="AX581">
        <f t="shared" si="500"/>
        <v>7.8539816339744828</v>
      </c>
      <c r="AY581">
        <f t="shared" si="501"/>
        <v>-0.19929470739231855</v>
      </c>
      <c r="AZ581">
        <f t="shared" si="502"/>
        <v>-9.2115288907805751E-2</v>
      </c>
      <c r="BA581">
        <f t="shared" si="503"/>
        <v>9.5843578758307083E-3</v>
      </c>
      <c r="BB581">
        <f t="shared" si="504"/>
        <v>-1.2337005501361696E-20</v>
      </c>
      <c r="BD581" s="15">
        <f t="shared" si="519"/>
        <v>7.5721559955501894</v>
      </c>
      <c r="BE581" s="10">
        <f t="shared" si="520"/>
        <v>0</v>
      </c>
      <c r="BF581">
        <f t="shared" si="521"/>
        <v>0</v>
      </c>
      <c r="BG581">
        <f t="shared" si="522"/>
        <v>0</v>
      </c>
      <c r="BH581">
        <f t="shared" si="523"/>
        <v>0</v>
      </c>
      <c r="BI581">
        <f t="shared" si="524"/>
        <v>0</v>
      </c>
    </row>
    <row r="582" spans="1:61" x14ac:dyDescent="0.3">
      <c r="A582">
        <f t="shared" si="529"/>
        <v>0.54500000000000004</v>
      </c>
      <c r="B582">
        <f t="shared" si="472"/>
        <v>1.7121679962064373</v>
      </c>
      <c r="C582">
        <f t="shared" si="473"/>
        <v>1.4294246573833558</v>
      </c>
      <c r="D582">
        <f t="shared" si="474"/>
        <v>1.4294246573833558</v>
      </c>
      <c r="E582">
        <f t="shared" si="479"/>
        <v>0.99002365771655754</v>
      </c>
      <c r="F582">
        <f t="shared" si="480"/>
        <v>0.99002365771655754</v>
      </c>
      <c r="G582">
        <f t="shared" si="475"/>
        <v>1.7121679962064373</v>
      </c>
      <c r="H582">
        <f t="shared" si="476"/>
        <v>0.99002365771655754</v>
      </c>
      <c r="I582">
        <f t="shared" si="477"/>
        <v>0.99002365771655754</v>
      </c>
      <c r="J582">
        <f t="shared" si="525"/>
        <v>6.4303490871714587E+19</v>
      </c>
      <c r="K582">
        <f t="shared" si="526"/>
        <v>6.4303490871714587E+19</v>
      </c>
      <c r="L582" t="e">
        <f t="shared" si="481"/>
        <v>#NUM!</v>
      </c>
      <c r="M582">
        <f t="shared" si="478"/>
        <v>1.4294246573833557E-20</v>
      </c>
      <c r="N582" s="9" t="e">
        <f t="shared" si="527"/>
        <v>#NUM!</v>
      </c>
      <c r="O582" t="e">
        <f t="shared" si="528"/>
        <v>#NUM!</v>
      </c>
      <c r="Q582">
        <f t="shared" si="482"/>
        <v>45.61014559404709</v>
      </c>
      <c r="R582">
        <f t="shared" si="483"/>
        <v>0</v>
      </c>
      <c r="S582">
        <f t="shared" si="505"/>
        <v>-45.694429834062703</v>
      </c>
      <c r="T582" s="9" t="e">
        <f t="shared" si="484"/>
        <v>#N/A</v>
      </c>
      <c r="U582">
        <f t="shared" si="506"/>
        <v>-1.0000000000000001E+300</v>
      </c>
      <c r="V582">
        <f t="shared" si="507"/>
        <v>0</v>
      </c>
      <c r="W582">
        <f t="shared" si="508"/>
        <v>0</v>
      </c>
      <c r="X582">
        <f t="shared" si="485"/>
        <v>1.4294246573833558</v>
      </c>
      <c r="Y582">
        <f t="shared" si="486"/>
        <v>7.8539816339744828</v>
      </c>
      <c r="Z582">
        <f t="shared" si="487"/>
        <v>-1.4294246573833558</v>
      </c>
      <c r="AA582">
        <f t="shared" si="509"/>
        <v>-0.20343725487510997</v>
      </c>
      <c r="AB582">
        <f t="shared" si="488"/>
        <v>7.6505443790993732</v>
      </c>
      <c r="AC582">
        <f t="shared" si="510"/>
        <v>-9.4310679471241415E-2</v>
      </c>
      <c r="AD582">
        <f t="shared" si="489"/>
        <v>1.002643945563118E-2</v>
      </c>
      <c r="AE582" s="9">
        <f t="shared" si="511"/>
        <v>7.5662601390837629</v>
      </c>
      <c r="AF582">
        <f t="shared" si="512"/>
        <v>0</v>
      </c>
      <c r="AH582">
        <f t="shared" si="490"/>
        <v>7.8539816339744828</v>
      </c>
      <c r="AI582">
        <f t="shared" si="491"/>
        <v>-0.20343725487510991</v>
      </c>
      <c r="AJ582">
        <f t="shared" si="492"/>
        <v>-9.4310679471242054E-2</v>
      </c>
      <c r="AK582">
        <f t="shared" si="493"/>
        <v>1.002643945563118E-2</v>
      </c>
      <c r="AL582" s="9">
        <f t="shared" si="513"/>
        <v>7.566260139083762</v>
      </c>
      <c r="AM582" t="e">
        <f t="shared" si="494"/>
        <v>#N/A</v>
      </c>
      <c r="AN582" t="e">
        <f t="shared" si="514"/>
        <v>#N/A</v>
      </c>
      <c r="AO582">
        <f t="shared" si="495"/>
        <v>0</v>
      </c>
      <c r="AP582">
        <f t="shared" si="496"/>
        <v>0</v>
      </c>
      <c r="AQ582">
        <f t="shared" si="497"/>
        <v>-6.3837823915946501E-16</v>
      </c>
      <c r="AR582">
        <f t="shared" si="515"/>
        <v>0</v>
      </c>
      <c r="AS582">
        <f t="shared" si="498"/>
        <v>0</v>
      </c>
      <c r="AT582">
        <f t="shared" si="516"/>
        <v>0</v>
      </c>
      <c r="AU582">
        <f t="shared" si="517"/>
        <v>0</v>
      </c>
      <c r="AV582">
        <f t="shared" si="499"/>
        <v>1.4294246573833557E-20</v>
      </c>
      <c r="AW582" t="b">
        <f t="shared" si="518"/>
        <v>1</v>
      </c>
      <c r="AX582">
        <f t="shared" si="500"/>
        <v>7.8539816339744828</v>
      </c>
      <c r="AY582">
        <f t="shared" si="501"/>
        <v>-0.20343725487511005</v>
      </c>
      <c r="AZ582">
        <f t="shared" si="502"/>
        <v>-9.431067947124129E-2</v>
      </c>
      <c r="BA582">
        <f t="shared" si="503"/>
        <v>1.002643945563118E-2</v>
      </c>
      <c r="BB582">
        <f t="shared" si="504"/>
        <v>-1.2337005501361696E-20</v>
      </c>
      <c r="BD582" s="15">
        <f t="shared" si="519"/>
        <v>7.566260139083762</v>
      </c>
      <c r="BE582" s="10">
        <f t="shared" si="520"/>
        <v>0</v>
      </c>
      <c r="BF582">
        <f t="shared" si="521"/>
        <v>0</v>
      </c>
      <c r="BG582">
        <f t="shared" si="522"/>
        <v>0</v>
      </c>
      <c r="BH582">
        <f t="shared" si="523"/>
        <v>0</v>
      </c>
      <c r="BI582">
        <f t="shared" si="524"/>
        <v>1.2490009027033011E-16</v>
      </c>
    </row>
    <row r="583" spans="1:61" x14ac:dyDescent="0.3">
      <c r="A583">
        <f t="shared" si="529"/>
        <v>0.54600000000000004</v>
      </c>
      <c r="B583">
        <f t="shared" si="472"/>
        <v>1.7153095888600272</v>
      </c>
      <c r="C583">
        <f t="shared" si="473"/>
        <v>1.426283064729766</v>
      </c>
      <c r="D583">
        <f t="shared" si="474"/>
        <v>1.426283064729766</v>
      </c>
      <c r="E583">
        <f t="shared" si="479"/>
        <v>0.98957611860265093</v>
      </c>
      <c r="F583">
        <f t="shared" si="480"/>
        <v>0.98957611860265093</v>
      </c>
      <c r="G583">
        <f t="shared" si="475"/>
        <v>1.7153095888600272</v>
      </c>
      <c r="H583">
        <f t="shared" si="476"/>
        <v>0.98957611860265093</v>
      </c>
      <c r="I583">
        <f t="shared" si="477"/>
        <v>0.98957611860265093</v>
      </c>
      <c r="J583">
        <f t="shared" si="525"/>
        <v>6.4332572340825285E+19</v>
      </c>
      <c r="K583">
        <f t="shared" si="526"/>
        <v>6.4332572340825285E+19</v>
      </c>
      <c r="L583">
        <f t="shared" si="481"/>
        <v>1</v>
      </c>
      <c r="M583">
        <f t="shared" si="478"/>
        <v>1.4262830647297658E-20</v>
      </c>
      <c r="N583" s="9">
        <f t="shared" si="527"/>
        <v>1.4262830647297658E-20</v>
      </c>
      <c r="O583">
        <f t="shared" si="528"/>
        <v>1.4262830647297658E-20</v>
      </c>
      <c r="Q583">
        <f t="shared" si="482"/>
        <v>45.610597745160547</v>
      </c>
      <c r="R583">
        <f t="shared" si="483"/>
        <v>0</v>
      </c>
      <c r="S583">
        <f t="shared" si="505"/>
        <v>-45.696630054972303</v>
      </c>
      <c r="T583" s="9" t="e">
        <f t="shared" si="484"/>
        <v>#N/A</v>
      </c>
      <c r="U583">
        <f t="shared" si="506"/>
        <v>-1.0000000000000001E+300</v>
      </c>
      <c r="V583">
        <f t="shared" si="507"/>
        <v>0</v>
      </c>
      <c r="W583">
        <f t="shared" si="508"/>
        <v>0</v>
      </c>
      <c r="X583">
        <f t="shared" si="485"/>
        <v>1.426283064729766</v>
      </c>
      <c r="Y583">
        <f t="shared" si="486"/>
        <v>7.8539816339744828</v>
      </c>
      <c r="Z583">
        <f t="shared" si="487"/>
        <v>-1.426283064729766</v>
      </c>
      <c r="AA583">
        <f t="shared" si="509"/>
        <v>-0.20756376031264509</v>
      </c>
      <c r="AB583">
        <f t="shared" si="488"/>
        <v>7.6464178736618376</v>
      </c>
      <c r="AC583">
        <f t="shared" si="510"/>
        <v>-9.6510900380843853E-2</v>
      </c>
      <c r="AD583">
        <f t="shared" si="489"/>
        <v>1.0478590569088404E-2</v>
      </c>
      <c r="AE583" s="9">
        <f t="shared" si="511"/>
        <v>7.5603855638500823</v>
      </c>
      <c r="AF583">
        <f t="shared" si="512"/>
        <v>0</v>
      </c>
      <c r="AH583">
        <f t="shared" si="490"/>
        <v>7.8539816339744828</v>
      </c>
      <c r="AI583">
        <f t="shared" si="491"/>
        <v>-0.20756376031264498</v>
      </c>
      <c r="AJ583">
        <f t="shared" si="492"/>
        <v>-9.6510900380842202E-2</v>
      </c>
      <c r="AK583">
        <f t="shared" si="493"/>
        <v>1.0478590569088404E-2</v>
      </c>
      <c r="AL583" s="9">
        <f t="shared" si="513"/>
        <v>7.5603855638500841</v>
      </c>
      <c r="AM583" t="e">
        <f t="shared" si="494"/>
        <v>#N/A</v>
      </c>
      <c r="AN583" t="e">
        <f t="shared" si="514"/>
        <v>#N/A</v>
      </c>
      <c r="AO583">
        <f t="shared" si="495"/>
        <v>0</v>
      </c>
      <c r="AP583">
        <f t="shared" si="496"/>
        <v>0</v>
      </c>
      <c r="AQ583">
        <f t="shared" si="497"/>
        <v>1.6514567491299204E-15</v>
      </c>
      <c r="AR583">
        <f t="shared" si="515"/>
        <v>0</v>
      </c>
      <c r="AS583">
        <f t="shared" si="498"/>
        <v>0</v>
      </c>
      <c r="AT583">
        <f t="shared" si="516"/>
        <v>0</v>
      </c>
      <c r="AU583">
        <f t="shared" si="517"/>
        <v>0</v>
      </c>
      <c r="AV583">
        <f t="shared" si="499"/>
        <v>1.4262830647297658E-20</v>
      </c>
      <c r="AW583" t="b">
        <f t="shared" si="518"/>
        <v>1</v>
      </c>
      <c r="AX583">
        <f t="shared" si="500"/>
        <v>7.8539816339744828</v>
      </c>
      <c r="AY583">
        <f t="shared" si="501"/>
        <v>-0.20756376031264512</v>
      </c>
      <c r="AZ583">
        <f t="shared" si="502"/>
        <v>-9.6510900380843853E-2</v>
      </c>
      <c r="BA583">
        <f t="shared" si="503"/>
        <v>1.0478590569088404E-2</v>
      </c>
      <c r="BB583">
        <f t="shared" si="504"/>
        <v>-1.2337005501361696E-20</v>
      </c>
      <c r="BD583" s="15">
        <f t="shared" si="519"/>
        <v>7.5603855638500823</v>
      </c>
      <c r="BE583" s="10">
        <f t="shared" si="520"/>
        <v>0</v>
      </c>
      <c r="BF583">
        <f t="shared" si="521"/>
        <v>0</v>
      </c>
      <c r="BG583">
        <f t="shared" si="522"/>
        <v>0</v>
      </c>
      <c r="BH583">
        <f t="shared" si="523"/>
        <v>0</v>
      </c>
      <c r="BI583">
        <f t="shared" si="524"/>
        <v>0</v>
      </c>
    </row>
    <row r="584" spans="1:61" x14ac:dyDescent="0.3">
      <c r="A584">
        <f t="shared" si="529"/>
        <v>0.54700000000000004</v>
      </c>
      <c r="B584">
        <f t="shared" si="472"/>
        <v>1.718451181513617</v>
      </c>
      <c r="C584">
        <f t="shared" si="473"/>
        <v>1.4231414720761761</v>
      </c>
      <c r="D584">
        <f t="shared" si="474"/>
        <v>1.4231414720761761</v>
      </c>
      <c r="E584">
        <f t="shared" si="479"/>
        <v>0.98911881277196179</v>
      </c>
      <c r="F584">
        <f t="shared" si="480"/>
        <v>0.98911881277196179</v>
      </c>
      <c r="G584">
        <f t="shared" si="475"/>
        <v>1.718451181513617</v>
      </c>
      <c r="H584">
        <f t="shared" si="476"/>
        <v>0.98911881277196179</v>
      </c>
      <c r="I584">
        <f t="shared" si="477"/>
        <v>0.98911881277196179</v>
      </c>
      <c r="J584">
        <f t="shared" si="525"/>
        <v>6.4362315643707417E+19</v>
      </c>
      <c r="K584">
        <f t="shared" si="526"/>
        <v>6.4362315643707417E+19</v>
      </c>
      <c r="L584" t="e">
        <f t="shared" si="481"/>
        <v>#NUM!</v>
      </c>
      <c r="M584">
        <f t="shared" si="478"/>
        <v>1.4231414720761761E-20</v>
      </c>
      <c r="N584" s="9" t="e">
        <f t="shared" si="527"/>
        <v>#NUM!</v>
      </c>
      <c r="O584" t="e">
        <f t="shared" si="528"/>
        <v>#NUM!</v>
      </c>
      <c r="Q584">
        <f t="shared" si="482"/>
        <v>45.61105997491773</v>
      </c>
      <c r="R584">
        <f t="shared" si="483"/>
        <v>0</v>
      </c>
      <c r="S584">
        <f t="shared" si="505"/>
        <v>-45.698835127530614</v>
      </c>
      <c r="T584" s="9" t="e">
        <f t="shared" si="484"/>
        <v>#N/A</v>
      </c>
      <c r="U584">
        <f t="shared" si="506"/>
        <v>-1.0000000000000001E+300</v>
      </c>
      <c r="V584">
        <f t="shared" si="507"/>
        <v>0</v>
      </c>
      <c r="W584">
        <f t="shared" si="508"/>
        <v>0</v>
      </c>
      <c r="X584">
        <f t="shared" si="485"/>
        <v>1.4231414720761761</v>
      </c>
      <c r="Y584">
        <f t="shared" si="486"/>
        <v>7.8539816339744828</v>
      </c>
      <c r="Z584">
        <f t="shared" si="487"/>
        <v>-1.4231414720761761</v>
      </c>
      <c r="AA584">
        <f t="shared" si="509"/>
        <v>-0.21167429237093441</v>
      </c>
      <c r="AB584">
        <f t="shared" si="488"/>
        <v>7.6423073416035487</v>
      </c>
      <c r="AC584">
        <f t="shared" si="510"/>
        <v>-9.871597293915782E-2</v>
      </c>
      <c r="AD584">
        <f t="shared" si="489"/>
        <v>1.0940820326268452E-2</v>
      </c>
      <c r="AE584" s="9">
        <f t="shared" si="511"/>
        <v>7.5545321889906596</v>
      </c>
      <c r="AF584">
        <f t="shared" si="512"/>
        <v>0</v>
      </c>
      <c r="AH584">
        <f t="shared" si="490"/>
        <v>7.8539816339744828</v>
      </c>
      <c r="AI584">
        <f t="shared" si="491"/>
        <v>-0.21167429237093432</v>
      </c>
      <c r="AJ584">
        <f t="shared" si="492"/>
        <v>-9.8715972939153573E-2</v>
      </c>
      <c r="AK584">
        <f t="shared" si="493"/>
        <v>1.0940820326268452E-2</v>
      </c>
      <c r="AL584" s="9">
        <f t="shared" si="513"/>
        <v>7.554532188990664</v>
      </c>
      <c r="AM584" t="e">
        <f t="shared" si="494"/>
        <v>#N/A</v>
      </c>
      <c r="AN584" t="e">
        <f t="shared" si="514"/>
        <v>#N/A</v>
      </c>
      <c r="AO584">
        <f t="shared" si="495"/>
        <v>0</v>
      </c>
      <c r="AP584">
        <f t="shared" si="496"/>
        <v>0</v>
      </c>
      <c r="AQ584">
        <f t="shared" si="497"/>
        <v>4.2466030691912238E-15</v>
      </c>
      <c r="AR584">
        <f t="shared" si="515"/>
        <v>0</v>
      </c>
      <c r="AS584">
        <f t="shared" si="498"/>
        <v>0</v>
      </c>
      <c r="AT584">
        <f t="shared" si="516"/>
        <v>0</v>
      </c>
      <c r="AU584">
        <f t="shared" si="517"/>
        <v>0</v>
      </c>
      <c r="AV584">
        <f t="shared" si="499"/>
        <v>1.4231414720761761E-20</v>
      </c>
      <c r="AW584" t="b">
        <f t="shared" si="518"/>
        <v>1</v>
      </c>
      <c r="AX584">
        <f t="shared" si="500"/>
        <v>7.8539816339744828</v>
      </c>
      <c r="AY584">
        <f t="shared" si="501"/>
        <v>-0.21167429237093452</v>
      </c>
      <c r="AZ584">
        <f t="shared" si="502"/>
        <v>-9.8715972939157695E-2</v>
      </c>
      <c r="BA584">
        <f t="shared" si="503"/>
        <v>1.0940820326268452E-2</v>
      </c>
      <c r="BB584">
        <f t="shared" si="504"/>
        <v>-1.2337005501361696E-20</v>
      </c>
      <c r="BD584" s="15">
        <f t="shared" si="519"/>
        <v>7.5545321889906587</v>
      </c>
      <c r="BE584" s="10">
        <f t="shared" si="520"/>
        <v>0</v>
      </c>
      <c r="BF584">
        <f t="shared" si="521"/>
        <v>0</v>
      </c>
      <c r="BG584">
        <f t="shared" si="522"/>
        <v>0</v>
      </c>
      <c r="BH584">
        <f t="shared" si="523"/>
        <v>0</v>
      </c>
      <c r="BI584">
        <f t="shared" si="524"/>
        <v>1.2490009027033011E-16</v>
      </c>
    </row>
    <row r="585" spans="1:61" x14ac:dyDescent="0.3">
      <c r="A585">
        <f t="shared" si="529"/>
        <v>0.54800000000000004</v>
      </c>
      <c r="B585">
        <f t="shared" si="472"/>
        <v>1.7215927741672068</v>
      </c>
      <c r="C585">
        <f t="shared" si="473"/>
        <v>1.4199998794225863</v>
      </c>
      <c r="D585">
        <f t="shared" si="474"/>
        <v>1.4199998794225863</v>
      </c>
      <c r="E585">
        <f t="shared" si="479"/>
        <v>0.98865174473791395</v>
      </c>
      <c r="F585">
        <f t="shared" si="480"/>
        <v>0.98865174473791395</v>
      </c>
      <c r="G585">
        <f t="shared" si="475"/>
        <v>1.7215927741672068</v>
      </c>
      <c r="H585">
        <f t="shared" si="476"/>
        <v>0.98865174473791395</v>
      </c>
      <c r="I585">
        <f t="shared" si="477"/>
        <v>0.98865174473791395</v>
      </c>
      <c r="J585">
        <f t="shared" si="525"/>
        <v>6.4392722286283506E+19</v>
      </c>
      <c r="K585">
        <f t="shared" si="526"/>
        <v>6.4392722286283506E+19</v>
      </c>
      <c r="L585">
        <f t="shared" si="481"/>
        <v>1</v>
      </c>
      <c r="M585">
        <f t="shared" si="478"/>
        <v>1.4199998794225862E-20</v>
      </c>
      <c r="N585" s="9">
        <f t="shared" si="527"/>
        <v>1.4199998794225862E-20</v>
      </c>
      <c r="O585">
        <f t="shared" si="528"/>
        <v>1.4199998794225862E-20</v>
      </c>
      <c r="Q585">
        <f t="shared" si="482"/>
        <v>45.611532292640284</v>
      </c>
      <c r="R585">
        <f t="shared" si="483"/>
        <v>0</v>
      </c>
      <c r="S585">
        <f t="shared" si="505"/>
        <v>-45.701045073181419</v>
      </c>
      <c r="T585" s="9" t="e">
        <f t="shared" si="484"/>
        <v>#N/A</v>
      </c>
      <c r="U585">
        <f t="shared" si="506"/>
        <v>-1.0000000000000001E+300</v>
      </c>
      <c r="V585">
        <f t="shared" si="507"/>
        <v>0</v>
      </c>
      <c r="W585">
        <f t="shared" si="508"/>
        <v>0</v>
      </c>
      <c r="X585">
        <f t="shared" si="485"/>
        <v>1.4199998794225863</v>
      </c>
      <c r="Y585">
        <f t="shared" si="486"/>
        <v>7.8539816339744828</v>
      </c>
      <c r="Z585">
        <f t="shared" si="487"/>
        <v>-1.4199998794225863</v>
      </c>
      <c r="AA585">
        <f t="shared" si="509"/>
        <v>-0.21576891921048727</v>
      </c>
      <c r="AB585">
        <f t="shared" si="488"/>
        <v>7.6382127147639958</v>
      </c>
      <c r="AC585">
        <f t="shared" si="510"/>
        <v>-0.10092591858996065</v>
      </c>
      <c r="AD585">
        <f t="shared" si="489"/>
        <v>1.1413138048824552E-2</v>
      </c>
      <c r="AE585" s="9">
        <f t="shared" si="511"/>
        <v>7.54869993422286</v>
      </c>
      <c r="AF585">
        <f t="shared" si="512"/>
        <v>0</v>
      </c>
      <c r="AH585">
        <f t="shared" si="490"/>
        <v>7.8539816339744828</v>
      </c>
      <c r="AI585">
        <f t="shared" si="491"/>
        <v>-0.2157689192104871</v>
      </c>
      <c r="AJ585">
        <f t="shared" si="492"/>
        <v>-0.10092591858995803</v>
      </c>
      <c r="AK585">
        <f t="shared" si="493"/>
        <v>1.1413138048824552E-2</v>
      </c>
      <c r="AL585" s="9">
        <f t="shared" si="513"/>
        <v>7.5486999342228627</v>
      </c>
      <c r="AM585" t="e">
        <f t="shared" si="494"/>
        <v>#N/A</v>
      </c>
      <c r="AN585" t="e">
        <f t="shared" si="514"/>
        <v>#N/A</v>
      </c>
      <c r="AO585">
        <f t="shared" si="495"/>
        <v>0</v>
      </c>
      <c r="AP585">
        <f t="shared" si="496"/>
        <v>0</v>
      </c>
      <c r="AQ585">
        <f t="shared" si="497"/>
        <v>2.6229018956769323E-15</v>
      </c>
      <c r="AR585">
        <f t="shared" si="515"/>
        <v>0</v>
      </c>
      <c r="AS585">
        <f t="shared" si="498"/>
        <v>0</v>
      </c>
      <c r="AT585">
        <f t="shared" si="516"/>
        <v>0</v>
      </c>
      <c r="AU585">
        <f t="shared" si="517"/>
        <v>0</v>
      </c>
      <c r="AV585">
        <f t="shared" si="499"/>
        <v>1.4199998794225862E-20</v>
      </c>
      <c r="AW585" t="b">
        <f t="shared" si="518"/>
        <v>1</v>
      </c>
      <c r="AX585">
        <f t="shared" si="500"/>
        <v>7.8539816339744828</v>
      </c>
      <c r="AY585">
        <f t="shared" si="501"/>
        <v>-0.21576891921048735</v>
      </c>
      <c r="AZ585">
        <f t="shared" si="502"/>
        <v>-0.10092591858996065</v>
      </c>
      <c r="BA585">
        <f t="shared" si="503"/>
        <v>1.1413138048824552E-2</v>
      </c>
      <c r="BB585">
        <f t="shared" si="504"/>
        <v>-1.2337005501361696E-20</v>
      </c>
      <c r="BD585" s="15">
        <f t="shared" si="519"/>
        <v>7.54869993422286</v>
      </c>
      <c r="BE585" s="10">
        <f t="shared" si="520"/>
        <v>0</v>
      </c>
      <c r="BF585">
        <f t="shared" si="521"/>
        <v>0</v>
      </c>
      <c r="BG585">
        <f t="shared" si="522"/>
        <v>0</v>
      </c>
      <c r="BH585">
        <f t="shared" si="523"/>
        <v>0</v>
      </c>
      <c r="BI585">
        <f t="shared" si="524"/>
        <v>0</v>
      </c>
    </row>
    <row r="586" spans="1:61" x14ac:dyDescent="0.3">
      <c r="A586">
        <f t="shared" si="529"/>
        <v>0.54900000000000004</v>
      </c>
      <c r="B586">
        <f t="shared" si="472"/>
        <v>1.7247343668207966</v>
      </c>
      <c r="C586">
        <f t="shared" si="473"/>
        <v>1.4168582867689965</v>
      </c>
      <c r="D586">
        <f t="shared" si="474"/>
        <v>1.4168582867689965</v>
      </c>
      <c r="E586">
        <f t="shared" si="479"/>
        <v>0.98817491911028044</v>
      </c>
      <c r="F586">
        <f t="shared" si="480"/>
        <v>0.98817491911028044</v>
      </c>
      <c r="G586">
        <f t="shared" si="475"/>
        <v>1.7247343668207966</v>
      </c>
      <c r="H586">
        <f t="shared" si="476"/>
        <v>0.98817491911028044</v>
      </c>
      <c r="I586">
        <f t="shared" si="477"/>
        <v>0.98817491911028044</v>
      </c>
      <c r="J586">
        <f t="shared" si="525"/>
        <v>6.4423793809781424E+19</v>
      </c>
      <c r="K586">
        <f t="shared" si="526"/>
        <v>6.4423793809781424E+19</v>
      </c>
      <c r="L586">
        <f t="shared" si="481"/>
        <v>1</v>
      </c>
      <c r="M586">
        <f t="shared" si="478"/>
        <v>1.4168582867689965E-20</v>
      </c>
      <c r="N586" s="9">
        <f t="shared" si="527"/>
        <v>1.4168582867689965E-20</v>
      </c>
      <c r="O586">
        <f t="shared" si="528"/>
        <v>1.4168582867689965E-20</v>
      </c>
      <c r="Q586">
        <f t="shared" si="482"/>
        <v>45.612014707862215</v>
      </c>
      <c r="R586">
        <f t="shared" si="483"/>
        <v>0</v>
      </c>
      <c r="S586">
        <f t="shared" si="505"/>
        <v>-45.703259913510969</v>
      </c>
      <c r="T586" s="9" t="e">
        <f t="shared" si="484"/>
        <v>#N/A</v>
      </c>
      <c r="U586">
        <f t="shared" si="506"/>
        <v>-1.0000000000000001E+300</v>
      </c>
      <c r="V586">
        <f t="shared" si="507"/>
        <v>0</v>
      </c>
      <c r="W586">
        <f t="shared" si="508"/>
        <v>0</v>
      </c>
      <c r="X586">
        <f t="shared" si="485"/>
        <v>1.4168582867689965</v>
      </c>
      <c r="Y586">
        <f t="shared" si="486"/>
        <v>7.8539816339744828</v>
      </c>
      <c r="Z586">
        <f t="shared" si="487"/>
        <v>-1.4168582867689965</v>
      </c>
      <c r="AA586">
        <f t="shared" si="509"/>
        <v>-0.21984770849082125</v>
      </c>
      <c r="AB586">
        <f t="shared" si="488"/>
        <v>7.6341339254836615</v>
      </c>
      <c r="AC586">
        <f t="shared" si="510"/>
        <v>-0.10314075891951349</v>
      </c>
      <c r="AD586">
        <f t="shared" si="489"/>
        <v>1.1895553270756773E-2</v>
      </c>
      <c r="AE586" s="9">
        <f t="shared" si="511"/>
        <v>7.5428887198349051</v>
      </c>
      <c r="AF586">
        <f t="shared" si="512"/>
        <v>0</v>
      </c>
      <c r="AH586">
        <f t="shared" si="490"/>
        <v>7.8539816339744828</v>
      </c>
      <c r="AI586">
        <f t="shared" si="491"/>
        <v>-0.21984770849082116</v>
      </c>
      <c r="AJ586">
        <f t="shared" si="492"/>
        <v>-0.10314075891950836</v>
      </c>
      <c r="AK586">
        <f t="shared" si="493"/>
        <v>1.1895553270756773E-2</v>
      </c>
      <c r="AL586" s="9">
        <f t="shared" si="513"/>
        <v>7.5428887198349104</v>
      </c>
      <c r="AM586" t="e">
        <f t="shared" si="494"/>
        <v>#N/A</v>
      </c>
      <c r="AN586" t="e">
        <f t="shared" si="514"/>
        <v>#N/A</v>
      </c>
      <c r="AO586">
        <f t="shared" si="495"/>
        <v>0</v>
      </c>
      <c r="AP586">
        <f t="shared" si="496"/>
        <v>0</v>
      </c>
      <c r="AQ586">
        <f t="shared" si="497"/>
        <v>5.134781488891349E-15</v>
      </c>
      <c r="AR586">
        <f t="shared" si="515"/>
        <v>0</v>
      </c>
      <c r="AS586">
        <f t="shared" si="498"/>
        <v>0</v>
      </c>
      <c r="AT586">
        <f t="shared" si="516"/>
        <v>0</v>
      </c>
      <c r="AU586">
        <f t="shared" si="517"/>
        <v>0</v>
      </c>
      <c r="AV586">
        <f t="shared" si="499"/>
        <v>1.4168582867689965E-20</v>
      </c>
      <c r="AW586" t="b">
        <f t="shared" si="518"/>
        <v>1</v>
      </c>
      <c r="AX586">
        <f t="shared" si="500"/>
        <v>7.8539816339744828</v>
      </c>
      <c r="AY586">
        <f t="shared" si="501"/>
        <v>-0.21984770849082136</v>
      </c>
      <c r="AZ586">
        <f t="shared" si="502"/>
        <v>-0.10314075891951349</v>
      </c>
      <c r="BA586">
        <f t="shared" si="503"/>
        <v>1.1895553270756773E-2</v>
      </c>
      <c r="BB586">
        <f t="shared" si="504"/>
        <v>-1.2337005501361696E-20</v>
      </c>
      <c r="BD586" s="15">
        <f t="shared" si="519"/>
        <v>7.5428887198349051</v>
      </c>
      <c r="BE586" s="10">
        <f t="shared" si="520"/>
        <v>0</v>
      </c>
      <c r="BF586">
        <f t="shared" si="521"/>
        <v>0</v>
      </c>
      <c r="BG586">
        <f t="shared" si="522"/>
        <v>0</v>
      </c>
      <c r="BH586">
        <f t="shared" si="523"/>
        <v>0</v>
      </c>
      <c r="BI586">
        <f t="shared" si="524"/>
        <v>0</v>
      </c>
    </row>
    <row r="587" spans="1:61" x14ac:dyDescent="0.3">
      <c r="A587">
        <f t="shared" si="529"/>
        <v>0.55000000000000004</v>
      </c>
      <c r="B587">
        <f t="shared" si="472"/>
        <v>1.7278759594743864</v>
      </c>
      <c r="C587">
        <f t="shared" si="473"/>
        <v>1.4137166941154067</v>
      </c>
      <c r="D587">
        <f t="shared" si="474"/>
        <v>1.4137166941154067</v>
      </c>
      <c r="E587">
        <f t="shared" si="479"/>
        <v>0.98768834059513766</v>
      </c>
      <c r="F587">
        <f t="shared" si="480"/>
        <v>0.98768834059513766</v>
      </c>
      <c r="G587">
        <f t="shared" si="475"/>
        <v>1.7278759594743864</v>
      </c>
      <c r="H587">
        <f t="shared" si="476"/>
        <v>0.98768834059513766</v>
      </c>
      <c r="I587">
        <f t="shared" si="477"/>
        <v>0.98768834059513766</v>
      </c>
      <c r="J587">
        <f t="shared" si="525"/>
        <v>6.4455531790927315E+19</v>
      </c>
      <c r="K587">
        <f t="shared" si="526"/>
        <v>6.4455531790927315E+19</v>
      </c>
      <c r="L587">
        <f t="shared" si="481"/>
        <v>1</v>
      </c>
      <c r="M587">
        <f t="shared" si="478"/>
        <v>1.4137166941154065E-20</v>
      </c>
      <c r="N587" s="9">
        <f t="shared" si="527"/>
        <v>1.4137166941154065E-20</v>
      </c>
      <c r="O587">
        <f t="shared" si="528"/>
        <v>1.4137166941154065E-20</v>
      </c>
      <c r="Q587">
        <f t="shared" si="482"/>
        <v>45.61250723033065</v>
      </c>
      <c r="R587">
        <f t="shared" si="483"/>
        <v>0</v>
      </c>
      <c r="S587">
        <f t="shared" si="505"/>
        <v>-45.705479670249282</v>
      </c>
      <c r="T587" s="9" t="e">
        <f t="shared" si="484"/>
        <v>#N/A</v>
      </c>
      <c r="U587">
        <f t="shared" si="506"/>
        <v>-1.0000000000000001E+300</v>
      </c>
      <c r="V587">
        <f t="shared" si="507"/>
        <v>0</v>
      </c>
      <c r="W587">
        <f t="shared" si="508"/>
        <v>0</v>
      </c>
      <c r="X587">
        <f t="shared" si="485"/>
        <v>1.4137166941154067</v>
      </c>
      <c r="Y587">
        <f t="shared" si="486"/>
        <v>7.8539816339744828</v>
      </c>
      <c r="Z587">
        <f t="shared" si="487"/>
        <v>-1.4137166941154067</v>
      </c>
      <c r="AA587">
        <f t="shared" si="509"/>
        <v>-0.22391072737492268</v>
      </c>
      <c r="AB587">
        <f t="shared" si="488"/>
        <v>7.6300709065995598</v>
      </c>
      <c r="AC587">
        <f t="shared" si="510"/>
        <v>-0.10536051565782641</v>
      </c>
      <c r="AD587">
        <f t="shared" si="489"/>
        <v>1.2388075739190586E-2</v>
      </c>
      <c r="AE587" s="9">
        <f t="shared" si="511"/>
        <v>7.5370984666809235</v>
      </c>
      <c r="AF587">
        <f t="shared" si="512"/>
        <v>0</v>
      </c>
      <c r="AH587">
        <f t="shared" si="490"/>
        <v>7.8539816339744828</v>
      </c>
      <c r="AI587">
        <f t="shared" si="491"/>
        <v>-0.22391072737492251</v>
      </c>
      <c r="AJ587">
        <f t="shared" si="492"/>
        <v>-0.10536051565782145</v>
      </c>
      <c r="AK587">
        <f t="shared" si="493"/>
        <v>1.2388075739190586E-2</v>
      </c>
      <c r="AL587" s="9">
        <f t="shared" si="513"/>
        <v>7.5370984666809298</v>
      </c>
      <c r="AM587" t="e">
        <f t="shared" si="494"/>
        <v>#N/A</v>
      </c>
      <c r="AN587" t="e">
        <f t="shared" si="514"/>
        <v>#N/A</v>
      </c>
      <c r="AO587">
        <f t="shared" si="495"/>
        <v>0</v>
      </c>
      <c r="AP587">
        <f t="shared" si="496"/>
        <v>0</v>
      </c>
      <c r="AQ587">
        <f t="shared" si="497"/>
        <v>4.9543702473897611E-15</v>
      </c>
      <c r="AR587">
        <f t="shared" si="515"/>
        <v>0</v>
      </c>
      <c r="AS587">
        <f t="shared" si="498"/>
        <v>0</v>
      </c>
      <c r="AT587">
        <f t="shared" si="516"/>
        <v>0</v>
      </c>
      <c r="AU587">
        <f t="shared" si="517"/>
        <v>0</v>
      </c>
      <c r="AV587">
        <f t="shared" si="499"/>
        <v>1.4137166941154065E-20</v>
      </c>
      <c r="AW587" t="b">
        <f t="shared" si="518"/>
        <v>1</v>
      </c>
      <c r="AX587">
        <f t="shared" si="500"/>
        <v>7.8539816339744828</v>
      </c>
      <c r="AY587">
        <f t="shared" si="501"/>
        <v>-0.22391072737492274</v>
      </c>
      <c r="AZ587">
        <f t="shared" si="502"/>
        <v>-0.10536051565782652</v>
      </c>
      <c r="BA587">
        <f t="shared" si="503"/>
        <v>1.2388075739190586E-2</v>
      </c>
      <c r="BB587">
        <f t="shared" si="504"/>
        <v>-1.2337005501361696E-20</v>
      </c>
      <c r="BD587" s="15">
        <f t="shared" si="519"/>
        <v>7.5370984666809235</v>
      </c>
      <c r="BE587" s="10">
        <f t="shared" si="520"/>
        <v>0</v>
      </c>
      <c r="BF587">
        <f t="shared" si="521"/>
        <v>0</v>
      </c>
      <c r="BG587">
        <f t="shared" si="522"/>
        <v>0</v>
      </c>
      <c r="BH587">
        <f t="shared" si="523"/>
        <v>0</v>
      </c>
      <c r="BI587">
        <f t="shared" si="524"/>
        <v>-1.1102230246251565E-16</v>
      </c>
    </row>
    <row r="588" spans="1:61" x14ac:dyDescent="0.3">
      <c r="A588">
        <f t="shared" si="529"/>
        <v>0.55100000000000005</v>
      </c>
      <c r="B588">
        <f t="shared" si="472"/>
        <v>1.7310175521279763</v>
      </c>
      <c r="C588">
        <f t="shared" si="473"/>
        <v>1.4105751014618169</v>
      </c>
      <c r="D588">
        <f t="shared" si="474"/>
        <v>1.4105751014618169</v>
      </c>
      <c r="E588">
        <f t="shared" si="479"/>
        <v>0.98719201399481915</v>
      </c>
      <c r="F588">
        <f t="shared" si="480"/>
        <v>0.98719201399481915</v>
      </c>
      <c r="G588">
        <f t="shared" si="475"/>
        <v>1.7310175521279763</v>
      </c>
      <c r="H588">
        <f t="shared" si="476"/>
        <v>0.98719201399481915</v>
      </c>
      <c r="I588">
        <f t="shared" si="477"/>
        <v>0.98719201399481915</v>
      </c>
      <c r="J588">
        <f t="shared" si="525"/>
        <v>6.4487937842143289E+19</v>
      </c>
      <c r="K588">
        <f t="shared" si="526"/>
        <v>6.4487937842143289E+19</v>
      </c>
      <c r="L588">
        <f t="shared" si="481"/>
        <v>1</v>
      </c>
      <c r="M588">
        <f t="shared" si="478"/>
        <v>1.4105751014618169E-20</v>
      </c>
      <c r="N588" s="9">
        <f t="shared" si="527"/>
        <v>1.4105751014618169E-20</v>
      </c>
      <c r="O588">
        <f t="shared" si="528"/>
        <v>1.4105751014618169E-20</v>
      </c>
      <c r="Q588">
        <f t="shared" si="482"/>
        <v>45.613009870006636</v>
      </c>
      <c r="R588">
        <f t="shared" si="483"/>
        <v>0</v>
      </c>
      <c r="S588">
        <f t="shared" si="505"/>
        <v>-45.707704365271397</v>
      </c>
      <c r="T588" s="9" t="e">
        <f t="shared" si="484"/>
        <v>#N/A</v>
      </c>
      <c r="U588">
        <f t="shared" si="506"/>
        <v>-1.0000000000000001E+300</v>
      </c>
      <c r="V588">
        <f t="shared" si="507"/>
        <v>0</v>
      </c>
      <c r="W588">
        <f t="shared" si="508"/>
        <v>0</v>
      </c>
      <c r="X588">
        <f t="shared" si="485"/>
        <v>1.4105751014618169</v>
      </c>
      <c r="Y588">
        <f t="shared" si="486"/>
        <v>7.8539816339744828</v>
      </c>
      <c r="Z588">
        <f t="shared" si="487"/>
        <v>-1.4105751014618169</v>
      </c>
      <c r="AA588">
        <f t="shared" si="509"/>
        <v>-0.2279580425336582</v>
      </c>
      <c r="AB588">
        <f t="shared" si="488"/>
        <v>7.6260235914408243</v>
      </c>
      <c r="AC588">
        <f t="shared" si="510"/>
        <v>-0.10758521067993768</v>
      </c>
      <c r="AD588">
        <f t="shared" si="489"/>
        <v>1.2890715415173554E-2</v>
      </c>
      <c r="AE588" s="9">
        <f t="shared" si="511"/>
        <v>7.5313290961760604</v>
      </c>
      <c r="AF588">
        <f t="shared" si="512"/>
        <v>0</v>
      </c>
      <c r="AH588">
        <f t="shared" si="490"/>
        <v>7.8539816339744828</v>
      </c>
      <c r="AI588">
        <f t="shared" si="491"/>
        <v>-0.22795804253365812</v>
      </c>
      <c r="AJ588">
        <f t="shared" si="492"/>
        <v>-0.10758521067993598</v>
      </c>
      <c r="AK588">
        <f t="shared" si="493"/>
        <v>1.2890715415173554E-2</v>
      </c>
      <c r="AL588" s="9">
        <f t="shared" si="513"/>
        <v>7.5313290961760622</v>
      </c>
      <c r="AM588" t="e">
        <f t="shared" si="494"/>
        <v>#N/A</v>
      </c>
      <c r="AN588" t="e">
        <f t="shared" si="514"/>
        <v>#N/A</v>
      </c>
      <c r="AO588">
        <f t="shared" si="495"/>
        <v>0</v>
      </c>
      <c r="AP588">
        <f t="shared" si="496"/>
        <v>0</v>
      </c>
      <c r="AQ588">
        <f t="shared" si="497"/>
        <v>1.6930901125533637E-15</v>
      </c>
      <c r="AR588">
        <f t="shared" si="515"/>
        <v>0</v>
      </c>
      <c r="AS588">
        <f t="shared" si="498"/>
        <v>0</v>
      </c>
      <c r="AT588">
        <f t="shared" si="516"/>
        <v>0</v>
      </c>
      <c r="AU588">
        <f t="shared" si="517"/>
        <v>0</v>
      </c>
      <c r="AV588">
        <f t="shared" si="499"/>
        <v>1.4105751014618169E-20</v>
      </c>
      <c r="AW588" t="b">
        <f t="shared" si="518"/>
        <v>1</v>
      </c>
      <c r="AX588">
        <f t="shared" si="500"/>
        <v>7.8539816339744828</v>
      </c>
      <c r="AY588">
        <f t="shared" si="501"/>
        <v>-0.22795804253365831</v>
      </c>
      <c r="AZ588">
        <f t="shared" si="502"/>
        <v>-0.10758521067993755</v>
      </c>
      <c r="BA588">
        <f t="shared" si="503"/>
        <v>1.2890715415173554E-2</v>
      </c>
      <c r="BB588">
        <f t="shared" si="504"/>
        <v>-1.2337005501361696E-20</v>
      </c>
      <c r="BD588" s="15">
        <f t="shared" si="519"/>
        <v>7.5313290961760604</v>
      </c>
      <c r="BE588" s="10">
        <f t="shared" si="520"/>
        <v>0</v>
      </c>
      <c r="BF588">
        <f t="shared" si="521"/>
        <v>0</v>
      </c>
      <c r="BG588">
        <f t="shared" si="522"/>
        <v>0</v>
      </c>
      <c r="BH588">
        <f t="shared" si="523"/>
        <v>0</v>
      </c>
      <c r="BI588">
        <f t="shared" si="524"/>
        <v>1.2490009027033011E-16</v>
      </c>
    </row>
    <row r="589" spans="1:61" x14ac:dyDescent="0.3">
      <c r="A589">
        <f t="shared" si="529"/>
        <v>0.55200000000000005</v>
      </c>
      <c r="B589">
        <f t="shared" si="472"/>
        <v>1.7341591447815659</v>
      </c>
      <c r="C589">
        <f t="shared" si="473"/>
        <v>1.4074335088082273</v>
      </c>
      <c r="D589">
        <f t="shared" si="474"/>
        <v>1.4074335088082273</v>
      </c>
      <c r="E589">
        <f t="shared" si="479"/>
        <v>0.98668594420786804</v>
      </c>
      <c r="F589">
        <f t="shared" si="480"/>
        <v>0.98668594420786804</v>
      </c>
      <c r="G589">
        <f t="shared" si="475"/>
        <v>1.7341591447815659</v>
      </c>
      <c r="H589">
        <f t="shared" si="476"/>
        <v>0.98668594420786804</v>
      </c>
      <c r="I589">
        <f t="shared" si="477"/>
        <v>0.98668594420786804</v>
      </c>
      <c r="J589">
        <f t="shared" si="525"/>
        <v>6.4521013611749884E+19</v>
      </c>
      <c r="K589">
        <f t="shared" si="526"/>
        <v>6.4521013611749884E+19</v>
      </c>
      <c r="L589">
        <f t="shared" si="481"/>
        <v>1</v>
      </c>
      <c r="M589">
        <f t="shared" si="478"/>
        <v>1.4074335088082272E-20</v>
      </c>
      <c r="N589" s="9">
        <f t="shared" si="527"/>
        <v>1.4074335088082272E-20</v>
      </c>
      <c r="O589">
        <f t="shared" si="528"/>
        <v>1.4074335088082272E-20</v>
      </c>
      <c r="Q589">
        <f t="shared" si="482"/>
        <v>45.613522637065948</v>
      </c>
      <c r="R589">
        <f t="shared" si="483"/>
        <v>-710542.73576010019</v>
      </c>
      <c r="S589">
        <f t="shared" si="505"/>
        <v>-45.709934020598666</v>
      </c>
      <c r="T589" s="9" t="e">
        <f t="shared" si="484"/>
        <v>#N/A</v>
      </c>
      <c r="U589">
        <f t="shared" si="506"/>
        <v>-1.0000000000000001E+300</v>
      </c>
      <c r="V589">
        <f t="shared" si="507"/>
        <v>0</v>
      </c>
      <c r="W589">
        <f t="shared" si="508"/>
        <v>0</v>
      </c>
      <c r="X589">
        <f t="shared" si="485"/>
        <v>1.4074335088082273</v>
      </c>
      <c r="Y589">
        <f t="shared" si="486"/>
        <v>7.8539816339744828</v>
      </c>
      <c r="Z589">
        <f t="shared" si="487"/>
        <v>-1.4074335088082273</v>
      </c>
      <c r="AA589">
        <f t="shared" si="509"/>
        <v>-0.23198972015013841</v>
      </c>
      <c r="AB589">
        <f t="shared" si="488"/>
        <v>7.6219919138243446</v>
      </c>
      <c r="AC589">
        <f t="shared" si="510"/>
        <v>-0.10981486600720657</v>
      </c>
      <c r="AD589">
        <f t="shared" si="489"/>
        <v>1.3403482474490967E-2</v>
      </c>
      <c r="AE589" s="9">
        <f t="shared" si="511"/>
        <v>7.525580530291629</v>
      </c>
      <c r="AF589">
        <f t="shared" si="512"/>
        <v>0</v>
      </c>
      <c r="AH589">
        <f t="shared" si="490"/>
        <v>7.8539816339744828</v>
      </c>
      <c r="AI589">
        <f t="shared" si="491"/>
        <v>-0.2319897201501383</v>
      </c>
      <c r="AJ589">
        <f t="shared" si="492"/>
        <v>-0.10981486600720558</v>
      </c>
      <c r="AK589">
        <f t="shared" si="493"/>
        <v>1.3403482474490967E-2</v>
      </c>
      <c r="AL589" s="9">
        <f t="shared" si="513"/>
        <v>7.5255805302916299</v>
      </c>
      <c r="AM589" t="e">
        <f t="shared" si="494"/>
        <v>#N/A</v>
      </c>
      <c r="AN589" t="e">
        <f t="shared" si="514"/>
        <v>#N/A</v>
      </c>
      <c r="AO589">
        <f t="shared" si="495"/>
        <v>0</v>
      </c>
      <c r="AP589">
        <f t="shared" si="496"/>
        <v>0</v>
      </c>
      <c r="AQ589">
        <f t="shared" si="497"/>
        <v>9.8532293435482643E-16</v>
      </c>
      <c r="AR589">
        <f t="shared" si="515"/>
        <v>0</v>
      </c>
      <c r="AS589">
        <f t="shared" si="498"/>
        <v>0</v>
      </c>
      <c r="AT589">
        <f t="shared" si="516"/>
        <v>0</v>
      </c>
      <c r="AU589">
        <f t="shared" si="517"/>
        <v>0</v>
      </c>
      <c r="AV589">
        <f t="shared" si="499"/>
        <v>1.4074335088082272E-20</v>
      </c>
      <c r="AW589" t="b">
        <f t="shared" si="518"/>
        <v>1</v>
      </c>
      <c r="AX589">
        <f t="shared" si="500"/>
        <v>7.8539816339744828</v>
      </c>
      <c r="AY589">
        <f t="shared" si="501"/>
        <v>-0.2319897201501385</v>
      </c>
      <c r="AZ589">
        <f t="shared" si="502"/>
        <v>-0.10981486600720657</v>
      </c>
      <c r="BA589">
        <f t="shared" si="503"/>
        <v>1.3403482474490967E-2</v>
      </c>
      <c r="BB589">
        <f t="shared" si="504"/>
        <v>-1.2337005501361696E-20</v>
      </c>
      <c r="BD589" s="15">
        <f t="shared" si="519"/>
        <v>7.525580530291629</v>
      </c>
      <c r="BE589" s="10">
        <f t="shared" si="520"/>
        <v>0</v>
      </c>
      <c r="BF589">
        <f t="shared" si="521"/>
        <v>0</v>
      </c>
      <c r="BG589">
        <f t="shared" si="522"/>
        <v>0</v>
      </c>
      <c r="BH589">
        <f t="shared" si="523"/>
        <v>0</v>
      </c>
      <c r="BI589">
        <f t="shared" si="524"/>
        <v>0</v>
      </c>
    </row>
    <row r="590" spans="1:61" x14ac:dyDescent="0.3">
      <c r="A590">
        <f t="shared" si="529"/>
        <v>0.55300000000000005</v>
      </c>
      <c r="B590">
        <f t="shared" si="472"/>
        <v>1.7373007374351557</v>
      </c>
      <c r="C590">
        <f t="shared" si="473"/>
        <v>1.4042919161546374</v>
      </c>
      <c r="D590">
        <f t="shared" si="474"/>
        <v>1.4042919161546374</v>
      </c>
      <c r="E590">
        <f t="shared" si="479"/>
        <v>0.98617013622898886</v>
      </c>
      <c r="F590">
        <f t="shared" si="480"/>
        <v>0.98617013622898886</v>
      </c>
      <c r="G590">
        <f t="shared" si="475"/>
        <v>1.7373007374351557</v>
      </c>
      <c r="H590">
        <f t="shared" si="476"/>
        <v>0.98617013622898886</v>
      </c>
      <c r="I590">
        <f t="shared" si="477"/>
        <v>0.98617013622898886</v>
      </c>
      <c r="J590">
        <f t="shared" si="525"/>
        <v>6.4554760784173474E+19</v>
      </c>
      <c r="K590">
        <f t="shared" si="526"/>
        <v>6.4554760784173474E+19</v>
      </c>
      <c r="L590">
        <f t="shared" si="481"/>
        <v>1</v>
      </c>
      <c r="M590">
        <f t="shared" si="478"/>
        <v>1.4042919161546373E-20</v>
      </c>
      <c r="N590" s="9">
        <f t="shared" si="527"/>
        <v>1.4042919161546373E-20</v>
      </c>
      <c r="O590">
        <f t="shared" si="528"/>
        <v>1.4042919161546373E-20</v>
      </c>
      <c r="Q590">
        <f t="shared" si="482"/>
        <v>45.614045541899962</v>
      </c>
      <c r="R590">
        <f t="shared" si="483"/>
        <v>0</v>
      </c>
      <c r="S590">
        <f t="shared" si="505"/>
        <v>-45.712168658400081</v>
      </c>
      <c r="T590" s="9" t="e">
        <f t="shared" si="484"/>
        <v>#N/A</v>
      </c>
      <c r="U590">
        <f t="shared" si="506"/>
        <v>-1.0000000000000001E+300</v>
      </c>
      <c r="V590">
        <f t="shared" si="507"/>
        <v>0</v>
      </c>
      <c r="W590">
        <f t="shared" si="508"/>
        <v>0</v>
      </c>
      <c r="X590">
        <f t="shared" si="485"/>
        <v>1.4042919161546374</v>
      </c>
      <c r="Y590">
        <f t="shared" si="486"/>
        <v>7.8539816339744828</v>
      </c>
      <c r="Z590">
        <f t="shared" si="487"/>
        <v>-1.4042919161546374</v>
      </c>
      <c r="AA590">
        <f t="shared" si="509"/>
        <v>-0.23600582592403505</v>
      </c>
      <c r="AB590">
        <f t="shared" si="488"/>
        <v>7.6179758080504474</v>
      </c>
      <c r="AC590">
        <f t="shared" si="510"/>
        <v>-0.11204950380862301</v>
      </c>
      <c r="AD590">
        <f t="shared" si="489"/>
        <v>1.3926387308499998E-2</v>
      </c>
      <c r="AE590" s="9">
        <f t="shared" si="511"/>
        <v>7.5198526915503239</v>
      </c>
      <c r="AF590">
        <f t="shared" si="512"/>
        <v>0</v>
      </c>
      <c r="AH590">
        <f t="shared" si="490"/>
        <v>7.8539816339744828</v>
      </c>
      <c r="AI590">
        <f t="shared" si="491"/>
        <v>-0.23600582592403493</v>
      </c>
      <c r="AJ590">
        <f t="shared" si="492"/>
        <v>-0.11204950380862044</v>
      </c>
      <c r="AK590">
        <f t="shared" si="493"/>
        <v>1.3926387308499998E-2</v>
      </c>
      <c r="AL590" s="9">
        <f t="shared" si="513"/>
        <v>7.5198526915503274</v>
      </c>
      <c r="AM590" t="e">
        <f t="shared" si="494"/>
        <v>#N/A</v>
      </c>
      <c r="AN590" t="e">
        <f t="shared" si="514"/>
        <v>#N/A</v>
      </c>
      <c r="AO590">
        <f t="shared" si="495"/>
        <v>0</v>
      </c>
      <c r="AP590">
        <f t="shared" si="496"/>
        <v>0</v>
      </c>
      <c r="AQ590">
        <f t="shared" si="497"/>
        <v>2.5673907444456745E-15</v>
      </c>
      <c r="AR590">
        <f t="shared" si="515"/>
        <v>0</v>
      </c>
      <c r="AS590">
        <f t="shared" si="498"/>
        <v>0</v>
      </c>
      <c r="AT590">
        <f t="shared" si="516"/>
        <v>0</v>
      </c>
      <c r="AU590">
        <f t="shared" si="517"/>
        <v>0</v>
      </c>
      <c r="AV590">
        <f t="shared" si="499"/>
        <v>1.4042919161546373E-20</v>
      </c>
      <c r="AW590" t="b">
        <f t="shared" si="518"/>
        <v>1</v>
      </c>
      <c r="AX590">
        <f t="shared" si="500"/>
        <v>7.8539816339744828</v>
      </c>
      <c r="AY590">
        <f t="shared" si="501"/>
        <v>-0.2360058259240351</v>
      </c>
      <c r="AZ590">
        <f t="shared" si="502"/>
        <v>-0.11204950380862301</v>
      </c>
      <c r="BA590">
        <f t="shared" si="503"/>
        <v>1.3926387308499998E-2</v>
      </c>
      <c r="BB590">
        <f t="shared" si="504"/>
        <v>-1.2337005501361696E-20</v>
      </c>
      <c r="BD590" s="15">
        <f t="shared" si="519"/>
        <v>7.5198526915503239</v>
      </c>
      <c r="BE590" s="10">
        <f t="shared" si="520"/>
        <v>0</v>
      </c>
      <c r="BF590">
        <f t="shared" si="521"/>
        <v>0</v>
      </c>
      <c r="BG590">
        <f t="shared" si="522"/>
        <v>0</v>
      </c>
      <c r="BH590">
        <f t="shared" si="523"/>
        <v>0</v>
      </c>
      <c r="BI590">
        <f t="shared" si="524"/>
        <v>0</v>
      </c>
    </row>
    <row r="591" spans="1:61" x14ac:dyDescent="0.3">
      <c r="A591">
        <f t="shared" si="529"/>
        <v>0.55400000000000005</v>
      </c>
      <c r="B591">
        <f t="shared" si="472"/>
        <v>1.7404423300887455</v>
      </c>
      <c r="C591">
        <f t="shared" si="473"/>
        <v>1.4011503235010476</v>
      </c>
      <c r="D591">
        <f t="shared" si="474"/>
        <v>1.4011503235010476</v>
      </c>
      <c r="E591">
        <f t="shared" si="479"/>
        <v>0.98564459514899805</v>
      </c>
      <c r="F591">
        <f t="shared" si="480"/>
        <v>0.98564459514899805</v>
      </c>
      <c r="G591">
        <f t="shared" si="475"/>
        <v>1.7404423300887455</v>
      </c>
      <c r="H591">
        <f t="shared" si="476"/>
        <v>0.98564459514899805</v>
      </c>
      <c r="I591">
        <f t="shared" si="477"/>
        <v>0.98564459514899805</v>
      </c>
      <c r="J591">
        <f t="shared" si="525"/>
        <v>6.4589181080158495E+19</v>
      </c>
      <c r="K591">
        <f t="shared" si="526"/>
        <v>6.4589181080158495E+19</v>
      </c>
      <c r="L591">
        <f t="shared" si="481"/>
        <v>1</v>
      </c>
      <c r="M591">
        <f t="shared" si="478"/>
        <v>1.4011503235010476E-20</v>
      </c>
      <c r="N591" s="9">
        <f t="shared" si="527"/>
        <v>1.4011503235010476E-20</v>
      </c>
      <c r="O591">
        <f t="shared" si="528"/>
        <v>1.4011503235010476E-20</v>
      </c>
      <c r="Q591">
        <f t="shared" si="482"/>
        <v>45.614578595116441</v>
      </c>
      <c r="R591">
        <f t="shared" si="483"/>
        <v>0</v>
      </c>
      <c r="S591">
        <f t="shared" si="505"/>
        <v>-45.71440830099359</v>
      </c>
      <c r="T591" s="9" t="e">
        <f t="shared" si="484"/>
        <v>#N/A</v>
      </c>
      <c r="U591">
        <f t="shared" si="506"/>
        <v>-1.0000000000000001E+300</v>
      </c>
      <c r="V591">
        <f t="shared" si="507"/>
        <v>0</v>
      </c>
      <c r="W591">
        <f t="shared" si="508"/>
        <v>0</v>
      </c>
      <c r="X591">
        <f t="shared" si="485"/>
        <v>1.4011503235010476</v>
      </c>
      <c r="Y591">
        <f t="shared" si="486"/>
        <v>7.8539816339744828</v>
      </c>
      <c r="Z591">
        <f t="shared" si="487"/>
        <v>-1.4011503235010476</v>
      </c>
      <c r="AA591">
        <f t="shared" si="509"/>
        <v>-0.24000642507584891</v>
      </c>
      <c r="AB591">
        <f t="shared" si="488"/>
        <v>7.6139752088986334</v>
      </c>
      <c r="AC591">
        <f t="shared" si="510"/>
        <v>-0.11428914640212778</v>
      </c>
      <c r="AD591">
        <f t="shared" si="489"/>
        <v>1.44594405249832E-2</v>
      </c>
      <c r="AE591" s="9">
        <f t="shared" si="511"/>
        <v>7.5141455030214885</v>
      </c>
      <c r="AF591">
        <f t="shared" si="512"/>
        <v>0</v>
      </c>
      <c r="AH591">
        <f t="shared" si="490"/>
        <v>7.8539816339744828</v>
      </c>
      <c r="AI591">
        <f t="shared" si="491"/>
        <v>-0.24000642507584885</v>
      </c>
      <c r="AJ591">
        <f t="shared" si="492"/>
        <v>-0.11428914640212895</v>
      </c>
      <c r="AK591">
        <f t="shared" si="493"/>
        <v>1.44594405249832E-2</v>
      </c>
      <c r="AL591" s="9">
        <f t="shared" si="513"/>
        <v>7.5141455030214885</v>
      </c>
      <c r="AM591" t="e">
        <f t="shared" si="494"/>
        <v>#N/A</v>
      </c>
      <c r="AN591" t="e">
        <f t="shared" si="514"/>
        <v>#N/A</v>
      </c>
      <c r="AO591">
        <f t="shared" si="495"/>
        <v>0</v>
      </c>
      <c r="AP591">
        <f t="shared" si="496"/>
        <v>0</v>
      </c>
      <c r="AQ591">
        <f t="shared" si="497"/>
        <v>-1.1657341758564144E-15</v>
      </c>
      <c r="AR591">
        <f t="shared" si="515"/>
        <v>0</v>
      </c>
      <c r="AS591">
        <f t="shared" si="498"/>
        <v>0</v>
      </c>
      <c r="AT591">
        <f t="shared" si="516"/>
        <v>0</v>
      </c>
      <c r="AU591">
        <f t="shared" si="517"/>
        <v>0</v>
      </c>
      <c r="AV591">
        <f t="shared" si="499"/>
        <v>1.4011503235010476E-20</v>
      </c>
      <c r="AW591" t="b">
        <f t="shared" si="518"/>
        <v>1</v>
      </c>
      <c r="AX591">
        <f t="shared" si="500"/>
        <v>7.8539816339744828</v>
      </c>
      <c r="AY591">
        <f t="shared" si="501"/>
        <v>-0.24000642507584904</v>
      </c>
      <c r="AZ591">
        <f t="shared" si="502"/>
        <v>-0.11428914640212766</v>
      </c>
      <c r="BA591">
        <f t="shared" si="503"/>
        <v>1.44594405249832E-2</v>
      </c>
      <c r="BB591">
        <f t="shared" si="504"/>
        <v>-1.2337005501361696E-20</v>
      </c>
      <c r="BD591" s="15">
        <f t="shared" si="519"/>
        <v>7.5141455030214885</v>
      </c>
      <c r="BE591" s="10">
        <f t="shared" si="520"/>
        <v>0</v>
      </c>
      <c r="BF591">
        <f t="shared" si="521"/>
        <v>0</v>
      </c>
      <c r="BG591">
        <f t="shared" si="522"/>
        <v>0</v>
      </c>
      <c r="BH591">
        <f t="shared" si="523"/>
        <v>0</v>
      </c>
      <c r="BI591">
        <f t="shared" si="524"/>
        <v>1.2490009027033011E-16</v>
      </c>
    </row>
    <row r="592" spans="1:61" x14ac:dyDescent="0.3">
      <c r="A592">
        <f t="shared" si="529"/>
        <v>0.55500000000000005</v>
      </c>
      <c r="B592">
        <f t="shared" si="472"/>
        <v>1.7435839227423353</v>
      </c>
      <c r="C592">
        <f t="shared" si="473"/>
        <v>1.3980087308474578</v>
      </c>
      <c r="D592">
        <f t="shared" si="474"/>
        <v>1.3980087308474578</v>
      </c>
      <c r="E592">
        <f t="shared" si="479"/>
        <v>0.98510932615477387</v>
      </c>
      <c r="F592">
        <f t="shared" si="480"/>
        <v>0.98510932615477387</v>
      </c>
      <c r="G592">
        <f t="shared" si="475"/>
        <v>1.7435839227423353</v>
      </c>
      <c r="H592">
        <f t="shared" si="476"/>
        <v>0.98510932615477387</v>
      </c>
      <c r="I592">
        <f t="shared" si="477"/>
        <v>0.98510932615477387</v>
      </c>
      <c r="J592">
        <f t="shared" si="525"/>
        <v>6.4624276256984695E+19</v>
      </c>
      <c r="K592">
        <f t="shared" si="526"/>
        <v>6.4624276256984695E+19</v>
      </c>
      <c r="L592" t="e">
        <f t="shared" si="481"/>
        <v>#NUM!</v>
      </c>
      <c r="M592">
        <f t="shared" si="478"/>
        <v>1.3980087308474576E-20</v>
      </c>
      <c r="N592" s="9" t="e">
        <f t="shared" si="527"/>
        <v>#NUM!</v>
      </c>
      <c r="O592" t="e">
        <f t="shared" si="528"/>
        <v>#NUM!</v>
      </c>
      <c r="Q592">
        <f t="shared" si="482"/>
        <v>45.615121807540483</v>
      </c>
      <c r="R592">
        <f t="shared" si="483"/>
        <v>0</v>
      </c>
      <c r="S592">
        <f t="shared" si="505"/>
        <v>-45.716652970847413</v>
      </c>
      <c r="T592" s="9" t="e">
        <f t="shared" si="484"/>
        <v>#N/A</v>
      </c>
      <c r="U592">
        <f t="shared" si="506"/>
        <v>-1.0000000000000001E+300</v>
      </c>
      <c r="V592">
        <f t="shared" si="507"/>
        <v>0</v>
      </c>
      <c r="W592">
        <f t="shared" si="508"/>
        <v>0</v>
      </c>
      <c r="X592">
        <f t="shared" si="485"/>
        <v>1.3980087308474578</v>
      </c>
      <c r="Y592">
        <f t="shared" si="486"/>
        <v>7.8539816339744828</v>
      </c>
      <c r="Z592">
        <f t="shared" si="487"/>
        <v>-1.3980087308474578</v>
      </c>
      <c r="AA592">
        <f t="shared" si="509"/>
        <v>-0.24399158235113419</v>
      </c>
      <c r="AB592">
        <f t="shared" si="488"/>
        <v>7.609990051623349</v>
      </c>
      <c r="AC592">
        <f t="shared" si="510"/>
        <v>-0.11653381625595163</v>
      </c>
      <c r="AD592">
        <f t="shared" si="489"/>
        <v>1.5002652949020718E-2</v>
      </c>
      <c r="AE592" s="9">
        <f t="shared" si="511"/>
        <v>7.5084588883164187</v>
      </c>
      <c r="AF592">
        <f t="shared" si="512"/>
        <v>0</v>
      </c>
      <c r="AH592">
        <f t="shared" si="490"/>
        <v>7.8539816339744828</v>
      </c>
      <c r="AI592">
        <f t="shared" si="491"/>
        <v>-0.243991582351134</v>
      </c>
      <c r="AJ592">
        <f t="shared" si="492"/>
        <v>-0.11653381625595216</v>
      </c>
      <c r="AK592">
        <f t="shared" si="493"/>
        <v>1.5002652949020718E-2</v>
      </c>
      <c r="AL592" s="9">
        <f t="shared" si="513"/>
        <v>7.5084588883164178</v>
      </c>
      <c r="AM592" t="e">
        <f t="shared" si="494"/>
        <v>#N/A</v>
      </c>
      <c r="AN592" t="e">
        <f t="shared" si="514"/>
        <v>#N/A</v>
      </c>
      <c r="AO592">
        <f t="shared" si="495"/>
        <v>0</v>
      </c>
      <c r="AP592">
        <f t="shared" si="496"/>
        <v>0</v>
      </c>
      <c r="AQ592">
        <f t="shared" si="497"/>
        <v>-5.2735593669694936E-16</v>
      </c>
      <c r="AR592">
        <f t="shared" si="515"/>
        <v>0</v>
      </c>
      <c r="AS592">
        <f t="shared" si="498"/>
        <v>0</v>
      </c>
      <c r="AT592">
        <f t="shared" si="516"/>
        <v>0</v>
      </c>
      <c r="AU592">
        <f t="shared" si="517"/>
        <v>0</v>
      </c>
      <c r="AV592">
        <f t="shared" si="499"/>
        <v>1.3980087308474576E-20</v>
      </c>
      <c r="AW592" t="b">
        <f t="shared" si="518"/>
        <v>1</v>
      </c>
      <c r="AX592">
        <f t="shared" si="500"/>
        <v>7.8539816339744828</v>
      </c>
      <c r="AY592">
        <f t="shared" si="501"/>
        <v>-0.24399158235113422</v>
      </c>
      <c r="AZ592">
        <f t="shared" si="502"/>
        <v>-0.11653381625595163</v>
      </c>
      <c r="BA592">
        <f t="shared" si="503"/>
        <v>1.5002652949020718E-2</v>
      </c>
      <c r="BB592">
        <f t="shared" si="504"/>
        <v>-1.2337005501361696E-20</v>
      </c>
      <c r="BD592" s="15">
        <f t="shared" si="519"/>
        <v>7.5084588883164187</v>
      </c>
      <c r="BE592" s="10">
        <f t="shared" si="520"/>
        <v>0</v>
      </c>
      <c r="BF592">
        <f t="shared" si="521"/>
        <v>0</v>
      </c>
      <c r="BG592">
        <f t="shared" si="522"/>
        <v>0</v>
      </c>
      <c r="BH592">
        <f t="shared" si="523"/>
        <v>0</v>
      </c>
      <c r="BI592">
        <f t="shared" si="524"/>
        <v>0</v>
      </c>
    </row>
    <row r="593" spans="1:61" x14ac:dyDescent="0.3">
      <c r="A593">
        <f t="shared" si="529"/>
        <v>0.55600000000000005</v>
      </c>
      <c r="B593">
        <f t="shared" si="472"/>
        <v>1.7467255153959251</v>
      </c>
      <c r="C593">
        <f t="shared" si="473"/>
        <v>1.394867138193868</v>
      </c>
      <c r="D593">
        <f t="shared" si="474"/>
        <v>1.394867138193868</v>
      </c>
      <c r="E593">
        <f t="shared" si="479"/>
        <v>0.98456433452920533</v>
      </c>
      <c r="F593">
        <f t="shared" si="480"/>
        <v>0.98456433452920533</v>
      </c>
      <c r="G593">
        <f t="shared" si="475"/>
        <v>1.7467255153959251</v>
      </c>
      <c r="H593">
        <f t="shared" si="476"/>
        <v>0.98456433452920533</v>
      </c>
      <c r="I593">
        <f t="shared" si="477"/>
        <v>0.98456433452920533</v>
      </c>
      <c r="J593">
        <f t="shared" si="525"/>
        <v>6.4660048108689359E+19</v>
      </c>
      <c r="K593">
        <f t="shared" si="526"/>
        <v>6.4660048108689359E+19</v>
      </c>
      <c r="L593">
        <f t="shared" si="481"/>
        <v>1</v>
      </c>
      <c r="M593">
        <f t="shared" si="478"/>
        <v>1.394867138193868E-20</v>
      </c>
      <c r="N593" s="9">
        <f t="shared" si="527"/>
        <v>1.394867138193868E-20</v>
      </c>
      <c r="O593">
        <f t="shared" si="528"/>
        <v>1.394867138193868E-20</v>
      </c>
      <c r="Q593">
        <f t="shared" si="482"/>
        <v>45.615675190215342</v>
      </c>
      <c r="R593">
        <f t="shared" si="483"/>
        <v>0</v>
      </c>
      <c r="S593">
        <f t="shared" si="505"/>
        <v>-45.718902690581423</v>
      </c>
      <c r="T593" s="9" t="e">
        <f t="shared" si="484"/>
        <v>#N/A</v>
      </c>
      <c r="U593">
        <f t="shared" si="506"/>
        <v>-1.0000000000000001E+300</v>
      </c>
      <c r="V593">
        <f t="shared" si="507"/>
        <v>0</v>
      </c>
      <c r="W593">
        <f t="shared" si="508"/>
        <v>0</v>
      </c>
      <c r="X593">
        <f t="shared" si="485"/>
        <v>1.394867138193868</v>
      </c>
      <c r="Y593">
        <f t="shared" si="486"/>
        <v>7.8539816339744828</v>
      </c>
      <c r="Z593">
        <f t="shared" si="487"/>
        <v>-1.394867138193868</v>
      </c>
      <c r="AA593">
        <f t="shared" si="509"/>
        <v>-0.24796136202467559</v>
      </c>
      <c r="AB593">
        <f t="shared" si="488"/>
        <v>7.6060202719498076</v>
      </c>
      <c r="AC593">
        <f t="shared" si="510"/>
        <v>-0.1187835359899671</v>
      </c>
      <c r="AD593">
        <f t="shared" si="489"/>
        <v>1.5556035623881817E-2</v>
      </c>
      <c r="AE593" s="9">
        <f t="shared" si="511"/>
        <v>7.5027927715837226</v>
      </c>
      <c r="AF593">
        <f t="shared" si="512"/>
        <v>0</v>
      </c>
      <c r="AH593">
        <f t="shared" si="490"/>
        <v>7.8539816339744828</v>
      </c>
      <c r="AI593">
        <f t="shared" si="491"/>
        <v>-0.2479613620246755</v>
      </c>
      <c r="AJ593">
        <f t="shared" si="492"/>
        <v>-0.11878353598996227</v>
      </c>
      <c r="AK593">
        <f t="shared" si="493"/>
        <v>1.5556035623881817E-2</v>
      </c>
      <c r="AL593" s="9">
        <f t="shared" si="513"/>
        <v>7.502792771583727</v>
      </c>
      <c r="AM593" t="e">
        <f t="shared" si="494"/>
        <v>#N/A</v>
      </c>
      <c r="AN593" t="e">
        <f t="shared" si="514"/>
        <v>#N/A</v>
      </c>
      <c r="AO593">
        <f t="shared" si="495"/>
        <v>0</v>
      </c>
      <c r="AP593">
        <f t="shared" si="496"/>
        <v>0</v>
      </c>
      <c r="AQ593">
        <f t="shared" si="497"/>
        <v>4.829470157119431E-15</v>
      </c>
      <c r="AR593">
        <f t="shared" si="515"/>
        <v>0</v>
      </c>
      <c r="AS593">
        <f t="shared" si="498"/>
        <v>0</v>
      </c>
      <c r="AT593">
        <f t="shared" si="516"/>
        <v>0</v>
      </c>
      <c r="AU593">
        <f t="shared" si="517"/>
        <v>0</v>
      </c>
      <c r="AV593">
        <f t="shared" si="499"/>
        <v>1.394867138193868E-20</v>
      </c>
      <c r="AW593" t="b">
        <f t="shared" si="518"/>
        <v>1</v>
      </c>
      <c r="AX593">
        <f t="shared" si="500"/>
        <v>7.8539816339744828</v>
      </c>
      <c r="AY593">
        <f t="shared" si="501"/>
        <v>-0.24796136202467564</v>
      </c>
      <c r="AZ593">
        <f t="shared" si="502"/>
        <v>-0.11878353598996698</v>
      </c>
      <c r="BA593">
        <f t="shared" si="503"/>
        <v>1.5556035623881817E-2</v>
      </c>
      <c r="BB593">
        <f t="shared" si="504"/>
        <v>-1.2337005501361696E-20</v>
      </c>
      <c r="BD593" s="15">
        <f t="shared" si="519"/>
        <v>7.5027927715837226</v>
      </c>
      <c r="BE593" s="10">
        <f t="shared" si="520"/>
        <v>0</v>
      </c>
      <c r="BF593">
        <f t="shared" si="521"/>
        <v>0</v>
      </c>
      <c r="BG593">
        <f t="shared" si="522"/>
        <v>0</v>
      </c>
      <c r="BH593">
        <f t="shared" si="523"/>
        <v>0</v>
      </c>
      <c r="BI593">
        <f t="shared" si="524"/>
        <v>1.2490009027033011E-16</v>
      </c>
    </row>
    <row r="594" spans="1:61" x14ac:dyDescent="0.3">
      <c r="A594">
        <f t="shared" si="529"/>
        <v>0.55700000000000005</v>
      </c>
      <c r="B594">
        <f t="shared" si="472"/>
        <v>1.749867108049515</v>
      </c>
      <c r="C594">
        <f t="shared" si="473"/>
        <v>1.3917255455402782</v>
      </c>
      <c r="D594">
        <f t="shared" si="474"/>
        <v>1.3917255455402782</v>
      </c>
      <c r="E594">
        <f t="shared" si="479"/>
        <v>0.9840096256511397</v>
      </c>
      <c r="F594">
        <f t="shared" si="480"/>
        <v>0.9840096256511397</v>
      </c>
      <c r="G594">
        <f t="shared" si="475"/>
        <v>1.749867108049515</v>
      </c>
      <c r="H594">
        <f t="shared" si="476"/>
        <v>0.9840096256511397</v>
      </c>
      <c r="I594">
        <f t="shared" si="477"/>
        <v>0.9840096256511397</v>
      </c>
      <c r="J594">
        <f t="shared" si="525"/>
        <v>6.4696498466294661E+19</v>
      </c>
      <c r="K594">
        <f t="shared" si="526"/>
        <v>6.4696498466294661E+19</v>
      </c>
      <c r="L594">
        <f t="shared" si="481"/>
        <v>1</v>
      </c>
      <c r="M594">
        <f t="shared" si="478"/>
        <v>1.391725545540278E-20</v>
      </c>
      <c r="N594" s="9">
        <f t="shared" si="527"/>
        <v>1.391725545540278E-20</v>
      </c>
      <c r="O594">
        <f t="shared" si="528"/>
        <v>1.391725545540278E-20</v>
      </c>
      <c r="Q594">
        <f t="shared" si="482"/>
        <v>45.616238754403398</v>
      </c>
      <c r="R594">
        <f t="shared" si="483"/>
        <v>0</v>
      </c>
      <c r="S594">
        <f t="shared" si="505"/>
        <v>-45.721157482968515</v>
      </c>
      <c r="T594" s="9" t="e">
        <f t="shared" si="484"/>
        <v>#N/A</v>
      </c>
      <c r="U594">
        <f t="shared" si="506"/>
        <v>-1.0000000000000001E+300</v>
      </c>
      <c r="V594">
        <f t="shared" si="507"/>
        <v>0</v>
      </c>
      <c r="W594">
        <f t="shared" si="508"/>
        <v>0</v>
      </c>
      <c r="X594">
        <f t="shared" si="485"/>
        <v>1.3917255455402782</v>
      </c>
      <c r="Y594">
        <f t="shared" si="486"/>
        <v>7.8539816339744828</v>
      </c>
      <c r="Z594">
        <f t="shared" si="487"/>
        <v>-1.3917255455402782</v>
      </c>
      <c r="AA594">
        <f t="shared" si="509"/>
        <v>-0.25191582790462103</v>
      </c>
      <c r="AB594">
        <f t="shared" si="488"/>
        <v>7.602065806069862</v>
      </c>
      <c r="AC594">
        <f t="shared" si="510"/>
        <v>-0.12103832837705622</v>
      </c>
      <c r="AD594">
        <f t="shared" si="489"/>
        <v>1.6119599811936326E-2</v>
      </c>
      <c r="AE594" s="9">
        <f t="shared" si="511"/>
        <v>7.4971470775047413</v>
      </c>
      <c r="AF594">
        <f t="shared" si="512"/>
        <v>0</v>
      </c>
      <c r="AH594">
        <f t="shared" si="490"/>
        <v>7.8539816339744828</v>
      </c>
      <c r="AI594">
        <f t="shared" si="491"/>
        <v>-0.25191582790462086</v>
      </c>
      <c r="AJ594">
        <f t="shared" si="492"/>
        <v>-0.12103832837705397</v>
      </c>
      <c r="AK594">
        <f t="shared" si="493"/>
        <v>1.6119599811936326E-2</v>
      </c>
      <c r="AL594" s="9">
        <f t="shared" si="513"/>
        <v>7.497147077504744</v>
      </c>
      <c r="AM594" t="e">
        <f t="shared" si="494"/>
        <v>#N/A</v>
      </c>
      <c r="AN594" t="e">
        <f t="shared" si="514"/>
        <v>#N/A</v>
      </c>
      <c r="AO594">
        <f t="shared" si="495"/>
        <v>0</v>
      </c>
      <c r="AP594">
        <f t="shared" si="496"/>
        <v>0</v>
      </c>
      <c r="AQ594">
        <f t="shared" si="497"/>
        <v>2.248201624865942E-15</v>
      </c>
      <c r="AR594">
        <f t="shared" si="515"/>
        <v>0</v>
      </c>
      <c r="AS594">
        <f t="shared" si="498"/>
        <v>0</v>
      </c>
      <c r="AT594">
        <f t="shared" si="516"/>
        <v>0</v>
      </c>
      <c r="AU594">
        <f t="shared" si="517"/>
        <v>0</v>
      </c>
      <c r="AV594">
        <f t="shared" si="499"/>
        <v>1.391725545540278E-20</v>
      </c>
      <c r="AW594" t="b">
        <f t="shared" si="518"/>
        <v>1</v>
      </c>
      <c r="AX594">
        <f t="shared" si="500"/>
        <v>7.8539816339744828</v>
      </c>
      <c r="AY594">
        <f t="shared" si="501"/>
        <v>-0.25191582790462108</v>
      </c>
      <c r="AZ594">
        <f t="shared" si="502"/>
        <v>-0.12103832837705622</v>
      </c>
      <c r="BA594">
        <f t="shared" si="503"/>
        <v>1.6119599811936326E-2</v>
      </c>
      <c r="BB594">
        <f t="shared" si="504"/>
        <v>-1.2337005501361696E-20</v>
      </c>
      <c r="BD594" s="15">
        <f t="shared" si="519"/>
        <v>7.4971470775047413</v>
      </c>
      <c r="BE594" s="10">
        <f t="shared" si="520"/>
        <v>0</v>
      </c>
      <c r="BF594">
        <f t="shared" si="521"/>
        <v>0</v>
      </c>
      <c r="BG594">
        <f t="shared" si="522"/>
        <v>0</v>
      </c>
      <c r="BH594">
        <f t="shared" si="523"/>
        <v>0</v>
      </c>
      <c r="BI594">
        <f t="shared" si="524"/>
        <v>0</v>
      </c>
    </row>
    <row r="595" spans="1:61" x14ac:dyDescent="0.3">
      <c r="A595">
        <f t="shared" si="529"/>
        <v>0.55800000000000005</v>
      </c>
      <c r="B595">
        <f t="shared" si="472"/>
        <v>1.7530087007031048</v>
      </c>
      <c r="C595">
        <f t="shared" si="473"/>
        <v>1.3885839528866883</v>
      </c>
      <c r="D595">
        <f t="shared" si="474"/>
        <v>1.3885839528866883</v>
      </c>
      <c r="E595">
        <f t="shared" si="479"/>
        <v>0.98344520499532961</v>
      </c>
      <c r="F595">
        <f t="shared" si="480"/>
        <v>0.98344520499532961</v>
      </c>
      <c r="G595">
        <f t="shared" si="475"/>
        <v>1.7530087007031048</v>
      </c>
      <c r="H595">
        <f t="shared" si="476"/>
        <v>0.98344520499532961</v>
      </c>
      <c r="I595">
        <f t="shared" si="477"/>
        <v>0.98344520499532961</v>
      </c>
      <c r="J595">
        <f t="shared" si="525"/>
        <v>6.4733629198040039E+19</v>
      </c>
      <c r="K595">
        <f t="shared" si="526"/>
        <v>6.4733629198040039E+19</v>
      </c>
      <c r="L595">
        <f t="shared" si="481"/>
        <v>1</v>
      </c>
      <c r="M595">
        <f t="shared" si="478"/>
        <v>1.3885839528866883E-20</v>
      </c>
      <c r="N595" s="9">
        <f t="shared" si="527"/>
        <v>1.3885839528866883E-20</v>
      </c>
      <c r="O595">
        <f t="shared" si="528"/>
        <v>1.3885839528866883E-20</v>
      </c>
      <c r="Q595">
        <f t="shared" si="482"/>
        <v>45.616812511587042</v>
      </c>
      <c r="R595">
        <f t="shared" si="483"/>
        <v>0</v>
      </c>
      <c r="S595">
        <f t="shared" si="505"/>
        <v>-45.723417370935955</v>
      </c>
      <c r="T595" s="9" t="e">
        <f t="shared" si="484"/>
        <v>#N/A</v>
      </c>
      <c r="U595">
        <f t="shared" si="506"/>
        <v>-1.0000000000000001E+300</v>
      </c>
      <c r="V595">
        <f t="shared" si="507"/>
        <v>0</v>
      </c>
      <c r="W595">
        <f t="shared" si="508"/>
        <v>0</v>
      </c>
      <c r="X595">
        <f t="shared" si="485"/>
        <v>1.3885839528866883</v>
      </c>
      <c r="Y595">
        <f t="shared" si="486"/>
        <v>7.8539816339744828</v>
      </c>
      <c r="Z595">
        <f t="shared" si="487"/>
        <v>-1.3885839528866883</v>
      </c>
      <c r="AA595">
        <f t="shared" si="509"/>
        <v>-0.2558550433365695</v>
      </c>
      <c r="AB595">
        <f t="shared" si="488"/>
        <v>7.5981265906379134</v>
      </c>
      <c r="AC595">
        <f t="shared" si="510"/>
        <v>-0.12329821634449373</v>
      </c>
      <c r="AD595">
        <f t="shared" si="489"/>
        <v>1.6693356995585048E-2</v>
      </c>
      <c r="AE595" s="9">
        <f t="shared" si="511"/>
        <v>7.491521731289005</v>
      </c>
      <c r="AF595">
        <f t="shared" si="512"/>
        <v>0</v>
      </c>
      <c r="AH595">
        <f t="shared" si="490"/>
        <v>7.8539816339744828</v>
      </c>
      <c r="AI595">
        <f t="shared" si="491"/>
        <v>-0.25585504333656944</v>
      </c>
      <c r="AJ595">
        <f t="shared" si="492"/>
        <v>-0.12329821634449445</v>
      </c>
      <c r="AK595">
        <f t="shared" si="493"/>
        <v>1.6693356995585048E-2</v>
      </c>
      <c r="AL595" s="9">
        <f t="shared" si="513"/>
        <v>7.4915217312890041</v>
      </c>
      <c r="AM595" t="e">
        <f t="shared" si="494"/>
        <v>#N/A</v>
      </c>
      <c r="AN595" t="e">
        <f t="shared" si="514"/>
        <v>#N/A</v>
      </c>
      <c r="AO595">
        <f t="shared" si="495"/>
        <v>0</v>
      </c>
      <c r="AP595">
        <f t="shared" si="496"/>
        <v>0</v>
      </c>
      <c r="AQ595">
        <f t="shared" si="497"/>
        <v>-7.2164496600635175E-16</v>
      </c>
      <c r="AR595">
        <f t="shared" si="515"/>
        <v>0</v>
      </c>
      <c r="AS595">
        <f t="shared" si="498"/>
        <v>0</v>
      </c>
      <c r="AT595">
        <f t="shared" si="516"/>
        <v>0</v>
      </c>
      <c r="AU595">
        <f t="shared" si="517"/>
        <v>0</v>
      </c>
      <c r="AV595">
        <f t="shared" si="499"/>
        <v>1.3885839528866883E-20</v>
      </c>
      <c r="AW595" t="b">
        <f t="shared" si="518"/>
        <v>1</v>
      </c>
      <c r="AX595">
        <f t="shared" si="500"/>
        <v>7.8539816339744828</v>
      </c>
      <c r="AY595">
        <f t="shared" si="501"/>
        <v>-0.25585504333656961</v>
      </c>
      <c r="AZ595">
        <f t="shared" si="502"/>
        <v>-0.12329821634449373</v>
      </c>
      <c r="BA595">
        <f t="shared" si="503"/>
        <v>1.6693356995585048E-2</v>
      </c>
      <c r="BB595">
        <f t="shared" si="504"/>
        <v>-1.2337005501361696E-20</v>
      </c>
      <c r="BD595" s="15">
        <f t="shared" si="519"/>
        <v>7.491521731289005</v>
      </c>
      <c r="BE595" s="10">
        <f t="shared" si="520"/>
        <v>0</v>
      </c>
      <c r="BF595">
        <f t="shared" si="521"/>
        <v>0</v>
      </c>
      <c r="BG595">
        <f t="shared" si="522"/>
        <v>0</v>
      </c>
      <c r="BH595">
        <f t="shared" si="523"/>
        <v>0</v>
      </c>
      <c r="BI595">
        <f t="shared" si="524"/>
        <v>0</v>
      </c>
    </row>
    <row r="596" spans="1:61" x14ac:dyDescent="0.3">
      <c r="A596">
        <f t="shared" si="529"/>
        <v>0.55900000000000005</v>
      </c>
      <c r="B596">
        <f t="shared" si="472"/>
        <v>1.7561502933566946</v>
      </c>
      <c r="C596">
        <f t="shared" si="473"/>
        <v>1.3854423602330985</v>
      </c>
      <c r="D596">
        <f t="shared" si="474"/>
        <v>1.3854423602330985</v>
      </c>
      <c r="E596">
        <f t="shared" si="479"/>
        <v>0.98287107813237917</v>
      </c>
      <c r="F596">
        <f t="shared" si="480"/>
        <v>0.98287107813237917</v>
      </c>
      <c r="G596">
        <f t="shared" si="475"/>
        <v>1.7561502933566946</v>
      </c>
      <c r="H596">
        <f t="shared" si="476"/>
        <v>0.98287107813237917</v>
      </c>
      <c r="I596">
        <f t="shared" si="477"/>
        <v>0.98287107813237917</v>
      </c>
      <c r="J596">
        <f t="shared" si="525"/>
        <v>6.4771442209619837E+19</v>
      </c>
      <c r="K596">
        <f t="shared" si="526"/>
        <v>6.4771442209619837E+19</v>
      </c>
      <c r="L596">
        <f t="shared" si="481"/>
        <v>1</v>
      </c>
      <c r="M596">
        <f t="shared" si="478"/>
        <v>1.3854423602330984E-20</v>
      </c>
      <c r="N596" s="9">
        <f t="shared" si="527"/>
        <v>1.3854423602330984E-20</v>
      </c>
      <c r="O596">
        <f t="shared" si="528"/>
        <v>1.3854423602330984E-20</v>
      </c>
      <c r="Q596">
        <f t="shared" si="482"/>
        <v>45.617396473469668</v>
      </c>
      <c r="R596">
        <f t="shared" si="483"/>
        <v>0</v>
      </c>
      <c r="S596">
        <f t="shared" si="505"/>
        <v>-45.725682377566805</v>
      </c>
      <c r="T596" s="9" t="e">
        <f t="shared" si="484"/>
        <v>#N/A</v>
      </c>
      <c r="U596">
        <f t="shared" si="506"/>
        <v>-1.0000000000000001E+300</v>
      </c>
      <c r="V596">
        <f t="shared" si="507"/>
        <v>0</v>
      </c>
      <c r="W596">
        <f t="shared" si="508"/>
        <v>0</v>
      </c>
      <c r="X596">
        <f t="shared" si="485"/>
        <v>1.3854423602330985</v>
      </c>
      <c r="Y596">
        <f t="shared" si="486"/>
        <v>7.8539816339744828</v>
      </c>
      <c r="Z596">
        <f t="shared" si="487"/>
        <v>-1.3854423602330985</v>
      </c>
      <c r="AA596">
        <f t="shared" si="509"/>
        <v>-0.25977907120761506</v>
      </c>
      <c r="AB596">
        <f t="shared" si="488"/>
        <v>7.5942025627668679</v>
      </c>
      <c r="AC596">
        <f t="shared" si="510"/>
        <v>-0.12556322297534586</v>
      </c>
      <c r="AD596">
        <f t="shared" si="489"/>
        <v>1.7277318878210088E-2</v>
      </c>
      <c r="AE596" s="9">
        <f t="shared" si="511"/>
        <v>7.4859166586697317</v>
      </c>
      <c r="AF596">
        <f t="shared" si="512"/>
        <v>0</v>
      </c>
      <c r="AH596">
        <f t="shared" si="490"/>
        <v>7.8539816339744828</v>
      </c>
      <c r="AI596">
        <f t="shared" si="491"/>
        <v>-0.2597790712076149</v>
      </c>
      <c r="AJ596">
        <f t="shared" si="492"/>
        <v>-0.1255632229753445</v>
      </c>
      <c r="AK596">
        <f t="shared" si="493"/>
        <v>1.7277318878210088E-2</v>
      </c>
      <c r="AL596" s="9">
        <f t="shared" si="513"/>
        <v>7.4859166586697334</v>
      </c>
      <c r="AM596" t="e">
        <f t="shared" si="494"/>
        <v>#N/A</v>
      </c>
      <c r="AN596" t="e">
        <f t="shared" si="514"/>
        <v>#N/A</v>
      </c>
      <c r="AO596">
        <f t="shared" si="495"/>
        <v>0</v>
      </c>
      <c r="AP596">
        <f t="shared" si="496"/>
        <v>0</v>
      </c>
      <c r="AQ596">
        <f t="shared" si="497"/>
        <v>1.3600232051658168E-15</v>
      </c>
      <c r="AR596">
        <f t="shared" si="515"/>
        <v>0</v>
      </c>
      <c r="AS596">
        <f t="shared" si="498"/>
        <v>0</v>
      </c>
      <c r="AT596">
        <f t="shared" si="516"/>
        <v>0</v>
      </c>
      <c r="AU596">
        <f t="shared" si="517"/>
        <v>0</v>
      </c>
      <c r="AV596">
        <f t="shared" si="499"/>
        <v>1.3854423602330984E-20</v>
      </c>
      <c r="AW596" t="b">
        <f t="shared" si="518"/>
        <v>1</v>
      </c>
      <c r="AX596">
        <f t="shared" si="500"/>
        <v>7.8539816339744828</v>
      </c>
      <c r="AY596">
        <f t="shared" si="501"/>
        <v>-0.25977907120761518</v>
      </c>
      <c r="AZ596">
        <f t="shared" si="502"/>
        <v>-0.12556322297534586</v>
      </c>
      <c r="BA596">
        <f t="shared" si="503"/>
        <v>1.7277318878210088E-2</v>
      </c>
      <c r="BB596">
        <f t="shared" si="504"/>
        <v>-1.2337005501361696E-20</v>
      </c>
      <c r="BD596" s="15">
        <f t="shared" si="519"/>
        <v>7.4859166586697317</v>
      </c>
      <c r="BE596" s="10">
        <f t="shared" si="520"/>
        <v>0</v>
      </c>
      <c r="BF596">
        <f t="shared" si="521"/>
        <v>0</v>
      </c>
      <c r="BG596">
        <f t="shared" si="522"/>
        <v>0</v>
      </c>
      <c r="BH596">
        <f t="shared" si="523"/>
        <v>0</v>
      </c>
      <c r="BI596">
        <f t="shared" si="524"/>
        <v>0</v>
      </c>
    </row>
    <row r="597" spans="1:61" x14ac:dyDescent="0.3">
      <c r="A597">
        <f t="shared" si="529"/>
        <v>0.56000000000000005</v>
      </c>
      <c r="B597">
        <f t="shared" si="472"/>
        <v>1.7592918860102844</v>
      </c>
      <c r="C597">
        <f t="shared" si="473"/>
        <v>1.3823007675795087</v>
      </c>
      <c r="D597">
        <f t="shared" si="474"/>
        <v>1.3823007675795087</v>
      </c>
      <c r="E597">
        <f t="shared" si="479"/>
        <v>0.98228725072868861</v>
      </c>
      <c r="F597">
        <f t="shared" si="480"/>
        <v>0.98228725072868861</v>
      </c>
      <c r="G597">
        <f t="shared" si="475"/>
        <v>1.7592918860102844</v>
      </c>
      <c r="H597">
        <f t="shared" si="476"/>
        <v>0.98228725072868861</v>
      </c>
      <c r="I597">
        <f t="shared" si="477"/>
        <v>0.98228725072868861</v>
      </c>
      <c r="J597">
        <f t="shared" si="525"/>
        <v>6.4809939444426138E+19</v>
      </c>
      <c r="K597">
        <f t="shared" si="526"/>
        <v>6.4809939444426138E+19</v>
      </c>
      <c r="L597" t="e">
        <f t="shared" si="481"/>
        <v>#NUM!</v>
      </c>
      <c r="M597">
        <f t="shared" si="478"/>
        <v>1.3823007675795087E-20</v>
      </c>
      <c r="N597" s="9" t="e">
        <f t="shared" si="527"/>
        <v>#NUM!</v>
      </c>
      <c r="O597" t="e">
        <f t="shared" si="528"/>
        <v>#NUM!</v>
      </c>
      <c r="Q597">
        <f t="shared" si="482"/>
        <v>45.617990651976605</v>
      </c>
      <c r="R597">
        <f t="shared" si="483"/>
        <v>0</v>
      </c>
      <c r="S597">
        <f t="shared" si="505"/>
        <v>-45.72795252610134</v>
      </c>
      <c r="T597" s="9" t="e">
        <f t="shared" si="484"/>
        <v>#N/A</v>
      </c>
      <c r="U597">
        <f t="shared" si="506"/>
        <v>-1.0000000000000001E+300</v>
      </c>
      <c r="V597">
        <f t="shared" si="507"/>
        <v>0</v>
      </c>
      <c r="W597">
        <f t="shared" si="508"/>
        <v>0</v>
      </c>
      <c r="X597">
        <f t="shared" si="485"/>
        <v>1.3823007675795087</v>
      </c>
      <c r="Y597">
        <f t="shared" si="486"/>
        <v>7.8539816339744828</v>
      </c>
      <c r="Z597">
        <f t="shared" si="487"/>
        <v>-1.3823007675795087</v>
      </c>
      <c r="AA597">
        <f t="shared" si="509"/>
        <v>-0.26368797395034749</v>
      </c>
      <c r="AB597">
        <f t="shared" si="488"/>
        <v>7.5902936600241357</v>
      </c>
      <c r="AC597">
        <f t="shared" si="510"/>
        <v>-0.12783337150988514</v>
      </c>
      <c r="AD597">
        <f t="shared" si="489"/>
        <v>1.7871497385145478E-2</v>
      </c>
      <c r="AE597" s="9">
        <f t="shared" si="511"/>
        <v>7.4803317858993958</v>
      </c>
      <c r="AF597">
        <f t="shared" si="512"/>
        <v>0</v>
      </c>
      <c r="AH597">
        <f t="shared" si="490"/>
        <v>7.8539816339744828</v>
      </c>
      <c r="AI597">
        <f t="shared" si="491"/>
        <v>-0.26368797395034738</v>
      </c>
      <c r="AJ597">
        <f t="shared" si="492"/>
        <v>-0.12783337150987961</v>
      </c>
      <c r="AK597">
        <f t="shared" si="493"/>
        <v>1.7871497385145478E-2</v>
      </c>
      <c r="AL597" s="9">
        <f t="shared" si="513"/>
        <v>7.4803317858994012</v>
      </c>
      <c r="AM597" t="e">
        <f t="shared" si="494"/>
        <v>#N/A</v>
      </c>
      <c r="AN597" t="e">
        <f t="shared" si="514"/>
        <v>#N/A</v>
      </c>
      <c r="AO597">
        <f t="shared" si="495"/>
        <v>0</v>
      </c>
      <c r="AP597">
        <f t="shared" si="496"/>
        <v>0</v>
      </c>
      <c r="AQ597">
        <f t="shared" si="497"/>
        <v>5.5233595475101538E-15</v>
      </c>
      <c r="AR597">
        <f t="shared" si="515"/>
        <v>0</v>
      </c>
      <c r="AS597">
        <f t="shared" si="498"/>
        <v>0</v>
      </c>
      <c r="AT597">
        <f t="shared" si="516"/>
        <v>0</v>
      </c>
      <c r="AU597">
        <f t="shared" si="517"/>
        <v>0</v>
      </c>
      <c r="AV597">
        <f t="shared" si="499"/>
        <v>1.3823007675795087E-20</v>
      </c>
      <c r="AW597" t="b">
        <f t="shared" si="518"/>
        <v>1</v>
      </c>
      <c r="AX597">
        <f t="shared" si="500"/>
        <v>7.8539816339744828</v>
      </c>
      <c r="AY597">
        <f t="shared" si="501"/>
        <v>-0.2636879739503476</v>
      </c>
      <c r="AZ597">
        <f t="shared" si="502"/>
        <v>-0.12783337150988502</v>
      </c>
      <c r="BA597">
        <f t="shared" si="503"/>
        <v>1.7871497385145478E-2</v>
      </c>
      <c r="BB597">
        <f t="shared" si="504"/>
        <v>-1.2337005501361696E-20</v>
      </c>
      <c r="BD597" s="15">
        <f t="shared" si="519"/>
        <v>7.480331785899395</v>
      </c>
      <c r="BE597" s="10">
        <f t="shared" si="520"/>
        <v>0</v>
      </c>
      <c r="BF597">
        <f t="shared" si="521"/>
        <v>0</v>
      </c>
      <c r="BG597">
        <f t="shared" si="522"/>
        <v>0</v>
      </c>
      <c r="BH597">
        <f t="shared" si="523"/>
        <v>0</v>
      </c>
      <c r="BI597">
        <f t="shared" si="524"/>
        <v>0</v>
      </c>
    </row>
    <row r="598" spans="1:61" x14ac:dyDescent="0.3">
      <c r="A598">
        <f t="shared" si="529"/>
        <v>0.56100000000000005</v>
      </c>
      <c r="B598">
        <f t="shared" si="472"/>
        <v>1.762433478663874</v>
      </c>
      <c r="C598">
        <f t="shared" si="473"/>
        <v>1.3791591749259191</v>
      </c>
      <c r="D598">
        <f t="shared" si="474"/>
        <v>1.3791591749259191</v>
      </c>
      <c r="E598">
        <f t="shared" si="479"/>
        <v>0.98169372854639891</v>
      </c>
      <c r="F598">
        <f t="shared" si="480"/>
        <v>0.9816937285463988</v>
      </c>
      <c r="G598">
        <f t="shared" si="475"/>
        <v>1.762433478663874</v>
      </c>
      <c r="H598">
        <f t="shared" si="476"/>
        <v>0.98169372854639891</v>
      </c>
      <c r="I598">
        <f t="shared" si="477"/>
        <v>0.9816937285463988</v>
      </c>
      <c r="J598">
        <f t="shared" si="525"/>
        <v>6.4849122883796861E+19</v>
      </c>
      <c r="K598">
        <f t="shared" si="526"/>
        <v>6.4849122883796861E+19</v>
      </c>
      <c r="L598">
        <f t="shared" si="481"/>
        <v>1</v>
      </c>
      <c r="M598">
        <f t="shared" si="478"/>
        <v>1.3791591749259191E-20</v>
      </c>
      <c r="N598" s="9">
        <f t="shared" si="527"/>
        <v>1.3791591749259191E-20</v>
      </c>
      <c r="O598">
        <f t="shared" si="528"/>
        <v>1.3791591749259191E-20</v>
      </c>
      <c r="Q598">
        <f t="shared" si="482"/>
        <v>45.618595059256123</v>
      </c>
      <c r="R598">
        <f t="shared" si="483"/>
        <v>-710542.73576010019</v>
      </c>
      <c r="S598">
        <f t="shared" si="505"/>
        <v>-45.730227839938479</v>
      </c>
      <c r="T598" s="9" t="e">
        <f t="shared" si="484"/>
        <v>#N/A</v>
      </c>
      <c r="U598">
        <f t="shared" si="506"/>
        <v>-1.0000000000000001E+300</v>
      </c>
      <c r="V598">
        <f t="shared" si="507"/>
        <v>0</v>
      </c>
      <c r="W598">
        <f t="shared" si="508"/>
        <v>0</v>
      </c>
      <c r="X598">
        <f t="shared" si="485"/>
        <v>1.3791591749259191</v>
      </c>
      <c r="Y598">
        <f t="shared" si="486"/>
        <v>7.8539816339744828</v>
      </c>
      <c r="Z598">
        <f t="shared" si="487"/>
        <v>-1.3791591749259191</v>
      </c>
      <c r="AA598">
        <f t="shared" si="509"/>
        <v>-0.26758181354680954</v>
      </c>
      <c r="AB598">
        <f t="shared" si="488"/>
        <v>7.5863998204276735</v>
      </c>
      <c r="AC598">
        <f t="shared" si="510"/>
        <v>-0.13010868534702039</v>
      </c>
      <c r="AD598">
        <f t="shared" si="489"/>
        <v>1.8475904664667069E-2</v>
      </c>
      <c r="AE598" s="9">
        <f t="shared" si="511"/>
        <v>7.4747670397453199</v>
      </c>
      <c r="AF598">
        <f t="shared" si="512"/>
        <v>0</v>
      </c>
      <c r="AH598">
        <f t="shared" si="490"/>
        <v>7.8539816339744828</v>
      </c>
      <c r="AI598">
        <f t="shared" si="491"/>
        <v>-0.26758181354680938</v>
      </c>
      <c r="AJ598">
        <f t="shared" si="492"/>
        <v>-0.13010868534701814</v>
      </c>
      <c r="AK598">
        <f t="shared" si="493"/>
        <v>1.8475904664667069E-2</v>
      </c>
      <c r="AL598" s="9">
        <f t="shared" si="513"/>
        <v>7.4747670397453225</v>
      </c>
      <c r="AM598" t="e">
        <f t="shared" si="494"/>
        <v>#N/A</v>
      </c>
      <c r="AN598" t="e">
        <f t="shared" si="514"/>
        <v>#N/A</v>
      </c>
      <c r="AO598">
        <f t="shared" si="495"/>
        <v>0</v>
      </c>
      <c r="AP598">
        <f t="shared" si="496"/>
        <v>0</v>
      </c>
      <c r="AQ598">
        <f t="shared" si="497"/>
        <v>2.248201624865942E-15</v>
      </c>
      <c r="AR598">
        <f t="shared" si="515"/>
        <v>0</v>
      </c>
      <c r="AS598">
        <f t="shared" si="498"/>
        <v>0</v>
      </c>
      <c r="AT598">
        <f t="shared" si="516"/>
        <v>0</v>
      </c>
      <c r="AU598">
        <f t="shared" si="517"/>
        <v>0</v>
      </c>
      <c r="AV598">
        <f t="shared" si="499"/>
        <v>1.3791591749259191E-20</v>
      </c>
      <c r="AW598" t="b">
        <f t="shared" si="518"/>
        <v>1</v>
      </c>
      <c r="AX598">
        <f t="shared" si="500"/>
        <v>7.8539816339744828</v>
      </c>
      <c r="AY598">
        <f t="shared" si="501"/>
        <v>-0.2675818135468096</v>
      </c>
      <c r="AZ598">
        <f t="shared" si="502"/>
        <v>-0.13010868534702039</v>
      </c>
      <c r="BA598">
        <f t="shared" si="503"/>
        <v>1.8475904664667184E-2</v>
      </c>
      <c r="BB598">
        <f t="shared" si="504"/>
        <v>-1.2337005501361696E-20</v>
      </c>
      <c r="BD598" s="15">
        <f t="shared" si="519"/>
        <v>7.4747670397453199</v>
      </c>
      <c r="BE598" s="10">
        <f t="shared" si="520"/>
        <v>0</v>
      </c>
      <c r="BF598">
        <f t="shared" si="521"/>
        <v>0</v>
      </c>
      <c r="BG598">
        <f t="shared" si="522"/>
        <v>0</v>
      </c>
      <c r="BH598">
        <f t="shared" si="523"/>
        <v>0</v>
      </c>
      <c r="BI598">
        <f t="shared" si="524"/>
        <v>0</v>
      </c>
    </row>
    <row r="599" spans="1:61" x14ac:dyDescent="0.3">
      <c r="A599">
        <f t="shared" si="529"/>
        <v>0.56200000000000006</v>
      </c>
      <c r="B599">
        <f t="shared" si="472"/>
        <v>1.7655750713174638</v>
      </c>
      <c r="C599">
        <f t="shared" si="473"/>
        <v>1.3760175822723293</v>
      </c>
      <c r="D599">
        <f t="shared" si="474"/>
        <v>1.3760175822723293</v>
      </c>
      <c r="E599">
        <f t="shared" si="479"/>
        <v>0.98109051744333409</v>
      </c>
      <c r="F599">
        <f t="shared" si="480"/>
        <v>0.98109051744333409</v>
      </c>
      <c r="G599">
        <f t="shared" si="475"/>
        <v>1.7655750713174638</v>
      </c>
      <c r="H599">
        <f t="shared" si="476"/>
        <v>0.98109051744333409</v>
      </c>
      <c r="I599">
        <f t="shared" si="477"/>
        <v>0.98109051744333409</v>
      </c>
      <c r="J599">
        <f t="shared" si="525"/>
        <v>6.4888994547269321E+19</v>
      </c>
      <c r="K599">
        <f t="shared" si="526"/>
        <v>6.4888994547269321E+19</v>
      </c>
      <c r="L599">
        <f t="shared" si="481"/>
        <v>1</v>
      </c>
      <c r="M599">
        <f t="shared" si="478"/>
        <v>1.3760175822723291E-20</v>
      </c>
      <c r="N599" s="9">
        <f t="shared" si="527"/>
        <v>1.3760175822723291E-20</v>
      </c>
      <c r="O599">
        <f t="shared" si="528"/>
        <v>1.3760175822723291E-20</v>
      </c>
      <c r="Q599">
        <f t="shared" si="482"/>
        <v>45.619209707680461</v>
      </c>
      <c r="R599">
        <f t="shared" si="483"/>
        <v>0</v>
      </c>
      <c r="S599">
        <f t="shared" si="505"/>
        <v>-45.732508342637203</v>
      </c>
      <c r="T599" s="9" t="e">
        <f t="shared" si="484"/>
        <v>#N/A</v>
      </c>
      <c r="U599">
        <f t="shared" si="506"/>
        <v>-1.0000000000000001E+300</v>
      </c>
      <c r="V599">
        <f t="shared" si="507"/>
        <v>0</v>
      </c>
      <c r="W599">
        <f t="shared" si="508"/>
        <v>0</v>
      </c>
      <c r="X599">
        <f t="shared" si="485"/>
        <v>1.3760175822723293</v>
      </c>
      <c r="Y599">
        <f t="shared" si="486"/>
        <v>7.8539816339744828</v>
      </c>
      <c r="Z599">
        <f t="shared" si="487"/>
        <v>-1.3760175822723293</v>
      </c>
      <c r="AA599">
        <f t="shared" si="509"/>
        <v>-0.27146065153241367</v>
      </c>
      <c r="AB599">
        <f t="shared" si="488"/>
        <v>7.5825209824420687</v>
      </c>
      <c r="AC599">
        <f t="shared" si="510"/>
        <v>-0.13238918804574573</v>
      </c>
      <c r="AD599">
        <f t="shared" si="489"/>
        <v>1.9090553089004089E-2</v>
      </c>
      <c r="AE599" s="9">
        <f t="shared" si="511"/>
        <v>7.469222347485327</v>
      </c>
      <c r="AF599">
        <f t="shared" si="512"/>
        <v>0</v>
      </c>
      <c r="AH599">
        <f t="shared" si="490"/>
        <v>7.8539816339744828</v>
      </c>
      <c r="AI599">
        <f t="shared" si="491"/>
        <v>-0.27146065153241355</v>
      </c>
      <c r="AJ599">
        <f t="shared" si="492"/>
        <v>-0.1323891880457424</v>
      </c>
      <c r="AK599">
        <f t="shared" si="493"/>
        <v>1.9090553089004089E-2</v>
      </c>
      <c r="AL599" s="9">
        <f t="shared" si="513"/>
        <v>7.4692223474853314</v>
      </c>
      <c r="AM599" t="e">
        <f t="shared" si="494"/>
        <v>#N/A</v>
      </c>
      <c r="AN599" t="e">
        <f t="shared" si="514"/>
        <v>#N/A</v>
      </c>
      <c r="AO599">
        <f t="shared" si="495"/>
        <v>0</v>
      </c>
      <c r="AP599">
        <f t="shared" si="496"/>
        <v>0</v>
      </c>
      <c r="AQ599">
        <f t="shared" si="497"/>
        <v>3.3306690738754696E-15</v>
      </c>
      <c r="AR599">
        <f t="shared" si="515"/>
        <v>0</v>
      </c>
      <c r="AS599">
        <f t="shared" si="498"/>
        <v>0</v>
      </c>
      <c r="AT599">
        <f t="shared" si="516"/>
        <v>0</v>
      </c>
      <c r="AU599">
        <f t="shared" si="517"/>
        <v>0</v>
      </c>
      <c r="AV599">
        <f t="shared" si="499"/>
        <v>1.3760175822723291E-20</v>
      </c>
      <c r="AW599" t="b">
        <f t="shared" si="518"/>
        <v>1</v>
      </c>
      <c r="AX599">
        <f t="shared" si="500"/>
        <v>7.8539816339744828</v>
      </c>
      <c r="AY599">
        <f t="shared" si="501"/>
        <v>-0.27146065153241367</v>
      </c>
      <c r="AZ599">
        <f t="shared" si="502"/>
        <v>-0.13238918804574573</v>
      </c>
      <c r="BA599">
        <f t="shared" si="503"/>
        <v>1.9090553089004089E-2</v>
      </c>
      <c r="BB599">
        <f t="shared" si="504"/>
        <v>-1.2337005501361696E-20</v>
      </c>
      <c r="BD599" s="15">
        <f t="shared" si="519"/>
        <v>7.469222347485327</v>
      </c>
      <c r="BE599" s="10">
        <f t="shared" si="520"/>
        <v>0</v>
      </c>
      <c r="BF599">
        <f t="shared" si="521"/>
        <v>0</v>
      </c>
      <c r="BG599">
        <f t="shared" si="522"/>
        <v>0</v>
      </c>
      <c r="BH599">
        <f t="shared" si="523"/>
        <v>0</v>
      </c>
      <c r="BI599">
        <f t="shared" si="524"/>
        <v>0</v>
      </c>
    </row>
    <row r="600" spans="1:61" x14ac:dyDescent="0.3">
      <c r="A600">
        <f t="shared" si="529"/>
        <v>0.56299999999999994</v>
      </c>
      <c r="B600">
        <f t="shared" ref="B600:B663" si="530">th_max*A600</f>
        <v>1.7687166639710534</v>
      </c>
      <c r="C600">
        <f t="shared" ref="C600:C663" si="531">th_max-B600</f>
        <v>1.3728759896187397</v>
      </c>
      <c r="D600">
        <f t="shared" ref="D600:D663" si="532">IF(use_th_l,B600,C600)</f>
        <v>1.3728759896187397</v>
      </c>
      <c r="E600">
        <f t="shared" si="479"/>
        <v>0.98047762337294442</v>
      </c>
      <c r="F600">
        <f t="shared" si="480"/>
        <v>0.98047762337294442</v>
      </c>
      <c r="G600">
        <f t="shared" ref="G600:G663" si="533">alpha*B600</f>
        <v>1.7687166639710534</v>
      </c>
      <c r="H600">
        <f t="shared" ref="H600:H663" si="534">SIN(G600)</f>
        <v>0.98047762337294442</v>
      </c>
      <c r="I600">
        <f t="shared" ref="I600:I663" si="535">SIN(alpha*C600+add_r)</f>
        <v>0.98047762337294442</v>
      </c>
      <c r="J600">
        <f t="shared" si="525"/>
        <v>6.4929556492839027E+19</v>
      </c>
      <c r="K600">
        <f t="shared" si="526"/>
        <v>6.4929556492839027E+19</v>
      </c>
      <c r="L600">
        <f t="shared" si="481"/>
        <v>1</v>
      </c>
      <c r="M600">
        <f t="shared" ref="M600:M663" si="536">-SIN((alpha_m_1)*B600+add_l)</f>
        <v>1.3728759896187397E-20</v>
      </c>
      <c r="N600" s="9">
        <f t="shared" si="527"/>
        <v>1.3728759896187397E-20</v>
      </c>
      <c r="O600">
        <f t="shared" si="528"/>
        <v>1.3728759896187397E-20</v>
      </c>
      <c r="Q600">
        <f t="shared" si="482"/>
        <v>45.619834609846826</v>
      </c>
      <c r="R600">
        <f t="shared" si="483"/>
        <v>-710542.73576010019</v>
      </c>
      <c r="S600">
        <f t="shared" si="505"/>
        <v>-45.734794057918059</v>
      </c>
      <c r="T600" s="9" t="e">
        <f t="shared" si="484"/>
        <v>#N/A</v>
      </c>
      <c r="U600">
        <f t="shared" si="506"/>
        <v>-1.0000000000000001E+300</v>
      </c>
      <c r="V600">
        <f t="shared" si="507"/>
        <v>0</v>
      </c>
      <c r="W600">
        <f t="shared" si="508"/>
        <v>0</v>
      </c>
      <c r="X600">
        <f t="shared" si="485"/>
        <v>1.3728759896187397</v>
      </c>
      <c r="Y600">
        <f t="shared" si="486"/>
        <v>7.8539816339744828</v>
      </c>
      <c r="Z600">
        <f t="shared" si="487"/>
        <v>-1.3728759896187397</v>
      </c>
      <c r="AA600">
        <f t="shared" si="509"/>
        <v>-0.2753245489998134</v>
      </c>
      <c r="AB600">
        <f t="shared" si="488"/>
        <v>7.5786570849746697</v>
      </c>
      <c r="AC600">
        <f t="shared" si="510"/>
        <v>-0.13467490332660145</v>
      </c>
      <c r="AD600">
        <f t="shared" si="489"/>
        <v>1.9715455255369163E-2</v>
      </c>
      <c r="AE600" s="9">
        <f t="shared" si="511"/>
        <v>7.4636976369034373</v>
      </c>
      <c r="AF600">
        <f t="shared" si="512"/>
        <v>0</v>
      </c>
      <c r="AH600">
        <f t="shared" si="490"/>
        <v>7.8539816339744828</v>
      </c>
      <c r="AI600">
        <f t="shared" si="491"/>
        <v>-0.2753245489998134</v>
      </c>
      <c r="AJ600">
        <f t="shared" si="492"/>
        <v>-0.13467490332659793</v>
      </c>
      <c r="AK600">
        <f t="shared" si="493"/>
        <v>1.9715455255369163E-2</v>
      </c>
      <c r="AL600" s="9">
        <f t="shared" si="513"/>
        <v>7.4636976369034409</v>
      </c>
      <c r="AM600" t="e">
        <f t="shared" si="494"/>
        <v>#N/A</v>
      </c>
      <c r="AN600" t="e">
        <f t="shared" si="514"/>
        <v>#N/A</v>
      </c>
      <c r="AO600">
        <f t="shared" si="495"/>
        <v>0</v>
      </c>
      <c r="AP600">
        <f t="shared" si="496"/>
        <v>0</v>
      </c>
      <c r="AQ600">
        <f t="shared" si="497"/>
        <v>3.524958103184872E-15</v>
      </c>
      <c r="AR600">
        <f t="shared" si="515"/>
        <v>0</v>
      </c>
      <c r="AS600">
        <f t="shared" si="498"/>
        <v>0</v>
      </c>
      <c r="AT600">
        <f t="shared" si="516"/>
        <v>0</v>
      </c>
      <c r="AU600">
        <f t="shared" si="517"/>
        <v>0</v>
      </c>
      <c r="AV600">
        <f t="shared" si="499"/>
        <v>1.3728759896187397E-20</v>
      </c>
      <c r="AW600" t="b">
        <f t="shared" si="518"/>
        <v>1</v>
      </c>
      <c r="AX600">
        <f t="shared" si="500"/>
        <v>7.8539816339744828</v>
      </c>
      <c r="AY600">
        <f t="shared" si="501"/>
        <v>-0.27532454899981351</v>
      </c>
      <c r="AZ600">
        <f t="shared" si="502"/>
        <v>-0.13467490332660134</v>
      </c>
      <c r="BA600">
        <f t="shared" si="503"/>
        <v>1.9715455255369163E-2</v>
      </c>
      <c r="BB600">
        <f t="shared" si="504"/>
        <v>-1.2337005501361696E-20</v>
      </c>
      <c r="BD600" s="15">
        <f t="shared" si="519"/>
        <v>7.4636976369034365</v>
      </c>
      <c r="BE600" s="10">
        <f t="shared" si="520"/>
        <v>0</v>
      </c>
      <c r="BF600">
        <f t="shared" si="521"/>
        <v>0</v>
      </c>
      <c r="BG600">
        <f t="shared" si="522"/>
        <v>0</v>
      </c>
      <c r="BH600">
        <f t="shared" si="523"/>
        <v>0</v>
      </c>
      <c r="BI600">
        <f t="shared" si="524"/>
        <v>0</v>
      </c>
    </row>
    <row r="601" spans="1:61" x14ac:dyDescent="0.3">
      <c r="A601">
        <f t="shared" si="529"/>
        <v>0.56399999999999995</v>
      </c>
      <c r="B601">
        <f t="shared" si="530"/>
        <v>1.7718582566246432</v>
      </c>
      <c r="C601">
        <f t="shared" si="531"/>
        <v>1.3697343969651499</v>
      </c>
      <c r="D601">
        <f t="shared" si="532"/>
        <v>1.3697343969651499</v>
      </c>
      <c r="E601">
        <f t="shared" ref="E601:E664" si="537">SIN(B601-add_l)</f>
        <v>0.97985505238424686</v>
      </c>
      <c r="F601">
        <f t="shared" ref="F601:F664" si="538">SIN(C601)</f>
        <v>0.97985505238424686</v>
      </c>
      <c r="G601">
        <f t="shared" si="533"/>
        <v>1.7718582566246432</v>
      </c>
      <c r="H601">
        <f t="shared" si="534"/>
        <v>0.97985505238424686</v>
      </c>
      <c r="I601">
        <f t="shared" si="535"/>
        <v>0.97985505238424686</v>
      </c>
      <c r="J601">
        <f t="shared" si="525"/>
        <v>6.4970810817224131E+19</v>
      </c>
      <c r="K601">
        <f t="shared" si="526"/>
        <v>6.4970810817224131E+19</v>
      </c>
      <c r="L601">
        <f t="shared" ref="L601:L664" si="539">(cat0*E601*K601)^(1/(alpha_m_1))</f>
        <v>1</v>
      </c>
      <c r="M601">
        <f t="shared" si="536"/>
        <v>1.3697343969651498E-20</v>
      </c>
      <c r="N601" s="9">
        <f t="shared" si="527"/>
        <v>1.3697343969651498E-20</v>
      </c>
      <c r="O601">
        <f t="shared" si="528"/>
        <v>1.3697343969651498E-20</v>
      </c>
      <c r="Q601">
        <f t="shared" ref="Q601:Q664" si="540">alpha*LN(J601)</f>
        <v>45.620469778578467</v>
      </c>
      <c r="R601">
        <f t="shared" ref="R601:R664" si="541">(LN(cat0)+LN(E601)+Q601)/(alpha_m_1)</f>
        <v>-710542.73576010019</v>
      </c>
      <c r="S601">
        <f t="shared" si="505"/>
        <v>-45.737085009664618</v>
      </c>
      <c r="T601" s="9" t="e">
        <f t="shared" ref="T601:T664" si="542">IF(ABS(alpha_m_1)&gt;0.00000000000001,R601+S601,NA())</f>
        <v>#N/A</v>
      </c>
      <c r="U601">
        <f t="shared" si="506"/>
        <v>-1.0000000000000001E+300</v>
      </c>
      <c r="V601">
        <f t="shared" si="507"/>
        <v>0</v>
      </c>
      <c r="W601">
        <f t="shared" si="508"/>
        <v>0</v>
      </c>
      <c r="X601">
        <f t="shared" ref="X601:X664" si="543">C601</f>
        <v>1.3697343969651499</v>
      </c>
      <c r="Y601">
        <f t="shared" ref="Y601:Y664" si="544">ea</f>
        <v>7.8539816339744828</v>
      </c>
      <c r="Z601">
        <f t="shared" ref="Z601:Z664" si="545">p2b+PI()/2-X601</f>
        <v>-1.3697343969651499</v>
      </c>
      <c r="AA601">
        <f t="shared" si="509"/>
        <v>-0.27917356660273818</v>
      </c>
      <c r="AB601">
        <f t="shared" ref="AB601:AB664" si="546">$AA$7+AA601</f>
        <v>7.5748080673717446</v>
      </c>
      <c r="AC601">
        <f t="shared" si="510"/>
        <v>-0.13696585507315742</v>
      </c>
      <c r="AD601">
        <f t="shared" ref="AD601:AD664" si="547">-LN(SIN(A601*PI()))</f>
        <v>2.0350623987010985E-2</v>
      </c>
      <c r="AE601" s="9">
        <f t="shared" si="511"/>
        <v>7.4581928362855985</v>
      </c>
      <c r="AF601">
        <f t="shared" si="512"/>
        <v>0</v>
      </c>
      <c r="AH601">
        <f t="shared" ref="AH601:AH664" si="548">IF(use_alpha_near_1,$D$18,NA())</f>
        <v>7.8539816339744828</v>
      </c>
      <c r="AI601">
        <f t="shared" ref="AI601:AI664" si="549">IF(use_alpha_near_1,alpha/(alpha_m_1)*(log1p(-SIN(add_l)*_xlfn.COT(B601)-2*SIN(add_l/2)^2)-log1p(SIN(alpha_m_1*B601)*_xlfn.COT(B601)-2*SIN(alpha_m_1*B601/2)^2)),NA())</f>
        <v>-0.27917356660273801</v>
      </c>
      <c r="AJ601">
        <f t="shared" ref="AJ601:AJ664" si="550">IF(use_alpha_near_1,$D$21+LN(M601),NA())</f>
        <v>-0.13696585507315717</v>
      </c>
      <c r="AK601">
        <f t="shared" ref="AK601:AK664" si="551">IF(use_alpha_near_1,-LN(E601),NA())</f>
        <v>2.0350623987010985E-2</v>
      </c>
      <c r="AL601" s="9">
        <f t="shared" si="513"/>
        <v>7.4581928362855985</v>
      </c>
      <c r="AM601" t="e">
        <f t="shared" ref="AM601:AM664" si="552">AL601-T601</f>
        <v>#N/A</v>
      </c>
      <c r="AN601" t="e">
        <f t="shared" si="514"/>
        <v>#N/A</v>
      </c>
      <c r="AO601">
        <f t="shared" ref="AO601:AO664" si="553">AH601-Y601</f>
        <v>0</v>
      </c>
      <c r="AP601">
        <f t="shared" ref="AP601:AP664" si="554">AI601-AA601</f>
        <v>0</v>
      </c>
      <c r="AQ601">
        <f t="shared" ref="AQ601:AQ664" si="555">AJ601-AC601</f>
        <v>2.4980018054066022E-16</v>
      </c>
      <c r="AR601">
        <f t="shared" si="515"/>
        <v>0</v>
      </c>
      <c r="AS601">
        <f t="shared" ref="AS601:AS664" si="556">AL601-AE601</f>
        <v>0</v>
      </c>
      <c r="AT601">
        <f t="shared" si="516"/>
        <v>0</v>
      </c>
      <c r="AU601">
        <f t="shared" si="517"/>
        <v>0</v>
      </c>
      <c r="AV601">
        <f t="shared" ref="AV601:AV664" si="557">alpha_m_1*C601+add_r</f>
        <v>1.3697343969651498E-20</v>
      </c>
      <c r="AW601" t="b">
        <f t="shared" si="518"/>
        <v>1</v>
      </c>
      <c r="AX601">
        <f t="shared" ref="AX601:AX664" si="558">IF(use_alpha_near_1,$D$18,NA())</f>
        <v>7.8539816339744828</v>
      </c>
      <c r="AY601">
        <f t="shared" ref="AY601:AY664" si="559">-alpha/alpha_m_1*log1p(_xlfn.COT(C601)*SIN(AV601)-2*SIN(AV601/2)^2)</f>
        <v>-0.27917356660273823</v>
      </c>
      <c r="AZ601">
        <f t="shared" ref="AZ601:AZ664" si="560">LN(ABS(zeta)*SIN(AV601))</f>
        <v>-0.13696585507315731</v>
      </c>
      <c r="BA601">
        <f t="shared" ref="BA601:BA664" si="561">-LN(SIN(C601))</f>
        <v>2.0350623987010985E-2</v>
      </c>
      <c r="BB601">
        <f t="shared" ref="BB601:BB664" si="562">-log1p(zeta^-2)/(2*alpha_m_1)</f>
        <v>-1.2337005501361696E-20</v>
      </c>
      <c r="BD601" s="15">
        <f t="shared" si="519"/>
        <v>7.4581928362855985</v>
      </c>
      <c r="BE601" s="10">
        <f t="shared" si="520"/>
        <v>0</v>
      </c>
      <c r="BF601">
        <f t="shared" si="521"/>
        <v>0</v>
      </c>
      <c r="BG601">
        <f t="shared" si="522"/>
        <v>0</v>
      </c>
      <c r="BH601">
        <f t="shared" si="523"/>
        <v>0</v>
      </c>
      <c r="BI601">
        <f t="shared" si="524"/>
        <v>0</v>
      </c>
    </row>
    <row r="602" spans="1:61" x14ac:dyDescent="0.3">
      <c r="A602">
        <f t="shared" si="529"/>
        <v>0.56499999999999995</v>
      </c>
      <c r="B602">
        <f t="shared" si="530"/>
        <v>1.7749998492782328</v>
      </c>
      <c r="C602">
        <f t="shared" si="531"/>
        <v>1.3665928043115603</v>
      </c>
      <c r="D602">
        <f t="shared" si="532"/>
        <v>1.3665928043115603</v>
      </c>
      <c r="E602">
        <f t="shared" si="537"/>
        <v>0.97922281062176586</v>
      </c>
      <c r="F602">
        <f t="shared" si="538"/>
        <v>0.97922281062176586</v>
      </c>
      <c r="G602">
        <f t="shared" si="533"/>
        <v>1.7749998492782328</v>
      </c>
      <c r="H602">
        <f t="shared" si="534"/>
        <v>0.97922281062176586</v>
      </c>
      <c r="I602">
        <f t="shared" si="535"/>
        <v>0.97922281062176586</v>
      </c>
      <c r="J602">
        <f t="shared" si="525"/>
        <v>6.5012759656135287E+19</v>
      </c>
      <c r="K602">
        <f t="shared" si="526"/>
        <v>6.5012759656135287E+19</v>
      </c>
      <c r="L602">
        <f t="shared" si="539"/>
        <v>1</v>
      </c>
      <c r="M602">
        <f t="shared" si="536"/>
        <v>1.3665928043115601E-20</v>
      </c>
      <c r="N602" s="9">
        <f t="shared" si="527"/>
        <v>1.3665928043115601E-20</v>
      </c>
      <c r="O602">
        <f t="shared" si="528"/>
        <v>1.3665928043115601E-20</v>
      </c>
      <c r="Q602">
        <f t="shared" si="540"/>
        <v>45.621115226925745</v>
      </c>
      <c r="R602">
        <f t="shared" si="541"/>
        <v>0</v>
      </c>
      <c r="S602">
        <f t="shared" ref="S602:S665" si="563">LN(M602)</f>
        <v>-45.739381221924965</v>
      </c>
      <c r="T602" s="9" t="e">
        <f t="shared" si="542"/>
        <v>#N/A</v>
      </c>
      <c r="U602">
        <f t="shared" ref="U602:U665" si="564">IFERROR(T602-EXP(T602),-1E+300)</f>
        <v>-1.0000000000000001E+300</v>
      </c>
      <c r="V602">
        <f t="shared" ref="V602:V665" si="565">EXP(U602)</f>
        <v>0</v>
      </c>
      <c r="W602">
        <f t="shared" ref="W602:W665" si="566">IFERROR(T602-LN(N602),0)</f>
        <v>0</v>
      </c>
      <c r="X602">
        <f t="shared" si="543"/>
        <v>1.3665928043115603</v>
      </c>
      <c r="Y602">
        <f t="shared" si="544"/>
        <v>7.8539816339744828</v>
      </c>
      <c r="Z602">
        <f t="shared" si="545"/>
        <v>-1.3665928043115603</v>
      </c>
      <c r="AA602">
        <f t="shared" ref="AA602:AA665" si="567">Z602*TAN(PI()/2-X602)</f>
        <v>-0.28300776455978194</v>
      </c>
      <c r="AB602">
        <f t="shared" si="546"/>
        <v>7.5709738694147006</v>
      </c>
      <c r="AC602">
        <f t="shared" ref="AC602:AC665" si="568">LN(Z602/$AA$6)</f>
        <v>-0.13926206733350741</v>
      </c>
      <c r="AD602">
        <f t="shared" si="547"/>
        <v>2.0996072334286374E-2</v>
      </c>
      <c r="AE602" s="9">
        <f t="shared" ref="AE602:AE665" si="569">AB602+AC602+AD602</f>
        <v>7.4527078744154798</v>
      </c>
      <c r="AF602">
        <f t="shared" ref="AF602:AF665" si="570">IFERROR(EXP(AE602)*EXP(-EXP(AE602)),0)</f>
        <v>0</v>
      </c>
      <c r="AH602">
        <f t="shared" si="548"/>
        <v>7.8539816339744828</v>
      </c>
      <c r="AI602">
        <f t="shared" si="549"/>
        <v>-0.28300776455978188</v>
      </c>
      <c r="AJ602">
        <f t="shared" si="550"/>
        <v>-0.13926206733350455</v>
      </c>
      <c r="AK602">
        <f t="shared" si="551"/>
        <v>2.0996072334286374E-2</v>
      </c>
      <c r="AL602" s="9">
        <f t="shared" ref="AL602:AL665" si="571">SUM(AH602:AK602)</f>
        <v>7.4527078744154824</v>
      </c>
      <c r="AM602" t="e">
        <f t="shared" si="552"/>
        <v>#N/A</v>
      </c>
      <c r="AN602" t="e">
        <f t="shared" ref="AN602:AN665" si="572">AM602/AL602</f>
        <v>#N/A</v>
      </c>
      <c r="AO602">
        <f t="shared" si="553"/>
        <v>0</v>
      </c>
      <c r="AP602">
        <f t="shared" si="554"/>
        <v>0</v>
      </c>
      <c r="AQ602">
        <f t="shared" si="555"/>
        <v>2.8588242884097781E-15</v>
      </c>
      <c r="AR602">
        <f t="shared" ref="AR602:AR665" si="573">AP602/AI602</f>
        <v>0</v>
      </c>
      <c r="AS602">
        <f t="shared" si="556"/>
        <v>0</v>
      </c>
      <c r="AT602">
        <f t="shared" ref="AT602:AT665" si="574">AS602/AL602</f>
        <v>0</v>
      </c>
      <c r="AU602">
        <f t="shared" ref="AU602:AU665" si="575">IFERROR(EXP(AL602)*EXP(-EXP(AL602)),0)</f>
        <v>0</v>
      </c>
      <c r="AV602">
        <f t="shared" si="557"/>
        <v>1.3665928043115601E-20</v>
      </c>
      <c r="AW602" t="b">
        <f t="shared" ref="AW602:AW665" si="576">(ABS(_xlfn.COT(C602)*SIN(AV602))&lt;0.00000001)</f>
        <v>1</v>
      </c>
      <c r="AX602">
        <f t="shared" si="558"/>
        <v>7.8539816339744828</v>
      </c>
      <c r="AY602">
        <f t="shared" si="559"/>
        <v>-0.28300776455978199</v>
      </c>
      <c r="AZ602">
        <f t="shared" si="560"/>
        <v>-0.13926206733350752</v>
      </c>
      <c r="BA602">
        <f t="shared" si="561"/>
        <v>2.0996072334286374E-2</v>
      </c>
      <c r="BB602">
        <f t="shared" si="562"/>
        <v>-1.2337005501361696E-20</v>
      </c>
      <c r="BD602" s="15">
        <f t="shared" ref="BD602:BD665" si="577">SUM(AX602:BB602)</f>
        <v>7.4527078744154798</v>
      </c>
      <c r="BE602" s="10">
        <f t="shared" ref="BE602:BE665" si="578">BD602-AL602</f>
        <v>0</v>
      </c>
      <c r="BF602">
        <f t="shared" ref="BF602:BF665" si="579">BD602-AE602</f>
        <v>0</v>
      </c>
      <c r="BG602">
        <f t="shared" ref="BG602:BG665" si="580">AX602-Y602</f>
        <v>0</v>
      </c>
      <c r="BH602">
        <f t="shared" ref="BH602:BH665" si="581">AY602-AA602</f>
        <v>0</v>
      </c>
      <c r="BI602">
        <f t="shared" ref="BI602:BI665" si="582">AZ602-AC602</f>
        <v>0</v>
      </c>
    </row>
    <row r="603" spans="1:61" x14ac:dyDescent="0.3">
      <c r="A603">
        <f t="shared" si="529"/>
        <v>0.56599999999999995</v>
      </c>
      <c r="B603">
        <f t="shared" si="530"/>
        <v>1.7781414419318227</v>
      </c>
      <c r="C603">
        <f t="shared" si="531"/>
        <v>1.3634512116579705</v>
      </c>
      <c r="D603">
        <f t="shared" si="532"/>
        <v>1.3634512116579705</v>
      </c>
      <c r="E603">
        <f t="shared" si="537"/>
        <v>0.97858090432547218</v>
      </c>
      <c r="F603">
        <f t="shared" si="538"/>
        <v>0.97858090432547218</v>
      </c>
      <c r="G603">
        <f t="shared" si="533"/>
        <v>1.7781414419318227</v>
      </c>
      <c r="H603">
        <f t="shared" si="534"/>
        <v>0.97858090432547218</v>
      </c>
      <c r="I603">
        <f t="shared" si="535"/>
        <v>0.97858090432547218</v>
      </c>
      <c r="J603">
        <f t="shared" si="525"/>
        <v>6.5055405184551215E+19</v>
      </c>
      <c r="K603">
        <f t="shared" si="526"/>
        <v>6.5055405184551215E+19</v>
      </c>
      <c r="L603">
        <f t="shared" si="539"/>
        <v>1</v>
      </c>
      <c r="M603">
        <f t="shared" si="536"/>
        <v>1.3634512116579705E-20</v>
      </c>
      <c r="N603" s="9">
        <f t="shared" si="527"/>
        <v>1.3634512116579705E-20</v>
      </c>
      <c r="O603">
        <f t="shared" si="528"/>
        <v>1.3634512116579705E-20</v>
      </c>
      <c r="Q603">
        <f t="shared" si="540"/>
        <v>45.621770968167212</v>
      </c>
      <c r="R603">
        <f t="shared" si="541"/>
        <v>0</v>
      </c>
      <c r="S603">
        <f t="shared" si="563"/>
        <v>-45.741682718913246</v>
      </c>
      <c r="T603" s="9" t="e">
        <f t="shared" si="542"/>
        <v>#N/A</v>
      </c>
      <c r="U603">
        <f t="shared" si="564"/>
        <v>-1.0000000000000001E+300</v>
      </c>
      <c r="V603">
        <f t="shared" si="565"/>
        <v>0</v>
      </c>
      <c r="W603">
        <f t="shared" si="566"/>
        <v>0</v>
      </c>
      <c r="X603">
        <f t="shared" si="543"/>
        <v>1.3634512116579705</v>
      </c>
      <c r="Y603">
        <f t="shared" si="544"/>
        <v>7.8539816339744828</v>
      </c>
      <c r="Z603">
        <f t="shared" si="545"/>
        <v>-1.3634512116579705</v>
      </c>
      <c r="AA603">
        <f t="shared" si="567"/>
        <v>-0.28682720265815737</v>
      </c>
      <c r="AB603">
        <f t="shared" si="546"/>
        <v>7.5671544313163253</v>
      </c>
      <c r="AC603">
        <f t="shared" si="568"/>
        <v>-0.14156356432178677</v>
      </c>
      <c r="AD603">
        <f t="shared" si="547"/>
        <v>2.1651813575754433E-2</v>
      </c>
      <c r="AE603" s="9">
        <f t="shared" si="569"/>
        <v>7.4472426805702927</v>
      </c>
      <c r="AF603">
        <f t="shared" si="570"/>
        <v>0</v>
      </c>
      <c r="AH603">
        <f t="shared" si="548"/>
        <v>7.8539816339744828</v>
      </c>
      <c r="AI603">
        <f t="shared" si="549"/>
        <v>-0.28682720265815731</v>
      </c>
      <c r="AJ603">
        <f t="shared" si="550"/>
        <v>-0.14156356432178541</v>
      </c>
      <c r="AK603">
        <f t="shared" si="551"/>
        <v>2.1651813575754433E-2</v>
      </c>
      <c r="AL603" s="9">
        <f t="shared" si="571"/>
        <v>7.4472426805702945</v>
      </c>
      <c r="AM603" t="e">
        <f t="shared" si="552"/>
        <v>#N/A</v>
      </c>
      <c r="AN603" t="e">
        <f t="shared" si="572"/>
        <v>#N/A</v>
      </c>
      <c r="AO603">
        <f t="shared" si="553"/>
        <v>0</v>
      </c>
      <c r="AP603">
        <f t="shared" si="554"/>
        <v>0</v>
      </c>
      <c r="AQ603">
        <f t="shared" si="555"/>
        <v>1.3600232051658168E-15</v>
      </c>
      <c r="AR603">
        <f t="shared" si="573"/>
        <v>0</v>
      </c>
      <c r="AS603">
        <f t="shared" si="556"/>
        <v>0</v>
      </c>
      <c r="AT603">
        <f t="shared" si="574"/>
        <v>0</v>
      </c>
      <c r="AU603">
        <f t="shared" si="575"/>
        <v>0</v>
      </c>
      <c r="AV603">
        <f t="shared" si="557"/>
        <v>1.3634512116579705E-20</v>
      </c>
      <c r="AW603" t="b">
        <f t="shared" si="576"/>
        <v>1</v>
      </c>
      <c r="AX603">
        <f t="shared" si="558"/>
        <v>7.8539816339744828</v>
      </c>
      <c r="AY603">
        <f t="shared" si="559"/>
        <v>-0.28682720265815742</v>
      </c>
      <c r="AZ603">
        <f t="shared" si="560"/>
        <v>-0.14156356432178663</v>
      </c>
      <c r="BA603">
        <f t="shared" si="561"/>
        <v>2.1651813575754433E-2</v>
      </c>
      <c r="BB603">
        <f t="shared" si="562"/>
        <v>-1.2337005501361696E-20</v>
      </c>
      <c r="BD603" s="15">
        <f t="shared" si="577"/>
        <v>7.4472426805702936</v>
      </c>
      <c r="BE603" s="10">
        <f t="shared" si="578"/>
        <v>0</v>
      </c>
      <c r="BF603">
        <f t="shared" si="579"/>
        <v>0</v>
      </c>
      <c r="BG603">
        <f t="shared" si="580"/>
        <v>0</v>
      </c>
      <c r="BH603">
        <f t="shared" si="581"/>
        <v>0</v>
      </c>
      <c r="BI603">
        <f t="shared" si="582"/>
        <v>0</v>
      </c>
    </row>
    <row r="604" spans="1:61" x14ac:dyDescent="0.3">
      <c r="A604">
        <f t="shared" si="529"/>
        <v>0.56699999999999995</v>
      </c>
      <c r="B604">
        <f t="shared" si="530"/>
        <v>1.7812830345854125</v>
      </c>
      <c r="C604">
        <f t="shared" si="531"/>
        <v>1.3603096190043806</v>
      </c>
      <c r="D604">
        <f t="shared" si="532"/>
        <v>1.3603096190043806</v>
      </c>
      <c r="E604">
        <f t="shared" si="537"/>
        <v>0.97792933983072183</v>
      </c>
      <c r="F604">
        <f t="shared" si="538"/>
        <v>0.97792933983072183</v>
      </c>
      <c r="G604">
        <f t="shared" si="533"/>
        <v>1.7812830345854125</v>
      </c>
      <c r="H604">
        <f t="shared" si="534"/>
        <v>0.97792933983072183</v>
      </c>
      <c r="I604">
        <f t="shared" si="535"/>
        <v>0.97792933983072183</v>
      </c>
      <c r="J604">
        <f t="shared" si="525"/>
        <v>6.5098749616999875E+19</v>
      </c>
      <c r="K604">
        <f t="shared" si="526"/>
        <v>6.5098749616999875E+19</v>
      </c>
      <c r="L604">
        <f t="shared" si="539"/>
        <v>1</v>
      </c>
      <c r="M604">
        <f t="shared" si="536"/>
        <v>1.3603096190043805E-20</v>
      </c>
      <c r="N604" s="9">
        <f t="shared" si="527"/>
        <v>1.3603096190043805E-20</v>
      </c>
      <c r="O604">
        <f t="shared" si="528"/>
        <v>1.3603096190043805E-20</v>
      </c>
      <c r="Q604">
        <f t="shared" si="540"/>
        <v>45.622437015810753</v>
      </c>
      <c r="R604">
        <f t="shared" si="541"/>
        <v>0</v>
      </c>
      <c r="S604">
        <f t="shared" si="563"/>
        <v>-45.743989525011159</v>
      </c>
      <c r="T604" s="9" t="e">
        <f t="shared" si="542"/>
        <v>#N/A</v>
      </c>
      <c r="U604">
        <f t="shared" si="564"/>
        <v>-1.0000000000000001E+300</v>
      </c>
      <c r="V604">
        <f t="shared" si="565"/>
        <v>0</v>
      </c>
      <c r="W604">
        <f t="shared" si="566"/>
        <v>0</v>
      </c>
      <c r="X604">
        <f t="shared" si="543"/>
        <v>1.3603096190043806</v>
      </c>
      <c r="Y604">
        <f t="shared" si="544"/>
        <v>7.8539816339744828</v>
      </c>
      <c r="Z604">
        <f t="shared" si="545"/>
        <v>-1.3603096190043806</v>
      </c>
      <c r="AA604">
        <f t="shared" si="567"/>
        <v>-0.29063194025740452</v>
      </c>
      <c r="AB604">
        <f t="shared" si="546"/>
        <v>7.5633496937170781</v>
      </c>
      <c r="AC604">
        <f t="shared" si="568"/>
        <v>-0.14387037041970177</v>
      </c>
      <c r="AD604">
        <f t="shared" si="547"/>
        <v>2.2317861219290872E-2</v>
      </c>
      <c r="AE604" s="9">
        <f t="shared" si="569"/>
        <v>7.4417971845166671</v>
      </c>
      <c r="AF604">
        <f t="shared" si="570"/>
        <v>0</v>
      </c>
      <c r="AH604">
        <f t="shared" si="548"/>
        <v>7.8539816339744828</v>
      </c>
      <c r="AI604">
        <f t="shared" si="549"/>
        <v>-0.29063194025740441</v>
      </c>
      <c r="AJ604">
        <f t="shared" si="550"/>
        <v>-0.14387037041969819</v>
      </c>
      <c r="AK604">
        <f t="shared" si="551"/>
        <v>2.2317861219290872E-2</v>
      </c>
      <c r="AL604" s="9">
        <f t="shared" si="571"/>
        <v>7.4417971845166706</v>
      </c>
      <c r="AM604" t="e">
        <f t="shared" si="552"/>
        <v>#N/A</v>
      </c>
      <c r="AN604" t="e">
        <f t="shared" si="572"/>
        <v>#N/A</v>
      </c>
      <c r="AO604">
        <f t="shared" si="553"/>
        <v>0</v>
      </c>
      <c r="AP604">
        <f t="shared" si="554"/>
        <v>0</v>
      </c>
      <c r="AQ604">
        <f t="shared" si="555"/>
        <v>3.5804692544161298E-15</v>
      </c>
      <c r="AR604">
        <f t="shared" si="573"/>
        <v>0</v>
      </c>
      <c r="AS604">
        <f t="shared" si="556"/>
        <v>0</v>
      </c>
      <c r="AT604">
        <f t="shared" si="574"/>
        <v>0</v>
      </c>
      <c r="AU604">
        <f t="shared" si="575"/>
        <v>0</v>
      </c>
      <c r="AV604">
        <f t="shared" si="557"/>
        <v>1.3603096190043805E-20</v>
      </c>
      <c r="AW604" t="b">
        <f t="shared" si="576"/>
        <v>1</v>
      </c>
      <c r="AX604">
        <f t="shared" si="558"/>
        <v>7.8539816339744828</v>
      </c>
      <c r="AY604">
        <f t="shared" si="559"/>
        <v>-0.29063194025740458</v>
      </c>
      <c r="AZ604">
        <f t="shared" si="560"/>
        <v>-0.14387037041970177</v>
      </c>
      <c r="BA604">
        <f t="shared" si="561"/>
        <v>2.2317861219290872E-2</v>
      </c>
      <c r="BB604">
        <f t="shared" si="562"/>
        <v>-1.2337005501361696E-20</v>
      </c>
      <c r="BD604" s="15">
        <f t="shared" si="577"/>
        <v>7.4417971845166671</v>
      </c>
      <c r="BE604" s="10">
        <f t="shared" si="578"/>
        <v>0</v>
      </c>
      <c r="BF604">
        <f t="shared" si="579"/>
        <v>0</v>
      </c>
      <c r="BG604">
        <f t="shared" si="580"/>
        <v>0</v>
      </c>
      <c r="BH604">
        <f t="shared" si="581"/>
        <v>0</v>
      </c>
      <c r="BI604">
        <f t="shared" si="582"/>
        <v>0</v>
      </c>
    </row>
    <row r="605" spans="1:61" x14ac:dyDescent="0.3">
      <c r="A605">
        <f t="shared" si="529"/>
        <v>0.56799999999999995</v>
      </c>
      <c r="B605">
        <f t="shared" si="530"/>
        <v>1.7844246272390023</v>
      </c>
      <c r="C605">
        <f t="shared" si="531"/>
        <v>1.3571680263507908</v>
      </c>
      <c r="D605">
        <f t="shared" si="532"/>
        <v>1.3571680263507908</v>
      </c>
      <c r="E605">
        <f t="shared" si="537"/>
        <v>0.97726812356819348</v>
      </c>
      <c r="F605">
        <f t="shared" si="538"/>
        <v>0.97726812356819348</v>
      </c>
      <c r="G605">
        <f t="shared" si="533"/>
        <v>1.7844246272390023</v>
      </c>
      <c r="H605">
        <f t="shared" si="534"/>
        <v>0.97726812356819348</v>
      </c>
      <c r="I605">
        <f t="shared" si="535"/>
        <v>0.97726812356819348</v>
      </c>
      <c r="J605">
        <f t="shared" si="525"/>
        <v>6.5142795207845364E+19</v>
      </c>
      <c r="K605">
        <f t="shared" si="526"/>
        <v>6.5142795207845364E+19</v>
      </c>
      <c r="L605">
        <f t="shared" si="539"/>
        <v>1</v>
      </c>
      <c r="M605">
        <f t="shared" si="536"/>
        <v>1.3571680263507908E-20</v>
      </c>
      <c r="N605" s="9">
        <f t="shared" si="527"/>
        <v>1.3571680263507908E-20</v>
      </c>
      <c r="O605">
        <f t="shared" si="528"/>
        <v>1.3571680263507908E-20</v>
      </c>
      <c r="Q605">
        <f t="shared" si="540"/>
        <v>45.623113383594685</v>
      </c>
      <c r="R605">
        <f t="shared" si="541"/>
        <v>0</v>
      </c>
      <c r="S605">
        <f t="shared" si="563"/>
        <v>-45.74630166476954</v>
      </c>
      <c r="T605" s="9" t="e">
        <f t="shared" si="542"/>
        <v>#N/A</v>
      </c>
      <c r="U605">
        <f t="shared" si="564"/>
        <v>-1.0000000000000001E+300</v>
      </c>
      <c r="V605">
        <f t="shared" si="565"/>
        <v>0</v>
      </c>
      <c r="W605">
        <f t="shared" si="566"/>
        <v>0</v>
      </c>
      <c r="X605">
        <f t="shared" si="543"/>
        <v>1.3571680263507908</v>
      </c>
      <c r="Y605">
        <f t="shared" si="544"/>
        <v>7.8539816339744828</v>
      </c>
      <c r="Z605">
        <f t="shared" si="545"/>
        <v>-1.3571680263507908</v>
      </c>
      <c r="AA605">
        <f t="shared" si="567"/>
        <v>-0.29442203629306457</v>
      </c>
      <c r="AB605">
        <f t="shared" si="546"/>
        <v>7.5595595976814183</v>
      </c>
      <c r="AC605">
        <f t="shared" si="568"/>
        <v>-0.14618251017808132</v>
      </c>
      <c r="AD605">
        <f t="shared" si="547"/>
        <v>2.2994229003224367E-2</v>
      </c>
      <c r="AE605" s="9">
        <f t="shared" si="569"/>
        <v>7.4363713165065608</v>
      </c>
      <c r="AF605">
        <f t="shared" si="570"/>
        <v>0</v>
      </c>
      <c r="AH605">
        <f t="shared" si="548"/>
        <v>7.8539816339744828</v>
      </c>
      <c r="AI605">
        <f t="shared" si="549"/>
        <v>-0.29442203629306457</v>
      </c>
      <c r="AJ605">
        <f t="shared" si="550"/>
        <v>-0.14618251017807893</v>
      </c>
      <c r="AK605">
        <f t="shared" si="551"/>
        <v>2.2994229003224367E-2</v>
      </c>
      <c r="AL605" s="9">
        <f t="shared" si="571"/>
        <v>7.4363713165065635</v>
      </c>
      <c r="AM605" t="e">
        <f t="shared" si="552"/>
        <v>#N/A</v>
      </c>
      <c r="AN605" t="e">
        <f t="shared" si="572"/>
        <v>#N/A</v>
      </c>
      <c r="AO605">
        <f t="shared" si="553"/>
        <v>0</v>
      </c>
      <c r="AP605">
        <f t="shared" si="554"/>
        <v>0</v>
      </c>
      <c r="AQ605">
        <f t="shared" si="555"/>
        <v>2.3869795029440866E-15</v>
      </c>
      <c r="AR605">
        <f t="shared" si="573"/>
        <v>0</v>
      </c>
      <c r="AS605">
        <f t="shared" si="556"/>
        <v>0</v>
      </c>
      <c r="AT605">
        <f t="shared" si="574"/>
        <v>0</v>
      </c>
      <c r="AU605">
        <f t="shared" si="575"/>
        <v>0</v>
      </c>
      <c r="AV605">
        <f t="shared" si="557"/>
        <v>1.3571680263507908E-20</v>
      </c>
      <c r="AW605" t="b">
        <f t="shared" si="576"/>
        <v>1</v>
      </c>
      <c r="AX605">
        <f t="shared" si="558"/>
        <v>7.8539816339744828</v>
      </c>
      <c r="AY605">
        <f t="shared" si="559"/>
        <v>-0.29442203629306468</v>
      </c>
      <c r="AZ605">
        <f t="shared" si="560"/>
        <v>-0.14618251017808118</v>
      </c>
      <c r="BA605">
        <f t="shared" si="561"/>
        <v>2.2994229003224367E-2</v>
      </c>
      <c r="BB605">
        <f t="shared" si="562"/>
        <v>-1.2337005501361696E-20</v>
      </c>
      <c r="BD605" s="15">
        <f t="shared" si="577"/>
        <v>7.4363713165065608</v>
      </c>
      <c r="BE605" s="10">
        <f t="shared" si="578"/>
        <v>0</v>
      </c>
      <c r="BF605">
        <f t="shared" si="579"/>
        <v>0</v>
      </c>
      <c r="BG605">
        <f t="shared" si="580"/>
        <v>0</v>
      </c>
      <c r="BH605">
        <f t="shared" si="581"/>
        <v>0</v>
      </c>
      <c r="BI605">
        <f t="shared" si="582"/>
        <v>0</v>
      </c>
    </row>
    <row r="606" spans="1:61" x14ac:dyDescent="0.3">
      <c r="A606">
        <f t="shared" si="529"/>
        <v>0.56899999999999995</v>
      </c>
      <c r="B606">
        <f t="shared" si="530"/>
        <v>1.7875662198925921</v>
      </c>
      <c r="C606">
        <f t="shared" si="531"/>
        <v>1.354026433697201</v>
      </c>
      <c r="D606">
        <f t="shared" si="532"/>
        <v>1.354026433697201</v>
      </c>
      <c r="E606">
        <f t="shared" si="537"/>
        <v>0.97659726206382458</v>
      </c>
      <c r="F606">
        <f t="shared" si="538"/>
        <v>0.97659726206382458</v>
      </c>
      <c r="G606">
        <f t="shared" si="533"/>
        <v>1.7875662198925921</v>
      </c>
      <c r="H606">
        <f t="shared" si="534"/>
        <v>0.97659726206382458</v>
      </c>
      <c r="I606">
        <f t="shared" si="535"/>
        <v>0.97659726206382458</v>
      </c>
      <c r="J606">
        <f t="shared" si="525"/>
        <v>6.5187544251580727E+19</v>
      </c>
      <c r="K606">
        <f t="shared" si="526"/>
        <v>6.5187544251580727E+19</v>
      </c>
      <c r="L606" t="e">
        <f t="shared" si="539"/>
        <v>#NUM!</v>
      </c>
      <c r="M606">
        <f t="shared" si="536"/>
        <v>1.3540264336972009E-20</v>
      </c>
      <c r="N606" s="9" t="e">
        <f t="shared" si="527"/>
        <v>#NUM!</v>
      </c>
      <c r="O606" t="e">
        <f t="shared" si="528"/>
        <v>#NUM!</v>
      </c>
      <c r="Q606">
        <f t="shared" si="540"/>
        <v>45.623800085488952</v>
      </c>
      <c r="R606">
        <f t="shared" si="541"/>
        <v>-710542.73576010019</v>
      </c>
      <c r="S606">
        <f t="shared" si="563"/>
        <v>-45.748619162909904</v>
      </c>
      <c r="T606" s="9" t="e">
        <f t="shared" si="542"/>
        <v>#N/A</v>
      </c>
      <c r="U606">
        <f t="shared" si="564"/>
        <v>-1.0000000000000001E+300</v>
      </c>
      <c r="V606">
        <f t="shared" si="565"/>
        <v>0</v>
      </c>
      <c r="W606">
        <f t="shared" si="566"/>
        <v>0</v>
      </c>
      <c r="X606">
        <f t="shared" si="543"/>
        <v>1.354026433697201</v>
      </c>
      <c r="Y606">
        <f t="shared" si="544"/>
        <v>7.8539816339744828</v>
      </c>
      <c r="Z606">
        <f t="shared" si="545"/>
        <v>-1.354026433697201</v>
      </c>
      <c r="AA606">
        <f t="shared" si="567"/>
        <v>-0.29819754928031261</v>
      </c>
      <c r="AB606">
        <f t="shared" si="546"/>
        <v>7.55578408469417</v>
      </c>
      <c r="AC606">
        <f t="shared" si="568"/>
        <v>-0.14850000831844384</v>
      </c>
      <c r="AD606">
        <f t="shared" si="547"/>
        <v>2.3680930897494824E-2</v>
      </c>
      <c r="AE606" s="9">
        <f t="shared" si="569"/>
        <v>7.4309650072732207</v>
      </c>
      <c r="AF606">
        <f t="shared" si="570"/>
        <v>0</v>
      </c>
      <c r="AH606">
        <f t="shared" si="548"/>
        <v>7.8539816339744828</v>
      </c>
      <c r="AI606">
        <f t="shared" si="549"/>
        <v>-0.2981975492803125</v>
      </c>
      <c r="AJ606">
        <f t="shared" si="550"/>
        <v>-0.14850000831844312</v>
      </c>
      <c r="AK606">
        <f t="shared" si="551"/>
        <v>2.3680930897494824E-2</v>
      </c>
      <c r="AL606" s="9">
        <f t="shared" si="571"/>
        <v>7.4309650072732216</v>
      </c>
      <c r="AM606" t="e">
        <f t="shared" si="552"/>
        <v>#N/A</v>
      </c>
      <c r="AN606" t="e">
        <f t="shared" si="572"/>
        <v>#N/A</v>
      </c>
      <c r="AO606">
        <f t="shared" si="553"/>
        <v>0</v>
      </c>
      <c r="AP606">
        <f t="shared" si="554"/>
        <v>0</v>
      </c>
      <c r="AQ606">
        <f t="shared" si="555"/>
        <v>7.2164496600635175E-16</v>
      </c>
      <c r="AR606">
        <f t="shared" si="573"/>
        <v>0</v>
      </c>
      <c r="AS606">
        <f t="shared" si="556"/>
        <v>0</v>
      </c>
      <c r="AT606">
        <f t="shared" si="574"/>
        <v>0</v>
      </c>
      <c r="AU606">
        <f t="shared" si="575"/>
        <v>0</v>
      </c>
      <c r="AV606">
        <f t="shared" si="557"/>
        <v>1.3540264336972009E-20</v>
      </c>
      <c r="AW606" t="b">
        <f t="shared" si="576"/>
        <v>1</v>
      </c>
      <c r="AX606">
        <f t="shared" si="558"/>
        <v>7.8539816339744828</v>
      </c>
      <c r="AY606">
        <f t="shared" si="559"/>
        <v>-0.29819754928031267</v>
      </c>
      <c r="AZ606">
        <f t="shared" si="560"/>
        <v>-0.14850000831844384</v>
      </c>
      <c r="BA606">
        <f t="shared" si="561"/>
        <v>2.3680930897494824E-2</v>
      </c>
      <c r="BB606">
        <f t="shared" si="562"/>
        <v>-1.2337005501361696E-20</v>
      </c>
      <c r="BD606" s="15">
        <f t="shared" si="577"/>
        <v>7.4309650072732207</v>
      </c>
      <c r="BE606" s="10">
        <f t="shared" si="578"/>
        <v>0</v>
      </c>
      <c r="BF606">
        <f t="shared" si="579"/>
        <v>0</v>
      </c>
      <c r="BG606">
        <f t="shared" si="580"/>
        <v>0</v>
      </c>
      <c r="BH606">
        <f t="shared" si="581"/>
        <v>0</v>
      </c>
      <c r="BI606">
        <f t="shared" si="582"/>
        <v>0</v>
      </c>
    </row>
    <row r="607" spans="1:61" x14ac:dyDescent="0.3">
      <c r="A607">
        <f t="shared" si="529"/>
        <v>0.56999999999999995</v>
      </c>
      <c r="B607">
        <f t="shared" si="530"/>
        <v>1.7907078125461819</v>
      </c>
      <c r="C607">
        <f t="shared" si="531"/>
        <v>1.3508848410436112</v>
      </c>
      <c r="D607">
        <f t="shared" si="532"/>
        <v>1.3508848410436112</v>
      </c>
      <c r="E607">
        <f t="shared" si="537"/>
        <v>0.97591676193874743</v>
      </c>
      <c r="F607">
        <f t="shared" si="538"/>
        <v>0.97591676193874743</v>
      </c>
      <c r="G607">
        <f t="shared" si="533"/>
        <v>1.7907078125461819</v>
      </c>
      <c r="H607">
        <f t="shared" si="534"/>
        <v>0.97591676193874743</v>
      </c>
      <c r="I607">
        <f t="shared" si="535"/>
        <v>0.97591676193874743</v>
      </c>
      <c r="J607">
        <f t="shared" si="525"/>
        <v>6.5232999083126546E+19</v>
      </c>
      <c r="K607">
        <f t="shared" si="526"/>
        <v>6.5232999083126546E+19</v>
      </c>
      <c r="L607">
        <f t="shared" si="539"/>
        <v>1</v>
      </c>
      <c r="M607">
        <f t="shared" si="536"/>
        <v>1.3508848410436112E-20</v>
      </c>
      <c r="N607" s="9">
        <f t="shared" si="527"/>
        <v>1.3508848410436112E-20</v>
      </c>
      <c r="O607">
        <f t="shared" si="528"/>
        <v>1.3508848410436112E-20</v>
      </c>
      <c r="Q607">
        <f t="shared" si="540"/>
        <v>45.624497135696295</v>
      </c>
      <c r="R607">
        <f t="shared" si="541"/>
        <v>0</v>
      </c>
      <c r="S607">
        <f t="shared" si="563"/>
        <v>-45.750942044326045</v>
      </c>
      <c r="T607" s="9" t="e">
        <f t="shared" si="542"/>
        <v>#N/A</v>
      </c>
      <c r="U607">
        <f t="shared" si="564"/>
        <v>-1.0000000000000001E+300</v>
      </c>
      <c r="V607">
        <f t="shared" si="565"/>
        <v>0</v>
      </c>
      <c r="W607">
        <f t="shared" si="566"/>
        <v>0</v>
      </c>
      <c r="X607">
        <f t="shared" si="543"/>
        <v>1.3508848410436112</v>
      </c>
      <c r="Y607">
        <f t="shared" si="544"/>
        <v>7.8539816339744828</v>
      </c>
      <c r="Z607">
        <f t="shared" si="545"/>
        <v>-1.3508848410436112</v>
      </c>
      <c r="AA607">
        <f t="shared" si="567"/>
        <v>-0.30195853731755257</v>
      </c>
      <c r="AB607">
        <f t="shared" si="546"/>
        <v>7.5520230966569306</v>
      </c>
      <c r="AC607">
        <f t="shared" si="568"/>
        <v>-0.15082288973458352</v>
      </c>
      <c r="AD607">
        <f t="shared" si="547"/>
        <v>2.4377981104832688E-2</v>
      </c>
      <c r="AE607" s="9">
        <f t="shared" si="569"/>
        <v>7.4255781880271794</v>
      </c>
      <c r="AF607">
        <f t="shared" si="570"/>
        <v>0</v>
      </c>
      <c r="AH607">
        <f t="shared" si="548"/>
        <v>7.8539816339744828</v>
      </c>
      <c r="AI607">
        <f t="shared" si="549"/>
        <v>-0.30195853731755257</v>
      </c>
      <c r="AJ607">
        <f t="shared" si="550"/>
        <v>-0.15082288973458446</v>
      </c>
      <c r="AK607">
        <f t="shared" si="551"/>
        <v>2.4377981104832688E-2</v>
      </c>
      <c r="AL607" s="9">
        <f t="shared" si="571"/>
        <v>7.4255781880271785</v>
      </c>
      <c r="AM607" t="e">
        <f t="shared" si="552"/>
        <v>#N/A</v>
      </c>
      <c r="AN607" t="e">
        <f t="shared" si="572"/>
        <v>#N/A</v>
      </c>
      <c r="AO607">
        <f t="shared" si="553"/>
        <v>0</v>
      </c>
      <c r="AP607">
        <f t="shared" si="554"/>
        <v>0</v>
      </c>
      <c r="AQ607">
        <f t="shared" si="555"/>
        <v>-9.4368957093138306E-16</v>
      </c>
      <c r="AR607">
        <f t="shared" si="573"/>
        <v>0</v>
      </c>
      <c r="AS607">
        <f t="shared" si="556"/>
        <v>0</v>
      </c>
      <c r="AT607">
        <f t="shared" si="574"/>
        <v>0</v>
      </c>
      <c r="AU607">
        <f t="shared" si="575"/>
        <v>0</v>
      </c>
      <c r="AV607">
        <f t="shared" si="557"/>
        <v>1.3508848410436111E-20</v>
      </c>
      <c r="AW607" t="b">
        <f t="shared" si="576"/>
        <v>1</v>
      </c>
      <c r="AX607">
        <f t="shared" si="558"/>
        <v>7.8539816339744828</v>
      </c>
      <c r="AY607">
        <f t="shared" si="559"/>
        <v>-0.30195853731755262</v>
      </c>
      <c r="AZ607">
        <f t="shared" si="560"/>
        <v>-0.15082288973458352</v>
      </c>
      <c r="BA607">
        <f t="shared" si="561"/>
        <v>2.4377981104832688E-2</v>
      </c>
      <c r="BB607">
        <f t="shared" si="562"/>
        <v>-1.2337005501361696E-20</v>
      </c>
      <c r="BD607" s="15">
        <f t="shared" si="577"/>
        <v>7.4255781880271785</v>
      </c>
      <c r="BE607" s="10">
        <f t="shared" si="578"/>
        <v>0</v>
      </c>
      <c r="BF607">
        <f t="shared" si="579"/>
        <v>0</v>
      </c>
      <c r="BG607">
        <f t="shared" si="580"/>
        <v>0</v>
      </c>
      <c r="BH607">
        <f t="shared" si="581"/>
        <v>0</v>
      </c>
      <c r="BI607">
        <f t="shared" si="582"/>
        <v>0</v>
      </c>
    </row>
    <row r="608" spans="1:61" x14ac:dyDescent="0.3">
      <c r="A608">
        <f t="shared" si="529"/>
        <v>0.57099999999999995</v>
      </c>
      <c r="B608">
        <f t="shared" si="530"/>
        <v>1.7938494051997718</v>
      </c>
      <c r="C608">
        <f t="shared" si="531"/>
        <v>1.3477432483900214</v>
      </c>
      <c r="D608">
        <f t="shared" si="532"/>
        <v>1.3477432483900214</v>
      </c>
      <c r="E608">
        <f t="shared" si="537"/>
        <v>0.97522662990922349</v>
      </c>
      <c r="F608">
        <f t="shared" si="538"/>
        <v>0.97522662990922337</v>
      </c>
      <c r="G608">
        <f t="shared" si="533"/>
        <v>1.7938494051997718</v>
      </c>
      <c r="H608">
        <f t="shared" si="534"/>
        <v>0.97522662990922349</v>
      </c>
      <c r="I608">
        <f t="shared" si="535"/>
        <v>0.97522662990922337</v>
      </c>
      <c r="J608">
        <f t="shared" si="525"/>
        <v>6.5279162078135583E+19</v>
      </c>
      <c r="K608">
        <f t="shared" si="526"/>
        <v>6.5279162078135583E+19</v>
      </c>
      <c r="L608" t="e">
        <f t="shared" si="539"/>
        <v>#NUM!</v>
      </c>
      <c r="M608">
        <f t="shared" si="536"/>
        <v>1.3477432483900213E-20</v>
      </c>
      <c r="N608" s="9" t="e">
        <f t="shared" si="527"/>
        <v>#NUM!</v>
      </c>
      <c r="O608" t="e">
        <f t="shared" si="528"/>
        <v>#NUM!</v>
      </c>
      <c r="Q608">
        <f t="shared" si="540"/>
        <v>45.625204548653421</v>
      </c>
      <c r="R608">
        <f t="shared" si="541"/>
        <v>0</v>
      </c>
      <c r="S608">
        <f t="shared" si="563"/>
        <v>-45.753270334085634</v>
      </c>
      <c r="T608" s="9" t="e">
        <f t="shared" si="542"/>
        <v>#N/A</v>
      </c>
      <c r="U608">
        <f t="shared" si="564"/>
        <v>-1.0000000000000001E+300</v>
      </c>
      <c r="V608">
        <f t="shared" si="565"/>
        <v>0</v>
      </c>
      <c r="W608">
        <f t="shared" si="566"/>
        <v>0</v>
      </c>
      <c r="X608">
        <f t="shared" si="543"/>
        <v>1.3477432483900214</v>
      </c>
      <c r="Y608">
        <f t="shared" si="544"/>
        <v>7.8539816339744828</v>
      </c>
      <c r="Z608">
        <f t="shared" si="545"/>
        <v>-1.3477432483900214</v>
      </c>
      <c r="AA608">
        <f t="shared" si="567"/>
        <v>-0.30570505808997406</v>
      </c>
      <c r="AB608">
        <f t="shared" si="546"/>
        <v>7.5482765758845085</v>
      </c>
      <c r="AC608">
        <f t="shared" si="568"/>
        <v>-0.15315117949417467</v>
      </c>
      <c r="AD608">
        <f t="shared" si="547"/>
        <v>2.5085394061961089E-2</v>
      </c>
      <c r="AE608" s="9">
        <f t="shared" si="569"/>
        <v>7.4202107904522956</v>
      </c>
      <c r="AF608">
        <f t="shared" si="570"/>
        <v>0</v>
      </c>
      <c r="AH608">
        <f t="shared" si="548"/>
        <v>7.8539816339744828</v>
      </c>
      <c r="AI608">
        <f t="shared" si="549"/>
        <v>-0.30570505808997389</v>
      </c>
      <c r="AJ608">
        <f t="shared" si="550"/>
        <v>-0.15315117949417356</v>
      </c>
      <c r="AK608">
        <f t="shared" si="551"/>
        <v>2.5085394061961089E-2</v>
      </c>
      <c r="AL608" s="9">
        <f t="shared" si="571"/>
        <v>7.4202107904522965</v>
      </c>
      <c r="AM608" t="e">
        <f t="shared" si="552"/>
        <v>#N/A</v>
      </c>
      <c r="AN608" t="e">
        <f t="shared" si="572"/>
        <v>#N/A</v>
      </c>
      <c r="AO608">
        <f t="shared" si="553"/>
        <v>0</v>
      </c>
      <c r="AP608">
        <f t="shared" si="554"/>
        <v>0</v>
      </c>
      <c r="AQ608">
        <f t="shared" si="555"/>
        <v>1.1102230246251565E-15</v>
      </c>
      <c r="AR608">
        <f t="shared" si="573"/>
        <v>0</v>
      </c>
      <c r="AS608">
        <f t="shared" si="556"/>
        <v>0</v>
      </c>
      <c r="AT608">
        <f t="shared" si="574"/>
        <v>0</v>
      </c>
      <c r="AU608">
        <f t="shared" si="575"/>
        <v>0</v>
      </c>
      <c r="AV608">
        <f t="shared" si="557"/>
        <v>1.3477432483900213E-20</v>
      </c>
      <c r="AW608" t="b">
        <f t="shared" si="576"/>
        <v>1</v>
      </c>
      <c r="AX608">
        <f t="shared" si="558"/>
        <v>7.8539816339744828</v>
      </c>
      <c r="AY608">
        <f t="shared" si="559"/>
        <v>-0.30570505808997411</v>
      </c>
      <c r="AZ608">
        <f t="shared" si="560"/>
        <v>-0.15315117949417467</v>
      </c>
      <c r="BA608">
        <f t="shared" si="561"/>
        <v>2.5085394061961204E-2</v>
      </c>
      <c r="BB608">
        <f t="shared" si="562"/>
        <v>-1.2337005501361696E-20</v>
      </c>
      <c r="BD608" s="15">
        <f t="shared" si="577"/>
        <v>7.4202107904522956</v>
      </c>
      <c r="BE608" s="10">
        <f t="shared" si="578"/>
        <v>0</v>
      </c>
      <c r="BF608">
        <f t="shared" si="579"/>
        <v>0</v>
      </c>
      <c r="BG608">
        <f t="shared" si="580"/>
        <v>0</v>
      </c>
      <c r="BH608">
        <f t="shared" si="581"/>
        <v>0</v>
      </c>
      <c r="BI608">
        <f t="shared" si="582"/>
        <v>0</v>
      </c>
    </row>
    <row r="609" spans="1:61" x14ac:dyDescent="0.3">
      <c r="A609">
        <f t="shared" si="529"/>
        <v>0.57199999999999995</v>
      </c>
      <c r="B609">
        <f t="shared" si="530"/>
        <v>1.7969909978533616</v>
      </c>
      <c r="C609">
        <f t="shared" si="531"/>
        <v>1.3446016557364315</v>
      </c>
      <c r="D609">
        <f t="shared" si="532"/>
        <v>1.3446016557364315</v>
      </c>
      <c r="E609">
        <f t="shared" si="537"/>
        <v>0.97452687278657724</v>
      </c>
      <c r="F609">
        <f t="shared" si="538"/>
        <v>0.97452687278657713</v>
      </c>
      <c r="G609">
        <f t="shared" si="533"/>
        <v>1.7969909978533616</v>
      </c>
      <c r="H609">
        <f t="shared" si="534"/>
        <v>0.97452687278657724</v>
      </c>
      <c r="I609">
        <f t="shared" si="535"/>
        <v>0.97452687278657713</v>
      </c>
      <c r="J609">
        <f t="shared" si="525"/>
        <v>6.5326035653303329E+19</v>
      </c>
      <c r="K609">
        <f t="shared" si="526"/>
        <v>6.5326035653303329E+19</v>
      </c>
      <c r="L609">
        <f t="shared" si="539"/>
        <v>0</v>
      </c>
      <c r="M609">
        <f t="shared" si="536"/>
        <v>1.3446016557364316E-20</v>
      </c>
      <c r="N609" s="9">
        <f t="shared" si="527"/>
        <v>0</v>
      </c>
      <c r="O609">
        <f t="shared" si="528"/>
        <v>0</v>
      </c>
      <c r="Q609">
        <f t="shared" si="540"/>
        <v>45.625922339032279</v>
      </c>
      <c r="R609">
        <f t="shared" si="541"/>
        <v>0</v>
      </c>
      <c r="S609">
        <f t="shared" si="563"/>
        <v>-45.755604057431853</v>
      </c>
      <c r="T609" s="9" t="e">
        <f t="shared" si="542"/>
        <v>#N/A</v>
      </c>
      <c r="U609">
        <f t="shared" si="564"/>
        <v>-1.0000000000000001E+300</v>
      </c>
      <c r="V609">
        <f t="shared" si="565"/>
        <v>0</v>
      </c>
      <c r="W609">
        <f t="shared" si="566"/>
        <v>0</v>
      </c>
      <c r="X609">
        <f t="shared" si="543"/>
        <v>1.3446016557364315</v>
      </c>
      <c r="Y609">
        <f t="shared" si="544"/>
        <v>7.8539816339744828</v>
      </c>
      <c r="Z609">
        <f t="shared" si="545"/>
        <v>-1.3446016557364315</v>
      </c>
      <c r="AA609">
        <f t="shared" si="567"/>
        <v>-0.30943716887307243</v>
      </c>
      <c r="AB609">
        <f t="shared" si="546"/>
        <v>7.54454446510141</v>
      </c>
      <c r="AC609">
        <f t="shared" si="568"/>
        <v>-0.15548490284039485</v>
      </c>
      <c r="AD609">
        <f t="shared" si="547"/>
        <v>2.5803184440819738E-2</v>
      </c>
      <c r="AE609" s="9">
        <f t="shared" si="569"/>
        <v>7.4148627467018349</v>
      </c>
      <c r="AF609">
        <f t="shared" si="570"/>
        <v>0</v>
      </c>
      <c r="AH609">
        <f t="shared" si="548"/>
        <v>7.8539816339744828</v>
      </c>
      <c r="AI609">
        <f t="shared" si="549"/>
        <v>-0.30943716887307243</v>
      </c>
      <c r="AJ609">
        <f t="shared" si="550"/>
        <v>-0.15548490284039218</v>
      </c>
      <c r="AK609">
        <f t="shared" si="551"/>
        <v>2.5803184440819738E-2</v>
      </c>
      <c r="AL609" s="9">
        <f t="shared" si="571"/>
        <v>7.4148627467018375</v>
      </c>
      <c r="AM609" t="e">
        <f t="shared" si="552"/>
        <v>#N/A</v>
      </c>
      <c r="AN609" t="e">
        <f t="shared" si="572"/>
        <v>#N/A</v>
      </c>
      <c r="AO609">
        <f t="shared" si="553"/>
        <v>0</v>
      </c>
      <c r="AP609">
        <f t="shared" si="554"/>
        <v>0</v>
      </c>
      <c r="AQ609">
        <f t="shared" si="555"/>
        <v>2.6645352591003757E-15</v>
      </c>
      <c r="AR609">
        <f t="shared" si="573"/>
        <v>0</v>
      </c>
      <c r="AS609">
        <f t="shared" si="556"/>
        <v>0</v>
      </c>
      <c r="AT609">
        <f t="shared" si="574"/>
        <v>0</v>
      </c>
      <c r="AU609">
        <f t="shared" si="575"/>
        <v>0</v>
      </c>
      <c r="AV609">
        <f t="shared" si="557"/>
        <v>1.3446016557364314E-20</v>
      </c>
      <c r="AW609" t="b">
        <f t="shared" si="576"/>
        <v>1</v>
      </c>
      <c r="AX609">
        <f t="shared" si="558"/>
        <v>7.8539816339744828</v>
      </c>
      <c r="AY609">
        <f t="shared" si="559"/>
        <v>-0.30943716887307249</v>
      </c>
      <c r="AZ609">
        <f t="shared" si="560"/>
        <v>-0.15548490284039485</v>
      </c>
      <c r="BA609">
        <f t="shared" si="561"/>
        <v>2.5803184440819853E-2</v>
      </c>
      <c r="BB609">
        <f t="shared" si="562"/>
        <v>-1.2337005501361696E-20</v>
      </c>
      <c r="BD609" s="15">
        <f t="shared" si="577"/>
        <v>7.4148627467018349</v>
      </c>
      <c r="BE609" s="10">
        <f t="shared" si="578"/>
        <v>0</v>
      </c>
      <c r="BF609">
        <f t="shared" si="579"/>
        <v>0</v>
      </c>
      <c r="BG609">
        <f t="shared" si="580"/>
        <v>0</v>
      </c>
      <c r="BH609">
        <f t="shared" si="581"/>
        <v>0</v>
      </c>
      <c r="BI609">
        <f t="shared" si="582"/>
        <v>0</v>
      </c>
    </row>
    <row r="610" spans="1:61" x14ac:dyDescent="0.3">
      <c r="A610">
        <f t="shared" si="529"/>
        <v>0.57299999999999995</v>
      </c>
      <c r="B610">
        <f t="shared" si="530"/>
        <v>1.8001325905069514</v>
      </c>
      <c r="C610">
        <f t="shared" si="531"/>
        <v>1.3414600630828417</v>
      </c>
      <c r="D610">
        <f t="shared" si="532"/>
        <v>1.3414600630828417</v>
      </c>
      <c r="E610">
        <f t="shared" si="537"/>
        <v>0.97381749747712887</v>
      </c>
      <c r="F610">
        <f t="shared" si="538"/>
        <v>0.97381749747712887</v>
      </c>
      <c r="G610">
        <f t="shared" si="533"/>
        <v>1.8001325905069514</v>
      </c>
      <c r="H610">
        <f t="shared" si="534"/>
        <v>0.97381749747712887</v>
      </c>
      <c r="I610">
        <f t="shared" si="535"/>
        <v>0.97381749747712887</v>
      </c>
      <c r="J610">
        <f t="shared" si="525"/>
        <v>6.5373622266684842E+19</v>
      </c>
      <c r="K610">
        <f t="shared" si="526"/>
        <v>6.5373622266684842E+19</v>
      </c>
      <c r="L610" t="e">
        <f t="shared" si="539"/>
        <v>#NUM!</v>
      </c>
      <c r="M610">
        <f t="shared" si="536"/>
        <v>1.3414600630828416E-20</v>
      </c>
      <c r="N610" s="9" t="e">
        <f t="shared" si="527"/>
        <v>#NUM!</v>
      </c>
      <c r="O610" t="e">
        <f t="shared" si="528"/>
        <v>#NUM!</v>
      </c>
      <c r="Q610">
        <f t="shared" si="540"/>
        <v>45.626650521741269</v>
      </c>
      <c r="R610">
        <f t="shared" si="541"/>
        <v>-710542.73576010019</v>
      </c>
      <c r="S610">
        <f t="shared" si="563"/>
        <v>-45.757943239785028</v>
      </c>
      <c r="T610" s="9" t="e">
        <f t="shared" si="542"/>
        <v>#N/A</v>
      </c>
      <c r="U610">
        <f t="shared" si="564"/>
        <v>-1.0000000000000001E+300</v>
      </c>
      <c r="V610">
        <f t="shared" si="565"/>
        <v>0</v>
      </c>
      <c r="W610">
        <f t="shared" si="566"/>
        <v>0</v>
      </c>
      <c r="X610">
        <f t="shared" si="543"/>
        <v>1.3414600630828417</v>
      </c>
      <c r="Y610">
        <f t="shared" si="544"/>
        <v>7.8539816339744828</v>
      </c>
      <c r="Z610">
        <f t="shared" si="545"/>
        <v>-1.3414600630828417</v>
      </c>
      <c r="AA610">
        <f t="shared" si="567"/>
        <v>-0.31315492653613114</v>
      </c>
      <c r="AB610">
        <f t="shared" si="546"/>
        <v>7.5408267074383515</v>
      </c>
      <c r="AC610">
        <f t="shared" si="568"/>
        <v>-0.15782408519356722</v>
      </c>
      <c r="AD610">
        <f t="shared" si="547"/>
        <v>2.653136714981166E-2</v>
      </c>
      <c r="AE610" s="9">
        <f t="shared" si="569"/>
        <v>7.4095339893945953</v>
      </c>
      <c r="AF610">
        <f t="shared" si="570"/>
        <v>0</v>
      </c>
      <c r="AH610">
        <f t="shared" si="548"/>
        <v>7.8539816339744828</v>
      </c>
      <c r="AI610">
        <f t="shared" si="549"/>
        <v>-0.31315492653613103</v>
      </c>
      <c r="AJ610">
        <f t="shared" si="550"/>
        <v>-0.1578240851935675</v>
      </c>
      <c r="AK610">
        <f t="shared" si="551"/>
        <v>2.653136714981166E-2</v>
      </c>
      <c r="AL610" s="9">
        <f t="shared" si="571"/>
        <v>7.4095339893945953</v>
      </c>
      <c r="AM610" t="e">
        <f t="shared" si="552"/>
        <v>#N/A</v>
      </c>
      <c r="AN610" t="e">
        <f t="shared" si="572"/>
        <v>#N/A</v>
      </c>
      <c r="AO610">
        <f t="shared" si="553"/>
        <v>0</v>
      </c>
      <c r="AP610">
        <f t="shared" si="554"/>
        <v>0</v>
      </c>
      <c r="AQ610">
        <f t="shared" si="555"/>
        <v>-2.7755575615628914E-16</v>
      </c>
      <c r="AR610">
        <f t="shared" si="573"/>
        <v>0</v>
      </c>
      <c r="AS610">
        <f t="shared" si="556"/>
        <v>0</v>
      </c>
      <c r="AT610">
        <f t="shared" si="574"/>
        <v>0</v>
      </c>
      <c r="AU610">
        <f t="shared" si="575"/>
        <v>0</v>
      </c>
      <c r="AV610">
        <f t="shared" si="557"/>
        <v>1.3414600630828416E-20</v>
      </c>
      <c r="AW610" t="b">
        <f t="shared" si="576"/>
        <v>1</v>
      </c>
      <c r="AX610">
        <f t="shared" si="558"/>
        <v>7.8539816339744828</v>
      </c>
      <c r="AY610">
        <f t="shared" si="559"/>
        <v>-0.3131549265361312</v>
      </c>
      <c r="AZ610">
        <f t="shared" si="560"/>
        <v>-0.15782408519356708</v>
      </c>
      <c r="BA610">
        <f t="shared" si="561"/>
        <v>2.653136714981166E-2</v>
      </c>
      <c r="BB610">
        <f t="shared" si="562"/>
        <v>-1.2337005501361696E-20</v>
      </c>
      <c r="BD610" s="15">
        <f t="shared" si="577"/>
        <v>7.4095339893945953</v>
      </c>
      <c r="BE610" s="10">
        <f t="shared" si="578"/>
        <v>0</v>
      </c>
      <c r="BF610">
        <f t="shared" si="579"/>
        <v>0</v>
      </c>
      <c r="BG610">
        <f t="shared" si="580"/>
        <v>0</v>
      </c>
      <c r="BH610">
        <f t="shared" si="581"/>
        <v>0</v>
      </c>
      <c r="BI610">
        <f t="shared" si="582"/>
        <v>0</v>
      </c>
    </row>
    <row r="611" spans="1:61" x14ac:dyDescent="0.3">
      <c r="A611">
        <f t="shared" si="529"/>
        <v>0.57399999999999995</v>
      </c>
      <c r="B611">
        <f t="shared" si="530"/>
        <v>1.803274183160541</v>
      </c>
      <c r="C611">
        <f t="shared" si="531"/>
        <v>1.3383184704292521</v>
      </c>
      <c r="D611">
        <f t="shared" si="532"/>
        <v>1.3383184704292521</v>
      </c>
      <c r="E611">
        <f t="shared" si="537"/>
        <v>0.97309851098212663</v>
      </c>
      <c r="F611">
        <f t="shared" si="538"/>
        <v>0.97309851098212663</v>
      </c>
      <c r="G611">
        <f t="shared" si="533"/>
        <v>1.803274183160541</v>
      </c>
      <c r="H611">
        <f t="shared" si="534"/>
        <v>0.97309851098212663</v>
      </c>
      <c r="I611">
        <f t="shared" si="535"/>
        <v>0.97309851098212663</v>
      </c>
      <c r="J611">
        <f t="shared" si="525"/>
        <v>6.5421924418017583E+19</v>
      </c>
      <c r="K611">
        <f t="shared" si="526"/>
        <v>6.5421924418017583E+19</v>
      </c>
      <c r="L611">
        <f t="shared" si="539"/>
        <v>1</v>
      </c>
      <c r="M611">
        <f t="shared" si="536"/>
        <v>1.338318470429252E-20</v>
      </c>
      <c r="N611" s="9">
        <f t="shared" si="527"/>
        <v>1.338318470429252E-20</v>
      </c>
      <c r="O611">
        <f t="shared" si="528"/>
        <v>1.338318470429252E-20</v>
      </c>
      <c r="Q611">
        <f t="shared" si="540"/>
        <v>45.627389111926533</v>
      </c>
      <c r="R611">
        <f t="shared" si="541"/>
        <v>0</v>
      </c>
      <c r="S611">
        <f t="shared" si="563"/>
        <v>-45.760287906744281</v>
      </c>
      <c r="T611" s="9" t="e">
        <f t="shared" si="542"/>
        <v>#N/A</v>
      </c>
      <c r="U611">
        <f t="shared" si="564"/>
        <v>-1.0000000000000001E+300</v>
      </c>
      <c r="V611">
        <f t="shared" si="565"/>
        <v>0</v>
      </c>
      <c r="W611">
        <f t="shared" si="566"/>
        <v>0</v>
      </c>
      <c r="X611">
        <f t="shared" si="543"/>
        <v>1.3383184704292521</v>
      </c>
      <c r="Y611">
        <f t="shared" si="544"/>
        <v>7.8539816339744828</v>
      </c>
      <c r="Z611">
        <f t="shared" si="545"/>
        <v>-1.3383184704292521</v>
      </c>
      <c r="AA611">
        <f t="shared" si="567"/>
        <v>-0.31685838754566753</v>
      </c>
      <c r="AB611">
        <f t="shared" si="546"/>
        <v>7.5371232464288154</v>
      </c>
      <c r="AC611">
        <f t="shared" si="568"/>
        <v>-0.16016875215282109</v>
      </c>
      <c r="AD611">
        <f t="shared" si="547"/>
        <v>2.7269957335071968E-2</v>
      </c>
      <c r="AE611" s="9">
        <f t="shared" si="569"/>
        <v>7.404224451611066</v>
      </c>
      <c r="AF611">
        <f t="shared" si="570"/>
        <v>0</v>
      </c>
      <c r="AH611">
        <f t="shared" si="548"/>
        <v>7.8539816339744828</v>
      </c>
      <c r="AI611">
        <f t="shared" si="549"/>
        <v>-0.31685838754566736</v>
      </c>
      <c r="AJ611">
        <f t="shared" si="550"/>
        <v>-0.16016875215282056</v>
      </c>
      <c r="AK611">
        <f t="shared" si="551"/>
        <v>2.7269957335071968E-2</v>
      </c>
      <c r="AL611" s="9">
        <f t="shared" si="571"/>
        <v>7.4042244516110669</v>
      </c>
      <c r="AM611" t="e">
        <f t="shared" si="552"/>
        <v>#N/A</v>
      </c>
      <c r="AN611" t="e">
        <f t="shared" si="572"/>
        <v>#N/A</v>
      </c>
      <c r="AO611">
        <f t="shared" si="553"/>
        <v>0</v>
      </c>
      <c r="AP611">
        <f t="shared" si="554"/>
        <v>0</v>
      </c>
      <c r="AQ611">
        <f t="shared" si="555"/>
        <v>5.2735593669694936E-16</v>
      </c>
      <c r="AR611">
        <f t="shared" si="573"/>
        <v>0</v>
      </c>
      <c r="AS611">
        <f t="shared" si="556"/>
        <v>0</v>
      </c>
      <c r="AT611">
        <f t="shared" si="574"/>
        <v>0</v>
      </c>
      <c r="AU611">
        <f t="shared" si="575"/>
        <v>0</v>
      </c>
      <c r="AV611">
        <f t="shared" si="557"/>
        <v>1.338318470429252E-20</v>
      </c>
      <c r="AW611" t="b">
        <f t="shared" si="576"/>
        <v>1</v>
      </c>
      <c r="AX611">
        <f t="shared" si="558"/>
        <v>7.8539816339744828</v>
      </c>
      <c r="AY611">
        <f t="shared" si="559"/>
        <v>-0.31685838754566759</v>
      </c>
      <c r="AZ611">
        <f t="shared" si="560"/>
        <v>-0.16016875215282109</v>
      </c>
      <c r="BA611">
        <f t="shared" si="561"/>
        <v>2.7269957335071968E-2</v>
      </c>
      <c r="BB611">
        <f t="shared" si="562"/>
        <v>-1.2337005501361696E-20</v>
      </c>
      <c r="BD611" s="15">
        <f t="shared" si="577"/>
        <v>7.404224451611066</v>
      </c>
      <c r="BE611" s="10">
        <f t="shared" si="578"/>
        <v>0</v>
      </c>
      <c r="BF611">
        <f t="shared" si="579"/>
        <v>0</v>
      </c>
      <c r="BG611">
        <f t="shared" si="580"/>
        <v>0</v>
      </c>
      <c r="BH611">
        <f t="shared" si="581"/>
        <v>0</v>
      </c>
      <c r="BI611">
        <f t="shared" si="582"/>
        <v>0</v>
      </c>
    </row>
    <row r="612" spans="1:61" x14ac:dyDescent="0.3">
      <c r="A612">
        <f t="shared" si="529"/>
        <v>0.57499999999999996</v>
      </c>
      <c r="B612">
        <f t="shared" si="530"/>
        <v>1.8064157758141308</v>
      </c>
      <c r="C612">
        <f t="shared" si="531"/>
        <v>1.3351768777756623</v>
      </c>
      <c r="D612">
        <f t="shared" si="532"/>
        <v>1.3351768777756623</v>
      </c>
      <c r="E612">
        <f t="shared" si="537"/>
        <v>0.97236992039767667</v>
      </c>
      <c r="F612">
        <f t="shared" si="538"/>
        <v>0.97236992039767667</v>
      </c>
      <c r="G612">
        <f t="shared" si="533"/>
        <v>1.8064157758141308</v>
      </c>
      <c r="H612">
        <f t="shared" si="534"/>
        <v>0.97236992039767667</v>
      </c>
      <c r="I612">
        <f t="shared" si="535"/>
        <v>0.97236992039767667</v>
      </c>
      <c r="J612">
        <f t="shared" si="525"/>
        <v>6.5470944649050718E+19</v>
      </c>
      <c r="K612">
        <f t="shared" si="526"/>
        <v>6.5470944649050718E+19</v>
      </c>
      <c r="L612">
        <f t="shared" si="539"/>
        <v>1</v>
      </c>
      <c r="M612">
        <f t="shared" si="536"/>
        <v>1.3351768777756623E-20</v>
      </c>
      <c r="N612" s="9">
        <f t="shared" si="527"/>
        <v>1.3351768777756623E-20</v>
      </c>
      <c r="O612">
        <f t="shared" si="528"/>
        <v>1.3351768777756623E-20</v>
      </c>
      <c r="Q612">
        <f t="shared" si="540"/>
        <v>45.628138124973219</v>
      </c>
      <c r="R612">
        <f t="shared" si="541"/>
        <v>0</v>
      </c>
      <c r="S612">
        <f t="shared" si="563"/>
        <v>-45.762638084089232</v>
      </c>
      <c r="T612" s="9" t="e">
        <f t="shared" si="542"/>
        <v>#N/A</v>
      </c>
      <c r="U612">
        <f t="shared" si="564"/>
        <v>-1.0000000000000001E+300</v>
      </c>
      <c r="V612">
        <f t="shared" si="565"/>
        <v>0</v>
      </c>
      <c r="W612">
        <f t="shared" si="566"/>
        <v>0</v>
      </c>
      <c r="X612">
        <f t="shared" si="543"/>
        <v>1.3351768777756623</v>
      </c>
      <c r="Y612">
        <f t="shared" si="544"/>
        <v>7.8539816339744828</v>
      </c>
      <c r="Z612">
        <f t="shared" si="545"/>
        <v>-1.3351768777756623</v>
      </c>
      <c r="AA612">
        <f t="shared" si="567"/>
        <v>-0.32054760796884446</v>
      </c>
      <c r="AB612">
        <f t="shared" si="546"/>
        <v>7.5334340260056383</v>
      </c>
      <c r="AC612">
        <f t="shared" si="568"/>
        <v>-0.1625189294977748</v>
      </c>
      <c r="AD612">
        <f t="shared" si="547"/>
        <v>2.8018970381761269E-2</v>
      </c>
      <c r="AE612" s="9">
        <f t="shared" si="569"/>
        <v>7.3989340668896242</v>
      </c>
      <c r="AF612">
        <f t="shared" si="570"/>
        <v>0</v>
      </c>
      <c r="AH612">
        <f t="shared" si="548"/>
        <v>7.8539816339744828</v>
      </c>
      <c r="AI612">
        <f t="shared" si="549"/>
        <v>-0.32054760796884435</v>
      </c>
      <c r="AJ612">
        <f t="shared" si="550"/>
        <v>-0.16251892949777158</v>
      </c>
      <c r="AK612">
        <f t="shared" si="551"/>
        <v>2.8018970381761269E-2</v>
      </c>
      <c r="AL612" s="9">
        <f t="shared" si="571"/>
        <v>7.3989340668896277</v>
      </c>
      <c r="AM612" t="e">
        <f t="shared" si="552"/>
        <v>#N/A</v>
      </c>
      <c r="AN612" t="e">
        <f t="shared" si="572"/>
        <v>#N/A</v>
      </c>
      <c r="AO612">
        <f t="shared" si="553"/>
        <v>0</v>
      </c>
      <c r="AP612">
        <f t="shared" si="554"/>
        <v>0</v>
      </c>
      <c r="AQ612">
        <f t="shared" si="555"/>
        <v>3.219646771412954E-15</v>
      </c>
      <c r="AR612">
        <f t="shared" si="573"/>
        <v>0</v>
      </c>
      <c r="AS612">
        <f t="shared" si="556"/>
        <v>0</v>
      </c>
      <c r="AT612">
        <f t="shared" si="574"/>
        <v>0</v>
      </c>
      <c r="AU612">
        <f t="shared" si="575"/>
        <v>0</v>
      </c>
      <c r="AV612">
        <f t="shared" si="557"/>
        <v>1.3351768777756622E-20</v>
      </c>
      <c r="AW612" t="b">
        <f t="shared" si="576"/>
        <v>1</v>
      </c>
      <c r="AX612">
        <f t="shared" si="558"/>
        <v>7.8539816339744828</v>
      </c>
      <c r="AY612">
        <f t="shared" si="559"/>
        <v>-0.32054760796884452</v>
      </c>
      <c r="AZ612">
        <f t="shared" si="560"/>
        <v>-0.1625189294977748</v>
      </c>
      <c r="BA612">
        <f t="shared" si="561"/>
        <v>2.8018970381761269E-2</v>
      </c>
      <c r="BB612">
        <f t="shared" si="562"/>
        <v>-1.2337005501361696E-20</v>
      </c>
      <c r="BD612" s="15">
        <f t="shared" si="577"/>
        <v>7.3989340668896242</v>
      </c>
      <c r="BE612" s="10">
        <f t="shared" si="578"/>
        <v>0</v>
      </c>
      <c r="BF612">
        <f t="shared" si="579"/>
        <v>0</v>
      </c>
      <c r="BG612">
        <f t="shared" si="580"/>
        <v>0</v>
      </c>
      <c r="BH612">
        <f t="shared" si="581"/>
        <v>0</v>
      </c>
      <c r="BI612">
        <f t="shared" si="582"/>
        <v>0</v>
      </c>
    </row>
    <row r="613" spans="1:61" x14ac:dyDescent="0.3">
      <c r="A613">
        <f t="shared" si="529"/>
        <v>0.57599999999999996</v>
      </c>
      <c r="B613">
        <f t="shared" si="530"/>
        <v>1.8095573684677206</v>
      </c>
      <c r="C613">
        <f t="shared" si="531"/>
        <v>1.3320352851220725</v>
      </c>
      <c r="D613">
        <f t="shared" si="532"/>
        <v>1.3320352851220725</v>
      </c>
      <c r="E613">
        <f t="shared" si="537"/>
        <v>0.97163173291467397</v>
      </c>
      <c r="F613">
        <f t="shared" si="538"/>
        <v>0.97163173291467397</v>
      </c>
      <c r="G613">
        <f t="shared" si="533"/>
        <v>1.8095573684677206</v>
      </c>
      <c r="H613">
        <f t="shared" si="534"/>
        <v>0.97163173291467397</v>
      </c>
      <c r="I613">
        <f t="shared" si="535"/>
        <v>0.97163173291467397</v>
      </c>
      <c r="J613">
        <f t="shared" ref="J613:J676" si="583">x_m_zeta/H613</f>
        <v>6.5520685543880606E+19</v>
      </c>
      <c r="K613">
        <f t="shared" ref="K613:K676" si="584">(J613)^alpha</f>
        <v>6.5520685543880606E+19</v>
      </c>
      <c r="L613">
        <f t="shared" si="539"/>
        <v>1</v>
      </c>
      <c r="M613">
        <f t="shared" si="536"/>
        <v>1.3320352851220724E-20</v>
      </c>
      <c r="N613" s="9">
        <f t="shared" si="527"/>
        <v>1.3320352851220724E-20</v>
      </c>
      <c r="O613">
        <f t="shared" si="528"/>
        <v>1.3320352851220724E-20</v>
      </c>
      <c r="Q613">
        <f t="shared" si="540"/>
        <v>45.628897576506837</v>
      </c>
      <c r="R613">
        <f t="shared" si="541"/>
        <v>-710542.73576010019</v>
      </c>
      <c r="S613">
        <f t="shared" si="563"/>
        <v>-45.764993797781692</v>
      </c>
      <c r="T613" s="9" t="e">
        <f t="shared" si="542"/>
        <v>#N/A</v>
      </c>
      <c r="U613">
        <f t="shared" si="564"/>
        <v>-1.0000000000000001E+300</v>
      </c>
      <c r="V613">
        <f t="shared" si="565"/>
        <v>0</v>
      </c>
      <c r="W613">
        <f t="shared" si="566"/>
        <v>0</v>
      </c>
      <c r="X613">
        <f t="shared" si="543"/>
        <v>1.3320352851220725</v>
      </c>
      <c r="Y613">
        <f t="shared" si="544"/>
        <v>7.8539816339744828</v>
      </c>
      <c r="Z613">
        <f t="shared" si="545"/>
        <v>-1.3320352851220725</v>
      </c>
      <c r="AA613">
        <f t="shared" si="567"/>
        <v>-0.32422264347684254</v>
      </c>
      <c r="AB613">
        <f t="shared" si="546"/>
        <v>7.5297589904976405</v>
      </c>
      <c r="AC613">
        <f t="shared" si="568"/>
        <v>-0.16487464319023387</v>
      </c>
      <c r="AD613">
        <f t="shared" si="547"/>
        <v>2.8778421915380149E-2</v>
      </c>
      <c r="AE613" s="9">
        <f t="shared" si="569"/>
        <v>7.3936627692227868</v>
      </c>
      <c r="AF613">
        <f t="shared" si="570"/>
        <v>0</v>
      </c>
      <c r="AH613">
        <f t="shared" si="548"/>
        <v>7.8539816339744828</v>
      </c>
      <c r="AI613">
        <f t="shared" si="549"/>
        <v>-0.32422264347684243</v>
      </c>
      <c r="AJ613">
        <f t="shared" si="550"/>
        <v>-0.16487464319023104</v>
      </c>
      <c r="AK613">
        <f t="shared" si="551"/>
        <v>2.8778421915380149E-2</v>
      </c>
      <c r="AL613" s="9">
        <f t="shared" si="571"/>
        <v>7.3936627692227894</v>
      </c>
      <c r="AM613" t="e">
        <f t="shared" si="552"/>
        <v>#N/A</v>
      </c>
      <c r="AN613" t="e">
        <f t="shared" si="572"/>
        <v>#N/A</v>
      </c>
      <c r="AO613">
        <f t="shared" si="553"/>
        <v>0</v>
      </c>
      <c r="AP613">
        <f t="shared" si="554"/>
        <v>0</v>
      </c>
      <c r="AQ613">
        <f t="shared" si="555"/>
        <v>2.8310687127941492E-15</v>
      </c>
      <c r="AR613">
        <f t="shared" si="573"/>
        <v>0</v>
      </c>
      <c r="AS613">
        <f t="shared" si="556"/>
        <v>0</v>
      </c>
      <c r="AT613">
        <f t="shared" si="574"/>
        <v>0</v>
      </c>
      <c r="AU613">
        <f t="shared" si="575"/>
        <v>0</v>
      </c>
      <c r="AV613">
        <f t="shared" si="557"/>
        <v>1.3320352851220724E-20</v>
      </c>
      <c r="AW613" t="b">
        <f t="shared" si="576"/>
        <v>1</v>
      </c>
      <c r="AX613">
        <f t="shared" si="558"/>
        <v>7.8539816339744828</v>
      </c>
      <c r="AY613">
        <f t="shared" si="559"/>
        <v>-0.3242226434768426</v>
      </c>
      <c r="AZ613">
        <f t="shared" si="560"/>
        <v>-0.16487464319023387</v>
      </c>
      <c r="BA613">
        <f t="shared" si="561"/>
        <v>2.8778421915380149E-2</v>
      </c>
      <c r="BB613">
        <f t="shared" si="562"/>
        <v>-1.2337005501361696E-20</v>
      </c>
      <c r="BD613" s="15">
        <f t="shared" si="577"/>
        <v>7.3936627692227868</v>
      </c>
      <c r="BE613" s="10">
        <f t="shared" si="578"/>
        <v>0</v>
      </c>
      <c r="BF613">
        <f t="shared" si="579"/>
        <v>0</v>
      </c>
      <c r="BG613">
        <f t="shared" si="580"/>
        <v>0</v>
      </c>
      <c r="BH613">
        <f t="shared" si="581"/>
        <v>0</v>
      </c>
      <c r="BI613">
        <f t="shared" si="582"/>
        <v>0</v>
      </c>
    </row>
    <row r="614" spans="1:61" x14ac:dyDescent="0.3">
      <c r="A614">
        <f t="shared" si="529"/>
        <v>0.57699999999999996</v>
      </c>
      <c r="B614">
        <f t="shared" si="530"/>
        <v>1.8126989611213105</v>
      </c>
      <c r="C614">
        <f t="shared" si="531"/>
        <v>1.3288936924684827</v>
      </c>
      <c r="D614">
        <f t="shared" si="532"/>
        <v>1.3288936924684827</v>
      </c>
      <c r="E614">
        <f t="shared" si="537"/>
        <v>0.9708839558187311</v>
      </c>
      <c r="F614">
        <f t="shared" si="538"/>
        <v>0.97088395581873099</v>
      </c>
      <c r="G614">
        <f t="shared" si="533"/>
        <v>1.8126989611213105</v>
      </c>
      <c r="H614">
        <f t="shared" si="534"/>
        <v>0.9708839558187311</v>
      </c>
      <c r="I614">
        <f t="shared" si="535"/>
        <v>0.97088395581873099</v>
      </c>
      <c r="J614">
        <f t="shared" si="583"/>
        <v>6.5571149729292829E+19</v>
      </c>
      <c r="K614">
        <f t="shared" si="584"/>
        <v>6.5571149729292829E+19</v>
      </c>
      <c r="L614">
        <f t="shared" si="539"/>
        <v>1</v>
      </c>
      <c r="M614">
        <f t="shared" si="536"/>
        <v>1.3288936924684827E-20</v>
      </c>
      <c r="N614" s="9">
        <f t="shared" ref="N614:N677" si="585">L614*M614</f>
        <v>1.3288936924684827E-20</v>
      </c>
      <c r="O614">
        <f t="shared" ref="O614:O677" si="586">N614*EXP(-N614)</f>
        <v>1.3288936924684827E-20</v>
      </c>
      <c r="Q614">
        <f t="shared" si="540"/>
        <v>45.629667482394566</v>
      </c>
      <c r="R614">
        <f t="shared" si="541"/>
        <v>0</v>
      </c>
      <c r="S614">
        <f t="shared" si="563"/>
        <v>-45.767355073967373</v>
      </c>
      <c r="T614" s="9" t="e">
        <f t="shared" si="542"/>
        <v>#N/A</v>
      </c>
      <c r="U614">
        <f t="shared" si="564"/>
        <v>-1.0000000000000001E+300</v>
      </c>
      <c r="V614">
        <f t="shared" si="565"/>
        <v>0</v>
      </c>
      <c r="W614">
        <f t="shared" si="566"/>
        <v>0</v>
      </c>
      <c r="X614">
        <f t="shared" si="543"/>
        <v>1.3288936924684827</v>
      </c>
      <c r="Y614">
        <f t="shared" si="544"/>
        <v>7.8539816339744828</v>
      </c>
      <c r="Z614">
        <f t="shared" si="545"/>
        <v>-1.3288936924684827</v>
      </c>
      <c r="AA614">
        <f t="shared" si="567"/>
        <v>-0.32788354934820096</v>
      </c>
      <c r="AB614">
        <f t="shared" si="546"/>
        <v>7.5260980846262822</v>
      </c>
      <c r="AC614">
        <f t="shared" si="568"/>
        <v>-0.16723591937591367</v>
      </c>
      <c r="AD614">
        <f t="shared" si="547"/>
        <v>2.9548327803108489E-2</v>
      </c>
      <c r="AE614" s="9">
        <f t="shared" si="569"/>
        <v>7.3884104930534766</v>
      </c>
      <c r="AF614">
        <f t="shared" si="570"/>
        <v>0</v>
      </c>
      <c r="AH614">
        <f t="shared" si="548"/>
        <v>7.8539816339744828</v>
      </c>
      <c r="AI614">
        <f t="shared" si="549"/>
        <v>-0.32788354934820096</v>
      </c>
      <c r="AJ614">
        <f t="shared" si="550"/>
        <v>-0.16723591937591209</v>
      </c>
      <c r="AK614">
        <f t="shared" si="551"/>
        <v>2.9548327803108489E-2</v>
      </c>
      <c r="AL614" s="9">
        <f t="shared" si="571"/>
        <v>7.3884104930534784</v>
      </c>
      <c r="AM614" t="e">
        <f t="shared" si="552"/>
        <v>#N/A</v>
      </c>
      <c r="AN614" t="e">
        <f t="shared" si="572"/>
        <v>#N/A</v>
      </c>
      <c r="AO614">
        <f t="shared" si="553"/>
        <v>0</v>
      </c>
      <c r="AP614">
        <f t="shared" si="554"/>
        <v>0</v>
      </c>
      <c r="AQ614">
        <f t="shared" si="555"/>
        <v>1.5820678100908481E-15</v>
      </c>
      <c r="AR614">
        <f t="shared" si="573"/>
        <v>0</v>
      </c>
      <c r="AS614">
        <f t="shared" si="556"/>
        <v>0</v>
      </c>
      <c r="AT614">
        <f t="shared" si="574"/>
        <v>0</v>
      </c>
      <c r="AU614">
        <f t="shared" si="575"/>
        <v>0</v>
      </c>
      <c r="AV614">
        <f t="shared" si="557"/>
        <v>1.3288936924684825E-20</v>
      </c>
      <c r="AW614" t="b">
        <f t="shared" si="576"/>
        <v>1</v>
      </c>
      <c r="AX614">
        <f t="shared" si="558"/>
        <v>7.8539816339744828</v>
      </c>
      <c r="AY614">
        <f t="shared" si="559"/>
        <v>-0.32788354934820096</v>
      </c>
      <c r="AZ614">
        <f t="shared" si="560"/>
        <v>-0.16723591937591367</v>
      </c>
      <c r="BA614">
        <f t="shared" si="561"/>
        <v>2.9548327803108603E-2</v>
      </c>
      <c r="BB614">
        <f t="shared" si="562"/>
        <v>-1.2337005501361696E-20</v>
      </c>
      <c r="BD614" s="15">
        <f t="shared" si="577"/>
        <v>7.3884104930534766</v>
      </c>
      <c r="BE614" s="10">
        <f t="shared" si="578"/>
        <v>0</v>
      </c>
      <c r="BF614">
        <f t="shared" si="579"/>
        <v>0</v>
      </c>
      <c r="BG614">
        <f t="shared" si="580"/>
        <v>0</v>
      </c>
      <c r="BH614">
        <f t="shared" si="581"/>
        <v>0</v>
      </c>
      <c r="BI614">
        <f t="shared" si="582"/>
        <v>0</v>
      </c>
    </row>
    <row r="615" spans="1:61" x14ac:dyDescent="0.3">
      <c r="A615">
        <f t="shared" ref="A615:A678" si="587">ROUND(A614+1/1000,3)</f>
        <v>0.57799999999999996</v>
      </c>
      <c r="B615">
        <f t="shared" si="530"/>
        <v>1.8158405537749003</v>
      </c>
      <c r="C615">
        <f t="shared" si="531"/>
        <v>1.3257520998148928</v>
      </c>
      <c r="D615">
        <f t="shared" si="532"/>
        <v>1.3257520998148928</v>
      </c>
      <c r="E615">
        <f t="shared" si="537"/>
        <v>0.97012659649010591</v>
      </c>
      <c r="F615">
        <f t="shared" si="538"/>
        <v>0.97012659649010591</v>
      </c>
      <c r="G615">
        <f t="shared" si="533"/>
        <v>1.8158405537749003</v>
      </c>
      <c r="H615">
        <f t="shared" si="534"/>
        <v>0.97012659649010591</v>
      </c>
      <c r="I615">
        <f t="shared" si="535"/>
        <v>0.97012659649010591</v>
      </c>
      <c r="J615">
        <f t="shared" si="583"/>
        <v>6.562233987511074E+19</v>
      </c>
      <c r="K615">
        <f t="shared" si="584"/>
        <v>6.562233987511074E+19</v>
      </c>
      <c r="L615">
        <f t="shared" si="539"/>
        <v>1</v>
      </c>
      <c r="M615">
        <f t="shared" si="536"/>
        <v>1.3257520998148927E-20</v>
      </c>
      <c r="N615" s="9">
        <f t="shared" si="585"/>
        <v>1.3257520998148927E-20</v>
      </c>
      <c r="O615">
        <f t="shared" si="586"/>
        <v>1.3257520998148927E-20</v>
      </c>
      <c r="Q615">
        <f t="shared" si="540"/>
        <v>45.630447858746628</v>
      </c>
      <c r="R615">
        <f t="shared" si="541"/>
        <v>0</v>
      </c>
      <c r="S615">
        <f t="shared" si="563"/>
        <v>-45.769721938977639</v>
      </c>
      <c r="T615" s="9" t="e">
        <f t="shared" si="542"/>
        <v>#N/A</v>
      </c>
      <c r="U615">
        <f t="shared" si="564"/>
        <v>-1.0000000000000001E+300</v>
      </c>
      <c r="V615">
        <f t="shared" si="565"/>
        <v>0</v>
      </c>
      <c r="W615">
        <f t="shared" si="566"/>
        <v>0</v>
      </c>
      <c r="X615">
        <f t="shared" si="543"/>
        <v>1.3257520998148928</v>
      </c>
      <c r="Y615">
        <f t="shared" si="544"/>
        <v>7.8539816339744828</v>
      </c>
      <c r="Z615">
        <f t="shared" si="545"/>
        <v>-1.3257520998148928</v>
      </c>
      <c r="AA615">
        <f t="shared" si="567"/>
        <v>-0.33153038047212147</v>
      </c>
      <c r="AB615">
        <f t="shared" si="546"/>
        <v>7.5224512535023615</v>
      </c>
      <c r="AC615">
        <f t="shared" si="568"/>
        <v>-0.16960278438617984</v>
      </c>
      <c r="AD615">
        <f t="shared" si="547"/>
        <v>3.0328704155168498E-2</v>
      </c>
      <c r="AE615" s="9">
        <f t="shared" si="569"/>
        <v>7.38317717327135</v>
      </c>
      <c r="AF615">
        <f t="shared" si="570"/>
        <v>0</v>
      </c>
      <c r="AH615">
        <f t="shared" si="548"/>
        <v>7.8539816339744828</v>
      </c>
      <c r="AI615">
        <f t="shared" si="549"/>
        <v>-0.33153038047212136</v>
      </c>
      <c r="AJ615">
        <f t="shared" si="550"/>
        <v>-0.16960278438617848</v>
      </c>
      <c r="AK615">
        <f t="shared" si="551"/>
        <v>3.0328704155168498E-2</v>
      </c>
      <c r="AL615" s="9">
        <f t="shared" si="571"/>
        <v>7.3831771732713518</v>
      </c>
      <c r="AM615" t="e">
        <f t="shared" si="552"/>
        <v>#N/A</v>
      </c>
      <c r="AN615" t="e">
        <f t="shared" si="572"/>
        <v>#N/A</v>
      </c>
      <c r="AO615">
        <f t="shared" si="553"/>
        <v>0</v>
      </c>
      <c r="AP615">
        <f t="shared" si="554"/>
        <v>0</v>
      </c>
      <c r="AQ615">
        <f t="shared" si="555"/>
        <v>1.3600232051658168E-15</v>
      </c>
      <c r="AR615">
        <f t="shared" si="573"/>
        <v>0</v>
      </c>
      <c r="AS615">
        <f t="shared" si="556"/>
        <v>0</v>
      </c>
      <c r="AT615">
        <f t="shared" si="574"/>
        <v>0</v>
      </c>
      <c r="AU615">
        <f t="shared" si="575"/>
        <v>0</v>
      </c>
      <c r="AV615">
        <f t="shared" si="557"/>
        <v>1.3257520998148927E-20</v>
      </c>
      <c r="AW615" t="b">
        <f t="shared" si="576"/>
        <v>1</v>
      </c>
      <c r="AX615">
        <f t="shared" si="558"/>
        <v>7.8539816339744828</v>
      </c>
      <c r="AY615">
        <f t="shared" si="559"/>
        <v>-0.33153038047212152</v>
      </c>
      <c r="AZ615">
        <f t="shared" si="560"/>
        <v>-0.16960278438617984</v>
      </c>
      <c r="BA615">
        <f t="shared" si="561"/>
        <v>3.0328704155168498E-2</v>
      </c>
      <c r="BB615">
        <f t="shared" si="562"/>
        <v>-1.2337005501361696E-20</v>
      </c>
      <c r="BD615" s="15">
        <f t="shared" si="577"/>
        <v>7.38317717327135</v>
      </c>
      <c r="BE615" s="10">
        <f t="shared" si="578"/>
        <v>0</v>
      </c>
      <c r="BF615">
        <f t="shared" si="579"/>
        <v>0</v>
      </c>
      <c r="BG615">
        <f t="shared" si="580"/>
        <v>0</v>
      </c>
      <c r="BH615">
        <f t="shared" si="581"/>
        <v>0</v>
      </c>
      <c r="BI615">
        <f t="shared" si="582"/>
        <v>0</v>
      </c>
    </row>
    <row r="616" spans="1:61" x14ac:dyDescent="0.3">
      <c r="A616">
        <f t="shared" si="587"/>
        <v>0.57899999999999996</v>
      </c>
      <c r="B616">
        <f t="shared" si="530"/>
        <v>1.8189821464284901</v>
      </c>
      <c r="C616">
        <f t="shared" si="531"/>
        <v>1.322610507161303</v>
      </c>
      <c r="D616">
        <f t="shared" si="532"/>
        <v>1.322610507161303</v>
      </c>
      <c r="E616">
        <f t="shared" si="537"/>
        <v>0.96935966240362936</v>
      </c>
      <c r="F616">
        <f t="shared" si="538"/>
        <v>0.96935966240362925</v>
      </c>
      <c r="G616">
        <f t="shared" si="533"/>
        <v>1.8189821464284901</v>
      </c>
      <c r="H616">
        <f t="shared" si="534"/>
        <v>0.96935966240362936</v>
      </c>
      <c r="I616">
        <f t="shared" si="535"/>
        <v>0.96935966240362925</v>
      </c>
      <c r="J616">
        <f t="shared" si="583"/>
        <v>6.5674258694550553E+19</v>
      </c>
      <c r="K616">
        <f t="shared" si="584"/>
        <v>6.5674258694550553E+19</v>
      </c>
      <c r="L616" t="e">
        <f t="shared" si="539"/>
        <v>#NUM!</v>
      </c>
      <c r="M616">
        <f t="shared" si="536"/>
        <v>1.3226105071613031E-20</v>
      </c>
      <c r="N616" s="9" t="e">
        <f t="shared" si="585"/>
        <v>#NUM!</v>
      </c>
      <c r="O616" t="e">
        <f t="shared" si="586"/>
        <v>#NUM!</v>
      </c>
      <c r="Q616">
        <f t="shared" si="540"/>
        <v>45.631238721917668</v>
      </c>
      <c r="R616">
        <f t="shared" si="541"/>
        <v>0</v>
      </c>
      <c r="S616">
        <f t="shared" si="563"/>
        <v>-45.772094419331268</v>
      </c>
      <c r="T616" s="9" t="e">
        <f t="shared" si="542"/>
        <v>#N/A</v>
      </c>
      <c r="U616">
        <f t="shared" si="564"/>
        <v>-1.0000000000000001E+300</v>
      </c>
      <c r="V616">
        <f t="shared" si="565"/>
        <v>0</v>
      </c>
      <c r="W616">
        <f t="shared" si="566"/>
        <v>0</v>
      </c>
      <c r="X616">
        <f t="shared" si="543"/>
        <v>1.322610507161303</v>
      </c>
      <c r="Y616">
        <f t="shared" si="544"/>
        <v>7.8539816339744828</v>
      </c>
      <c r="Z616">
        <f t="shared" si="545"/>
        <v>-1.322610507161303</v>
      </c>
      <c r="AA616">
        <f t="shared" si="567"/>
        <v>-0.3351631913517385</v>
      </c>
      <c r="AB616">
        <f t="shared" si="546"/>
        <v>7.5188184426227442</v>
      </c>
      <c r="AC616">
        <f t="shared" si="568"/>
        <v>-0.17197526473981023</v>
      </c>
      <c r="AD616">
        <f t="shared" si="547"/>
        <v>3.1119567326210677E-2</v>
      </c>
      <c r="AE616" s="9">
        <f t="shared" si="569"/>
        <v>7.3779627452091443</v>
      </c>
      <c r="AF616">
        <f t="shared" si="570"/>
        <v>0</v>
      </c>
      <c r="AH616">
        <f t="shared" si="548"/>
        <v>7.8539816339744828</v>
      </c>
      <c r="AI616">
        <f t="shared" si="549"/>
        <v>-0.33516319135173839</v>
      </c>
      <c r="AJ616">
        <f t="shared" si="550"/>
        <v>-0.17197526473980673</v>
      </c>
      <c r="AK616">
        <f t="shared" si="551"/>
        <v>3.1119567326210677E-2</v>
      </c>
      <c r="AL616" s="9">
        <f t="shared" si="571"/>
        <v>7.3779627452091479</v>
      </c>
      <c r="AM616" t="e">
        <f t="shared" si="552"/>
        <v>#N/A</v>
      </c>
      <c r="AN616" t="e">
        <f t="shared" si="572"/>
        <v>#N/A</v>
      </c>
      <c r="AO616">
        <f t="shared" si="553"/>
        <v>0</v>
      </c>
      <c r="AP616">
        <f t="shared" si="554"/>
        <v>0</v>
      </c>
      <c r="AQ616">
        <f t="shared" si="555"/>
        <v>3.4972025275692431E-15</v>
      </c>
      <c r="AR616">
        <f t="shared" si="573"/>
        <v>0</v>
      </c>
      <c r="AS616">
        <f t="shared" si="556"/>
        <v>0</v>
      </c>
      <c r="AT616">
        <f t="shared" si="574"/>
        <v>0</v>
      </c>
      <c r="AU616">
        <f t="shared" si="575"/>
        <v>0</v>
      </c>
      <c r="AV616">
        <f t="shared" si="557"/>
        <v>1.3226105071613029E-20</v>
      </c>
      <c r="AW616" t="b">
        <f t="shared" si="576"/>
        <v>1</v>
      </c>
      <c r="AX616">
        <f t="shared" si="558"/>
        <v>7.8539816339744828</v>
      </c>
      <c r="AY616">
        <f t="shared" si="559"/>
        <v>-0.33516319135173855</v>
      </c>
      <c r="AZ616">
        <f t="shared" si="560"/>
        <v>-0.17197526473981023</v>
      </c>
      <c r="BA616">
        <f t="shared" si="561"/>
        <v>3.1119567326210792E-2</v>
      </c>
      <c r="BB616">
        <f t="shared" si="562"/>
        <v>-1.2337005501361696E-20</v>
      </c>
      <c r="BD616" s="15">
        <f t="shared" si="577"/>
        <v>7.3779627452091443</v>
      </c>
      <c r="BE616" s="10">
        <f t="shared" si="578"/>
        <v>0</v>
      </c>
      <c r="BF616">
        <f t="shared" si="579"/>
        <v>0</v>
      </c>
      <c r="BG616">
        <f t="shared" si="580"/>
        <v>0</v>
      </c>
      <c r="BH616">
        <f t="shared" si="581"/>
        <v>0</v>
      </c>
      <c r="BI616">
        <f t="shared" si="582"/>
        <v>0</v>
      </c>
    </row>
    <row r="617" spans="1:61" x14ac:dyDescent="0.3">
      <c r="A617">
        <f t="shared" si="587"/>
        <v>0.57999999999999996</v>
      </c>
      <c r="B617">
        <f t="shared" si="530"/>
        <v>1.8221237390820799</v>
      </c>
      <c r="C617">
        <f t="shared" si="531"/>
        <v>1.3194689145077132</v>
      </c>
      <c r="D617">
        <f t="shared" si="532"/>
        <v>1.3194689145077132</v>
      </c>
      <c r="E617">
        <f t="shared" si="537"/>
        <v>0.96858316112863119</v>
      </c>
      <c r="F617">
        <f t="shared" si="538"/>
        <v>0.96858316112863108</v>
      </c>
      <c r="G617">
        <f t="shared" si="533"/>
        <v>1.8221237390820799</v>
      </c>
      <c r="H617">
        <f t="shared" si="534"/>
        <v>0.96858316112863119</v>
      </c>
      <c r="I617">
        <f t="shared" si="535"/>
        <v>0.96858316112863108</v>
      </c>
      <c r="J617">
        <f t="shared" si="583"/>
        <v>6.5726908944583246E+19</v>
      </c>
      <c r="K617">
        <f t="shared" si="584"/>
        <v>6.5726908944583246E+19</v>
      </c>
      <c r="L617" t="e">
        <f t="shared" si="539"/>
        <v>#NUM!</v>
      </c>
      <c r="M617">
        <f t="shared" si="536"/>
        <v>1.3194689145077131E-20</v>
      </c>
      <c r="N617" s="9" t="e">
        <f t="shared" si="585"/>
        <v>#NUM!</v>
      </c>
      <c r="O617" t="e">
        <f t="shared" si="586"/>
        <v>#NUM!</v>
      </c>
      <c r="Q617">
        <f t="shared" si="540"/>
        <v>45.632040088508184</v>
      </c>
      <c r="R617">
        <f t="shared" si="541"/>
        <v>0</v>
      </c>
      <c r="S617">
        <f t="shared" si="563"/>
        <v>-45.774472541736237</v>
      </c>
      <c r="T617" s="9" t="e">
        <f t="shared" si="542"/>
        <v>#N/A</v>
      </c>
      <c r="U617">
        <f t="shared" si="564"/>
        <v>-1.0000000000000001E+300</v>
      </c>
      <c r="V617">
        <f t="shared" si="565"/>
        <v>0</v>
      </c>
      <c r="W617">
        <f t="shared" si="566"/>
        <v>0</v>
      </c>
      <c r="X617">
        <f t="shared" si="543"/>
        <v>1.3194689145077132</v>
      </c>
      <c r="Y617">
        <f t="shared" si="544"/>
        <v>7.8539816339744828</v>
      </c>
      <c r="Z617">
        <f t="shared" si="545"/>
        <v>-1.3194689145077132</v>
      </c>
      <c r="AA617">
        <f t="shared" si="567"/>
        <v>-0.33878203610735558</v>
      </c>
      <c r="AB617">
        <f t="shared" si="546"/>
        <v>7.5151995978671273</v>
      </c>
      <c r="AC617">
        <f t="shared" si="568"/>
        <v>-0.17435338714477766</v>
      </c>
      <c r="AD617">
        <f t="shared" si="547"/>
        <v>3.1920933916725326E-2</v>
      </c>
      <c r="AE617" s="9">
        <f t="shared" si="569"/>
        <v>7.3727671446390755</v>
      </c>
      <c r="AF617">
        <f t="shared" si="570"/>
        <v>0</v>
      </c>
      <c r="AH617">
        <f t="shared" si="548"/>
        <v>7.8539816339744828</v>
      </c>
      <c r="AI617">
        <f t="shared" si="549"/>
        <v>-0.33878203610735547</v>
      </c>
      <c r="AJ617">
        <f t="shared" si="550"/>
        <v>-0.17435338714477666</v>
      </c>
      <c r="AK617">
        <f t="shared" si="551"/>
        <v>3.1920933916725326E-2</v>
      </c>
      <c r="AL617" s="9">
        <f t="shared" si="571"/>
        <v>7.3727671446390763</v>
      </c>
      <c r="AM617" t="e">
        <f t="shared" si="552"/>
        <v>#N/A</v>
      </c>
      <c r="AN617" t="e">
        <f t="shared" si="572"/>
        <v>#N/A</v>
      </c>
      <c r="AO617">
        <f t="shared" si="553"/>
        <v>0</v>
      </c>
      <c r="AP617">
        <f t="shared" si="554"/>
        <v>0</v>
      </c>
      <c r="AQ617">
        <f t="shared" si="555"/>
        <v>9.9920072216264089E-16</v>
      </c>
      <c r="AR617">
        <f t="shared" si="573"/>
        <v>0</v>
      </c>
      <c r="AS617">
        <f t="shared" si="556"/>
        <v>0</v>
      </c>
      <c r="AT617">
        <f t="shared" si="574"/>
        <v>0</v>
      </c>
      <c r="AU617">
        <f t="shared" si="575"/>
        <v>0</v>
      </c>
      <c r="AV617">
        <f t="shared" si="557"/>
        <v>1.3194689145077131E-20</v>
      </c>
      <c r="AW617" t="b">
        <f t="shared" si="576"/>
        <v>1</v>
      </c>
      <c r="AX617">
        <f t="shared" si="558"/>
        <v>7.8539816339744828</v>
      </c>
      <c r="AY617">
        <f t="shared" si="559"/>
        <v>-0.33878203610735563</v>
      </c>
      <c r="AZ617">
        <f t="shared" si="560"/>
        <v>-0.17435338714477766</v>
      </c>
      <c r="BA617">
        <f t="shared" si="561"/>
        <v>3.1920933916725437E-2</v>
      </c>
      <c r="BB617">
        <f t="shared" si="562"/>
        <v>-1.2337005501361696E-20</v>
      </c>
      <c r="BD617" s="15">
        <f t="shared" si="577"/>
        <v>7.3727671446390755</v>
      </c>
      <c r="BE617" s="10">
        <f t="shared" si="578"/>
        <v>0</v>
      </c>
      <c r="BF617">
        <f t="shared" si="579"/>
        <v>0</v>
      </c>
      <c r="BG617">
        <f t="shared" si="580"/>
        <v>0</v>
      </c>
      <c r="BH617">
        <f t="shared" si="581"/>
        <v>0</v>
      </c>
      <c r="BI617">
        <f t="shared" si="582"/>
        <v>0</v>
      </c>
    </row>
    <row r="618" spans="1:61" x14ac:dyDescent="0.3">
      <c r="A618">
        <f t="shared" si="587"/>
        <v>0.58099999999999996</v>
      </c>
      <c r="B618">
        <f t="shared" si="530"/>
        <v>1.8252653317356697</v>
      </c>
      <c r="C618">
        <f t="shared" si="531"/>
        <v>1.3163273218541234</v>
      </c>
      <c r="D618">
        <f t="shared" si="532"/>
        <v>1.3163273218541234</v>
      </c>
      <c r="E618">
        <f t="shared" si="537"/>
        <v>0.96779710032886546</v>
      </c>
      <c r="F618">
        <f t="shared" si="538"/>
        <v>0.96779710032886546</v>
      </c>
      <c r="G618">
        <f t="shared" si="533"/>
        <v>1.8252653317356697</v>
      </c>
      <c r="H618">
        <f t="shared" si="534"/>
        <v>0.96779710032886546</v>
      </c>
      <c r="I618">
        <f t="shared" si="535"/>
        <v>0.96779710032886546</v>
      </c>
      <c r="J618">
        <f t="shared" si="583"/>
        <v>6.5780293426303173E+19</v>
      </c>
      <c r="K618">
        <f t="shared" si="584"/>
        <v>6.5780293426303173E+19</v>
      </c>
      <c r="L618">
        <f t="shared" si="539"/>
        <v>1</v>
      </c>
      <c r="M618">
        <f t="shared" si="536"/>
        <v>1.3163273218541234E-20</v>
      </c>
      <c r="N618" s="9">
        <f t="shared" si="585"/>
        <v>1.3163273218541234E-20</v>
      </c>
      <c r="O618">
        <f t="shared" si="586"/>
        <v>1.3163273218541234E-20</v>
      </c>
      <c r="Q618">
        <f t="shared" si="540"/>
        <v>45.632851975365938</v>
      </c>
      <c r="R618">
        <f t="shared" si="541"/>
        <v>0</v>
      </c>
      <c r="S618">
        <f t="shared" si="563"/>
        <v>-45.776856333091516</v>
      </c>
      <c r="T618" s="9" t="e">
        <f t="shared" si="542"/>
        <v>#N/A</v>
      </c>
      <c r="U618">
        <f t="shared" si="564"/>
        <v>-1.0000000000000001E+300</v>
      </c>
      <c r="V618">
        <f t="shared" si="565"/>
        <v>0</v>
      </c>
      <c r="W618">
        <f t="shared" si="566"/>
        <v>0</v>
      </c>
      <c r="X618">
        <f t="shared" si="543"/>
        <v>1.3163273218541234</v>
      </c>
      <c r="Y618">
        <f t="shared" si="544"/>
        <v>7.8539816339744828</v>
      </c>
      <c r="Z618">
        <f t="shared" si="545"/>
        <v>-1.3163273218541234</v>
      </c>
      <c r="AA618">
        <f t="shared" si="567"/>
        <v>-0.34238696847964756</v>
      </c>
      <c r="AB618">
        <f t="shared" si="546"/>
        <v>7.5115946654948349</v>
      </c>
      <c r="AC618">
        <f t="shared" si="568"/>
        <v>-0.17673717850005391</v>
      </c>
      <c r="AD618">
        <f t="shared" si="547"/>
        <v>3.2732820774477533E-2</v>
      </c>
      <c r="AE618" s="9">
        <f t="shared" si="569"/>
        <v>7.3675903077692588</v>
      </c>
      <c r="AF618">
        <f t="shared" si="570"/>
        <v>0</v>
      </c>
      <c r="AH618">
        <f t="shared" si="548"/>
        <v>7.8539816339744828</v>
      </c>
      <c r="AI618">
        <f t="shared" si="549"/>
        <v>-0.34238696847964756</v>
      </c>
      <c r="AJ618">
        <f t="shared" si="550"/>
        <v>-0.17673717850005488</v>
      </c>
      <c r="AK618">
        <f t="shared" si="551"/>
        <v>3.2732820774477533E-2</v>
      </c>
      <c r="AL618" s="9">
        <f t="shared" si="571"/>
        <v>7.3675903077692579</v>
      </c>
      <c r="AM618" t="e">
        <f t="shared" si="552"/>
        <v>#N/A</v>
      </c>
      <c r="AN618" t="e">
        <f t="shared" si="572"/>
        <v>#N/A</v>
      </c>
      <c r="AO618">
        <f t="shared" si="553"/>
        <v>0</v>
      </c>
      <c r="AP618">
        <f t="shared" si="554"/>
        <v>0</v>
      </c>
      <c r="AQ618">
        <f t="shared" si="555"/>
        <v>-9.7144514654701197E-16</v>
      </c>
      <c r="AR618">
        <f t="shared" si="573"/>
        <v>0</v>
      </c>
      <c r="AS618">
        <f t="shared" si="556"/>
        <v>0</v>
      </c>
      <c r="AT618">
        <f t="shared" si="574"/>
        <v>0</v>
      </c>
      <c r="AU618">
        <f t="shared" si="575"/>
        <v>0</v>
      </c>
      <c r="AV618">
        <f t="shared" si="557"/>
        <v>1.3163273218541233E-20</v>
      </c>
      <c r="AW618" t="b">
        <f t="shared" si="576"/>
        <v>1</v>
      </c>
      <c r="AX618">
        <f t="shared" si="558"/>
        <v>7.8539816339744828</v>
      </c>
      <c r="AY618">
        <f t="shared" si="559"/>
        <v>-0.34238696847964767</v>
      </c>
      <c r="AZ618">
        <f t="shared" si="560"/>
        <v>-0.17673717850005391</v>
      </c>
      <c r="BA618">
        <f t="shared" si="561"/>
        <v>3.2732820774477533E-2</v>
      </c>
      <c r="BB618">
        <f t="shared" si="562"/>
        <v>-1.2337005501361696E-20</v>
      </c>
      <c r="BD618" s="15">
        <f t="shared" si="577"/>
        <v>7.3675903077692588</v>
      </c>
      <c r="BE618" s="10">
        <f t="shared" si="578"/>
        <v>0</v>
      </c>
      <c r="BF618">
        <f t="shared" si="579"/>
        <v>0</v>
      </c>
      <c r="BG618">
        <f t="shared" si="580"/>
        <v>0</v>
      </c>
      <c r="BH618">
        <f t="shared" si="581"/>
        <v>0</v>
      </c>
      <c r="BI618">
        <f t="shared" si="582"/>
        <v>0</v>
      </c>
    </row>
    <row r="619" spans="1:61" x14ac:dyDescent="0.3">
      <c r="A619">
        <f t="shared" si="587"/>
        <v>0.58199999999999996</v>
      </c>
      <c r="B619">
        <f t="shared" si="530"/>
        <v>1.8284069243892596</v>
      </c>
      <c r="C619">
        <f t="shared" si="531"/>
        <v>1.3131857292005336</v>
      </c>
      <c r="D619">
        <f t="shared" si="532"/>
        <v>1.3131857292005336</v>
      </c>
      <c r="E619">
        <f t="shared" si="537"/>
        <v>0.96700148776243511</v>
      </c>
      <c r="F619">
        <f t="shared" si="538"/>
        <v>0.967001487762435</v>
      </c>
      <c r="G619">
        <f t="shared" si="533"/>
        <v>1.8284069243892596</v>
      </c>
      <c r="H619">
        <f t="shared" si="534"/>
        <v>0.96700148776243511</v>
      </c>
      <c r="I619">
        <f t="shared" si="535"/>
        <v>0.967001487762435</v>
      </c>
      <c r="J619">
        <f t="shared" si="583"/>
        <v>6.5834414985303613E+19</v>
      </c>
      <c r="K619">
        <f t="shared" si="584"/>
        <v>6.5834414985303613E+19</v>
      </c>
      <c r="L619">
        <f t="shared" si="539"/>
        <v>1</v>
      </c>
      <c r="M619">
        <f t="shared" si="536"/>
        <v>1.3131857292005335E-20</v>
      </c>
      <c r="N619" s="9">
        <f t="shared" si="585"/>
        <v>1.3131857292005335E-20</v>
      </c>
      <c r="O619">
        <f t="shared" si="586"/>
        <v>1.3131857292005335E-20</v>
      </c>
      <c r="Q619">
        <f t="shared" si="540"/>
        <v>45.633674399587427</v>
      </c>
      <c r="R619">
        <f t="shared" si="541"/>
        <v>0</v>
      </c>
      <c r="S619">
        <f t="shared" si="563"/>
        <v>-45.779245820488896</v>
      </c>
      <c r="T619" s="9" t="e">
        <f t="shared" si="542"/>
        <v>#N/A</v>
      </c>
      <c r="U619">
        <f t="shared" si="564"/>
        <v>-1.0000000000000001E+300</v>
      </c>
      <c r="V619">
        <f t="shared" si="565"/>
        <v>0</v>
      </c>
      <c r="W619">
        <f t="shared" si="566"/>
        <v>0</v>
      </c>
      <c r="X619">
        <f t="shared" si="543"/>
        <v>1.3131857292005336</v>
      </c>
      <c r="Y619">
        <f t="shared" si="544"/>
        <v>7.8539816339744828</v>
      </c>
      <c r="Z619">
        <f t="shared" si="545"/>
        <v>-1.3131857292005336</v>
      </c>
      <c r="AA619">
        <f t="shared" si="567"/>
        <v>-0.34597804183283071</v>
      </c>
      <c r="AB619">
        <f t="shared" si="546"/>
        <v>7.5080035921416517</v>
      </c>
      <c r="AC619">
        <f t="shared" si="568"/>
        <v>-0.17912666589743534</v>
      </c>
      <c r="AD619">
        <f t="shared" si="547"/>
        <v>3.3555244995967209E-2</v>
      </c>
      <c r="AE619" s="9">
        <f t="shared" si="569"/>
        <v>7.3624321712401839</v>
      </c>
      <c r="AF619">
        <f t="shared" si="570"/>
        <v>0</v>
      </c>
      <c r="AH619">
        <f t="shared" si="548"/>
        <v>7.8539816339744828</v>
      </c>
      <c r="AI619">
        <f t="shared" si="549"/>
        <v>-0.34597804183283065</v>
      </c>
      <c r="AJ619">
        <f t="shared" si="550"/>
        <v>-0.17912666589743509</v>
      </c>
      <c r="AK619">
        <f t="shared" si="551"/>
        <v>3.3555244995967209E-2</v>
      </c>
      <c r="AL619" s="9">
        <f t="shared" si="571"/>
        <v>7.3624321712401839</v>
      </c>
      <c r="AM619" t="e">
        <f t="shared" si="552"/>
        <v>#N/A</v>
      </c>
      <c r="AN619" t="e">
        <f t="shared" si="572"/>
        <v>#N/A</v>
      </c>
      <c r="AO619">
        <f t="shared" si="553"/>
        <v>0</v>
      </c>
      <c r="AP619">
        <f t="shared" si="554"/>
        <v>0</v>
      </c>
      <c r="AQ619">
        <f t="shared" si="555"/>
        <v>2.4980018054066022E-16</v>
      </c>
      <c r="AR619">
        <f t="shared" si="573"/>
        <v>0</v>
      </c>
      <c r="AS619">
        <f t="shared" si="556"/>
        <v>0</v>
      </c>
      <c r="AT619">
        <f t="shared" si="574"/>
        <v>0</v>
      </c>
      <c r="AU619">
        <f t="shared" si="575"/>
        <v>0</v>
      </c>
      <c r="AV619">
        <f t="shared" si="557"/>
        <v>1.3131857292005335E-20</v>
      </c>
      <c r="AW619" t="b">
        <f t="shared" si="576"/>
        <v>1</v>
      </c>
      <c r="AX619">
        <f t="shared" si="558"/>
        <v>7.8539816339744828</v>
      </c>
      <c r="AY619">
        <f t="shared" si="559"/>
        <v>-0.34597804183283076</v>
      </c>
      <c r="AZ619">
        <f t="shared" si="560"/>
        <v>-0.17912666589743534</v>
      </c>
      <c r="BA619">
        <f t="shared" si="561"/>
        <v>3.3555244995967327E-2</v>
      </c>
      <c r="BB619">
        <f t="shared" si="562"/>
        <v>-1.2337005501361696E-20</v>
      </c>
      <c r="BD619" s="15">
        <f t="shared" si="577"/>
        <v>7.3624321712401839</v>
      </c>
      <c r="BE619" s="10">
        <f t="shared" si="578"/>
        <v>0</v>
      </c>
      <c r="BF619">
        <f t="shared" si="579"/>
        <v>0</v>
      </c>
      <c r="BG619">
        <f t="shared" si="580"/>
        <v>0</v>
      </c>
      <c r="BH619">
        <f t="shared" si="581"/>
        <v>0</v>
      </c>
      <c r="BI619">
        <f t="shared" si="582"/>
        <v>0</v>
      </c>
    </row>
    <row r="620" spans="1:61" x14ac:dyDescent="0.3">
      <c r="A620">
        <f t="shared" si="587"/>
        <v>0.58299999999999996</v>
      </c>
      <c r="B620">
        <f t="shared" si="530"/>
        <v>1.8315485170428494</v>
      </c>
      <c r="C620">
        <f t="shared" si="531"/>
        <v>1.3100441365469437</v>
      </c>
      <c r="D620">
        <f t="shared" si="532"/>
        <v>1.3100441365469437</v>
      </c>
      <c r="E620">
        <f t="shared" si="537"/>
        <v>0.96619633128171478</v>
      </c>
      <c r="F620">
        <f t="shared" si="538"/>
        <v>0.96619633128171467</v>
      </c>
      <c r="G620">
        <f t="shared" si="533"/>
        <v>1.8315485170428494</v>
      </c>
      <c r="H620">
        <f t="shared" si="534"/>
        <v>0.96619633128171478</v>
      </c>
      <c r="I620">
        <f t="shared" si="535"/>
        <v>0.96619633128171467</v>
      </c>
      <c r="J620">
        <f t="shared" si="583"/>
        <v>6.5889276512059286E+19</v>
      </c>
      <c r="K620">
        <f t="shared" si="584"/>
        <v>6.5889276512059286E+19</v>
      </c>
      <c r="L620">
        <f t="shared" si="539"/>
        <v>1</v>
      </c>
      <c r="M620">
        <f t="shared" si="536"/>
        <v>1.3100441365469438E-20</v>
      </c>
      <c r="N620" s="9">
        <f t="shared" si="585"/>
        <v>1.3100441365469438E-20</v>
      </c>
      <c r="O620">
        <f t="shared" si="586"/>
        <v>1.3100441365469438E-20</v>
      </c>
      <c r="Q620">
        <f t="shared" si="540"/>
        <v>45.634507378519373</v>
      </c>
      <c r="R620">
        <f t="shared" si="541"/>
        <v>0</v>
      </c>
      <c r="S620">
        <f t="shared" si="563"/>
        <v>-45.781641031214846</v>
      </c>
      <c r="T620" s="9" t="e">
        <f t="shared" si="542"/>
        <v>#N/A</v>
      </c>
      <c r="U620">
        <f t="shared" si="564"/>
        <v>-1.0000000000000001E+300</v>
      </c>
      <c r="V620">
        <f t="shared" si="565"/>
        <v>0</v>
      </c>
      <c r="W620">
        <f t="shared" si="566"/>
        <v>0</v>
      </c>
      <c r="X620">
        <f t="shared" si="543"/>
        <v>1.3100441365469437</v>
      </c>
      <c r="Y620">
        <f t="shared" si="544"/>
        <v>7.8539816339744828</v>
      </c>
      <c r="Z620">
        <f t="shared" si="545"/>
        <v>-1.3100441365469437</v>
      </c>
      <c r="AA620">
        <f t="shared" si="567"/>
        <v>-0.34955530915779875</v>
      </c>
      <c r="AB620">
        <f t="shared" si="546"/>
        <v>7.5044263248166843</v>
      </c>
      <c r="AC620">
        <f t="shared" si="568"/>
        <v>-0.18152187662339034</v>
      </c>
      <c r="AD620">
        <f t="shared" si="547"/>
        <v>3.4388223927914803E-2</v>
      </c>
      <c r="AE620" s="9">
        <f t="shared" si="569"/>
        <v>7.3572926721212095</v>
      </c>
      <c r="AF620">
        <f t="shared" si="570"/>
        <v>0</v>
      </c>
      <c r="AH620">
        <f t="shared" si="548"/>
        <v>7.8539816339744828</v>
      </c>
      <c r="AI620">
        <f t="shared" si="549"/>
        <v>-0.34955530915779875</v>
      </c>
      <c r="AJ620">
        <f t="shared" si="550"/>
        <v>-0.18152187662338548</v>
      </c>
      <c r="AK620">
        <f t="shared" si="551"/>
        <v>3.4388223927914803E-2</v>
      </c>
      <c r="AL620" s="9">
        <f t="shared" si="571"/>
        <v>7.357292672121214</v>
      </c>
      <c r="AM620" t="e">
        <f t="shared" si="552"/>
        <v>#N/A</v>
      </c>
      <c r="AN620" t="e">
        <f t="shared" si="572"/>
        <v>#N/A</v>
      </c>
      <c r="AO620">
        <f t="shared" si="553"/>
        <v>0</v>
      </c>
      <c r="AP620">
        <f t="shared" si="554"/>
        <v>0</v>
      </c>
      <c r="AQ620">
        <f t="shared" si="555"/>
        <v>4.8572257327350599E-15</v>
      </c>
      <c r="AR620">
        <f t="shared" si="573"/>
        <v>0</v>
      </c>
      <c r="AS620">
        <f t="shared" si="556"/>
        <v>0</v>
      </c>
      <c r="AT620">
        <f t="shared" si="574"/>
        <v>0</v>
      </c>
      <c r="AU620">
        <f t="shared" si="575"/>
        <v>0</v>
      </c>
      <c r="AV620">
        <f t="shared" si="557"/>
        <v>1.3100441365469437E-20</v>
      </c>
      <c r="AW620" t="b">
        <f t="shared" si="576"/>
        <v>1</v>
      </c>
      <c r="AX620">
        <f t="shared" si="558"/>
        <v>7.8539816339744828</v>
      </c>
      <c r="AY620">
        <f t="shared" si="559"/>
        <v>-0.34955530915779887</v>
      </c>
      <c r="AZ620">
        <f t="shared" si="560"/>
        <v>-0.1815218766233902</v>
      </c>
      <c r="BA620">
        <f t="shared" si="561"/>
        <v>3.4388223927914921E-2</v>
      </c>
      <c r="BB620">
        <f t="shared" si="562"/>
        <v>-1.2337005501361696E-20</v>
      </c>
      <c r="BD620" s="15">
        <f t="shared" si="577"/>
        <v>7.3572926721212095</v>
      </c>
      <c r="BE620" s="10">
        <f t="shared" si="578"/>
        <v>0</v>
      </c>
      <c r="BF620">
        <f t="shared" si="579"/>
        <v>0</v>
      </c>
      <c r="BG620">
        <f t="shared" si="580"/>
        <v>0</v>
      </c>
      <c r="BH620">
        <f t="shared" si="581"/>
        <v>0</v>
      </c>
      <c r="BI620">
        <f t="shared" si="582"/>
        <v>0</v>
      </c>
    </row>
    <row r="621" spans="1:61" x14ac:dyDescent="0.3">
      <c r="A621">
        <f t="shared" si="587"/>
        <v>0.58399999999999996</v>
      </c>
      <c r="B621">
        <f t="shared" si="530"/>
        <v>1.834690109696439</v>
      </c>
      <c r="C621">
        <f t="shared" si="531"/>
        <v>1.3069025438933541</v>
      </c>
      <c r="D621">
        <f t="shared" si="532"/>
        <v>1.3069025438933541</v>
      </c>
      <c r="E621">
        <f t="shared" si="537"/>
        <v>0.96538163883327399</v>
      </c>
      <c r="F621">
        <f t="shared" si="538"/>
        <v>0.96538163883327388</v>
      </c>
      <c r="G621">
        <f t="shared" si="533"/>
        <v>1.834690109696439</v>
      </c>
      <c r="H621">
        <f t="shared" si="534"/>
        <v>0.96538163883327399</v>
      </c>
      <c r="I621">
        <f t="shared" si="535"/>
        <v>0.96538163883327388</v>
      </c>
      <c r="J621">
        <f t="shared" si="583"/>
        <v>6.5944880942315987E+19</v>
      </c>
      <c r="K621">
        <f t="shared" si="584"/>
        <v>6.5944880942315987E+19</v>
      </c>
      <c r="L621" t="e">
        <f t="shared" si="539"/>
        <v>#NUM!</v>
      </c>
      <c r="M621">
        <f t="shared" si="536"/>
        <v>1.3069025438933542E-20</v>
      </c>
      <c r="N621" s="9" t="e">
        <f t="shared" si="585"/>
        <v>#NUM!</v>
      </c>
      <c r="O621" t="e">
        <f t="shared" si="586"/>
        <v>#NUM!</v>
      </c>
      <c r="Q621">
        <f t="shared" si="540"/>
        <v>45.635350929760229</v>
      </c>
      <c r="R621">
        <f t="shared" si="541"/>
        <v>0</v>
      </c>
      <c r="S621">
        <f t="shared" si="563"/>
        <v>-45.784041992752385</v>
      </c>
      <c r="T621" s="9" t="e">
        <f t="shared" si="542"/>
        <v>#N/A</v>
      </c>
      <c r="U621">
        <f t="shared" si="564"/>
        <v>-1.0000000000000001E+300</v>
      </c>
      <c r="V621">
        <f t="shared" si="565"/>
        <v>0</v>
      </c>
      <c r="W621">
        <f t="shared" si="566"/>
        <v>0</v>
      </c>
      <c r="X621">
        <f t="shared" si="543"/>
        <v>1.3069025438933541</v>
      </c>
      <c r="Y621">
        <f t="shared" si="544"/>
        <v>7.8539816339744828</v>
      </c>
      <c r="Z621">
        <f t="shared" si="545"/>
        <v>-1.3069025438933541</v>
      </c>
      <c r="AA621">
        <f t="shared" si="567"/>
        <v>-0.35311882307522779</v>
      </c>
      <c r="AB621">
        <f t="shared" si="546"/>
        <v>7.500862810899255</v>
      </c>
      <c r="AC621">
        <f t="shared" si="568"/>
        <v>-0.18392283816092825</v>
      </c>
      <c r="AD621">
        <f t="shared" si="547"/>
        <v>3.5231775168771115E-2</v>
      </c>
      <c r="AE621" s="9">
        <f t="shared" si="569"/>
        <v>7.3521717479070983</v>
      </c>
      <c r="AF621">
        <f t="shared" si="570"/>
        <v>0</v>
      </c>
      <c r="AH621">
        <f t="shared" si="548"/>
        <v>7.8539816339744828</v>
      </c>
      <c r="AI621">
        <f t="shared" si="549"/>
        <v>-0.35311882307522774</v>
      </c>
      <c r="AJ621">
        <f t="shared" si="550"/>
        <v>-0.18392283816092458</v>
      </c>
      <c r="AK621">
        <f t="shared" si="551"/>
        <v>3.5231775168771115E-2</v>
      </c>
      <c r="AL621" s="9">
        <f t="shared" si="571"/>
        <v>7.3521717479071018</v>
      </c>
      <c r="AM621" t="e">
        <f t="shared" si="552"/>
        <v>#N/A</v>
      </c>
      <c r="AN621" t="e">
        <f t="shared" si="572"/>
        <v>#N/A</v>
      </c>
      <c r="AO621">
        <f t="shared" si="553"/>
        <v>0</v>
      </c>
      <c r="AP621">
        <f t="shared" si="554"/>
        <v>0</v>
      </c>
      <c r="AQ621">
        <f t="shared" si="555"/>
        <v>3.6637359812630166E-15</v>
      </c>
      <c r="AR621">
        <f t="shared" si="573"/>
        <v>0</v>
      </c>
      <c r="AS621">
        <f t="shared" si="556"/>
        <v>0</v>
      </c>
      <c r="AT621">
        <f t="shared" si="574"/>
        <v>0</v>
      </c>
      <c r="AU621">
        <f t="shared" si="575"/>
        <v>0</v>
      </c>
      <c r="AV621">
        <f t="shared" si="557"/>
        <v>1.306902543893354E-20</v>
      </c>
      <c r="AW621" t="b">
        <f t="shared" si="576"/>
        <v>1</v>
      </c>
      <c r="AX621">
        <f t="shared" si="558"/>
        <v>7.8539816339744828</v>
      </c>
      <c r="AY621">
        <f t="shared" si="559"/>
        <v>-0.35311882307522785</v>
      </c>
      <c r="AZ621">
        <f t="shared" si="560"/>
        <v>-0.18392283816092825</v>
      </c>
      <c r="BA621">
        <f t="shared" si="561"/>
        <v>3.5231775168771226E-2</v>
      </c>
      <c r="BB621">
        <f t="shared" si="562"/>
        <v>-1.2337005501361696E-20</v>
      </c>
      <c r="BD621" s="15">
        <f t="shared" si="577"/>
        <v>7.3521717479070983</v>
      </c>
      <c r="BE621" s="10">
        <f t="shared" si="578"/>
        <v>0</v>
      </c>
      <c r="BF621">
        <f t="shared" si="579"/>
        <v>0</v>
      </c>
      <c r="BG621">
        <f t="shared" si="580"/>
        <v>0</v>
      </c>
      <c r="BH621">
        <f t="shared" si="581"/>
        <v>0</v>
      </c>
      <c r="BI621">
        <f t="shared" si="582"/>
        <v>0</v>
      </c>
    </row>
    <row r="622" spans="1:61" x14ac:dyDescent="0.3">
      <c r="A622">
        <f t="shared" si="587"/>
        <v>0.58499999999999996</v>
      </c>
      <c r="B622">
        <f t="shared" si="530"/>
        <v>1.8378317023500288</v>
      </c>
      <c r="C622">
        <f t="shared" si="531"/>
        <v>1.3037609512397643</v>
      </c>
      <c r="D622">
        <f t="shared" si="532"/>
        <v>1.3037609512397643</v>
      </c>
      <c r="E622">
        <f t="shared" si="537"/>
        <v>0.96455741845779819</v>
      </c>
      <c r="F622">
        <f t="shared" si="538"/>
        <v>0.96455741845779808</v>
      </c>
      <c r="G622">
        <f t="shared" si="533"/>
        <v>1.8378317023500288</v>
      </c>
      <c r="H622">
        <f t="shared" si="534"/>
        <v>0.96455741845779819</v>
      </c>
      <c r="I622">
        <f t="shared" si="535"/>
        <v>0.96455741845779808</v>
      </c>
      <c r="J622">
        <f t="shared" si="583"/>
        <v>6.600123125748736E+19</v>
      </c>
      <c r="K622">
        <f t="shared" si="584"/>
        <v>6.600123125748736E+19</v>
      </c>
      <c r="L622">
        <f t="shared" si="539"/>
        <v>1</v>
      </c>
      <c r="M622">
        <f t="shared" si="536"/>
        <v>1.3037609512397642E-20</v>
      </c>
      <c r="N622" s="9">
        <f t="shared" si="585"/>
        <v>1.3037609512397642E-20</v>
      </c>
      <c r="O622">
        <f t="shared" si="586"/>
        <v>1.3037609512397642E-20</v>
      </c>
      <c r="Q622">
        <f t="shared" si="540"/>
        <v>45.636205071161712</v>
      </c>
      <c r="R622">
        <f t="shared" si="541"/>
        <v>0</v>
      </c>
      <c r="S622">
        <f t="shared" si="563"/>
        <v>-45.786448732782951</v>
      </c>
      <c r="T622" s="9" t="e">
        <f t="shared" si="542"/>
        <v>#N/A</v>
      </c>
      <c r="U622">
        <f t="shared" si="564"/>
        <v>-1.0000000000000001E+300</v>
      </c>
      <c r="V622">
        <f t="shared" si="565"/>
        <v>0</v>
      </c>
      <c r="W622">
        <f t="shared" si="566"/>
        <v>0</v>
      </c>
      <c r="X622">
        <f t="shared" si="543"/>
        <v>1.3037609512397643</v>
      </c>
      <c r="Y622">
        <f t="shared" si="544"/>
        <v>7.8539816339744828</v>
      </c>
      <c r="Z622">
        <f t="shared" si="545"/>
        <v>-1.3037609512397643</v>
      </c>
      <c r="AA622">
        <f t="shared" si="567"/>
        <v>-0.35666863583864938</v>
      </c>
      <c r="AB622">
        <f t="shared" si="546"/>
        <v>7.4973129981358335</v>
      </c>
      <c r="AC622">
        <f t="shared" si="568"/>
        <v>-0.18632957819149337</v>
      </c>
      <c r="AD622">
        <f t="shared" si="547"/>
        <v>3.6085916570253902E-2</v>
      </c>
      <c r="AE622" s="9">
        <f t="shared" si="569"/>
        <v>7.3470693365145943</v>
      </c>
      <c r="AF622">
        <f t="shared" si="570"/>
        <v>0</v>
      </c>
      <c r="AH622">
        <f t="shared" si="548"/>
        <v>7.8539816339744828</v>
      </c>
      <c r="AI622">
        <f t="shared" si="549"/>
        <v>-0.35666863583864927</v>
      </c>
      <c r="AJ622">
        <f t="shared" si="550"/>
        <v>-0.18632957819148999</v>
      </c>
      <c r="AK622">
        <f t="shared" si="551"/>
        <v>3.6085916570253902E-2</v>
      </c>
      <c r="AL622" s="9">
        <f t="shared" si="571"/>
        <v>7.3470693365145978</v>
      </c>
      <c r="AM622" t="e">
        <f t="shared" si="552"/>
        <v>#N/A</v>
      </c>
      <c r="AN622" t="e">
        <f t="shared" si="572"/>
        <v>#N/A</v>
      </c>
      <c r="AO622">
        <f t="shared" si="553"/>
        <v>0</v>
      </c>
      <c r="AP622">
        <f t="shared" si="554"/>
        <v>0</v>
      </c>
      <c r="AQ622">
        <f t="shared" si="555"/>
        <v>3.3861802251067274E-15</v>
      </c>
      <c r="AR622">
        <f t="shared" si="573"/>
        <v>0</v>
      </c>
      <c r="AS622">
        <f t="shared" si="556"/>
        <v>0</v>
      </c>
      <c r="AT622">
        <f t="shared" si="574"/>
        <v>0</v>
      </c>
      <c r="AU622">
        <f t="shared" si="575"/>
        <v>0</v>
      </c>
      <c r="AV622">
        <f t="shared" si="557"/>
        <v>1.3037609512397642E-20</v>
      </c>
      <c r="AW622" t="b">
        <f t="shared" si="576"/>
        <v>1</v>
      </c>
      <c r="AX622">
        <f t="shared" si="558"/>
        <v>7.8539816339744828</v>
      </c>
      <c r="AY622">
        <f t="shared" si="559"/>
        <v>-0.35666863583864949</v>
      </c>
      <c r="AZ622">
        <f t="shared" si="560"/>
        <v>-0.18632957819149337</v>
      </c>
      <c r="BA622">
        <f t="shared" si="561"/>
        <v>3.608591657025402E-2</v>
      </c>
      <c r="BB622">
        <f t="shared" si="562"/>
        <v>-1.2337005501361696E-20</v>
      </c>
      <c r="BD622" s="15">
        <f t="shared" si="577"/>
        <v>7.3470693365145943</v>
      </c>
      <c r="BE622" s="10">
        <f t="shared" si="578"/>
        <v>0</v>
      </c>
      <c r="BF622">
        <f t="shared" si="579"/>
        <v>0</v>
      </c>
      <c r="BG622">
        <f t="shared" si="580"/>
        <v>0</v>
      </c>
      <c r="BH622">
        <f t="shared" si="581"/>
        <v>0</v>
      </c>
      <c r="BI622">
        <f t="shared" si="582"/>
        <v>0</v>
      </c>
    </row>
    <row r="623" spans="1:61" x14ac:dyDescent="0.3">
      <c r="A623">
        <f t="shared" si="587"/>
        <v>0.58599999999999997</v>
      </c>
      <c r="B623">
        <f t="shared" si="530"/>
        <v>1.8409732950036186</v>
      </c>
      <c r="C623">
        <f t="shared" si="531"/>
        <v>1.3006193585861745</v>
      </c>
      <c r="D623">
        <f t="shared" si="532"/>
        <v>1.3006193585861745</v>
      </c>
      <c r="E623">
        <f t="shared" si="537"/>
        <v>0.96372367829000982</v>
      </c>
      <c r="F623">
        <f t="shared" si="538"/>
        <v>0.96372367829000971</v>
      </c>
      <c r="G623">
        <f t="shared" si="533"/>
        <v>1.8409732950036186</v>
      </c>
      <c r="H623">
        <f t="shared" si="534"/>
        <v>0.96372367829000982</v>
      </c>
      <c r="I623">
        <f t="shared" si="535"/>
        <v>0.96372367829000971</v>
      </c>
      <c r="J623">
        <f t="shared" si="583"/>
        <v>6.6058330485058994E+19</v>
      </c>
      <c r="K623">
        <f t="shared" si="584"/>
        <v>6.6058330485058994E+19</v>
      </c>
      <c r="L623">
        <f t="shared" si="539"/>
        <v>1</v>
      </c>
      <c r="M623">
        <f t="shared" si="536"/>
        <v>1.3006193585861745E-20</v>
      </c>
      <c r="N623" s="9">
        <f t="shared" si="585"/>
        <v>1.3006193585861745E-20</v>
      </c>
      <c r="O623">
        <f t="shared" si="586"/>
        <v>1.3006193585861745E-20</v>
      </c>
      <c r="Q623">
        <f t="shared" si="540"/>
        <v>45.637069820830369</v>
      </c>
      <c r="R623">
        <f t="shared" si="541"/>
        <v>0</v>
      </c>
      <c r="S623">
        <f t="shared" si="563"/>
        <v>-45.788861279188339</v>
      </c>
      <c r="T623" s="9" t="e">
        <f t="shared" si="542"/>
        <v>#N/A</v>
      </c>
      <c r="U623">
        <f t="shared" si="564"/>
        <v>-1.0000000000000001E+300</v>
      </c>
      <c r="V623">
        <f t="shared" si="565"/>
        <v>0</v>
      </c>
      <c r="W623">
        <f t="shared" si="566"/>
        <v>0</v>
      </c>
      <c r="X623">
        <f t="shared" si="543"/>
        <v>1.3006193585861745</v>
      </c>
      <c r="Y623">
        <f t="shared" si="544"/>
        <v>7.8539816339744828</v>
      </c>
      <c r="Z623">
        <f t="shared" si="545"/>
        <v>-1.3006193585861745</v>
      </c>
      <c r="AA623">
        <f t="shared" si="567"/>
        <v>-0.36020479933748994</v>
      </c>
      <c r="AB623">
        <f t="shared" si="546"/>
        <v>7.4937768346369928</v>
      </c>
      <c r="AC623">
        <f t="shared" si="568"/>
        <v>-0.18874212459687728</v>
      </c>
      <c r="AD623">
        <f t="shared" si="547"/>
        <v>3.6950666238909455E-2</v>
      </c>
      <c r="AE623" s="9">
        <f t="shared" si="569"/>
        <v>7.341985376279025</v>
      </c>
      <c r="AF623">
        <f t="shared" si="570"/>
        <v>0</v>
      </c>
      <c r="AH623">
        <f t="shared" si="548"/>
        <v>7.8539816339744828</v>
      </c>
      <c r="AI623">
        <f t="shared" si="549"/>
        <v>-0.36020479933748983</v>
      </c>
      <c r="AJ623">
        <f t="shared" si="550"/>
        <v>-0.18874212459687811</v>
      </c>
      <c r="AK623">
        <f t="shared" si="551"/>
        <v>3.6950666238909455E-2</v>
      </c>
      <c r="AL623" s="9">
        <f t="shared" si="571"/>
        <v>7.3419853762790241</v>
      </c>
      <c r="AM623" t="e">
        <f t="shared" si="552"/>
        <v>#N/A</v>
      </c>
      <c r="AN623" t="e">
        <f t="shared" si="572"/>
        <v>#N/A</v>
      </c>
      <c r="AO623">
        <f t="shared" si="553"/>
        <v>0</v>
      </c>
      <c r="AP623">
        <f t="shared" si="554"/>
        <v>0</v>
      </c>
      <c r="AQ623">
        <f t="shared" si="555"/>
        <v>-8.3266726846886741E-16</v>
      </c>
      <c r="AR623">
        <f t="shared" si="573"/>
        <v>0</v>
      </c>
      <c r="AS623">
        <f t="shared" si="556"/>
        <v>0</v>
      </c>
      <c r="AT623">
        <f t="shared" si="574"/>
        <v>0</v>
      </c>
      <c r="AU623">
        <f t="shared" si="575"/>
        <v>0</v>
      </c>
      <c r="AV623">
        <f t="shared" si="557"/>
        <v>1.3006193585861744E-20</v>
      </c>
      <c r="AW623" t="b">
        <f t="shared" si="576"/>
        <v>1</v>
      </c>
      <c r="AX623">
        <f t="shared" si="558"/>
        <v>7.8539816339744828</v>
      </c>
      <c r="AY623">
        <f t="shared" si="559"/>
        <v>-0.36020479933749</v>
      </c>
      <c r="AZ623">
        <f t="shared" si="560"/>
        <v>-0.18874212459687728</v>
      </c>
      <c r="BA623">
        <f t="shared" si="561"/>
        <v>3.6950666238909573E-2</v>
      </c>
      <c r="BB623">
        <f t="shared" si="562"/>
        <v>-1.2337005501361696E-20</v>
      </c>
      <c r="BD623" s="15">
        <f t="shared" si="577"/>
        <v>7.341985376279025</v>
      </c>
      <c r="BE623" s="10">
        <f t="shared" si="578"/>
        <v>0</v>
      </c>
      <c r="BF623">
        <f t="shared" si="579"/>
        <v>0</v>
      </c>
      <c r="BG623">
        <f t="shared" si="580"/>
        <v>0</v>
      </c>
      <c r="BH623">
        <f t="shared" si="581"/>
        <v>0</v>
      </c>
      <c r="BI623">
        <f t="shared" si="582"/>
        <v>0</v>
      </c>
    </row>
    <row r="624" spans="1:61" x14ac:dyDescent="0.3">
      <c r="A624">
        <f t="shared" si="587"/>
        <v>0.58699999999999997</v>
      </c>
      <c r="B624">
        <f t="shared" si="530"/>
        <v>1.8441148876572084</v>
      </c>
      <c r="C624">
        <f t="shared" si="531"/>
        <v>1.2974777659325847</v>
      </c>
      <c r="D624">
        <f t="shared" si="532"/>
        <v>1.2974777659325847</v>
      </c>
      <c r="E624">
        <f t="shared" si="537"/>
        <v>0.96288042655858763</v>
      </c>
      <c r="F624">
        <f t="shared" si="538"/>
        <v>0.96288042655858763</v>
      </c>
      <c r="G624">
        <f t="shared" si="533"/>
        <v>1.8441148876572084</v>
      </c>
      <c r="H624">
        <f t="shared" si="534"/>
        <v>0.96288042655858763</v>
      </c>
      <c r="I624">
        <f t="shared" si="535"/>
        <v>0.96288042655858763</v>
      </c>
      <c r="J624">
        <f t="shared" si="583"/>
        <v>6.6116181698999935E+19</v>
      </c>
      <c r="K624">
        <f t="shared" si="584"/>
        <v>6.6116181698999935E+19</v>
      </c>
      <c r="L624">
        <f t="shared" si="539"/>
        <v>1</v>
      </c>
      <c r="M624">
        <f t="shared" si="536"/>
        <v>1.2974777659325846E-20</v>
      </c>
      <c r="N624" s="9">
        <f t="shared" si="585"/>
        <v>1.2974777659325846E-20</v>
      </c>
      <c r="O624">
        <f t="shared" si="586"/>
        <v>1.2974777659325846E-20</v>
      </c>
      <c r="Q624">
        <f t="shared" si="540"/>
        <v>45.637945197129163</v>
      </c>
      <c r="R624">
        <f t="shared" si="541"/>
        <v>0</v>
      </c>
      <c r="S624">
        <f t="shared" si="563"/>
        <v>-45.791279660052616</v>
      </c>
      <c r="T624" s="9" t="e">
        <f t="shared" si="542"/>
        <v>#N/A</v>
      </c>
      <c r="U624">
        <f t="shared" si="564"/>
        <v>-1.0000000000000001E+300</v>
      </c>
      <c r="V624">
        <f t="shared" si="565"/>
        <v>0</v>
      </c>
      <c r="W624">
        <f t="shared" si="566"/>
        <v>0</v>
      </c>
      <c r="X624">
        <f t="shared" si="543"/>
        <v>1.2974777659325847</v>
      </c>
      <c r="Y624">
        <f t="shared" si="544"/>
        <v>7.8539816339744828</v>
      </c>
      <c r="Z624">
        <f t="shared" si="545"/>
        <v>-1.2974777659325847</v>
      </c>
      <c r="AA624">
        <f t="shared" si="567"/>
        <v>-0.36372736510008136</v>
      </c>
      <c r="AB624">
        <f t="shared" si="546"/>
        <v>7.4902542688744012</v>
      </c>
      <c r="AC624">
        <f t="shared" si="568"/>
        <v>-0.1911605054611589</v>
      </c>
      <c r="AD624">
        <f t="shared" si="547"/>
        <v>3.7826042537701221E-2</v>
      </c>
      <c r="AE624" s="9">
        <f t="shared" si="569"/>
        <v>7.3369198059509433</v>
      </c>
      <c r="AF624">
        <f t="shared" si="570"/>
        <v>0</v>
      </c>
      <c r="AH624">
        <f t="shared" si="548"/>
        <v>7.8539816339744828</v>
      </c>
      <c r="AI624">
        <f t="shared" si="549"/>
        <v>-0.36372736510008119</v>
      </c>
      <c r="AJ624">
        <f t="shared" si="550"/>
        <v>-0.19116050546115559</v>
      </c>
      <c r="AK624">
        <f t="shared" si="551"/>
        <v>3.7826042537701221E-2</v>
      </c>
      <c r="AL624" s="9">
        <f t="shared" si="571"/>
        <v>7.3369198059509477</v>
      </c>
      <c r="AM624" t="e">
        <f t="shared" si="552"/>
        <v>#N/A</v>
      </c>
      <c r="AN624" t="e">
        <f t="shared" si="572"/>
        <v>#N/A</v>
      </c>
      <c r="AO624">
        <f t="shared" si="553"/>
        <v>0</v>
      </c>
      <c r="AP624">
        <f t="shared" si="554"/>
        <v>0</v>
      </c>
      <c r="AQ624">
        <f t="shared" si="555"/>
        <v>3.3029134982598407E-15</v>
      </c>
      <c r="AR624">
        <f t="shared" si="573"/>
        <v>0</v>
      </c>
      <c r="AS624">
        <f t="shared" si="556"/>
        <v>0</v>
      </c>
      <c r="AT624">
        <f t="shared" si="574"/>
        <v>0</v>
      </c>
      <c r="AU624">
        <f t="shared" si="575"/>
        <v>0</v>
      </c>
      <c r="AV624">
        <f t="shared" si="557"/>
        <v>1.2974777659325846E-20</v>
      </c>
      <c r="AW624" t="b">
        <f t="shared" si="576"/>
        <v>1</v>
      </c>
      <c r="AX624">
        <f t="shared" si="558"/>
        <v>7.8539816339744828</v>
      </c>
      <c r="AY624">
        <f t="shared" si="559"/>
        <v>-0.36372736510008141</v>
      </c>
      <c r="AZ624">
        <f t="shared" si="560"/>
        <v>-0.1911605054611589</v>
      </c>
      <c r="BA624">
        <f t="shared" si="561"/>
        <v>3.7826042537701221E-2</v>
      </c>
      <c r="BB624">
        <f t="shared" si="562"/>
        <v>-1.2337005501361696E-20</v>
      </c>
      <c r="BD624" s="15">
        <f t="shared" si="577"/>
        <v>7.3369198059509433</v>
      </c>
      <c r="BE624" s="10">
        <f t="shared" si="578"/>
        <v>0</v>
      </c>
      <c r="BF624">
        <f t="shared" si="579"/>
        <v>0</v>
      </c>
      <c r="BG624">
        <f t="shared" si="580"/>
        <v>0</v>
      </c>
      <c r="BH624">
        <f t="shared" si="581"/>
        <v>0</v>
      </c>
      <c r="BI624">
        <f t="shared" si="582"/>
        <v>0</v>
      </c>
    </row>
    <row r="625" spans="1:61" x14ac:dyDescent="0.3">
      <c r="A625">
        <f t="shared" si="587"/>
        <v>0.58799999999999997</v>
      </c>
      <c r="B625">
        <f t="shared" si="530"/>
        <v>1.8472564803107983</v>
      </c>
      <c r="C625">
        <f t="shared" si="531"/>
        <v>1.2943361732789949</v>
      </c>
      <c r="D625">
        <f t="shared" si="532"/>
        <v>1.2943361732789949</v>
      </c>
      <c r="E625">
        <f t="shared" si="537"/>
        <v>0.96202767158608593</v>
      </c>
      <c r="F625">
        <f t="shared" si="538"/>
        <v>0.96202767158608593</v>
      </c>
      <c r="G625">
        <f t="shared" si="533"/>
        <v>1.8472564803107983</v>
      </c>
      <c r="H625">
        <f t="shared" si="534"/>
        <v>0.96202767158608593</v>
      </c>
      <c r="I625">
        <f t="shared" si="535"/>
        <v>0.96202767158608593</v>
      </c>
      <c r="J625">
        <f t="shared" si="583"/>
        <v>6.6174788020181623E+19</v>
      </c>
      <c r="K625">
        <f t="shared" si="584"/>
        <v>6.6174788020181623E+19</v>
      </c>
      <c r="L625">
        <f t="shared" si="539"/>
        <v>1</v>
      </c>
      <c r="M625">
        <f t="shared" si="536"/>
        <v>1.2943361732789949E-20</v>
      </c>
      <c r="N625" s="9">
        <f t="shared" si="585"/>
        <v>1.2943361732789949E-20</v>
      </c>
      <c r="O625">
        <f t="shared" si="586"/>
        <v>1.2943361732789949E-20</v>
      </c>
      <c r="Q625">
        <f t="shared" si="540"/>
        <v>45.63883121867908</v>
      </c>
      <c r="R625">
        <f t="shared" si="541"/>
        <v>-710542.73576010019</v>
      </c>
      <c r="S625">
        <f t="shared" si="563"/>
        <v>-45.793703903664124</v>
      </c>
      <c r="T625" s="9" t="e">
        <f t="shared" si="542"/>
        <v>#N/A</v>
      </c>
      <c r="U625">
        <f t="shared" si="564"/>
        <v>-1.0000000000000001E+300</v>
      </c>
      <c r="V625">
        <f t="shared" si="565"/>
        <v>0</v>
      </c>
      <c r="W625">
        <f t="shared" si="566"/>
        <v>0</v>
      </c>
      <c r="X625">
        <f t="shared" si="543"/>
        <v>1.2943361732789949</v>
      </c>
      <c r="Y625">
        <f t="shared" si="544"/>
        <v>7.8539816339744828</v>
      </c>
      <c r="Z625">
        <f t="shared" si="545"/>
        <v>-1.2943361732789949</v>
      </c>
      <c r="AA625">
        <f t="shared" si="567"/>
        <v>-0.36723638429663996</v>
      </c>
      <c r="AB625">
        <f t="shared" si="546"/>
        <v>7.4867452496778428</v>
      </c>
      <c r="AC625">
        <f t="shared" si="568"/>
        <v>-0.19358474907266526</v>
      </c>
      <c r="AD625">
        <f t="shared" si="547"/>
        <v>3.8712064087623989E-2</v>
      </c>
      <c r="AE625" s="9">
        <f t="shared" si="569"/>
        <v>7.3318725646928016</v>
      </c>
      <c r="AF625">
        <f t="shared" si="570"/>
        <v>0</v>
      </c>
      <c r="AH625">
        <f t="shared" si="548"/>
        <v>7.8539816339744828</v>
      </c>
      <c r="AI625">
        <f t="shared" si="549"/>
        <v>-0.36723638429663996</v>
      </c>
      <c r="AJ625">
        <f t="shared" si="550"/>
        <v>-0.19358474907266299</v>
      </c>
      <c r="AK625">
        <f t="shared" si="551"/>
        <v>3.8712064087623989E-2</v>
      </c>
      <c r="AL625" s="9">
        <f t="shared" si="571"/>
        <v>7.3318725646928042</v>
      </c>
      <c r="AM625" t="e">
        <f t="shared" si="552"/>
        <v>#N/A</v>
      </c>
      <c r="AN625" t="e">
        <f t="shared" si="572"/>
        <v>#N/A</v>
      </c>
      <c r="AO625">
        <f t="shared" si="553"/>
        <v>0</v>
      </c>
      <c r="AP625">
        <f t="shared" si="554"/>
        <v>0</v>
      </c>
      <c r="AQ625">
        <f t="shared" si="555"/>
        <v>2.2759572004815709E-15</v>
      </c>
      <c r="AR625">
        <f t="shared" si="573"/>
        <v>0</v>
      </c>
      <c r="AS625">
        <f t="shared" si="556"/>
        <v>0</v>
      </c>
      <c r="AT625">
        <f t="shared" si="574"/>
        <v>0</v>
      </c>
      <c r="AU625">
        <f t="shared" si="575"/>
        <v>0</v>
      </c>
      <c r="AV625">
        <f t="shared" si="557"/>
        <v>1.2943361732789948E-20</v>
      </c>
      <c r="AW625" t="b">
        <f t="shared" si="576"/>
        <v>1</v>
      </c>
      <c r="AX625">
        <f t="shared" si="558"/>
        <v>7.8539816339744828</v>
      </c>
      <c r="AY625">
        <f t="shared" si="559"/>
        <v>-0.36723638429663996</v>
      </c>
      <c r="AZ625">
        <f t="shared" si="560"/>
        <v>-0.19358474907266526</v>
      </c>
      <c r="BA625">
        <f t="shared" si="561"/>
        <v>3.8712064087623989E-2</v>
      </c>
      <c r="BB625">
        <f t="shared" si="562"/>
        <v>-1.2337005501361696E-20</v>
      </c>
      <c r="BD625" s="15">
        <f t="shared" si="577"/>
        <v>7.3318725646928016</v>
      </c>
      <c r="BE625" s="10">
        <f t="shared" si="578"/>
        <v>0</v>
      </c>
      <c r="BF625">
        <f t="shared" si="579"/>
        <v>0</v>
      </c>
      <c r="BG625">
        <f t="shared" si="580"/>
        <v>0</v>
      </c>
      <c r="BH625">
        <f t="shared" si="581"/>
        <v>0</v>
      </c>
      <c r="BI625">
        <f t="shared" si="582"/>
        <v>0</v>
      </c>
    </row>
    <row r="626" spans="1:61" x14ac:dyDescent="0.3">
      <c r="A626">
        <f t="shared" si="587"/>
        <v>0.58899999999999997</v>
      </c>
      <c r="B626">
        <f t="shared" si="530"/>
        <v>1.8503980729643881</v>
      </c>
      <c r="C626">
        <f t="shared" si="531"/>
        <v>1.291194580625405</v>
      </c>
      <c r="D626">
        <f t="shared" si="532"/>
        <v>1.291194580625405</v>
      </c>
      <c r="E626">
        <f t="shared" si="537"/>
        <v>0.961165421788852</v>
      </c>
      <c r="F626">
        <f t="shared" si="538"/>
        <v>0.96116542178885189</v>
      </c>
      <c r="G626">
        <f t="shared" si="533"/>
        <v>1.8503980729643881</v>
      </c>
      <c r="H626">
        <f t="shared" si="534"/>
        <v>0.961165421788852</v>
      </c>
      <c r="I626">
        <f t="shared" si="535"/>
        <v>0.96116542178885189</v>
      </c>
      <c r="J626">
        <f t="shared" si="583"/>
        <v>6.6234152616804549E+19</v>
      </c>
      <c r="K626">
        <f t="shared" si="584"/>
        <v>6.6234152616804549E+19</v>
      </c>
      <c r="L626">
        <f t="shared" si="539"/>
        <v>1</v>
      </c>
      <c r="M626">
        <f t="shared" si="536"/>
        <v>1.291194580625405E-20</v>
      </c>
      <c r="N626" s="9">
        <f t="shared" si="585"/>
        <v>1.291194580625405E-20</v>
      </c>
      <c r="O626">
        <f t="shared" si="586"/>
        <v>1.291194580625405E-20</v>
      </c>
      <c r="Q626">
        <f t="shared" si="540"/>
        <v>45.639727904360804</v>
      </c>
      <c r="R626">
        <f t="shared" si="541"/>
        <v>0</v>
      </c>
      <c r="S626">
        <f t="shared" si="563"/>
        <v>-45.796134038517415</v>
      </c>
      <c r="T626" s="9" t="e">
        <f t="shared" si="542"/>
        <v>#N/A</v>
      </c>
      <c r="U626">
        <f t="shared" si="564"/>
        <v>-1.0000000000000001E+300</v>
      </c>
      <c r="V626">
        <f t="shared" si="565"/>
        <v>0</v>
      </c>
      <c r="W626">
        <f t="shared" si="566"/>
        <v>0</v>
      </c>
      <c r="X626">
        <f t="shared" si="543"/>
        <v>1.291194580625405</v>
      </c>
      <c r="Y626">
        <f t="shared" si="544"/>
        <v>7.8539816339744828</v>
      </c>
      <c r="Z626">
        <f t="shared" si="545"/>
        <v>-1.291194580625405</v>
      </c>
      <c r="AA626">
        <f t="shared" si="567"/>
        <v>-0.37073190774221443</v>
      </c>
      <c r="AB626">
        <f t="shared" si="546"/>
        <v>7.4832497262322679</v>
      </c>
      <c r="AC626">
        <f t="shared" si="568"/>
        <v>-0.19601488392595706</v>
      </c>
      <c r="AD626">
        <f t="shared" si="547"/>
        <v>3.9608749769345926E-2</v>
      </c>
      <c r="AE626" s="9">
        <f t="shared" si="569"/>
        <v>7.3268435920756563</v>
      </c>
      <c r="AF626">
        <f t="shared" si="570"/>
        <v>0</v>
      </c>
      <c r="AH626">
        <f t="shared" si="548"/>
        <v>7.8539816339744828</v>
      </c>
      <c r="AI626">
        <f t="shared" si="549"/>
        <v>-0.37073190774221426</v>
      </c>
      <c r="AJ626">
        <f t="shared" si="550"/>
        <v>-0.19601488392595456</v>
      </c>
      <c r="AK626">
        <f t="shared" si="551"/>
        <v>3.9608749769345926E-2</v>
      </c>
      <c r="AL626" s="9">
        <f t="shared" si="571"/>
        <v>7.3268435920756598</v>
      </c>
      <c r="AM626" t="e">
        <f t="shared" si="552"/>
        <v>#N/A</v>
      </c>
      <c r="AN626" t="e">
        <f t="shared" si="572"/>
        <v>#N/A</v>
      </c>
      <c r="AO626">
        <f t="shared" si="553"/>
        <v>0</v>
      </c>
      <c r="AP626">
        <f t="shared" si="554"/>
        <v>0</v>
      </c>
      <c r="AQ626">
        <f t="shared" si="555"/>
        <v>2.4980018054066022E-15</v>
      </c>
      <c r="AR626">
        <f t="shared" si="573"/>
        <v>0</v>
      </c>
      <c r="AS626">
        <f t="shared" si="556"/>
        <v>0</v>
      </c>
      <c r="AT626">
        <f t="shared" si="574"/>
        <v>0</v>
      </c>
      <c r="AU626">
        <f t="shared" si="575"/>
        <v>0</v>
      </c>
      <c r="AV626">
        <f t="shared" si="557"/>
        <v>1.291194580625405E-20</v>
      </c>
      <c r="AW626" t="b">
        <f t="shared" si="576"/>
        <v>1</v>
      </c>
      <c r="AX626">
        <f t="shared" si="558"/>
        <v>7.8539816339744828</v>
      </c>
      <c r="AY626">
        <f t="shared" si="559"/>
        <v>-0.37073190774221448</v>
      </c>
      <c r="AZ626">
        <f t="shared" si="560"/>
        <v>-0.19601488392595706</v>
      </c>
      <c r="BA626">
        <f t="shared" si="561"/>
        <v>3.9608749769346044E-2</v>
      </c>
      <c r="BB626">
        <f t="shared" si="562"/>
        <v>-1.2337005501361696E-20</v>
      </c>
      <c r="BD626" s="15">
        <f t="shared" si="577"/>
        <v>7.3268435920756572</v>
      </c>
      <c r="BE626" s="10">
        <f t="shared" si="578"/>
        <v>0</v>
      </c>
      <c r="BF626">
        <f t="shared" si="579"/>
        <v>0</v>
      </c>
      <c r="BG626">
        <f t="shared" si="580"/>
        <v>0</v>
      </c>
      <c r="BH626">
        <f t="shared" si="581"/>
        <v>0</v>
      </c>
      <c r="BI626">
        <f t="shared" si="582"/>
        <v>0</v>
      </c>
    </row>
    <row r="627" spans="1:61" x14ac:dyDescent="0.3">
      <c r="A627">
        <f t="shared" si="587"/>
        <v>0.59</v>
      </c>
      <c r="B627">
        <f t="shared" si="530"/>
        <v>1.8535396656179779</v>
      </c>
      <c r="C627">
        <f t="shared" si="531"/>
        <v>1.2880529879718152</v>
      </c>
      <c r="D627">
        <f t="shared" si="532"/>
        <v>1.2880529879718152</v>
      </c>
      <c r="E627">
        <f t="shared" si="537"/>
        <v>0.96029368567694307</v>
      </c>
      <c r="F627">
        <f t="shared" si="538"/>
        <v>0.96029368567694307</v>
      </c>
      <c r="G627">
        <f t="shared" si="533"/>
        <v>1.8535396656179779</v>
      </c>
      <c r="H627">
        <f t="shared" si="534"/>
        <v>0.96029368567694307</v>
      </c>
      <c r="I627">
        <f t="shared" si="535"/>
        <v>0.96029368567694307</v>
      </c>
      <c r="J627">
        <f t="shared" si="583"/>
        <v>6.6294278704832561E+19</v>
      </c>
      <c r="K627">
        <f t="shared" si="584"/>
        <v>6.6294278704832561E+19</v>
      </c>
      <c r="L627">
        <f t="shared" si="539"/>
        <v>1</v>
      </c>
      <c r="M627">
        <f t="shared" si="536"/>
        <v>1.2880529879718153E-20</v>
      </c>
      <c r="N627" s="9">
        <f t="shared" si="585"/>
        <v>1.2880529879718153E-20</v>
      </c>
      <c r="O627">
        <f t="shared" si="586"/>
        <v>1.2880529879718153E-20</v>
      </c>
      <c r="Q627">
        <f t="shared" si="540"/>
        <v>45.640635273316335</v>
      </c>
      <c r="R627">
        <f t="shared" si="541"/>
        <v>0</v>
      </c>
      <c r="S627">
        <f t="shared" si="563"/>
        <v>-45.798570093315298</v>
      </c>
      <c r="T627" s="9" t="e">
        <f t="shared" si="542"/>
        <v>#N/A</v>
      </c>
      <c r="U627">
        <f t="shared" si="564"/>
        <v>-1.0000000000000001E+300</v>
      </c>
      <c r="V627">
        <f t="shared" si="565"/>
        <v>0</v>
      </c>
      <c r="W627">
        <f t="shared" si="566"/>
        <v>0</v>
      </c>
      <c r="X627">
        <f t="shared" si="543"/>
        <v>1.2880529879718152</v>
      </c>
      <c r="Y627">
        <f t="shared" si="544"/>
        <v>7.8539816339744828</v>
      </c>
      <c r="Z627">
        <f t="shared" si="545"/>
        <v>-1.2880529879718152</v>
      </c>
      <c r="AA627">
        <f t="shared" si="567"/>
        <v>-0.37421398589960442</v>
      </c>
      <c r="AB627">
        <f t="shared" si="546"/>
        <v>7.479767648074878</v>
      </c>
      <c r="AC627">
        <f t="shared" si="568"/>
        <v>-0.19845093872383818</v>
      </c>
      <c r="AD627">
        <f t="shared" si="547"/>
        <v>4.051611872487719E-2</v>
      </c>
      <c r="AE627" s="9">
        <f t="shared" si="569"/>
        <v>7.3218328280759168</v>
      </c>
      <c r="AF627">
        <f t="shared" si="570"/>
        <v>0</v>
      </c>
      <c r="AH627">
        <f t="shared" si="548"/>
        <v>7.8539816339744828</v>
      </c>
      <c r="AI627">
        <f t="shared" si="549"/>
        <v>-0.37421398589960436</v>
      </c>
      <c r="AJ627">
        <f t="shared" si="550"/>
        <v>-0.19845093872383757</v>
      </c>
      <c r="AK627">
        <f t="shared" si="551"/>
        <v>4.051611872487719E-2</v>
      </c>
      <c r="AL627" s="9">
        <f t="shared" si="571"/>
        <v>7.3218328280759177</v>
      </c>
      <c r="AM627" t="e">
        <f t="shared" si="552"/>
        <v>#N/A</v>
      </c>
      <c r="AN627" t="e">
        <f t="shared" si="572"/>
        <v>#N/A</v>
      </c>
      <c r="AO627">
        <f t="shared" si="553"/>
        <v>0</v>
      </c>
      <c r="AP627">
        <f t="shared" si="554"/>
        <v>0</v>
      </c>
      <c r="AQ627">
        <f t="shared" si="555"/>
        <v>6.106226635438361E-16</v>
      </c>
      <c r="AR627">
        <f t="shared" si="573"/>
        <v>0</v>
      </c>
      <c r="AS627">
        <f t="shared" si="556"/>
        <v>0</v>
      </c>
      <c r="AT627">
        <f t="shared" si="574"/>
        <v>0</v>
      </c>
      <c r="AU627">
        <f t="shared" si="575"/>
        <v>0</v>
      </c>
      <c r="AV627">
        <f t="shared" si="557"/>
        <v>1.2880529879718151E-20</v>
      </c>
      <c r="AW627" t="b">
        <f t="shared" si="576"/>
        <v>1</v>
      </c>
      <c r="AX627">
        <f t="shared" si="558"/>
        <v>7.8539816339744828</v>
      </c>
      <c r="AY627">
        <f t="shared" si="559"/>
        <v>-0.37421398589960447</v>
      </c>
      <c r="AZ627">
        <f t="shared" si="560"/>
        <v>-0.19845093872383818</v>
      </c>
      <c r="BA627">
        <f t="shared" si="561"/>
        <v>4.051611872487719E-2</v>
      </c>
      <c r="BB627">
        <f t="shared" si="562"/>
        <v>-1.2337005501361696E-20</v>
      </c>
      <c r="BD627" s="15">
        <f t="shared" si="577"/>
        <v>7.3218328280759168</v>
      </c>
      <c r="BE627" s="10">
        <f t="shared" si="578"/>
        <v>0</v>
      </c>
      <c r="BF627">
        <f t="shared" si="579"/>
        <v>0</v>
      </c>
      <c r="BG627">
        <f t="shared" si="580"/>
        <v>0</v>
      </c>
      <c r="BH627">
        <f t="shared" si="581"/>
        <v>0</v>
      </c>
      <c r="BI627">
        <f t="shared" si="582"/>
        <v>0</v>
      </c>
    </row>
    <row r="628" spans="1:61" x14ac:dyDescent="0.3">
      <c r="A628">
        <f t="shared" si="587"/>
        <v>0.59099999999999997</v>
      </c>
      <c r="B628">
        <f t="shared" si="530"/>
        <v>1.8566812582715677</v>
      </c>
      <c r="C628">
        <f t="shared" si="531"/>
        <v>1.2849113953182254</v>
      </c>
      <c r="D628">
        <f t="shared" si="532"/>
        <v>1.2849113953182254</v>
      </c>
      <c r="E628">
        <f t="shared" si="537"/>
        <v>0.95941247185404288</v>
      </c>
      <c r="F628">
        <f t="shared" si="538"/>
        <v>0.95941247185404288</v>
      </c>
      <c r="G628">
        <f t="shared" si="533"/>
        <v>1.8566812582715677</v>
      </c>
      <c r="H628">
        <f t="shared" si="534"/>
        <v>0.95941247185404288</v>
      </c>
      <c r="I628">
        <f t="shared" si="535"/>
        <v>0.95941247185404288</v>
      </c>
      <c r="J628">
        <f t="shared" si="583"/>
        <v>6.6355169548435005E+19</v>
      </c>
      <c r="K628">
        <f t="shared" si="584"/>
        <v>6.6355169548435005E+19</v>
      </c>
      <c r="L628">
        <f t="shared" si="539"/>
        <v>1</v>
      </c>
      <c r="M628">
        <f t="shared" si="536"/>
        <v>1.2849113953182253E-20</v>
      </c>
      <c r="N628" s="9">
        <f t="shared" si="585"/>
        <v>1.2849113953182253E-20</v>
      </c>
      <c r="O628">
        <f t="shared" si="586"/>
        <v>1.2849113953182253E-20</v>
      </c>
      <c r="Q628">
        <f t="shared" si="540"/>
        <v>45.641553344950722</v>
      </c>
      <c r="R628">
        <f t="shared" si="541"/>
        <v>-710542.73576010019</v>
      </c>
      <c r="S628">
        <f t="shared" si="563"/>
        <v>-45.801012096970851</v>
      </c>
      <c r="T628" s="9" t="e">
        <f t="shared" si="542"/>
        <v>#N/A</v>
      </c>
      <c r="U628">
        <f t="shared" si="564"/>
        <v>-1.0000000000000001E+300</v>
      </c>
      <c r="V628">
        <f t="shared" si="565"/>
        <v>0</v>
      </c>
      <c r="W628">
        <f t="shared" si="566"/>
        <v>0</v>
      </c>
      <c r="X628">
        <f t="shared" si="543"/>
        <v>1.2849113953182254</v>
      </c>
      <c r="Y628">
        <f t="shared" si="544"/>
        <v>7.8539816339744828</v>
      </c>
      <c r="Z628">
        <f t="shared" si="545"/>
        <v>-1.2849113953182254</v>
      </c>
      <c r="AA628">
        <f t="shared" si="567"/>
        <v>-0.37768266888224877</v>
      </c>
      <c r="AB628">
        <f t="shared" si="546"/>
        <v>7.4762989650922336</v>
      </c>
      <c r="AC628">
        <f t="shared" si="568"/>
        <v>-0.20089294237938993</v>
      </c>
      <c r="AD628">
        <f t="shared" si="547"/>
        <v>4.1434190359265453E-2</v>
      </c>
      <c r="AE628" s="9">
        <f t="shared" si="569"/>
        <v>7.3168402130721093</v>
      </c>
      <c r="AF628">
        <f t="shared" si="570"/>
        <v>0</v>
      </c>
      <c r="AH628">
        <f t="shared" si="548"/>
        <v>7.8539816339744828</v>
      </c>
      <c r="AI628">
        <f t="shared" si="549"/>
        <v>-0.37768266888224866</v>
      </c>
      <c r="AJ628">
        <f t="shared" si="550"/>
        <v>-0.20089294237939015</v>
      </c>
      <c r="AK628">
        <f t="shared" si="551"/>
        <v>4.1434190359265453E-2</v>
      </c>
      <c r="AL628" s="9">
        <f t="shared" si="571"/>
        <v>7.3168402130721102</v>
      </c>
      <c r="AM628" t="e">
        <f t="shared" si="552"/>
        <v>#N/A</v>
      </c>
      <c r="AN628" t="e">
        <f t="shared" si="572"/>
        <v>#N/A</v>
      </c>
      <c r="AO628">
        <f t="shared" si="553"/>
        <v>0</v>
      </c>
      <c r="AP628">
        <f t="shared" si="554"/>
        <v>0</v>
      </c>
      <c r="AQ628">
        <f t="shared" si="555"/>
        <v>-2.2204460492503131E-16</v>
      </c>
      <c r="AR628">
        <f t="shared" si="573"/>
        <v>0</v>
      </c>
      <c r="AS628">
        <f t="shared" si="556"/>
        <v>0</v>
      </c>
      <c r="AT628">
        <f t="shared" si="574"/>
        <v>0</v>
      </c>
      <c r="AU628">
        <f t="shared" si="575"/>
        <v>0</v>
      </c>
      <c r="AV628">
        <f t="shared" si="557"/>
        <v>1.2849113953182253E-20</v>
      </c>
      <c r="AW628" t="b">
        <f t="shared" si="576"/>
        <v>1</v>
      </c>
      <c r="AX628">
        <f t="shared" si="558"/>
        <v>7.8539816339744828</v>
      </c>
      <c r="AY628">
        <f t="shared" si="559"/>
        <v>-0.37768266888224883</v>
      </c>
      <c r="AZ628">
        <f t="shared" si="560"/>
        <v>-0.20089294237938993</v>
      </c>
      <c r="BA628">
        <f t="shared" si="561"/>
        <v>4.1434190359265453E-2</v>
      </c>
      <c r="BB628">
        <f t="shared" si="562"/>
        <v>-1.2337005501361696E-20</v>
      </c>
      <c r="BD628" s="15">
        <f t="shared" si="577"/>
        <v>7.3168402130721093</v>
      </c>
      <c r="BE628" s="10">
        <f t="shared" si="578"/>
        <v>0</v>
      </c>
      <c r="BF628">
        <f t="shared" si="579"/>
        <v>0</v>
      </c>
      <c r="BG628">
        <f t="shared" si="580"/>
        <v>0</v>
      </c>
      <c r="BH628">
        <f t="shared" si="581"/>
        <v>0</v>
      </c>
      <c r="BI628">
        <f t="shared" si="582"/>
        <v>0</v>
      </c>
    </row>
    <row r="629" spans="1:61" x14ac:dyDescent="0.3">
      <c r="A629">
        <f t="shared" si="587"/>
        <v>0.59199999999999997</v>
      </c>
      <c r="B629">
        <f t="shared" si="530"/>
        <v>1.8598228509251575</v>
      </c>
      <c r="C629">
        <f t="shared" si="531"/>
        <v>1.2817698026646356</v>
      </c>
      <c r="D629">
        <f t="shared" si="532"/>
        <v>1.2817698026646356</v>
      </c>
      <c r="E629">
        <f t="shared" si="537"/>
        <v>0.95852178901737595</v>
      </c>
      <c r="F629">
        <f t="shared" si="538"/>
        <v>0.95852178901737584</v>
      </c>
      <c r="G629">
        <f t="shared" si="533"/>
        <v>1.8598228509251575</v>
      </c>
      <c r="H629">
        <f t="shared" si="534"/>
        <v>0.95852178901737595</v>
      </c>
      <c r="I629">
        <f t="shared" si="535"/>
        <v>0.95852178901737584</v>
      </c>
      <c r="J629">
        <f t="shared" si="583"/>
        <v>6.6416828460436898E+19</v>
      </c>
      <c r="K629">
        <f t="shared" si="584"/>
        <v>6.6416828460436898E+19</v>
      </c>
      <c r="L629" t="e">
        <f t="shared" si="539"/>
        <v>#NUM!</v>
      </c>
      <c r="M629">
        <f t="shared" si="536"/>
        <v>1.2817698026646357E-20</v>
      </c>
      <c r="N629" s="9" t="e">
        <f t="shared" si="585"/>
        <v>#NUM!</v>
      </c>
      <c r="O629" t="e">
        <f t="shared" si="586"/>
        <v>#NUM!</v>
      </c>
      <c r="Q629">
        <f t="shared" si="540"/>
        <v>45.642482138933779</v>
      </c>
      <c r="R629">
        <f t="shared" si="541"/>
        <v>0</v>
      </c>
      <c r="S629">
        <f t="shared" si="563"/>
        <v>-45.80346007860949</v>
      </c>
      <c r="T629" s="9" t="e">
        <f t="shared" si="542"/>
        <v>#N/A</v>
      </c>
      <c r="U629">
        <f t="shared" si="564"/>
        <v>-1.0000000000000001E+300</v>
      </c>
      <c r="V629">
        <f t="shared" si="565"/>
        <v>0</v>
      </c>
      <c r="W629">
        <f t="shared" si="566"/>
        <v>0</v>
      </c>
      <c r="X629">
        <f t="shared" si="543"/>
        <v>1.2817698026646356</v>
      </c>
      <c r="Y629">
        <f t="shared" si="544"/>
        <v>7.8539816339744828</v>
      </c>
      <c r="Z629">
        <f t="shared" si="545"/>
        <v>-1.2817698026646356</v>
      </c>
      <c r="AA629">
        <f t="shared" si="567"/>
        <v>-0.38113800645708501</v>
      </c>
      <c r="AB629">
        <f t="shared" si="546"/>
        <v>7.4728436275173982</v>
      </c>
      <c r="AC629">
        <f t="shared" si="568"/>
        <v>-0.20334092401803011</v>
      </c>
      <c r="AD629">
        <f t="shared" si="547"/>
        <v>4.2362984342320775E-2</v>
      </c>
      <c r="AE629" s="9">
        <f t="shared" si="569"/>
        <v>7.3118656878416886</v>
      </c>
      <c r="AF629">
        <f t="shared" si="570"/>
        <v>0</v>
      </c>
      <c r="AH629">
        <f t="shared" si="548"/>
        <v>7.8539816339744828</v>
      </c>
      <c r="AI629">
        <f t="shared" si="549"/>
        <v>-0.38113800645708501</v>
      </c>
      <c r="AJ629">
        <f t="shared" si="550"/>
        <v>-0.20334092401802906</v>
      </c>
      <c r="AK629">
        <f t="shared" si="551"/>
        <v>4.2362984342320775E-2</v>
      </c>
      <c r="AL629" s="9">
        <f t="shared" si="571"/>
        <v>7.3118656878416903</v>
      </c>
      <c r="AM629" t="e">
        <f t="shared" si="552"/>
        <v>#N/A</v>
      </c>
      <c r="AN629" t="e">
        <f t="shared" si="572"/>
        <v>#N/A</v>
      </c>
      <c r="AO629">
        <f t="shared" si="553"/>
        <v>0</v>
      </c>
      <c r="AP629">
        <f t="shared" si="554"/>
        <v>0</v>
      </c>
      <c r="AQ629">
        <f t="shared" si="555"/>
        <v>1.0547118733938987E-15</v>
      </c>
      <c r="AR629">
        <f t="shared" si="573"/>
        <v>0</v>
      </c>
      <c r="AS629">
        <f t="shared" si="556"/>
        <v>0</v>
      </c>
      <c r="AT629">
        <f t="shared" si="574"/>
        <v>0</v>
      </c>
      <c r="AU629">
        <f t="shared" si="575"/>
        <v>0</v>
      </c>
      <c r="AV629">
        <f t="shared" si="557"/>
        <v>1.2817698026646355E-20</v>
      </c>
      <c r="AW629" t="b">
        <f t="shared" si="576"/>
        <v>1</v>
      </c>
      <c r="AX629">
        <f t="shared" si="558"/>
        <v>7.8539816339744828</v>
      </c>
      <c r="AY629">
        <f t="shared" si="559"/>
        <v>-0.38113800645708507</v>
      </c>
      <c r="AZ629">
        <f t="shared" si="560"/>
        <v>-0.20334092401802997</v>
      </c>
      <c r="BA629">
        <f t="shared" si="561"/>
        <v>4.2362984342320886E-2</v>
      </c>
      <c r="BB629">
        <f t="shared" si="562"/>
        <v>-1.2337005501361696E-20</v>
      </c>
      <c r="BD629" s="15">
        <f t="shared" si="577"/>
        <v>7.3118656878416886</v>
      </c>
      <c r="BE629" s="10">
        <f t="shared" si="578"/>
        <v>0</v>
      </c>
      <c r="BF629">
        <f t="shared" si="579"/>
        <v>0</v>
      </c>
      <c r="BG629">
        <f t="shared" si="580"/>
        <v>0</v>
      </c>
      <c r="BH629">
        <f t="shared" si="581"/>
        <v>0</v>
      </c>
      <c r="BI629">
        <f t="shared" si="582"/>
        <v>0</v>
      </c>
    </row>
    <row r="630" spans="1:61" x14ac:dyDescent="0.3">
      <c r="A630">
        <f t="shared" si="587"/>
        <v>0.59299999999999997</v>
      </c>
      <c r="B630">
        <f t="shared" si="530"/>
        <v>1.8629644435787471</v>
      </c>
      <c r="C630">
        <f t="shared" si="531"/>
        <v>1.278628210011046</v>
      </c>
      <c r="D630">
        <f t="shared" si="532"/>
        <v>1.278628210011046</v>
      </c>
      <c r="E630">
        <f t="shared" si="537"/>
        <v>0.95762164595762234</v>
      </c>
      <c r="F630">
        <f t="shared" si="538"/>
        <v>0.95762164595762223</v>
      </c>
      <c r="G630">
        <f t="shared" si="533"/>
        <v>1.8629644435787471</v>
      </c>
      <c r="H630">
        <f t="shared" si="534"/>
        <v>0.95762164595762234</v>
      </c>
      <c r="I630">
        <f t="shared" si="535"/>
        <v>0.95762164595762223</v>
      </c>
      <c r="J630">
        <f t="shared" si="583"/>
        <v>6.647925880277708E+19</v>
      </c>
      <c r="K630">
        <f t="shared" si="584"/>
        <v>6.647925880277708E+19</v>
      </c>
      <c r="L630">
        <f t="shared" si="539"/>
        <v>1</v>
      </c>
      <c r="M630">
        <f t="shared" si="536"/>
        <v>1.278628210011046E-20</v>
      </c>
      <c r="N630" s="9">
        <f t="shared" si="585"/>
        <v>1.278628210011046E-20</v>
      </c>
      <c r="O630">
        <f t="shared" si="586"/>
        <v>1.278628210011046E-20</v>
      </c>
      <c r="Q630">
        <f t="shared" si="540"/>
        <v>45.643421675201829</v>
      </c>
      <c r="R630">
        <f t="shared" si="541"/>
        <v>0</v>
      </c>
      <c r="S630">
        <f t="shared" si="563"/>
        <v>-45.805914067571052</v>
      </c>
      <c r="T630" s="9" t="e">
        <f t="shared" si="542"/>
        <v>#N/A</v>
      </c>
      <c r="U630">
        <f t="shared" si="564"/>
        <v>-1.0000000000000001E+300</v>
      </c>
      <c r="V630">
        <f t="shared" si="565"/>
        <v>0</v>
      </c>
      <c r="W630">
        <f t="shared" si="566"/>
        <v>0</v>
      </c>
      <c r="X630">
        <f t="shared" si="543"/>
        <v>1.278628210011046</v>
      </c>
      <c r="Y630">
        <f t="shared" si="544"/>
        <v>7.8539816339744828</v>
      </c>
      <c r="Z630">
        <f t="shared" si="545"/>
        <v>-1.278628210011046</v>
      </c>
      <c r="AA630">
        <f t="shared" si="567"/>
        <v>-0.38458004804737861</v>
      </c>
      <c r="AB630">
        <f t="shared" si="546"/>
        <v>7.4694015859271046</v>
      </c>
      <c r="AC630">
        <f t="shared" si="568"/>
        <v>-0.20579491297959654</v>
      </c>
      <c r="AD630">
        <f t="shared" si="547"/>
        <v>4.3302520610366914E-2</v>
      </c>
      <c r="AE630" s="9">
        <f t="shared" si="569"/>
        <v>7.3069091935578747</v>
      </c>
      <c r="AF630">
        <f t="shared" si="570"/>
        <v>0</v>
      </c>
      <c r="AH630">
        <f t="shared" si="548"/>
        <v>7.8539816339744828</v>
      </c>
      <c r="AI630">
        <f t="shared" si="549"/>
        <v>-0.3845800480473785</v>
      </c>
      <c r="AJ630">
        <f t="shared" si="550"/>
        <v>-0.20579491297959152</v>
      </c>
      <c r="AK630">
        <f t="shared" si="551"/>
        <v>4.3302520610366914E-2</v>
      </c>
      <c r="AL630" s="9">
        <f t="shared" si="571"/>
        <v>7.30690919355788</v>
      </c>
      <c r="AM630" t="e">
        <f t="shared" si="552"/>
        <v>#N/A</v>
      </c>
      <c r="AN630" t="e">
        <f t="shared" si="572"/>
        <v>#N/A</v>
      </c>
      <c r="AO630">
        <f t="shared" si="553"/>
        <v>0</v>
      </c>
      <c r="AP630">
        <f t="shared" si="554"/>
        <v>0</v>
      </c>
      <c r="AQ630">
        <f t="shared" si="555"/>
        <v>5.0237591864288333E-15</v>
      </c>
      <c r="AR630">
        <f t="shared" si="573"/>
        <v>0</v>
      </c>
      <c r="AS630">
        <f t="shared" si="556"/>
        <v>0</v>
      </c>
      <c r="AT630">
        <f t="shared" si="574"/>
        <v>0</v>
      </c>
      <c r="AU630">
        <f t="shared" si="575"/>
        <v>0</v>
      </c>
      <c r="AV630">
        <f t="shared" si="557"/>
        <v>1.2786282100110459E-20</v>
      </c>
      <c r="AW630" t="b">
        <f t="shared" si="576"/>
        <v>1</v>
      </c>
      <c r="AX630">
        <f t="shared" si="558"/>
        <v>7.8539816339744828</v>
      </c>
      <c r="AY630">
        <f t="shared" si="559"/>
        <v>-0.38458004804737866</v>
      </c>
      <c r="AZ630">
        <f t="shared" si="560"/>
        <v>-0.20579491297959654</v>
      </c>
      <c r="BA630">
        <f t="shared" si="561"/>
        <v>4.3302520610367032E-2</v>
      </c>
      <c r="BB630">
        <f t="shared" si="562"/>
        <v>-1.2337005501361696E-20</v>
      </c>
      <c r="BD630" s="15">
        <f t="shared" si="577"/>
        <v>7.3069091935578738</v>
      </c>
      <c r="BE630" s="10">
        <f t="shared" si="578"/>
        <v>0</v>
      </c>
      <c r="BF630">
        <f t="shared" si="579"/>
        <v>0</v>
      </c>
      <c r="BG630">
        <f t="shared" si="580"/>
        <v>0</v>
      </c>
      <c r="BH630">
        <f t="shared" si="581"/>
        <v>0</v>
      </c>
      <c r="BI630">
        <f t="shared" si="582"/>
        <v>0</v>
      </c>
    </row>
    <row r="631" spans="1:61" x14ac:dyDescent="0.3">
      <c r="A631">
        <f t="shared" si="587"/>
        <v>0.59399999999999997</v>
      </c>
      <c r="B631">
        <f t="shared" si="530"/>
        <v>1.866106036232337</v>
      </c>
      <c r="C631">
        <f t="shared" si="531"/>
        <v>1.2754866173574562</v>
      </c>
      <c r="D631">
        <f t="shared" si="532"/>
        <v>1.2754866173574562</v>
      </c>
      <c r="E631">
        <f t="shared" si="537"/>
        <v>0.95671205155883055</v>
      </c>
      <c r="F631">
        <f t="shared" si="538"/>
        <v>0.95671205155883055</v>
      </c>
      <c r="G631">
        <f t="shared" si="533"/>
        <v>1.866106036232337</v>
      </c>
      <c r="H631">
        <f t="shared" si="534"/>
        <v>0.95671205155883055</v>
      </c>
      <c r="I631">
        <f t="shared" si="535"/>
        <v>0.95671205155883055</v>
      </c>
      <c r="J631">
        <f t="shared" si="583"/>
        <v>6.6542463986974679E+19</v>
      </c>
      <c r="K631">
        <f t="shared" si="584"/>
        <v>6.6542463986974679E+19</v>
      </c>
      <c r="L631">
        <f t="shared" si="539"/>
        <v>1</v>
      </c>
      <c r="M631">
        <f t="shared" si="536"/>
        <v>1.2754866173574561E-20</v>
      </c>
      <c r="N631" s="9">
        <f t="shared" si="585"/>
        <v>1.2754866173574561E-20</v>
      </c>
      <c r="O631">
        <f t="shared" si="586"/>
        <v>1.2754866173574561E-20</v>
      </c>
      <c r="Q631">
        <f t="shared" si="540"/>
        <v>45.64437197395948</v>
      </c>
      <c r="R631">
        <f t="shared" si="541"/>
        <v>0</v>
      </c>
      <c r="S631">
        <f t="shared" si="563"/>
        <v>-45.808374093411921</v>
      </c>
      <c r="T631" s="9" t="e">
        <f t="shared" si="542"/>
        <v>#N/A</v>
      </c>
      <c r="U631">
        <f t="shared" si="564"/>
        <v>-1.0000000000000001E+300</v>
      </c>
      <c r="V631">
        <f t="shared" si="565"/>
        <v>0</v>
      </c>
      <c r="W631">
        <f t="shared" si="566"/>
        <v>0</v>
      </c>
      <c r="X631">
        <f t="shared" si="543"/>
        <v>1.2754866173574562</v>
      </c>
      <c r="Y631">
        <f t="shared" si="544"/>
        <v>7.8539816339744828</v>
      </c>
      <c r="Z631">
        <f t="shared" si="545"/>
        <v>-1.2754866173574562</v>
      </c>
      <c r="AA631">
        <f t="shared" si="567"/>
        <v>-0.38800884273552577</v>
      </c>
      <c r="AB631">
        <f t="shared" si="546"/>
        <v>7.4659727912389569</v>
      </c>
      <c r="AC631">
        <f t="shared" si="568"/>
        <v>-0.20825493882045903</v>
      </c>
      <c r="AD631">
        <f t="shared" si="547"/>
        <v>4.4252819368022341E-2</v>
      </c>
      <c r="AE631" s="9">
        <f t="shared" si="569"/>
        <v>7.3019706717865205</v>
      </c>
      <c r="AF631">
        <f t="shared" si="570"/>
        <v>0</v>
      </c>
      <c r="AH631">
        <f t="shared" si="548"/>
        <v>7.8539816339744828</v>
      </c>
      <c r="AI631">
        <f t="shared" si="549"/>
        <v>-0.38800884273552566</v>
      </c>
      <c r="AJ631">
        <f t="shared" si="550"/>
        <v>-0.20825493882045976</v>
      </c>
      <c r="AK631">
        <f t="shared" si="551"/>
        <v>4.4252819368022341E-2</v>
      </c>
      <c r="AL631" s="9">
        <f t="shared" si="571"/>
        <v>7.3019706717865196</v>
      </c>
      <c r="AM631" t="e">
        <f t="shared" si="552"/>
        <v>#N/A</v>
      </c>
      <c r="AN631" t="e">
        <f t="shared" si="572"/>
        <v>#N/A</v>
      </c>
      <c r="AO631">
        <f t="shared" si="553"/>
        <v>0</v>
      </c>
      <c r="AP631">
        <f t="shared" si="554"/>
        <v>0</v>
      </c>
      <c r="AQ631">
        <f t="shared" si="555"/>
        <v>-7.2164496600635175E-16</v>
      </c>
      <c r="AR631">
        <f t="shared" si="573"/>
        <v>0</v>
      </c>
      <c r="AS631">
        <f t="shared" si="556"/>
        <v>0</v>
      </c>
      <c r="AT631">
        <f t="shared" si="574"/>
        <v>0</v>
      </c>
      <c r="AU631">
        <f t="shared" si="575"/>
        <v>0</v>
      </c>
      <c r="AV631">
        <f t="shared" si="557"/>
        <v>1.2754866173574561E-20</v>
      </c>
      <c r="AW631" t="b">
        <f t="shared" si="576"/>
        <v>1</v>
      </c>
      <c r="AX631">
        <f t="shared" si="558"/>
        <v>7.8539816339744828</v>
      </c>
      <c r="AY631">
        <f t="shared" si="559"/>
        <v>-0.38800884273552588</v>
      </c>
      <c r="AZ631">
        <f t="shared" si="560"/>
        <v>-0.20825493882045903</v>
      </c>
      <c r="BA631">
        <f t="shared" si="561"/>
        <v>4.4252819368022341E-2</v>
      </c>
      <c r="BB631">
        <f t="shared" si="562"/>
        <v>-1.2337005501361696E-20</v>
      </c>
      <c r="BD631" s="15">
        <f t="shared" si="577"/>
        <v>7.3019706717865205</v>
      </c>
      <c r="BE631" s="10">
        <f t="shared" si="578"/>
        <v>0</v>
      </c>
      <c r="BF631">
        <f t="shared" si="579"/>
        <v>0</v>
      </c>
      <c r="BG631">
        <f t="shared" si="580"/>
        <v>0</v>
      </c>
      <c r="BH631">
        <f t="shared" si="581"/>
        <v>0</v>
      </c>
      <c r="BI631">
        <f t="shared" si="582"/>
        <v>0</v>
      </c>
    </row>
    <row r="632" spans="1:61" x14ac:dyDescent="0.3">
      <c r="A632">
        <f t="shared" si="587"/>
        <v>0.59499999999999997</v>
      </c>
      <c r="B632">
        <f t="shared" si="530"/>
        <v>1.8692476288859268</v>
      </c>
      <c r="C632">
        <f t="shared" si="531"/>
        <v>1.2723450247038663</v>
      </c>
      <c r="D632">
        <f t="shared" si="532"/>
        <v>1.2723450247038663</v>
      </c>
      <c r="E632">
        <f t="shared" si="537"/>
        <v>0.95579301479833023</v>
      </c>
      <c r="F632">
        <f t="shared" si="538"/>
        <v>0.95579301479833012</v>
      </c>
      <c r="G632">
        <f t="shared" si="533"/>
        <v>1.8692476288859268</v>
      </c>
      <c r="H632">
        <f t="shared" si="534"/>
        <v>0.95579301479833023</v>
      </c>
      <c r="I632">
        <f t="shared" si="535"/>
        <v>0.95579301479833012</v>
      </c>
      <c r="J632">
        <f t="shared" si="583"/>
        <v>6.6606447474603745E+19</v>
      </c>
      <c r="K632">
        <f t="shared" si="584"/>
        <v>6.6606447474603745E+19</v>
      </c>
      <c r="L632">
        <f t="shared" si="539"/>
        <v>1</v>
      </c>
      <c r="M632">
        <f t="shared" si="536"/>
        <v>1.2723450247038664E-20</v>
      </c>
      <c r="N632" s="9">
        <f t="shared" si="585"/>
        <v>1.2723450247038664E-20</v>
      </c>
      <c r="O632">
        <f t="shared" si="586"/>
        <v>1.2723450247038664E-20</v>
      </c>
      <c r="Q632">
        <f t="shared" si="540"/>
        <v>45.645333055681469</v>
      </c>
      <c r="R632">
        <f t="shared" si="541"/>
        <v>0</v>
      </c>
      <c r="S632">
        <f t="shared" si="563"/>
        <v>-45.810840185907111</v>
      </c>
      <c r="T632" s="9" t="e">
        <f t="shared" si="542"/>
        <v>#N/A</v>
      </c>
      <c r="U632">
        <f t="shared" si="564"/>
        <v>-1.0000000000000001E+300</v>
      </c>
      <c r="V632">
        <f t="shared" si="565"/>
        <v>0</v>
      </c>
      <c r="W632">
        <f t="shared" si="566"/>
        <v>0</v>
      </c>
      <c r="X632">
        <f t="shared" si="543"/>
        <v>1.2723450247038663</v>
      </c>
      <c r="Y632">
        <f t="shared" si="544"/>
        <v>7.8539816339744828</v>
      </c>
      <c r="Z632">
        <f t="shared" si="545"/>
        <v>-1.2723450247038663</v>
      </c>
      <c r="AA632">
        <f t="shared" si="567"/>
        <v>-0.39142443926582476</v>
      </c>
      <c r="AB632">
        <f t="shared" si="546"/>
        <v>7.4625571947086584</v>
      </c>
      <c r="AC632">
        <f t="shared" si="568"/>
        <v>-0.21072103131565253</v>
      </c>
      <c r="AD632">
        <f t="shared" si="547"/>
        <v>4.5213901090009119E-2</v>
      </c>
      <c r="AE632" s="9">
        <f t="shared" si="569"/>
        <v>7.297050064483015</v>
      </c>
      <c r="AF632">
        <f t="shared" si="570"/>
        <v>0</v>
      </c>
      <c r="AH632">
        <f t="shared" si="548"/>
        <v>7.8539816339744828</v>
      </c>
      <c r="AI632">
        <f t="shared" si="549"/>
        <v>-0.39142443926582465</v>
      </c>
      <c r="AJ632">
        <f t="shared" si="550"/>
        <v>-0.21072103131565001</v>
      </c>
      <c r="AK632">
        <f t="shared" si="551"/>
        <v>4.5213901090009119E-2</v>
      </c>
      <c r="AL632" s="9">
        <f t="shared" si="571"/>
        <v>7.2970500644830176</v>
      </c>
      <c r="AM632" t="e">
        <f t="shared" si="552"/>
        <v>#N/A</v>
      </c>
      <c r="AN632" t="e">
        <f t="shared" si="572"/>
        <v>#N/A</v>
      </c>
      <c r="AO632">
        <f t="shared" si="553"/>
        <v>0</v>
      </c>
      <c r="AP632">
        <f t="shared" si="554"/>
        <v>0</v>
      </c>
      <c r="AQ632">
        <f t="shared" si="555"/>
        <v>2.5257573810222311E-15</v>
      </c>
      <c r="AR632">
        <f t="shared" si="573"/>
        <v>0</v>
      </c>
      <c r="AS632">
        <f t="shared" si="556"/>
        <v>0</v>
      </c>
      <c r="AT632">
        <f t="shared" si="574"/>
        <v>0</v>
      </c>
      <c r="AU632">
        <f t="shared" si="575"/>
        <v>0</v>
      </c>
      <c r="AV632">
        <f t="shared" si="557"/>
        <v>1.2723450247038662E-20</v>
      </c>
      <c r="AW632" t="b">
        <f t="shared" si="576"/>
        <v>1</v>
      </c>
      <c r="AX632">
        <f t="shared" si="558"/>
        <v>7.8539816339744828</v>
      </c>
      <c r="AY632">
        <f t="shared" si="559"/>
        <v>-0.39142443926582476</v>
      </c>
      <c r="AZ632">
        <f t="shared" si="560"/>
        <v>-0.21072103131565253</v>
      </c>
      <c r="BA632">
        <f t="shared" si="561"/>
        <v>4.5213901090009237E-2</v>
      </c>
      <c r="BB632">
        <f t="shared" si="562"/>
        <v>-1.2337005501361696E-20</v>
      </c>
      <c r="BD632" s="15">
        <f t="shared" si="577"/>
        <v>7.297050064483015</v>
      </c>
      <c r="BE632" s="10">
        <f t="shared" si="578"/>
        <v>0</v>
      </c>
      <c r="BF632">
        <f t="shared" si="579"/>
        <v>0</v>
      </c>
      <c r="BG632">
        <f t="shared" si="580"/>
        <v>0</v>
      </c>
      <c r="BH632">
        <f t="shared" si="581"/>
        <v>0</v>
      </c>
      <c r="BI632">
        <f t="shared" si="582"/>
        <v>0</v>
      </c>
    </row>
    <row r="633" spans="1:61" x14ac:dyDescent="0.3">
      <c r="A633">
        <f t="shared" si="587"/>
        <v>0.59599999999999997</v>
      </c>
      <c r="B633">
        <f t="shared" si="530"/>
        <v>1.8723892215395166</v>
      </c>
      <c r="C633">
        <f t="shared" si="531"/>
        <v>1.2692034320502765</v>
      </c>
      <c r="D633">
        <f t="shared" si="532"/>
        <v>1.2692034320502765</v>
      </c>
      <c r="E633">
        <f t="shared" si="537"/>
        <v>0.95486454474664306</v>
      </c>
      <c r="F633">
        <f t="shared" si="538"/>
        <v>0.95486454474664295</v>
      </c>
      <c r="G633">
        <f t="shared" si="533"/>
        <v>1.8723892215395166</v>
      </c>
      <c r="H633">
        <f t="shared" si="534"/>
        <v>0.95486454474664306</v>
      </c>
      <c r="I633">
        <f t="shared" si="535"/>
        <v>0.95486454474664295</v>
      </c>
      <c r="J633">
        <f t="shared" si="583"/>
        <v>6.6671212777776513E+19</v>
      </c>
      <c r="K633">
        <f t="shared" si="584"/>
        <v>6.6671212777776513E+19</v>
      </c>
      <c r="L633">
        <f t="shared" si="539"/>
        <v>1</v>
      </c>
      <c r="M633">
        <f t="shared" si="536"/>
        <v>1.2692034320502764E-20</v>
      </c>
      <c r="N633" s="9">
        <f t="shared" si="585"/>
        <v>1.2692034320502764E-20</v>
      </c>
      <c r="O633">
        <f t="shared" si="586"/>
        <v>1.2692034320502764E-20</v>
      </c>
      <c r="Q633">
        <f t="shared" si="540"/>
        <v>45.646304941114451</v>
      </c>
      <c r="R633">
        <f t="shared" si="541"/>
        <v>0</v>
      </c>
      <c r="S633">
        <f t="shared" si="563"/>
        <v>-45.813312375052497</v>
      </c>
      <c r="T633" s="9" t="e">
        <f t="shared" si="542"/>
        <v>#N/A</v>
      </c>
      <c r="U633">
        <f t="shared" si="564"/>
        <v>-1.0000000000000001E+300</v>
      </c>
      <c r="V633">
        <f t="shared" si="565"/>
        <v>0</v>
      </c>
      <c r="W633">
        <f t="shared" si="566"/>
        <v>0</v>
      </c>
      <c r="X633">
        <f t="shared" si="543"/>
        <v>1.2692034320502765</v>
      </c>
      <c r="Y633">
        <f t="shared" si="544"/>
        <v>7.8539816339744828</v>
      </c>
      <c r="Z633">
        <f t="shared" si="545"/>
        <v>-1.2692034320502765</v>
      </c>
      <c r="AA633">
        <f t="shared" si="567"/>
        <v>-0.39482688604722144</v>
      </c>
      <c r="AB633">
        <f t="shared" si="546"/>
        <v>7.4591547479272613</v>
      </c>
      <c r="AC633">
        <f t="shared" si="568"/>
        <v>-0.21319322046104161</v>
      </c>
      <c r="AD633">
        <f t="shared" si="547"/>
        <v>4.6185786522992052E-2</v>
      </c>
      <c r="AE633" s="9">
        <f t="shared" si="569"/>
        <v>7.2921473139892115</v>
      </c>
      <c r="AF633">
        <f t="shared" si="570"/>
        <v>0</v>
      </c>
      <c r="AH633">
        <f t="shared" si="548"/>
        <v>7.8539816339744828</v>
      </c>
      <c r="AI633">
        <f t="shared" si="549"/>
        <v>-0.39482688604722133</v>
      </c>
      <c r="AJ633">
        <f t="shared" si="550"/>
        <v>-0.2131932204610365</v>
      </c>
      <c r="AK633">
        <f t="shared" si="551"/>
        <v>4.6185786522992052E-2</v>
      </c>
      <c r="AL633" s="9">
        <f t="shared" si="571"/>
        <v>7.2921473139892168</v>
      </c>
      <c r="AM633" t="e">
        <f t="shared" si="552"/>
        <v>#N/A</v>
      </c>
      <c r="AN633" t="e">
        <f t="shared" si="572"/>
        <v>#N/A</v>
      </c>
      <c r="AO633">
        <f t="shared" si="553"/>
        <v>0</v>
      </c>
      <c r="AP633">
        <f t="shared" si="554"/>
        <v>0</v>
      </c>
      <c r="AQ633">
        <f t="shared" si="555"/>
        <v>5.1070259132757201E-15</v>
      </c>
      <c r="AR633">
        <f t="shared" si="573"/>
        <v>0</v>
      </c>
      <c r="AS633">
        <f t="shared" si="556"/>
        <v>0</v>
      </c>
      <c r="AT633">
        <f t="shared" si="574"/>
        <v>0</v>
      </c>
      <c r="AU633">
        <f t="shared" si="575"/>
        <v>0</v>
      </c>
      <c r="AV633">
        <f t="shared" si="557"/>
        <v>1.2692034320502764E-20</v>
      </c>
      <c r="AW633" t="b">
        <f t="shared" si="576"/>
        <v>1</v>
      </c>
      <c r="AX633">
        <f t="shared" si="558"/>
        <v>7.8539816339744828</v>
      </c>
      <c r="AY633">
        <f t="shared" si="559"/>
        <v>-0.39482688604722149</v>
      </c>
      <c r="AZ633">
        <f t="shared" si="560"/>
        <v>-0.21319322046104161</v>
      </c>
      <c r="BA633">
        <f t="shared" si="561"/>
        <v>4.618578652299217E-2</v>
      </c>
      <c r="BB633">
        <f t="shared" si="562"/>
        <v>-1.2337005501361696E-20</v>
      </c>
      <c r="BD633" s="15">
        <f t="shared" si="577"/>
        <v>7.2921473139892115</v>
      </c>
      <c r="BE633" s="10">
        <f t="shared" si="578"/>
        <v>0</v>
      </c>
      <c r="BF633">
        <f t="shared" si="579"/>
        <v>0</v>
      </c>
      <c r="BG633">
        <f t="shared" si="580"/>
        <v>0</v>
      </c>
      <c r="BH633">
        <f t="shared" si="581"/>
        <v>0</v>
      </c>
      <c r="BI633">
        <f t="shared" si="582"/>
        <v>0</v>
      </c>
    </row>
    <row r="634" spans="1:61" x14ac:dyDescent="0.3">
      <c r="A634">
        <f t="shared" si="587"/>
        <v>0.59699999999999998</v>
      </c>
      <c r="B634">
        <f t="shared" si="530"/>
        <v>1.8755308141931064</v>
      </c>
      <c r="C634">
        <f t="shared" si="531"/>
        <v>1.2660618393966867</v>
      </c>
      <c r="D634">
        <f t="shared" si="532"/>
        <v>1.2660618393966867</v>
      </c>
      <c r="E634">
        <f t="shared" si="537"/>
        <v>0.95392665056739356</v>
      </c>
      <c r="F634">
        <f t="shared" si="538"/>
        <v>0.95392665056739356</v>
      </c>
      <c r="G634">
        <f t="shared" si="533"/>
        <v>1.8755308141931064</v>
      </c>
      <c r="H634">
        <f t="shared" si="534"/>
        <v>0.95392665056739356</v>
      </c>
      <c r="I634">
        <f t="shared" si="535"/>
        <v>0.95392665056739356</v>
      </c>
      <c r="J634">
        <f t="shared" si="583"/>
        <v>6.673676345963511E+19</v>
      </c>
      <c r="K634">
        <f t="shared" si="584"/>
        <v>6.673676345963511E+19</v>
      </c>
      <c r="L634">
        <f t="shared" si="539"/>
        <v>1</v>
      </c>
      <c r="M634">
        <f t="shared" si="536"/>
        <v>1.2660618393966868E-20</v>
      </c>
      <c r="N634" s="9">
        <f t="shared" si="585"/>
        <v>1.2660618393966868E-20</v>
      </c>
      <c r="O634">
        <f t="shared" si="586"/>
        <v>1.2660618393966868E-20</v>
      </c>
      <c r="Q634">
        <f t="shared" si="540"/>
        <v>45.647287651278909</v>
      </c>
      <c r="R634">
        <f t="shared" si="541"/>
        <v>0</v>
      </c>
      <c r="S634">
        <f t="shared" si="563"/>
        <v>-45.815790691066965</v>
      </c>
      <c r="T634" s="9" t="e">
        <f t="shared" si="542"/>
        <v>#N/A</v>
      </c>
      <c r="U634">
        <f t="shared" si="564"/>
        <v>-1.0000000000000001E+300</v>
      </c>
      <c r="V634">
        <f t="shared" si="565"/>
        <v>0</v>
      </c>
      <c r="W634">
        <f t="shared" si="566"/>
        <v>0</v>
      </c>
      <c r="X634">
        <f t="shared" si="543"/>
        <v>1.2660618393966867</v>
      </c>
      <c r="Y634">
        <f t="shared" si="544"/>
        <v>7.8539816339744828</v>
      </c>
      <c r="Z634">
        <f t="shared" si="545"/>
        <v>-1.2660618393966867</v>
      </c>
      <c r="AA634">
        <f t="shared" si="567"/>
        <v>-0.39821623115602672</v>
      </c>
      <c r="AB634">
        <f t="shared" si="546"/>
        <v>7.4557654028184563</v>
      </c>
      <c r="AC634">
        <f t="shared" si="568"/>
        <v>-0.21567153647550871</v>
      </c>
      <c r="AD634">
        <f t="shared" si="547"/>
        <v>4.7168496687446403E-2</v>
      </c>
      <c r="AE634" s="9">
        <f t="shared" si="569"/>
        <v>7.2872623630303943</v>
      </c>
      <c r="AF634">
        <f t="shared" si="570"/>
        <v>0</v>
      </c>
      <c r="AH634">
        <f t="shared" si="548"/>
        <v>7.8539816339744828</v>
      </c>
      <c r="AI634">
        <f t="shared" si="549"/>
        <v>-0.39821623115602661</v>
      </c>
      <c r="AJ634">
        <f t="shared" si="550"/>
        <v>-0.21567153647550441</v>
      </c>
      <c r="AK634">
        <f t="shared" si="551"/>
        <v>4.7168496687446403E-2</v>
      </c>
      <c r="AL634" s="9">
        <f t="shared" si="571"/>
        <v>7.2872623630303988</v>
      </c>
      <c r="AM634" t="e">
        <f t="shared" si="552"/>
        <v>#N/A</v>
      </c>
      <c r="AN634" t="e">
        <f t="shared" si="572"/>
        <v>#N/A</v>
      </c>
      <c r="AO634">
        <f t="shared" si="553"/>
        <v>0</v>
      </c>
      <c r="AP634">
        <f t="shared" si="554"/>
        <v>0</v>
      </c>
      <c r="AQ634">
        <f t="shared" si="555"/>
        <v>4.3021142204224816E-15</v>
      </c>
      <c r="AR634">
        <f t="shared" si="573"/>
        <v>0</v>
      </c>
      <c r="AS634">
        <f t="shared" si="556"/>
        <v>0</v>
      </c>
      <c r="AT634">
        <f t="shared" si="574"/>
        <v>0</v>
      </c>
      <c r="AU634">
        <f t="shared" si="575"/>
        <v>0</v>
      </c>
      <c r="AV634">
        <f t="shared" si="557"/>
        <v>1.2660618393966866E-20</v>
      </c>
      <c r="AW634" t="b">
        <f t="shared" si="576"/>
        <v>1</v>
      </c>
      <c r="AX634">
        <f t="shared" si="558"/>
        <v>7.8539816339744828</v>
      </c>
      <c r="AY634">
        <f t="shared" si="559"/>
        <v>-0.39821623115602672</v>
      </c>
      <c r="AZ634">
        <f t="shared" si="560"/>
        <v>-0.21567153647550871</v>
      </c>
      <c r="BA634">
        <f t="shared" si="561"/>
        <v>4.7168496687446403E-2</v>
      </c>
      <c r="BB634">
        <f t="shared" si="562"/>
        <v>-1.2337005501361696E-20</v>
      </c>
      <c r="BD634" s="15">
        <f t="shared" si="577"/>
        <v>7.2872623630303943</v>
      </c>
      <c r="BE634" s="10">
        <f t="shared" si="578"/>
        <v>0</v>
      </c>
      <c r="BF634">
        <f t="shared" si="579"/>
        <v>0</v>
      </c>
      <c r="BG634">
        <f t="shared" si="580"/>
        <v>0</v>
      </c>
      <c r="BH634">
        <f t="shared" si="581"/>
        <v>0</v>
      </c>
      <c r="BI634">
        <f t="shared" si="582"/>
        <v>0</v>
      </c>
    </row>
    <row r="635" spans="1:61" x14ac:dyDescent="0.3">
      <c r="A635">
        <f t="shared" si="587"/>
        <v>0.59799999999999998</v>
      </c>
      <c r="B635">
        <f t="shared" si="530"/>
        <v>1.8786724068466962</v>
      </c>
      <c r="C635">
        <f t="shared" si="531"/>
        <v>1.2629202467430969</v>
      </c>
      <c r="D635">
        <f t="shared" si="532"/>
        <v>1.2629202467430969</v>
      </c>
      <c r="E635">
        <f t="shared" si="537"/>
        <v>0.95297934151721886</v>
      </c>
      <c r="F635">
        <f t="shared" si="538"/>
        <v>0.95297934151721886</v>
      </c>
      <c r="G635">
        <f t="shared" si="533"/>
        <v>1.8786724068466962</v>
      </c>
      <c r="H635">
        <f t="shared" si="534"/>
        <v>0.95297934151721886</v>
      </c>
      <c r="I635">
        <f t="shared" si="535"/>
        <v>0.95297934151721886</v>
      </c>
      <c r="J635">
        <f t="shared" si="583"/>
        <v>6.6803103134852022E+19</v>
      </c>
      <c r="K635">
        <f t="shared" si="584"/>
        <v>6.6803103134852022E+19</v>
      </c>
      <c r="L635">
        <f t="shared" si="539"/>
        <v>1</v>
      </c>
      <c r="M635">
        <f t="shared" si="536"/>
        <v>1.2629202467430968E-20</v>
      </c>
      <c r="N635" s="9">
        <f t="shared" si="585"/>
        <v>1.2629202467430968E-20</v>
      </c>
      <c r="O635">
        <f t="shared" si="586"/>
        <v>1.2629202467430968E-20</v>
      </c>
      <c r="Q635">
        <f t="shared" si="540"/>
        <v>45.648281207471015</v>
      </c>
      <c r="R635">
        <f t="shared" si="541"/>
        <v>0</v>
      </c>
      <c r="S635">
        <f t="shared" si="563"/>
        <v>-45.818275164394628</v>
      </c>
      <c r="T635" s="9" t="e">
        <f t="shared" si="542"/>
        <v>#N/A</v>
      </c>
      <c r="U635">
        <f t="shared" si="564"/>
        <v>-1.0000000000000001E+300</v>
      </c>
      <c r="V635">
        <f t="shared" si="565"/>
        <v>0</v>
      </c>
      <c r="W635">
        <f t="shared" si="566"/>
        <v>0</v>
      </c>
      <c r="X635">
        <f t="shared" si="543"/>
        <v>1.2629202467430969</v>
      </c>
      <c r="Y635">
        <f t="shared" si="544"/>
        <v>7.8539816339744828</v>
      </c>
      <c r="Z635">
        <f t="shared" si="545"/>
        <v>-1.2629202467430969</v>
      </c>
      <c r="AA635">
        <f t="shared" si="567"/>
        <v>-0.40159252233860598</v>
      </c>
      <c r="AB635">
        <f t="shared" si="546"/>
        <v>7.4523891116358767</v>
      </c>
      <c r="AC635">
        <f t="shared" si="568"/>
        <v>-0.21815600980317063</v>
      </c>
      <c r="AD635">
        <f t="shared" si="547"/>
        <v>4.8162052879555731E-2</v>
      </c>
      <c r="AE635" s="9">
        <f t="shared" si="569"/>
        <v>7.2823951547122618</v>
      </c>
      <c r="AF635">
        <f t="shared" si="570"/>
        <v>0</v>
      </c>
      <c r="AH635">
        <f t="shared" si="548"/>
        <v>7.8539816339744828</v>
      </c>
      <c r="AI635">
        <f t="shared" si="549"/>
        <v>-0.40159252233860593</v>
      </c>
      <c r="AJ635">
        <f t="shared" si="550"/>
        <v>-0.21815600980316674</v>
      </c>
      <c r="AK635">
        <f t="shared" si="551"/>
        <v>4.8162052879555731E-2</v>
      </c>
      <c r="AL635" s="9">
        <f t="shared" si="571"/>
        <v>7.2823951547122654</v>
      </c>
      <c r="AM635" t="e">
        <f t="shared" si="552"/>
        <v>#N/A</v>
      </c>
      <c r="AN635" t="e">
        <f t="shared" si="572"/>
        <v>#N/A</v>
      </c>
      <c r="AO635">
        <f t="shared" si="553"/>
        <v>0</v>
      </c>
      <c r="AP635">
        <f t="shared" si="554"/>
        <v>0</v>
      </c>
      <c r="AQ635">
        <f t="shared" si="555"/>
        <v>3.8857805861880479E-15</v>
      </c>
      <c r="AR635">
        <f t="shared" si="573"/>
        <v>0</v>
      </c>
      <c r="AS635">
        <f t="shared" si="556"/>
        <v>0</v>
      </c>
      <c r="AT635">
        <f t="shared" si="574"/>
        <v>0</v>
      </c>
      <c r="AU635">
        <f t="shared" si="575"/>
        <v>0</v>
      </c>
      <c r="AV635">
        <f t="shared" si="557"/>
        <v>1.2629202467430968E-20</v>
      </c>
      <c r="AW635" t="b">
        <f t="shared" si="576"/>
        <v>1</v>
      </c>
      <c r="AX635">
        <f t="shared" si="558"/>
        <v>7.8539816339744828</v>
      </c>
      <c r="AY635">
        <f t="shared" si="559"/>
        <v>-0.40159252233860609</v>
      </c>
      <c r="AZ635">
        <f t="shared" si="560"/>
        <v>-0.21815600980317063</v>
      </c>
      <c r="BA635">
        <f t="shared" si="561"/>
        <v>4.8162052879555731E-2</v>
      </c>
      <c r="BB635">
        <f t="shared" si="562"/>
        <v>-1.2337005501361696E-20</v>
      </c>
      <c r="BD635" s="15">
        <f t="shared" si="577"/>
        <v>7.2823951547122618</v>
      </c>
      <c r="BE635" s="10">
        <f t="shared" si="578"/>
        <v>0</v>
      </c>
      <c r="BF635">
        <f t="shared" si="579"/>
        <v>0</v>
      </c>
      <c r="BG635">
        <f t="shared" si="580"/>
        <v>0</v>
      </c>
      <c r="BH635">
        <f t="shared" si="581"/>
        <v>0</v>
      </c>
      <c r="BI635">
        <f t="shared" si="582"/>
        <v>0</v>
      </c>
    </row>
    <row r="636" spans="1:61" x14ac:dyDescent="0.3">
      <c r="A636">
        <f t="shared" si="587"/>
        <v>0.59899999999999998</v>
      </c>
      <c r="B636">
        <f t="shared" si="530"/>
        <v>1.881813999500286</v>
      </c>
      <c r="C636">
        <f t="shared" si="531"/>
        <v>1.2597786540895071</v>
      </c>
      <c r="D636">
        <f t="shared" si="532"/>
        <v>1.2597786540895071</v>
      </c>
      <c r="E636">
        <f t="shared" si="537"/>
        <v>0.95202262694567663</v>
      </c>
      <c r="F636">
        <f t="shared" si="538"/>
        <v>0.95202262694567663</v>
      </c>
      <c r="G636">
        <f t="shared" si="533"/>
        <v>1.881813999500286</v>
      </c>
      <c r="H636">
        <f t="shared" si="534"/>
        <v>0.95202262694567663</v>
      </c>
      <c r="I636">
        <f t="shared" si="535"/>
        <v>0.95202262694567663</v>
      </c>
      <c r="J636">
        <f t="shared" si="583"/>
        <v>6.6870235470139474E+19</v>
      </c>
      <c r="K636">
        <f t="shared" si="584"/>
        <v>6.6870235470139474E+19</v>
      </c>
      <c r="L636">
        <f t="shared" si="539"/>
        <v>1</v>
      </c>
      <c r="M636">
        <f t="shared" si="536"/>
        <v>1.2597786540895071E-20</v>
      </c>
      <c r="N636" s="9">
        <f t="shared" si="585"/>
        <v>1.2597786540895071E-20</v>
      </c>
      <c r="O636">
        <f t="shared" si="586"/>
        <v>1.2597786540895071E-20</v>
      </c>
      <c r="Q636">
        <f t="shared" si="540"/>
        <v>45.649285631264597</v>
      </c>
      <c r="R636">
        <f t="shared" si="541"/>
        <v>-710542.73576010019</v>
      </c>
      <c r="S636">
        <f t="shared" si="563"/>
        <v>-45.820765825707085</v>
      </c>
      <c r="T636" s="9" t="e">
        <f t="shared" si="542"/>
        <v>#N/A</v>
      </c>
      <c r="U636">
        <f t="shared" si="564"/>
        <v>-1.0000000000000001E+300</v>
      </c>
      <c r="V636">
        <f t="shared" si="565"/>
        <v>0</v>
      </c>
      <c r="W636">
        <f t="shared" si="566"/>
        <v>0</v>
      </c>
      <c r="X636">
        <f t="shared" si="543"/>
        <v>1.2597786540895071</v>
      </c>
      <c r="Y636">
        <f t="shared" si="544"/>
        <v>7.8539816339744828</v>
      </c>
      <c r="Z636">
        <f t="shared" si="545"/>
        <v>-1.2597786540895071</v>
      </c>
      <c r="AA636">
        <f t="shared" si="567"/>
        <v>-0.40495580701404188</v>
      </c>
      <c r="AB636">
        <f t="shared" si="546"/>
        <v>7.4490258269604412</v>
      </c>
      <c r="AC636">
        <f t="shared" si="568"/>
        <v>-0.2206466711156225</v>
      </c>
      <c r="AD636">
        <f t="shared" si="547"/>
        <v>4.9166476673140926E-2</v>
      </c>
      <c r="AE636" s="9">
        <f t="shared" si="569"/>
        <v>7.2775456325179597</v>
      </c>
      <c r="AF636">
        <f t="shared" si="570"/>
        <v>0</v>
      </c>
      <c r="AH636">
        <f t="shared" si="548"/>
        <v>7.8539816339744828</v>
      </c>
      <c r="AI636">
        <f t="shared" si="549"/>
        <v>-0.40495580701404188</v>
      </c>
      <c r="AJ636">
        <f t="shared" si="550"/>
        <v>-0.22064667111562386</v>
      </c>
      <c r="AK636">
        <f t="shared" si="551"/>
        <v>4.9166476673140926E-2</v>
      </c>
      <c r="AL636" s="9">
        <f t="shared" si="571"/>
        <v>7.2775456325179579</v>
      </c>
      <c r="AM636" t="e">
        <f t="shared" si="552"/>
        <v>#N/A</v>
      </c>
      <c r="AN636" t="e">
        <f t="shared" si="572"/>
        <v>#N/A</v>
      </c>
      <c r="AO636">
        <f t="shared" si="553"/>
        <v>0</v>
      </c>
      <c r="AP636">
        <f t="shared" si="554"/>
        <v>0</v>
      </c>
      <c r="AQ636">
        <f t="shared" si="555"/>
        <v>-1.3600232051658168E-15</v>
      </c>
      <c r="AR636">
        <f t="shared" si="573"/>
        <v>0</v>
      </c>
      <c r="AS636">
        <f t="shared" si="556"/>
        <v>0</v>
      </c>
      <c r="AT636">
        <f t="shared" si="574"/>
        <v>0</v>
      </c>
      <c r="AU636">
        <f t="shared" si="575"/>
        <v>0</v>
      </c>
      <c r="AV636">
        <f t="shared" si="557"/>
        <v>1.259778654089507E-20</v>
      </c>
      <c r="AW636" t="b">
        <f t="shared" si="576"/>
        <v>1</v>
      </c>
      <c r="AX636">
        <f t="shared" si="558"/>
        <v>7.8539816339744828</v>
      </c>
      <c r="AY636">
        <f t="shared" si="559"/>
        <v>-0.40495580701404188</v>
      </c>
      <c r="AZ636">
        <f t="shared" si="560"/>
        <v>-0.2206466711156225</v>
      </c>
      <c r="BA636">
        <f t="shared" si="561"/>
        <v>4.9166476673140926E-2</v>
      </c>
      <c r="BB636">
        <f t="shared" si="562"/>
        <v>-1.2337005501361696E-20</v>
      </c>
      <c r="BD636" s="15">
        <f t="shared" si="577"/>
        <v>7.2775456325179597</v>
      </c>
      <c r="BE636" s="10">
        <f t="shared" si="578"/>
        <v>0</v>
      </c>
      <c r="BF636">
        <f t="shared" si="579"/>
        <v>0</v>
      </c>
      <c r="BG636">
        <f t="shared" si="580"/>
        <v>0</v>
      </c>
      <c r="BH636">
        <f t="shared" si="581"/>
        <v>0</v>
      </c>
      <c r="BI636">
        <f t="shared" si="582"/>
        <v>0</v>
      </c>
    </row>
    <row r="637" spans="1:61" x14ac:dyDescent="0.3">
      <c r="A637">
        <f t="shared" si="587"/>
        <v>0.6</v>
      </c>
      <c r="B637">
        <f t="shared" si="530"/>
        <v>1.8849555921538759</v>
      </c>
      <c r="C637">
        <f t="shared" si="531"/>
        <v>1.2566370614359172</v>
      </c>
      <c r="D637">
        <f t="shared" si="532"/>
        <v>1.2566370614359172</v>
      </c>
      <c r="E637">
        <f t="shared" si="537"/>
        <v>0.95105651629515364</v>
      </c>
      <c r="F637">
        <f t="shared" si="538"/>
        <v>0.95105651629515353</v>
      </c>
      <c r="G637">
        <f t="shared" si="533"/>
        <v>1.8849555921538759</v>
      </c>
      <c r="H637">
        <f t="shared" si="534"/>
        <v>0.95105651629515364</v>
      </c>
      <c r="I637">
        <f t="shared" si="535"/>
        <v>0.95105651629515353</v>
      </c>
      <c r="J637">
        <f t="shared" si="583"/>
        <v>6.6938164184767652E+19</v>
      </c>
      <c r="K637">
        <f t="shared" si="584"/>
        <v>6.6938164184767652E+19</v>
      </c>
      <c r="L637">
        <f t="shared" si="539"/>
        <v>1</v>
      </c>
      <c r="M637">
        <f t="shared" si="536"/>
        <v>1.2566370614359172E-20</v>
      </c>
      <c r="N637" s="9">
        <f t="shared" si="585"/>
        <v>1.2566370614359172E-20</v>
      </c>
      <c r="O637">
        <f t="shared" si="586"/>
        <v>1.2566370614359172E-20</v>
      </c>
      <c r="Q637">
        <f t="shared" si="540"/>
        <v>45.650300944513077</v>
      </c>
      <c r="R637">
        <f t="shared" si="541"/>
        <v>0</v>
      </c>
      <c r="S637">
        <f t="shared" si="563"/>
        <v>-45.82326270590567</v>
      </c>
      <c r="T637" s="9" t="e">
        <f t="shared" si="542"/>
        <v>#N/A</v>
      </c>
      <c r="U637">
        <f t="shared" si="564"/>
        <v>-1.0000000000000001E+300</v>
      </c>
      <c r="V637">
        <f t="shared" si="565"/>
        <v>0</v>
      </c>
      <c r="W637">
        <f t="shared" si="566"/>
        <v>0</v>
      </c>
      <c r="X637">
        <f t="shared" si="543"/>
        <v>1.2566370614359172</v>
      </c>
      <c r="Y637">
        <f t="shared" si="544"/>
        <v>7.8539816339744828</v>
      </c>
      <c r="Z637">
        <f t="shared" si="545"/>
        <v>-1.2566370614359172</v>
      </c>
      <c r="AA637">
        <f t="shared" si="567"/>
        <v>-0.40830613227677021</v>
      </c>
      <c r="AB637">
        <f t="shared" si="546"/>
        <v>7.4456755016977123</v>
      </c>
      <c r="AC637">
        <f t="shared" si="568"/>
        <v>-0.22314355131420971</v>
      </c>
      <c r="AD637">
        <f t="shared" si="547"/>
        <v>5.0181789921618418E-2</v>
      </c>
      <c r="AE637" s="9">
        <f t="shared" si="569"/>
        <v>7.2727137403051207</v>
      </c>
      <c r="AF637">
        <f t="shared" si="570"/>
        <v>0</v>
      </c>
      <c r="AH637">
        <f t="shared" si="548"/>
        <v>7.8539816339744828</v>
      </c>
      <c r="AI637">
        <f t="shared" si="549"/>
        <v>-0.40830613227677021</v>
      </c>
      <c r="AJ637">
        <f t="shared" si="550"/>
        <v>-0.22314355131420882</v>
      </c>
      <c r="AK637">
        <f t="shared" si="551"/>
        <v>5.0181789921618418E-2</v>
      </c>
      <c r="AL637" s="9">
        <f t="shared" si="571"/>
        <v>7.2727137403051216</v>
      </c>
      <c r="AM637" t="e">
        <f t="shared" si="552"/>
        <v>#N/A</v>
      </c>
      <c r="AN637" t="e">
        <f t="shared" si="572"/>
        <v>#N/A</v>
      </c>
      <c r="AO637">
        <f t="shared" si="553"/>
        <v>0</v>
      </c>
      <c r="AP637">
        <f t="shared" si="554"/>
        <v>0</v>
      </c>
      <c r="AQ637">
        <f t="shared" si="555"/>
        <v>8.8817841970012523E-16</v>
      </c>
      <c r="AR637">
        <f t="shared" si="573"/>
        <v>0</v>
      </c>
      <c r="AS637">
        <f t="shared" si="556"/>
        <v>0</v>
      </c>
      <c r="AT637">
        <f t="shared" si="574"/>
        <v>0</v>
      </c>
      <c r="AU637">
        <f t="shared" si="575"/>
        <v>0</v>
      </c>
      <c r="AV637">
        <f t="shared" si="557"/>
        <v>1.2566370614359172E-20</v>
      </c>
      <c r="AW637" t="b">
        <f t="shared" si="576"/>
        <v>1</v>
      </c>
      <c r="AX637">
        <f t="shared" si="558"/>
        <v>7.8539816339744828</v>
      </c>
      <c r="AY637">
        <f t="shared" si="559"/>
        <v>-0.40830613227677037</v>
      </c>
      <c r="AZ637">
        <f t="shared" si="560"/>
        <v>-0.22314355131420971</v>
      </c>
      <c r="BA637">
        <f t="shared" si="561"/>
        <v>5.0181789921618536E-2</v>
      </c>
      <c r="BB637">
        <f t="shared" si="562"/>
        <v>-1.2337005501361696E-20</v>
      </c>
      <c r="BD637" s="15">
        <f t="shared" si="577"/>
        <v>7.2727137403051207</v>
      </c>
      <c r="BE637" s="10">
        <f t="shared" si="578"/>
        <v>0</v>
      </c>
      <c r="BF637">
        <f t="shared" si="579"/>
        <v>0</v>
      </c>
      <c r="BG637">
        <f t="shared" si="580"/>
        <v>0</v>
      </c>
      <c r="BH637">
        <f t="shared" si="581"/>
        <v>0</v>
      </c>
      <c r="BI637">
        <f t="shared" si="582"/>
        <v>0</v>
      </c>
    </row>
    <row r="638" spans="1:61" x14ac:dyDescent="0.3">
      <c r="A638">
        <f t="shared" si="587"/>
        <v>0.60099999999999998</v>
      </c>
      <c r="B638">
        <f t="shared" si="530"/>
        <v>1.8880971848074657</v>
      </c>
      <c r="C638">
        <f t="shared" si="531"/>
        <v>1.2534954687823274</v>
      </c>
      <c r="D638">
        <f t="shared" si="532"/>
        <v>1.2534954687823274</v>
      </c>
      <c r="E638">
        <f t="shared" si="537"/>
        <v>0.9500810191007717</v>
      </c>
      <c r="F638">
        <f t="shared" si="538"/>
        <v>0.9500810191007717</v>
      </c>
      <c r="G638">
        <f t="shared" si="533"/>
        <v>1.8880971848074657</v>
      </c>
      <c r="H638">
        <f t="shared" si="534"/>
        <v>0.9500810191007717</v>
      </c>
      <c r="I638">
        <f t="shared" si="535"/>
        <v>0.9500810191007717</v>
      </c>
      <c r="J638">
        <f t="shared" si="583"/>
        <v>6.7006893051092255E+19</v>
      </c>
      <c r="K638">
        <f t="shared" si="584"/>
        <v>6.7006893051092255E+19</v>
      </c>
      <c r="L638" t="e">
        <f t="shared" si="539"/>
        <v>#NUM!</v>
      </c>
      <c r="M638">
        <f t="shared" si="536"/>
        <v>1.2534954687823275E-20</v>
      </c>
      <c r="N638" s="9" t="e">
        <f t="shared" si="585"/>
        <v>#NUM!</v>
      </c>
      <c r="O638" t="e">
        <f t="shared" si="586"/>
        <v>#NUM!</v>
      </c>
      <c r="Q638">
        <f t="shared" si="540"/>
        <v>45.651327169351447</v>
      </c>
      <c r="R638">
        <f t="shared" si="541"/>
        <v>-710542.73576010019</v>
      </c>
      <c r="S638">
        <f t="shared" si="563"/>
        <v>-45.825765836123786</v>
      </c>
      <c r="T638" s="9" t="e">
        <f t="shared" si="542"/>
        <v>#N/A</v>
      </c>
      <c r="U638">
        <f t="shared" si="564"/>
        <v>-1.0000000000000001E+300</v>
      </c>
      <c r="V638">
        <f t="shared" si="565"/>
        <v>0</v>
      </c>
      <c r="W638">
        <f t="shared" si="566"/>
        <v>0</v>
      </c>
      <c r="X638">
        <f t="shared" si="543"/>
        <v>1.2534954687823274</v>
      </c>
      <c r="Y638">
        <f t="shared" si="544"/>
        <v>7.8539816339744828</v>
      </c>
      <c r="Z638">
        <f t="shared" si="545"/>
        <v>-1.2534954687823274</v>
      </c>
      <c r="AA638">
        <f t="shared" si="567"/>
        <v>-0.41164354489918942</v>
      </c>
      <c r="AB638">
        <f t="shared" si="546"/>
        <v>7.4423380890752933</v>
      </c>
      <c r="AC638">
        <f t="shared" si="568"/>
        <v>-0.22564668153232836</v>
      </c>
      <c r="AD638">
        <f t="shared" si="547"/>
        <v>5.1208014759991136E-2</v>
      </c>
      <c r="AE638" s="9">
        <f t="shared" si="569"/>
        <v>7.267899422302956</v>
      </c>
      <c r="AF638">
        <f t="shared" si="570"/>
        <v>0</v>
      </c>
      <c r="AH638">
        <f t="shared" si="548"/>
        <v>7.8539816339744828</v>
      </c>
      <c r="AI638">
        <f t="shared" si="549"/>
        <v>-0.41164354489918936</v>
      </c>
      <c r="AJ638">
        <f t="shared" si="550"/>
        <v>-0.22564668153232503</v>
      </c>
      <c r="AK638">
        <f t="shared" si="551"/>
        <v>5.1208014759991136E-2</v>
      </c>
      <c r="AL638" s="9">
        <f t="shared" si="571"/>
        <v>7.2678994223029596</v>
      </c>
      <c r="AM638" t="e">
        <f t="shared" si="552"/>
        <v>#N/A</v>
      </c>
      <c r="AN638" t="e">
        <f t="shared" si="572"/>
        <v>#N/A</v>
      </c>
      <c r="AO638">
        <f t="shared" si="553"/>
        <v>0</v>
      </c>
      <c r="AP638">
        <f t="shared" si="554"/>
        <v>0</v>
      </c>
      <c r="AQ638">
        <f t="shared" si="555"/>
        <v>3.3306690738754696E-15</v>
      </c>
      <c r="AR638">
        <f t="shared" si="573"/>
        <v>0</v>
      </c>
      <c r="AS638">
        <f t="shared" si="556"/>
        <v>0</v>
      </c>
      <c r="AT638">
        <f t="shared" si="574"/>
        <v>0</v>
      </c>
      <c r="AU638">
        <f t="shared" si="575"/>
        <v>0</v>
      </c>
      <c r="AV638">
        <f t="shared" si="557"/>
        <v>1.2534954687823274E-20</v>
      </c>
      <c r="AW638" t="b">
        <f t="shared" si="576"/>
        <v>1</v>
      </c>
      <c r="AX638">
        <f t="shared" si="558"/>
        <v>7.8539816339744828</v>
      </c>
      <c r="AY638">
        <f t="shared" si="559"/>
        <v>-0.41164354489918953</v>
      </c>
      <c r="AZ638">
        <f t="shared" si="560"/>
        <v>-0.22564668153232822</v>
      </c>
      <c r="BA638">
        <f t="shared" si="561"/>
        <v>5.1208014759991136E-2</v>
      </c>
      <c r="BB638">
        <f t="shared" si="562"/>
        <v>-1.2337005501361696E-20</v>
      </c>
      <c r="BD638" s="15">
        <f t="shared" si="577"/>
        <v>7.267899422302956</v>
      </c>
      <c r="BE638" s="10">
        <f t="shared" si="578"/>
        <v>0</v>
      </c>
      <c r="BF638">
        <f t="shared" si="579"/>
        <v>0</v>
      </c>
      <c r="BG638">
        <f t="shared" si="580"/>
        <v>0</v>
      </c>
      <c r="BH638">
        <f t="shared" si="581"/>
        <v>0</v>
      </c>
      <c r="BI638">
        <f t="shared" si="582"/>
        <v>0</v>
      </c>
    </row>
    <row r="639" spans="1:61" x14ac:dyDescent="0.3">
      <c r="A639">
        <f t="shared" si="587"/>
        <v>0.60199999999999998</v>
      </c>
      <c r="B639">
        <f t="shared" si="530"/>
        <v>1.8912387774610553</v>
      </c>
      <c r="C639">
        <f t="shared" si="531"/>
        <v>1.2503538761287378</v>
      </c>
      <c r="D639">
        <f t="shared" si="532"/>
        <v>1.2503538761287378</v>
      </c>
      <c r="E639">
        <f t="shared" si="537"/>
        <v>0.94909614499029471</v>
      </c>
      <c r="F639">
        <f t="shared" si="538"/>
        <v>0.9490961449902946</v>
      </c>
      <c r="G639">
        <f t="shared" si="533"/>
        <v>1.8912387774610553</v>
      </c>
      <c r="H639">
        <f t="shared" si="534"/>
        <v>0.94909614499029471</v>
      </c>
      <c r="I639">
        <f t="shared" si="535"/>
        <v>0.9490961449902946</v>
      </c>
      <c r="J639">
        <f t="shared" si="583"/>
        <v>6.7076425895091102E+19</v>
      </c>
      <c r="K639">
        <f t="shared" si="584"/>
        <v>6.7076425895091102E+19</v>
      </c>
      <c r="L639">
        <f t="shared" si="539"/>
        <v>1</v>
      </c>
      <c r="M639">
        <f t="shared" si="536"/>
        <v>1.2503538761287379E-20</v>
      </c>
      <c r="N639" s="9">
        <f t="shared" si="585"/>
        <v>1.2503538761287379E-20</v>
      </c>
      <c r="O639">
        <f t="shared" si="586"/>
        <v>1.2503538761287379E-20</v>
      </c>
      <c r="Q639">
        <f t="shared" si="540"/>
        <v>45.652364328198331</v>
      </c>
      <c r="R639">
        <f t="shared" si="541"/>
        <v>0</v>
      </c>
      <c r="S639">
        <f t="shared" si="563"/>
        <v>-45.828275247729209</v>
      </c>
      <c r="T639" s="9" t="e">
        <f t="shared" si="542"/>
        <v>#N/A</v>
      </c>
      <c r="U639">
        <f t="shared" si="564"/>
        <v>-1.0000000000000001E+300</v>
      </c>
      <c r="V639">
        <f t="shared" si="565"/>
        <v>0</v>
      </c>
      <c r="W639">
        <f t="shared" si="566"/>
        <v>0</v>
      </c>
      <c r="X639">
        <f t="shared" si="543"/>
        <v>1.2503538761287378</v>
      </c>
      <c r="Y639">
        <f t="shared" si="544"/>
        <v>7.8539816339744828</v>
      </c>
      <c r="Z639">
        <f t="shared" si="545"/>
        <v>-1.2503538761287378</v>
      </c>
      <c r="AA639">
        <f t="shared" si="567"/>
        <v>-0.41496809133424356</v>
      </c>
      <c r="AB639">
        <f t="shared" si="546"/>
        <v>7.4390135426402395</v>
      </c>
      <c r="AC639">
        <f t="shared" si="568"/>
        <v>-0.22815609313775384</v>
      </c>
      <c r="AD639">
        <f t="shared" si="547"/>
        <v>5.224517360686888E-2</v>
      </c>
      <c r="AE639" s="9">
        <f t="shared" si="569"/>
        <v>7.2631026231093543</v>
      </c>
      <c r="AF639">
        <f t="shared" si="570"/>
        <v>0</v>
      </c>
      <c r="AH639">
        <f t="shared" si="548"/>
        <v>7.8539816339744828</v>
      </c>
      <c r="AI639">
        <f t="shared" si="549"/>
        <v>-0.41496809133424351</v>
      </c>
      <c r="AJ639">
        <f t="shared" si="550"/>
        <v>-0.22815609313774843</v>
      </c>
      <c r="AK639">
        <f t="shared" si="551"/>
        <v>5.224517360686888E-2</v>
      </c>
      <c r="AL639" s="9">
        <f t="shared" si="571"/>
        <v>7.2631026231093596</v>
      </c>
      <c r="AM639" t="e">
        <f t="shared" si="552"/>
        <v>#N/A</v>
      </c>
      <c r="AN639" t="e">
        <f t="shared" si="572"/>
        <v>#N/A</v>
      </c>
      <c r="AO639">
        <f t="shared" si="553"/>
        <v>0</v>
      </c>
      <c r="AP639">
        <f t="shared" si="554"/>
        <v>0</v>
      </c>
      <c r="AQ639">
        <f t="shared" si="555"/>
        <v>5.4123372450476381E-15</v>
      </c>
      <c r="AR639">
        <f t="shared" si="573"/>
        <v>0</v>
      </c>
      <c r="AS639">
        <f t="shared" si="556"/>
        <v>0</v>
      </c>
      <c r="AT639">
        <f t="shared" si="574"/>
        <v>0</v>
      </c>
      <c r="AU639">
        <f t="shared" si="575"/>
        <v>0</v>
      </c>
      <c r="AV639">
        <f t="shared" si="557"/>
        <v>1.2503538761287377E-20</v>
      </c>
      <c r="AW639" t="b">
        <f t="shared" si="576"/>
        <v>1</v>
      </c>
      <c r="AX639">
        <f t="shared" si="558"/>
        <v>7.8539816339744828</v>
      </c>
      <c r="AY639">
        <f t="shared" si="559"/>
        <v>-0.41496809133424356</v>
      </c>
      <c r="AZ639">
        <f t="shared" si="560"/>
        <v>-0.22815609313775384</v>
      </c>
      <c r="BA639">
        <f t="shared" si="561"/>
        <v>5.2245173606868991E-2</v>
      </c>
      <c r="BB639">
        <f t="shared" si="562"/>
        <v>-1.2337005501361696E-20</v>
      </c>
      <c r="BD639" s="15">
        <f t="shared" si="577"/>
        <v>7.2631026231093552</v>
      </c>
      <c r="BE639" s="10">
        <f t="shared" si="578"/>
        <v>0</v>
      </c>
      <c r="BF639">
        <f t="shared" si="579"/>
        <v>0</v>
      </c>
      <c r="BG639">
        <f t="shared" si="580"/>
        <v>0</v>
      </c>
      <c r="BH639">
        <f t="shared" si="581"/>
        <v>0</v>
      </c>
      <c r="BI639">
        <f t="shared" si="582"/>
        <v>0</v>
      </c>
    </row>
    <row r="640" spans="1:61" x14ac:dyDescent="0.3">
      <c r="A640">
        <f t="shared" si="587"/>
        <v>0.60299999999999998</v>
      </c>
      <c r="B640">
        <f t="shared" si="530"/>
        <v>1.8943803701146451</v>
      </c>
      <c r="C640">
        <f t="shared" si="531"/>
        <v>1.247212283475148</v>
      </c>
      <c r="D640">
        <f t="shared" si="532"/>
        <v>1.247212283475148</v>
      </c>
      <c r="E640">
        <f t="shared" si="537"/>
        <v>0.94810190368403202</v>
      </c>
      <c r="F640">
        <f t="shared" si="538"/>
        <v>0.94810190368403202</v>
      </c>
      <c r="G640">
        <f t="shared" si="533"/>
        <v>1.8943803701146451</v>
      </c>
      <c r="H640">
        <f t="shared" si="534"/>
        <v>0.94810190368403202</v>
      </c>
      <c r="I640">
        <f t="shared" si="535"/>
        <v>0.94810190368403202</v>
      </c>
      <c r="J640">
        <f t="shared" si="583"/>
        <v>6.7146766596910424E+19</v>
      </c>
      <c r="K640">
        <f t="shared" si="584"/>
        <v>6.7146766596910424E+19</v>
      </c>
      <c r="L640">
        <f t="shared" si="539"/>
        <v>1</v>
      </c>
      <c r="M640">
        <f t="shared" si="536"/>
        <v>1.2472122834751479E-20</v>
      </c>
      <c r="N640" s="9">
        <f t="shared" si="585"/>
        <v>1.2472122834751479E-20</v>
      </c>
      <c r="O640">
        <f t="shared" si="586"/>
        <v>1.2472122834751479E-20</v>
      </c>
      <c r="Q640">
        <f t="shared" si="540"/>
        <v>45.653412443757979</v>
      </c>
      <c r="R640">
        <f t="shared" si="541"/>
        <v>-710542.73576010019</v>
      </c>
      <c r="S640">
        <f t="shared" si="563"/>
        <v>-45.830790972326461</v>
      </c>
      <c r="T640" s="9" t="e">
        <f t="shared" si="542"/>
        <v>#N/A</v>
      </c>
      <c r="U640">
        <f t="shared" si="564"/>
        <v>-1.0000000000000001E+300</v>
      </c>
      <c r="V640">
        <f t="shared" si="565"/>
        <v>0</v>
      </c>
      <c r="W640">
        <f t="shared" si="566"/>
        <v>0</v>
      </c>
      <c r="X640">
        <f t="shared" si="543"/>
        <v>1.247212283475148</v>
      </c>
      <c r="Y640">
        <f t="shared" si="544"/>
        <v>7.8539816339744828</v>
      </c>
      <c r="Z640">
        <f t="shared" si="545"/>
        <v>-1.247212283475148</v>
      </c>
      <c r="AA640">
        <f t="shared" si="567"/>
        <v>-0.41827981771798062</v>
      </c>
      <c r="AB640">
        <f t="shared" si="546"/>
        <v>7.4357018162565023</v>
      </c>
      <c r="AC640">
        <f t="shared" si="568"/>
        <v>-0.23067181773500128</v>
      </c>
      <c r="AD640">
        <f t="shared" si="547"/>
        <v>5.3293289166523553E-2</v>
      </c>
      <c r="AE640" s="9">
        <f t="shared" si="569"/>
        <v>7.2583232876880244</v>
      </c>
      <c r="AF640">
        <f t="shared" si="570"/>
        <v>0</v>
      </c>
      <c r="AH640">
        <f t="shared" si="548"/>
        <v>7.8539816339744828</v>
      </c>
      <c r="AI640">
        <f t="shared" si="549"/>
        <v>-0.41827981771798045</v>
      </c>
      <c r="AJ640">
        <f t="shared" si="550"/>
        <v>-0.23067181773500067</v>
      </c>
      <c r="AK640">
        <f t="shared" si="551"/>
        <v>5.3293289166523553E-2</v>
      </c>
      <c r="AL640" s="9">
        <f t="shared" si="571"/>
        <v>7.2583232876880253</v>
      </c>
      <c r="AM640" t="e">
        <f t="shared" si="552"/>
        <v>#N/A</v>
      </c>
      <c r="AN640" t="e">
        <f t="shared" si="572"/>
        <v>#N/A</v>
      </c>
      <c r="AO640">
        <f t="shared" si="553"/>
        <v>0</v>
      </c>
      <c r="AP640">
        <f t="shared" si="554"/>
        <v>0</v>
      </c>
      <c r="AQ640">
        <f t="shared" si="555"/>
        <v>6.106226635438361E-16</v>
      </c>
      <c r="AR640">
        <f t="shared" si="573"/>
        <v>0</v>
      </c>
      <c r="AS640">
        <f t="shared" si="556"/>
        <v>0</v>
      </c>
      <c r="AT640">
        <f t="shared" si="574"/>
        <v>0</v>
      </c>
      <c r="AU640">
        <f t="shared" si="575"/>
        <v>0</v>
      </c>
      <c r="AV640">
        <f t="shared" si="557"/>
        <v>1.2472122834751479E-20</v>
      </c>
      <c r="AW640" t="b">
        <f t="shared" si="576"/>
        <v>1</v>
      </c>
      <c r="AX640">
        <f t="shared" si="558"/>
        <v>7.8539816339744828</v>
      </c>
      <c r="AY640">
        <f t="shared" si="559"/>
        <v>-0.41827981771798067</v>
      </c>
      <c r="AZ640">
        <f t="shared" si="560"/>
        <v>-0.23067181773500114</v>
      </c>
      <c r="BA640">
        <f t="shared" si="561"/>
        <v>5.3293289166523553E-2</v>
      </c>
      <c r="BB640">
        <f t="shared" si="562"/>
        <v>-1.2337005501361696E-20</v>
      </c>
      <c r="BD640" s="15">
        <f t="shared" si="577"/>
        <v>7.2583232876880244</v>
      </c>
      <c r="BE640" s="10">
        <f t="shared" si="578"/>
        <v>0</v>
      </c>
      <c r="BF640">
        <f t="shared" si="579"/>
        <v>0</v>
      </c>
      <c r="BG640">
        <f t="shared" si="580"/>
        <v>0</v>
      </c>
      <c r="BH640">
        <f t="shared" si="581"/>
        <v>0</v>
      </c>
      <c r="BI640">
        <f t="shared" si="582"/>
        <v>0</v>
      </c>
    </row>
    <row r="641" spans="1:61" x14ac:dyDescent="0.3">
      <c r="A641">
        <f t="shared" si="587"/>
        <v>0.60399999999999998</v>
      </c>
      <c r="B641">
        <f t="shared" si="530"/>
        <v>1.8975219627682349</v>
      </c>
      <c r="C641">
        <f t="shared" si="531"/>
        <v>1.2440706908215582</v>
      </c>
      <c r="D641">
        <f t="shared" si="532"/>
        <v>1.2440706908215582</v>
      </c>
      <c r="E641">
        <f t="shared" si="537"/>
        <v>0.94709830499474434</v>
      </c>
      <c r="F641">
        <f t="shared" si="538"/>
        <v>0.94709830499474434</v>
      </c>
      <c r="G641">
        <f t="shared" si="533"/>
        <v>1.8975219627682349</v>
      </c>
      <c r="H641">
        <f t="shared" si="534"/>
        <v>0.94709830499474434</v>
      </c>
      <c r="I641">
        <f t="shared" si="535"/>
        <v>0.94709830499474434</v>
      </c>
      <c r="J641">
        <f t="shared" si="583"/>
        <v>6.7217919091420414E+19</v>
      </c>
      <c r="K641">
        <f t="shared" si="584"/>
        <v>6.7217919091420414E+19</v>
      </c>
      <c r="L641">
        <f t="shared" si="539"/>
        <v>0</v>
      </c>
      <c r="M641">
        <f t="shared" si="536"/>
        <v>1.2440706908215582E-20</v>
      </c>
      <c r="N641" s="9">
        <f t="shared" si="585"/>
        <v>0</v>
      </c>
      <c r="O641">
        <f t="shared" si="586"/>
        <v>0</v>
      </c>
      <c r="Q641">
        <f t="shared" si="540"/>
        <v>45.654471539022431</v>
      </c>
      <c r="R641">
        <f t="shared" si="541"/>
        <v>0</v>
      </c>
      <c r="S641">
        <f t="shared" si="563"/>
        <v>-45.833313041759169</v>
      </c>
      <c r="T641" s="9" t="e">
        <f t="shared" si="542"/>
        <v>#N/A</v>
      </c>
      <c r="U641">
        <f t="shared" si="564"/>
        <v>-1.0000000000000001E+300</v>
      </c>
      <c r="V641">
        <f t="shared" si="565"/>
        <v>0</v>
      </c>
      <c r="W641">
        <f t="shared" si="566"/>
        <v>0</v>
      </c>
      <c r="X641">
        <f t="shared" si="543"/>
        <v>1.2440706908215582</v>
      </c>
      <c r="Y641">
        <f t="shared" si="544"/>
        <v>7.8539816339744828</v>
      </c>
      <c r="Z641">
        <f t="shared" si="545"/>
        <v>-1.2440706908215582</v>
      </c>
      <c r="AA641">
        <f t="shared" si="567"/>
        <v>-0.42157876987208343</v>
      </c>
      <c r="AB641">
        <f t="shared" si="546"/>
        <v>7.4324028641023991</v>
      </c>
      <c r="AC641">
        <f t="shared" si="568"/>
        <v>-0.23319388716771114</v>
      </c>
      <c r="AD641">
        <f t="shared" si="547"/>
        <v>5.4352384430972969E-2</v>
      </c>
      <c r="AE641" s="9">
        <f t="shared" si="569"/>
        <v>7.2535613613656613</v>
      </c>
      <c r="AF641">
        <f t="shared" si="570"/>
        <v>0</v>
      </c>
      <c r="AH641">
        <f t="shared" si="548"/>
        <v>7.8539816339744828</v>
      </c>
      <c r="AI641">
        <f t="shared" si="549"/>
        <v>-0.42157876987208331</v>
      </c>
      <c r="AJ641">
        <f t="shared" si="550"/>
        <v>-0.23319388716770817</v>
      </c>
      <c r="AK641">
        <f t="shared" si="551"/>
        <v>5.4352384430972969E-2</v>
      </c>
      <c r="AL641" s="9">
        <f t="shared" si="571"/>
        <v>7.253561361365664</v>
      </c>
      <c r="AM641" t="e">
        <f t="shared" si="552"/>
        <v>#N/A</v>
      </c>
      <c r="AN641" t="e">
        <f t="shared" si="572"/>
        <v>#N/A</v>
      </c>
      <c r="AO641">
        <f t="shared" si="553"/>
        <v>0</v>
      </c>
      <c r="AP641">
        <f t="shared" si="554"/>
        <v>0</v>
      </c>
      <c r="AQ641">
        <f t="shared" si="555"/>
        <v>2.9698465908722937E-15</v>
      </c>
      <c r="AR641">
        <f t="shared" si="573"/>
        <v>0</v>
      </c>
      <c r="AS641">
        <f t="shared" si="556"/>
        <v>0</v>
      </c>
      <c r="AT641">
        <f t="shared" si="574"/>
        <v>0</v>
      </c>
      <c r="AU641">
        <f t="shared" si="575"/>
        <v>0</v>
      </c>
      <c r="AV641">
        <f t="shared" si="557"/>
        <v>1.2440706908215581E-20</v>
      </c>
      <c r="AW641" t="b">
        <f t="shared" si="576"/>
        <v>1</v>
      </c>
      <c r="AX641">
        <f t="shared" si="558"/>
        <v>7.8539816339744828</v>
      </c>
      <c r="AY641">
        <f t="shared" si="559"/>
        <v>-0.42157876987208348</v>
      </c>
      <c r="AZ641">
        <f t="shared" si="560"/>
        <v>-0.23319388716771114</v>
      </c>
      <c r="BA641">
        <f t="shared" si="561"/>
        <v>5.4352384430972969E-2</v>
      </c>
      <c r="BB641">
        <f t="shared" si="562"/>
        <v>-1.2337005501361696E-20</v>
      </c>
      <c r="BD641" s="15">
        <f t="shared" si="577"/>
        <v>7.2535613613656613</v>
      </c>
      <c r="BE641" s="10">
        <f t="shared" si="578"/>
        <v>0</v>
      </c>
      <c r="BF641">
        <f t="shared" si="579"/>
        <v>0</v>
      </c>
      <c r="BG641">
        <f t="shared" si="580"/>
        <v>0</v>
      </c>
      <c r="BH641">
        <f t="shared" si="581"/>
        <v>0</v>
      </c>
      <c r="BI641">
        <f t="shared" si="582"/>
        <v>0</v>
      </c>
    </row>
    <row r="642" spans="1:61" x14ac:dyDescent="0.3">
      <c r="A642">
        <f t="shared" si="587"/>
        <v>0.60499999999999998</v>
      </c>
      <c r="B642">
        <f t="shared" si="530"/>
        <v>1.9006635554218247</v>
      </c>
      <c r="C642">
        <f t="shared" si="531"/>
        <v>1.2409290981679684</v>
      </c>
      <c r="D642">
        <f t="shared" si="532"/>
        <v>1.2409290981679684</v>
      </c>
      <c r="E642">
        <f t="shared" si="537"/>
        <v>0.94608535882754541</v>
      </c>
      <c r="F642">
        <f t="shared" si="538"/>
        <v>0.9460853588275453</v>
      </c>
      <c r="G642">
        <f t="shared" si="533"/>
        <v>1.9006635554218247</v>
      </c>
      <c r="H642">
        <f t="shared" si="534"/>
        <v>0.94608535882754541</v>
      </c>
      <c r="I642">
        <f t="shared" si="535"/>
        <v>0.9460853588275453</v>
      </c>
      <c r="J642">
        <f t="shared" si="583"/>
        <v>6.7289887368780849E+19</v>
      </c>
      <c r="K642">
        <f t="shared" si="584"/>
        <v>6.7289887368780849E+19</v>
      </c>
      <c r="L642">
        <f t="shared" si="539"/>
        <v>1</v>
      </c>
      <c r="M642">
        <f t="shared" si="536"/>
        <v>1.2409290981679683E-20</v>
      </c>
      <c r="N642" s="9">
        <f t="shared" si="585"/>
        <v>1.2409290981679683E-20</v>
      </c>
      <c r="O642">
        <f t="shared" si="586"/>
        <v>1.2409290981679683E-20</v>
      </c>
      <c r="Q642">
        <f t="shared" si="540"/>
        <v>45.655541637273558</v>
      </c>
      <c r="R642">
        <f t="shared" si="541"/>
        <v>-710542.73576010019</v>
      </c>
      <c r="S642">
        <f t="shared" si="563"/>
        <v>-45.835841488112528</v>
      </c>
      <c r="T642" s="9" t="e">
        <f t="shared" si="542"/>
        <v>#N/A</v>
      </c>
      <c r="U642">
        <f t="shared" si="564"/>
        <v>-1.0000000000000001E+300</v>
      </c>
      <c r="V642">
        <f t="shared" si="565"/>
        <v>0</v>
      </c>
      <c r="W642">
        <f t="shared" si="566"/>
        <v>0</v>
      </c>
      <c r="X642">
        <f t="shared" si="543"/>
        <v>1.2409290981679684</v>
      </c>
      <c r="Y642">
        <f t="shared" si="544"/>
        <v>7.8539816339744828</v>
      </c>
      <c r="Z642">
        <f t="shared" si="545"/>
        <v>-1.2409290981679684</v>
      </c>
      <c r="AA642">
        <f t="shared" si="567"/>
        <v>-0.42486499330637673</v>
      </c>
      <c r="AB642">
        <f t="shared" si="546"/>
        <v>7.4291166406681057</v>
      </c>
      <c r="AC642">
        <f t="shared" si="568"/>
        <v>-0.23572233352106983</v>
      </c>
      <c r="AD642">
        <f t="shared" si="547"/>
        <v>5.5422482682100996E-2</v>
      </c>
      <c r="AE642" s="9">
        <f t="shared" si="569"/>
        <v>7.2488167898291369</v>
      </c>
      <c r="AF642">
        <f t="shared" si="570"/>
        <v>0</v>
      </c>
      <c r="AH642">
        <f t="shared" si="548"/>
        <v>7.8539816339744828</v>
      </c>
      <c r="AI642">
        <f t="shared" si="549"/>
        <v>-0.42486499330637661</v>
      </c>
      <c r="AJ642">
        <f t="shared" si="550"/>
        <v>-0.23572233352106764</v>
      </c>
      <c r="AK642">
        <f t="shared" si="551"/>
        <v>5.5422482682100996E-2</v>
      </c>
      <c r="AL642" s="9">
        <f t="shared" si="571"/>
        <v>7.2488167898291387</v>
      </c>
      <c r="AM642" t="e">
        <f t="shared" si="552"/>
        <v>#N/A</v>
      </c>
      <c r="AN642" t="e">
        <f t="shared" si="572"/>
        <v>#N/A</v>
      </c>
      <c r="AO642">
        <f t="shared" si="553"/>
        <v>0</v>
      </c>
      <c r="AP642">
        <f t="shared" si="554"/>
        <v>0</v>
      </c>
      <c r="AQ642">
        <f t="shared" si="555"/>
        <v>2.1926904736346842E-15</v>
      </c>
      <c r="AR642">
        <f t="shared" si="573"/>
        <v>0</v>
      </c>
      <c r="AS642">
        <f t="shared" si="556"/>
        <v>0</v>
      </c>
      <c r="AT642">
        <f t="shared" si="574"/>
        <v>0</v>
      </c>
      <c r="AU642">
        <f t="shared" si="575"/>
        <v>0</v>
      </c>
      <c r="AV642">
        <f t="shared" si="557"/>
        <v>1.2409290981679683E-20</v>
      </c>
      <c r="AW642" t="b">
        <f t="shared" si="576"/>
        <v>1</v>
      </c>
      <c r="AX642">
        <f t="shared" si="558"/>
        <v>7.8539816339744828</v>
      </c>
      <c r="AY642">
        <f t="shared" si="559"/>
        <v>-0.42486499330637684</v>
      </c>
      <c r="AZ642">
        <f t="shared" si="560"/>
        <v>-0.23572233352106983</v>
      </c>
      <c r="BA642">
        <f t="shared" si="561"/>
        <v>5.5422482682101114E-2</v>
      </c>
      <c r="BB642">
        <f t="shared" si="562"/>
        <v>-1.2337005501361696E-20</v>
      </c>
      <c r="BD642" s="15">
        <f t="shared" si="577"/>
        <v>7.2488167898291378</v>
      </c>
      <c r="BE642" s="10">
        <f t="shared" si="578"/>
        <v>0</v>
      </c>
      <c r="BF642">
        <f t="shared" si="579"/>
        <v>0</v>
      </c>
      <c r="BG642">
        <f t="shared" si="580"/>
        <v>0</v>
      </c>
      <c r="BH642">
        <f t="shared" si="581"/>
        <v>0</v>
      </c>
      <c r="BI642">
        <f t="shared" si="582"/>
        <v>0</v>
      </c>
    </row>
    <row r="643" spans="1:61" x14ac:dyDescent="0.3">
      <c r="A643">
        <f t="shared" si="587"/>
        <v>0.60599999999999998</v>
      </c>
      <c r="B643">
        <f t="shared" si="530"/>
        <v>1.9038051480754146</v>
      </c>
      <c r="C643">
        <f t="shared" si="531"/>
        <v>1.2377875055143785</v>
      </c>
      <c r="D643">
        <f t="shared" si="532"/>
        <v>1.2377875055143785</v>
      </c>
      <c r="E643">
        <f t="shared" si="537"/>
        <v>0.94506307517980492</v>
      </c>
      <c r="F643">
        <f t="shared" si="538"/>
        <v>0.94506307517980481</v>
      </c>
      <c r="G643">
        <f t="shared" si="533"/>
        <v>1.9038051480754146</v>
      </c>
      <c r="H643">
        <f t="shared" si="534"/>
        <v>0.94506307517980492</v>
      </c>
      <c r="I643">
        <f t="shared" si="535"/>
        <v>0.94506307517980481</v>
      </c>
      <c r="J643">
        <f t="shared" si="583"/>
        <v>6.7362675475016311E+19</v>
      </c>
      <c r="K643">
        <f t="shared" si="584"/>
        <v>6.7362675475016311E+19</v>
      </c>
      <c r="L643">
        <f t="shared" si="539"/>
        <v>1</v>
      </c>
      <c r="M643">
        <f t="shared" si="536"/>
        <v>1.2377875055143786E-20</v>
      </c>
      <c r="N643" s="9">
        <f t="shared" si="585"/>
        <v>1.2377875055143786E-20</v>
      </c>
      <c r="O643">
        <f t="shared" si="586"/>
        <v>1.2377875055143786E-20</v>
      </c>
      <c r="Q643">
        <f t="shared" si="540"/>
        <v>45.65662276208527</v>
      </c>
      <c r="R643">
        <f t="shared" si="541"/>
        <v>0</v>
      </c>
      <c r="S643">
        <f t="shared" si="563"/>
        <v>-45.838376343715716</v>
      </c>
      <c r="T643" s="9" t="e">
        <f t="shared" si="542"/>
        <v>#N/A</v>
      </c>
      <c r="U643">
        <f t="shared" si="564"/>
        <v>-1.0000000000000001E+300</v>
      </c>
      <c r="V643">
        <f t="shared" si="565"/>
        <v>0</v>
      </c>
      <c r="W643">
        <f t="shared" si="566"/>
        <v>0</v>
      </c>
      <c r="X643">
        <f t="shared" si="543"/>
        <v>1.2377875055143785</v>
      </c>
      <c r="Y643">
        <f t="shared" si="544"/>
        <v>7.8539816339744828</v>
      </c>
      <c r="Z643">
        <f t="shared" si="545"/>
        <v>-1.2377875055143785</v>
      </c>
      <c r="AA643">
        <f t="shared" si="567"/>
        <v>-0.42813853322130901</v>
      </c>
      <c r="AB643">
        <f t="shared" si="546"/>
        <v>7.4258431007531733</v>
      </c>
      <c r="AC643">
        <f t="shared" si="568"/>
        <v>-0.23825718912425789</v>
      </c>
      <c r="AD643">
        <f t="shared" si="547"/>
        <v>5.6503607493808471E-2</v>
      </c>
      <c r="AE643" s="9">
        <f t="shared" si="569"/>
        <v>7.2440895191227241</v>
      </c>
      <c r="AF643">
        <f t="shared" si="570"/>
        <v>0</v>
      </c>
      <c r="AH643">
        <f t="shared" si="548"/>
        <v>7.8539816339744828</v>
      </c>
      <c r="AI643">
        <f t="shared" si="549"/>
        <v>-0.42813853322130896</v>
      </c>
      <c r="AJ643">
        <f t="shared" si="550"/>
        <v>-0.23825718912425486</v>
      </c>
      <c r="AK643">
        <f t="shared" si="551"/>
        <v>5.6503607493808471E-2</v>
      </c>
      <c r="AL643" s="9">
        <f t="shared" si="571"/>
        <v>7.2440895191227277</v>
      </c>
      <c r="AM643" t="e">
        <f t="shared" si="552"/>
        <v>#N/A</v>
      </c>
      <c r="AN643" t="e">
        <f t="shared" si="572"/>
        <v>#N/A</v>
      </c>
      <c r="AO643">
        <f t="shared" si="553"/>
        <v>0</v>
      </c>
      <c r="AP643">
        <f t="shared" si="554"/>
        <v>0</v>
      </c>
      <c r="AQ643">
        <f t="shared" si="555"/>
        <v>3.0253577421035516E-15</v>
      </c>
      <c r="AR643">
        <f t="shared" si="573"/>
        <v>0</v>
      </c>
      <c r="AS643">
        <f t="shared" si="556"/>
        <v>0</v>
      </c>
      <c r="AT643">
        <f t="shared" si="574"/>
        <v>0</v>
      </c>
      <c r="AU643">
        <f t="shared" si="575"/>
        <v>0</v>
      </c>
      <c r="AV643">
        <f t="shared" si="557"/>
        <v>1.2377875055143785E-20</v>
      </c>
      <c r="AW643" t="b">
        <f t="shared" si="576"/>
        <v>1</v>
      </c>
      <c r="AX643">
        <f t="shared" si="558"/>
        <v>7.8539816339744828</v>
      </c>
      <c r="AY643">
        <f t="shared" si="559"/>
        <v>-0.42813853322130901</v>
      </c>
      <c r="AZ643">
        <f t="shared" si="560"/>
        <v>-0.23825718912425789</v>
      </c>
      <c r="BA643">
        <f t="shared" si="561"/>
        <v>5.6503607493808589E-2</v>
      </c>
      <c r="BB643">
        <f t="shared" si="562"/>
        <v>-1.2337005501361696E-20</v>
      </c>
      <c r="BD643" s="15">
        <f t="shared" si="577"/>
        <v>7.2440895191227241</v>
      </c>
      <c r="BE643" s="10">
        <f t="shared" si="578"/>
        <v>0</v>
      </c>
      <c r="BF643">
        <f t="shared" si="579"/>
        <v>0</v>
      </c>
      <c r="BG643">
        <f t="shared" si="580"/>
        <v>0</v>
      </c>
      <c r="BH643">
        <f t="shared" si="581"/>
        <v>0</v>
      </c>
      <c r="BI643">
        <f t="shared" si="582"/>
        <v>0</v>
      </c>
    </row>
    <row r="644" spans="1:61" x14ac:dyDescent="0.3">
      <c r="A644">
        <f t="shared" si="587"/>
        <v>0.60699999999999998</v>
      </c>
      <c r="B644">
        <f t="shared" si="530"/>
        <v>1.9069467407290044</v>
      </c>
      <c r="C644">
        <f t="shared" si="531"/>
        <v>1.2346459128607887</v>
      </c>
      <c r="D644">
        <f t="shared" si="532"/>
        <v>1.2346459128607887</v>
      </c>
      <c r="E644">
        <f t="shared" si="537"/>
        <v>0.94403146414104977</v>
      </c>
      <c r="F644">
        <f t="shared" si="538"/>
        <v>0.94403146414104977</v>
      </c>
      <c r="G644">
        <f t="shared" si="533"/>
        <v>1.9069467407290044</v>
      </c>
      <c r="H644">
        <f t="shared" si="534"/>
        <v>0.94403146414104977</v>
      </c>
      <c r="I644">
        <f t="shared" si="535"/>
        <v>0.94403146414104977</v>
      </c>
      <c r="J644">
        <f t="shared" si="583"/>
        <v>6.7436287512601666E+19</v>
      </c>
      <c r="K644">
        <f t="shared" si="584"/>
        <v>6.7436287512601666E+19</v>
      </c>
      <c r="L644">
        <f t="shared" si="539"/>
        <v>1</v>
      </c>
      <c r="M644">
        <f t="shared" si="536"/>
        <v>1.2346459128607887E-20</v>
      </c>
      <c r="N644" s="9">
        <f t="shared" si="585"/>
        <v>1.2346459128607887E-20</v>
      </c>
      <c r="O644">
        <f t="shared" si="586"/>
        <v>1.2346459128607887E-20</v>
      </c>
      <c r="Q644">
        <f t="shared" si="540"/>
        <v>45.657714937325657</v>
      </c>
      <c r="R644">
        <f t="shared" si="541"/>
        <v>0</v>
      </c>
      <c r="S644">
        <f t="shared" si="563"/>
        <v>-45.840917641144387</v>
      </c>
      <c r="T644" s="9" t="e">
        <f t="shared" si="542"/>
        <v>#N/A</v>
      </c>
      <c r="U644">
        <f t="shared" si="564"/>
        <v>-1.0000000000000001E+300</v>
      </c>
      <c r="V644">
        <f t="shared" si="565"/>
        <v>0</v>
      </c>
      <c r="W644">
        <f t="shared" si="566"/>
        <v>0</v>
      </c>
      <c r="X644">
        <f t="shared" si="543"/>
        <v>1.2346459128607887</v>
      </c>
      <c r="Y644">
        <f t="shared" si="544"/>
        <v>7.8539816339744828</v>
      </c>
      <c r="Z644">
        <f t="shared" si="545"/>
        <v>-1.2346459128607887</v>
      </c>
      <c r="AA644">
        <f t="shared" si="567"/>
        <v>-0.43139943451040919</v>
      </c>
      <c r="AB644">
        <f t="shared" si="546"/>
        <v>7.4225821994640739</v>
      </c>
      <c r="AC644">
        <f t="shared" si="568"/>
        <v>-0.24079848655293046</v>
      </c>
      <c r="AD644">
        <f t="shared" si="547"/>
        <v>5.7595782734198693E-2</v>
      </c>
      <c r="AE644" s="9">
        <f t="shared" si="569"/>
        <v>7.2393794956453421</v>
      </c>
      <c r="AF644">
        <f t="shared" si="570"/>
        <v>0</v>
      </c>
      <c r="AH644">
        <f t="shared" si="548"/>
        <v>7.8539816339744828</v>
      </c>
      <c r="AI644">
        <f t="shared" si="549"/>
        <v>-0.43139943451040907</v>
      </c>
      <c r="AJ644">
        <f t="shared" si="550"/>
        <v>-0.24079848655292579</v>
      </c>
      <c r="AK644">
        <f t="shared" si="551"/>
        <v>5.7595782734198693E-2</v>
      </c>
      <c r="AL644" s="9">
        <f t="shared" si="571"/>
        <v>7.2393794956453466</v>
      </c>
      <c r="AM644" t="e">
        <f t="shared" si="552"/>
        <v>#N/A</v>
      </c>
      <c r="AN644" t="e">
        <f t="shared" si="572"/>
        <v>#N/A</v>
      </c>
      <c r="AO644">
        <f t="shared" si="553"/>
        <v>0</v>
      </c>
      <c r="AP644">
        <f t="shared" si="554"/>
        <v>0</v>
      </c>
      <c r="AQ644">
        <f t="shared" si="555"/>
        <v>4.6629367034256575E-15</v>
      </c>
      <c r="AR644">
        <f t="shared" si="573"/>
        <v>0</v>
      </c>
      <c r="AS644">
        <f t="shared" si="556"/>
        <v>0</v>
      </c>
      <c r="AT644">
        <f t="shared" si="574"/>
        <v>0</v>
      </c>
      <c r="AU644">
        <f t="shared" si="575"/>
        <v>0</v>
      </c>
      <c r="AV644">
        <f t="shared" si="557"/>
        <v>1.2346459128607887E-20</v>
      </c>
      <c r="AW644" t="b">
        <f t="shared" si="576"/>
        <v>1</v>
      </c>
      <c r="AX644">
        <f t="shared" si="558"/>
        <v>7.8539816339744828</v>
      </c>
      <c r="AY644">
        <f t="shared" si="559"/>
        <v>-0.4313994345104093</v>
      </c>
      <c r="AZ644">
        <f t="shared" si="560"/>
        <v>-0.24079848655293046</v>
      </c>
      <c r="BA644">
        <f t="shared" si="561"/>
        <v>5.7595782734198693E-2</v>
      </c>
      <c r="BB644">
        <f t="shared" si="562"/>
        <v>-1.2337005501361696E-20</v>
      </c>
      <c r="BD644" s="15">
        <f t="shared" si="577"/>
        <v>7.2393794956453421</v>
      </c>
      <c r="BE644" s="10">
        <f t="shared" si="578"/>
        <v>0</v>
      </c>
      <c r="BF644">
        <f t="shared" si="579"/>
        <v>0</v>
      </c>
      <c r="BG644">
        <f t="shared" si="580"/>
        <v>0</v>
      </c>
      <c r="BH644">
        <f t="shared" si="581"/>
        <v>0</v>
      </c>
      <c r="BI644">
        <f t="shared" si="582"/>
        <v>0</v>
      </c>
    </row>
    <row r="645" spans="1:61" x14ac:dyDescent="0.3">
      <c r="A645">
        <f t="shared" si="587"/>
        <v>0.60799999999999998</v>
      </c>
      <c r="B645">
        <f t="shared" si="530"/>
        <v>1.9100883333825942</v>
      </c>
      <c r="C645">
        <f t="shared" si="531"/>
        <v>1.2315043202071989</v>
      </c>
      <c r="D645">
        <f t="shared" si="532"/>
        <v>1.2315043202071989</v>
      </c>
      <c r="E645">
        <f t="shared" si="537"/>
        <v>0.94299053589286452</v>
      </c>
      <c r="F645">
        <f t="shared" si="538"/>
        <v>0.94299053589286441</v>
      </c>
      <c r="G645">
        <f t="shared" si="533"/>
        <v>1.9100883333825942</v>
      </c>
      <c r="H645">
        <f t="shared" si="534"/>
        <v>0.94299053589286452</v>
      </c>
      <c r="I645">
        <f t="shared" si="535"/>
        <v>0.94299053589286441</v>
      </c>
      <c r="J645">
        <f t="shared" si="583"/>
        <v>6.7510727641057616E+19</v>
      </c>
      <c r="K645">
        <f t="shared" si="584"/>
        <v>6.7510727641057616E+19</v>
      </c>
      <c r="L645">
        <f t="shared" si="539"/>
        <v>1</v>
      </c>
      <c r="M645">
        <f t="shared" si="536"/>
        <v>1.231504320207199E-20</v>
      </c>
      <c r="N645" s="9">
        <f t="shared" si="585"/>
        <v>1.231504320207199E-20</v>
      </c>
      <c r="O645">
        <f t="shared" si="586"/>
        <v>1.231504320207199E-20</v>
      </c>
      <c r="Q645">
        <f t="shared" si="540"/>
        <v>45.658818187159255</v>
      </c>
      <c r="R645">
        <f t="shared" si="541"/>
        <v>0</v>
      </c>
      <c r="S645">
        <f t="shared" si="563"/>
        <v>-45.843465413223186</v>
      </c>
      <c r="T645" s="9" t="e">
        <f t="shared" si="542"/>
        <v>#N/A</v>
      </c>
      <c r="U645">
        <f t="shared" si="564"/>
        <v>-1.0000000000000001E+300</v>
      </c>
      <c r="V645">
        <f t="shared" si="565"/>
        <v>0</v>
      </c>
      <c r="W645">
        <f t="shared" si="566"/>
        <v>0</v>
      </c>
      <c r="X645">
        <f t="shared" si="543"/>
        <v>1.2315043202071989</v>
      </c>
      <c r="Y645">
        <f t="shared" si="544"/>
        <v>7.8539816339744828</v>
      </c>
      <c r="Z645">
        <f t="shared" si="545"/>
        <v>-1.2315043202071989</v>
      </c>
      <c r="AA645">
        <f t="shared" si="567"/>
        <v>-0.43464774176271948</v>
      </c>
      <c r="AB645">
        <f t="shared" si="546"/>
        <v>7.4193338922117631</v>
      </c>
      <c r="AC645">
        <f t="shared" si="568"/>
        <v>-0.24334625863172918</v>
      </c>
      <c r="AD645">
        <f t="shared" si="547"/>
        <v>5.8699032567796718E-2</v>
      </c>
      <c r="AE645" s="9">
        <f t="shared" si="569"/>
        <v>7.2346866661478302</v>
      </c>
      <c r="AF645">
        <f t="shared" si="570"/>
        <v>0</v>
      </c>
      <c r="AH645">
        <f t="shared" si="548"/>
        <v>7.8539816339744828</v>
      </c>
      <c r="AI645">
        <f t="shared" si="549"/>
        <v>-0.43464774176271942</v>
      </c>
      <c r="AJ645">
        <f t="shared" si="550"/>
        <v>-0.24334625863172477</v>
      </c>
      <c r="AK645">
        <f t="shared" si="551"/>
        <v>5.8699032567796718E-2</v>
      </c>
      <c r="AL645" s="9">
        <f t="shared" si="571"/>
        <v>7.2346866661478346</v>
      </c>
      <c r="AM645" t="e">
        <f t="shared" si="552"/>
        <v>#N/A</v>
      </c>
      <c r="AN645" t="e">
        <f t="shared" si="572"/>
        <v>#N/A</v>
      </c>
      <c r="AO645">
        <f t="shared" si="553"/>
        <v>0</v>
      </c>
      <c r="AP645">
        <f t="shared" si="554"/>
        <v>0</v>
      </c>
      <c r="AQ645">
        <f t="shared" si="555"/>
        <v>4.4131365228849972E-15</v>
      </c>
      <c r="AR645">
        <f t="shared" si="573"/>
        <v>0</v>
      </c>
      <c r="AS645">
        <f t="shared" si="556"/>
        <v>0</v>
      </c>
      <c r="AT645">
        <f t="shared" si="574"/>
        <v>0</v>
      </c>
      <c r="AU645">
        <f t="shared" si="575"/>
        <v>0</v>
      </c>
      <c r="AV645">
        <f t="shared" si="557"/>
        <v>1.2315043202071988E-20</v>
      </c>
      <c r="AW645" t="b">
        <f t="shared" si="576"/>
        <v>1</v>
      </c>
      <c r="AX645">
        <f t="shared" si="558"/>
        <v>7.8539816339744828</v>
      </c>
      <c r="AY645">
        <f t="shared" si="559"/>
        <v>-0.43464774176271959</v>
      </c>
      <c r="AZ645">
        <f t="shared" si="560"/>
        <v>-0.24334625863172918</v>
      </c>
      <c r="BA645">
        <f t="shared" si="561"/>
        <v>5.8699032567796836E-2</v>
      </c>
      <c r="BB645">
        <f t="shared" si="562"/>
        <v>-1.2337005501361696E-20</v>
      </c>
      <c r="BD645" s="15">
        <f t="shared" si="577"/>
        <v>7.2346866661478311</v>
      </c>
      <c r="BE645" s="10">
        <f t="shared" si="578"/>
        <v>0</v>
      </c>
      <c r="BF645">
        <f t="shared" si="579"/>
        <v>0</v>
      </c>
      <c r="BG645">
        <f t="shared" si="580"/>
        <v>0</v>
      </c>
      <c r="BH645">
        <f t="shared" si="581"/>
        <v>0</v>
      </c>
      <c r="BI645">
        <f t="shared" si="582"/>
        <v>0</v>
      </c>
    </row>
    <row r="646" spans="1:61" x14ac:dyDescent="0.3">
      <c r="A646">
        <f t="shared" si="587"/>
        <v>0.60899999999999999</v>
      </c>
      <c r="B646">
        <f t="shared" si="530"/>
        <v>1.913229926036184</v>
      </c>
      <c r="C646">
        <f t="shared" si="531"/>
        <v>1.2283627275536091</v>
      </c>
      <c r="D646">
        <f t="shared" si="532"/>
        <v>1.2283627275536091</v>
      </c>
      <c r="E646">
        <f t="shared" si="537"/>
        <v>0.94194030070879065</v>
      </c>
      <c r="F646">
        <f t="shared" si="538"/>
        <v>0.94194030070879065</v>
      </c>
      <c r="G646">
        <f t="shared" si="533"/>
        <v>1.913229926036184</v>
      </c>
      <c r="H646">
        <f t="shared" si="534"/>
        <v>0.94194030070879065</v>
      </c>
      <c r="I646">
        <f t="shared" si="535"/>
        <v>0.94194030070879065</v>
      </c>
      <c r="J646">
        <f t="shared" si="583"/>
        <v>6.7586000077556736E+19</v>
      </c>
      <c r="K646">
        <f t="shared" si="584"/>
        <v>6.7586000077556736E+19</v>
      </c>
      <c r="L646">
        <f t="shared" si="539"/>
        <v>1</v>
      </c>
      <c r="M646">
        <f t="shared" si="536"/>
        <v>1.228362727553609E-20</v>
      </c>
      <c r="N646" s="9">
        <f t="shared" si="585"/>
        <v>1.228362727553609E-20</v>
      </c>
      <c r="O646">
        <f t="shared" si="586"/>
        <v>1.228362727553609E-20</v>
      </c>
      <c r="Q646">
        <f t="shared" si="540"/>
        <v>45.659932536049261</v>
      </c>
      <c r="R646">
        <f t="shared" si="541"/>
        <v>0</v>
      </c>
      <c r="S646">
        <f t="shared" si="563"/>
        <v>-45.846019693028282</v>
      </c>
      <c r="T646" s="9" t="e">
        <f t="shared" si="542"/>
        <v>#N/A</v>
      </c>
      <c r="U646">
        <f t="shared" si="564"/>
        <v>-1.0000000000000001E+300</v>
      </c>
      <c r="V646">
        <f t="shared" si="565"/>
        <v>0</v>
      </c>
      <c r="W646">
        <f t="shared" si="566"/>
        <v>0</v>
      </c>
      <c r="X646">
        <f t="shared" si="543"/>
        <v>1.2283627275536091</v>
      </c>
      <c r="Y646">
        <f t="shared" si="544"/>
        <v>7.8539816339744828</v>
      </c>
      <c r="Z646">
        <f t="shared" si="545"/>
        <v>-1.2283627275536091</v>
      </c>
      <c r="AA646">
        <f t="shared" si="567"/>
        <v>-0.43788349926520354</v>
      </c>
      <c r="AB646">
        <f t="shared" si="546"/>
        <v>7.4160981347092791</v>
      </c>
      <c r="AC646">
        <f t="shared" si="568"/>
        <v>-0.24590053843682594</v>
      </c>
      <c r="AD646">
        <f t="shared" si="547"/>
        <v>5.9813381457803592E-2</v>
      </c>
      <c r="AE646" s="9">
        <f t="shared" si="569"/>
        <v>7.2300109777302568</v>
      </c>
      <c r="AF646">
        <f t="shared" si="570"/>
        <v>0</v>
      </c>
      <c r="AH646">
        <f t="shared" si="548"/>
        <v>7.8539816339744828</v>
      </c>
      <c r="AI646">
        <f t="shared" si="549"/>
        <v>-0.43788349926520342</v>
      </c>
      <c r="AJ646">
        <f t="shared" si="550"/>
        <v>-0.24590053843682114</v>
      </c>
      <c r="AK646">
        <f t="shared" si="551"/>
        <v>5.9813381457803592E-2</v>
      </c>
      <c r="AL646" s="9">
        <f t="shared" si="571"/>
        <v>7.2300109777302612</v>
      </c>
      <c r="AM646" t="e">
        <f t="shared" si="552"/>
        <v>#N/A</v>
      </c>
      <c r="AN646" t="e">
        <f t="shared" si="572"/>
        <v>#N/A</v>
      </c>
      <c r="AO646">
        <f t="shared" si="553"/>
        <v>0</v>
      </c>
      <c r="AP646">
        <f t="shared" si="554"/>
        <v>0</v>
      </c>
      <c r="AQ646">
        <f t="shared" si="555"/>
        <v>4.801714581503802E-15</v>
      </c>
      <c r="AR646">
        <f t="shared" si="573"/>
        <v>0</v>
      </c>
      <c r="AS646">
        <f t="shared" si="556"/>
        <v>0</v>
      </c>
      <c r="AT646">
        <f t="shared" si="574"/>
        <v>0</v>
      </c>
      <c r="AU646">
        <f t="shared" si="575"/>
        <v>0</v>
      </c>
      <c r="AV646">
        <f t="shared" si="557"/>
        <v>1.228362727553609E-20</v>
      </c>
      <c r="AW646" t="b">
        <f t="shared" si="576"/>
        <v>1</v>
      </c>
      <c r="AX646">
        <f t="shared" si="558"/>
        <v>7.8539816339744828</v>
      </c>
      <c r="AY646">
        <f t="shared" si="559"/>
        <v>-0.43788349926520365</v>
      </c>
      <c r="AZ646">
        <f t="shared" si="560"/>
        <v>-0.24590053843682594</v>
      </c>
      <c r="BA646">
        <f t="shared" si="561"/>
        <v>5.9813381457803592E-2</v>
      </c>
      <c r="BB646">
        <f t="shared" si="562"/>
        <v>-1.2337005501361696E-20</v>
      </c>
      <c r="BD646" s="15">
        <f t="shared" si="577"/>
        <v>7.2300109777302568</v>
      </c>
      <c r="BE646" s="10">
        <f t="shared" si="578"/>
        <v>0</v>
      </c>
      <c r="BF646">
        <f t="shared" si="579"/>
        <v>0</v>
      </c>
      <c r="BG646">
        <f t="shared" si="580"/>
        <v>0</v>
      </c>
      <c r="BH646">
        <f t="shared" si="581"/>
        <v>0</v>
      </c>
      <c r="BI646">
        <f t="shared" si="582"/>
        <v>0</v>
      </c>
    </row>
    <row r="647" spans="1:61" x14ac:dyDescent="0.3">
      <c r="A647">
        <f t="shared" si="587"/>
        <v>0.61</v>
      </c>
      <c r="B647">
        <f t="shared" si="530"/>
        <v>1.9163715186897738</v>
      </c>
      <c r="C647">
        <f t="shared" si="531"/>
        <v>1.2252211349000193</v>
      </c>
      <c r="D647">
        <f t="shared" si="532"/>
        <v>1.2252211349000193</v>
      </c>
      <c r="E647">
        <f t="shared" si="537"/>
        <v>0.94088076895422545</v>
      </c>
      <c r="F647">
        <f t="shared" si="538"/>
        <v>0.94088076895422545</v>
      </c>
      <c r="G647">
        <f t="shared" si="533"/>
        <v>1.9163715186897738</v>
      </c>
      <c r="H647">
        <f t="shared" si="534"/>
        <v>0.94088076895422545</v>
      </c>
      <c r="I647">
        <f t="shared" si="535"/>
        <v>0.94088076895422545</v>
      </c>
      <c r="J647">
        <f t="shared" si="583"/>
        <v>6.7662109097540018E+19</v>
      </c>
      <c r="K647">
        <f t="shared" si="584"/>
        <v>6.7662109097540018E+19</v>
      </c>
      <c r="L647">
        <f t="shared" si="539"/>
        <v>1</v>
      </c>
      <c r="M647">
        <f t="shared" si="536"/>
        <v>1.2252211349000194E-20</v>
      </c>
      <c r="N647" s="9">
        <f t="shared" si="585"/>
        <v>1.2252211349000194E-20</v>
      </c>
      <c r="O647">
        <f t="shared" si="586"/>
        <v>1.2252211349000194E-20</v>
      </c>
      <c r="Q647">
        <f t="shared" si="540"/>
        <v>45.661058008759845</v>
      </c>
      <c r="R647">
        <f t="shared" si="541"/>
        <v>0</v>
      </c>
      <c r="S647">
        <f t="shared" si="563"/>
        <v>-45.848580513889956</v>
      </c>
      <c r="T647" s="9" t="e">
        <f t="shared" si="542"/>
        <v>#N/A</v>
      </c>
      <c r="U647">
        <f t="shared" si="564"/>
        <v>-1.0000000000000001E+300</v>
      </c>
      <c r="V647">
        <f t="shared" si="565"/>
        <v>0</v>
      </c>
      <c r="W647">
        <f t="shared" si="566"/>
        <v>0</v>
      </c>
      <c r="X647">
        <f t="shared" si="543"/>
        <v>1.2252211349000193</v>
      </c>
      <c r="Y647">
        <f t="shared" si="544"/>
        <v>7.8539816339744828</v>
      </c>
      <c r="Z647">
        <f t="shared" si="545"/>
        <v>-1.2252211349000193</v>
      </c>
      <c r="AA647">
        <f t="shared" si="567"/>
        <v>-0.44110675100513141</v>
      </c>
      <c r="AB647">
        <f t="shared" si="546"/>
        <v>7.4128748829693514</v>
      </c>
      <c r="AC647">
        <f t="shared" si="568"/>
        <v>-0.24846135929849961</v>
      </c>
      <c r="AD647">
        <f t="shared" si="547"/>
        <v>6.093885416838489E-2</v>
      </c>
      <c r="AE647" s="9">
        <f t="shared" si="569"/>
        <v>7.2253523778392372</v>
      </c>
      <c r="AF647">
        <f t="shared" si="570"/>
        <v>0</v>
      </c>
      <c r="AH647">
        <f t="shared" si="548"/>
        <v>7.8539816339744828</v>
      </c>
      <c r="AI647">
        <f t="shared" si="549"/>
        <v>-0.44110675100513147</v>
      </c>
      <c r="AJ647">
        <f t="shared" si="550"/>
        <v>-0.24846135929849567</v>
      </c>
      <c r="AK647">
        <f t="shared" si="551"/>
        <v>6.093885416838489E-2</v>
      </c>
      <c r="AL647" s="9">
        <f t="shared" si="571"/>
        <v>7.2253523778392408</v>
      </c>
      <c r="AM647" t="e">
        <f t="shared" si="552"/>
        <v>#N/A</v>
      </c>
      <c r="AN647" t="e">
        <f t="shared" si="572"/>
        <v>#N/A</v>
      </c>
      <c r="AO647">
        <f t="shared" si="553"/>
        <v>0</v>
      </c>
      <c r="AP647">
        <f t="shared" si="554"/>
        <v>0</v>
      </c>
      <c r="AQ647">
        <f t="shared" si="555"/>
        <v>3.9412917374193057E-15</v>
      </c>
      <c r="AR647">
        <f t="shared" si="573"/>
        <v>0</v>
      </c>
      <c r="AS647">
        <f t="shared" si="556"/>
        <v>0</v>
      </c>
      <c r="AT647">
        <f t="shared" si="574"/>
        <v>0</v>
      </c>
      <c r="AU647">
        <f t="shared" si="575"/>
        <v>0</v>
      </c>
      <c r="AV647">
        <f t="shared" si="557"/>
        <v>1.2252211349000192E-20</v>
      </c>
      <c r="AW647" t="b">
        <f t="shared" si="576"/>
        <v>1</v>
      </c>
      <c r="AX647">
        <f t="shared" si="558"/>
        <v>7.8539816339744828</v>
      </c>
      <c r="AY647">
        <f t="shared" si="559"/>
        <v>-0.44110675100513147</v>
      </c>
      <c r="AZ647">
        <f t="shared" si="560"/>
        <v>-0.24846135929849961</v>
      </c>
      <c r="BA647">
        <f t="shared" si="561"/>
        <v>6.093885416838489E-2</v>
      </c>
      <c r="BB647">
        <f t="shared" si="562"/>
        <v>-1.2337005501361696E-20</v>
      </c>
      <c r="BD647" s="15">
        <f t="shared" si="577"/>
        <v>7.2253523778392372</v>
      </c>
      <c r="BE647" s="10">
        <f t="shared" si="578"/>
        <v>0</v>
      </c>
      <c r="BF647">
        <f t="shared" si="579"/>
        <v>0</v>
      </c>
      <c r="BG647">
        <f t="shared" si="580"/>
        <v>0</v>
      </c>
      <c r="BH647">
        <f t="shared" si="581"/>
        <v>0</v>
      </c>
      <c r="BI647">
        <f t="shared" si="582"/>
        <v>0</v>
      </c>
    </row>
    <row r="648" spans="1:61" x14ac:dyDescent="0.3">
      <c r="A648">
        <f t="shared" si="587"/>
        <v>0.61099999999999999</v>
      </c>
      <c r="B648">
        <f t="shared" si="530"/>
        <v>1.9195131113433637</v>
      </c>
      <c r="C648">
        <f t="shared" si="531"/>
        <v>1.2220795422464295</v>
      </c>
      <c r="D648">
        <f t="shared" si="532"/>
        <v>1.2220795422464295</v>
      </c>
      <c r="E648">
        <f t="shared" si="537"/>
        <v>0.93981195108631965</v>
      </c>
      <c r="F648">
        <f t="shared" si="538"/>
        <v>0.93981195108631965</v>
      </c>
      <c r="G648">
        <f t="shared" si="533"/>
        <v>1.9195131113433637</v>
      </c>
      <c r="H648">
        <f t="shared" si="534"/>
        <v>0.93981195108631965</v>
      </c>
      <c r="I648">
        <f t="shared" si="535"/>
        <v>0.93981195108631965</v>
      </c>
      <c r="J648">
        <f t="shared" si="583"/>
        <v>6.7739059035344118E+19</v>
      </c>
      <c r="K648">
        <f t="shared" si="584"/>
        <v>6.7739059035344118E+19</v>
      </c>
      <c r="L648">
        <f t="shared" si="539"/>
        <v>1</v>
      </c>
      <c r="M648">
        <f t="shared" si="536"/>
        <v>1.2220795422464294E-20</v>
      </c>
      <c r="N648" s="9">
        <f t="shared" si="585"/>
        <v>1.2220795422464294E-20</v>
      </c>
      <c r="O648">
        <f t="shared" si="586"/>
        <v>1.2220795422464294E-20</v>
      </c>
      <c r="Q648">
        <f t="shared" si="540"/>
        <v>45.662194630358456</v>
      </c>
      <c r="R648">
        <f t="shared" si="541"/>
        <v>0</v>
      </c>
      <c r="S648">
        <f t="shared" si="563"/>
        <v>-45.851147909395202</v>
      </c>
      <c r="T648" s="9" t="e">
        <f t="shared" si="542"/>
        <v>#N/A</v>
      </c>
      <c r="U648">
        <f t="shared" si="564"/>
        <v>-1.0000000000000001E+300</v>
      </c>
      <c r="V648">
        <f t="shared" si="565"/>
        <v>0</v>
      </c>
      <c r="W648">
        <f t="shared" si="566"/>
        <v>0</v>
      </c>
      <c r="X648">
        <f t="shared" si="543"/>
        <v>1.2220795422464295</v>
      </c>
      <c r="Y648">
        <f t="shared" si="544"/>
        <v>7.8539816339744828</v>
      </c>
      <c r="Z648">
        <f t="shared" si="545"/>
        <v>-1.2220795422464295</v>
      </c>
      <c r="AA648">
        <f t="shared" si="567"/>
        <v>-0.44431754067244056</v>
      </c>
      <c r="AB648">
        <f t="shared" si="546"/>
        <v>7.4096640933020419</v>
      </c>
      <c r="AC648">
        <f t="shared" si="568"/>
        <v>-0.25102875480374554</v>
      </c>
      <c r="AD648">
        <f t="shared" si="547"/>
        <v>6.2075475766995299E-2</v>
      </c>
      <c r="AE648" s="9">
        <f t="shared" si="569"/>
        <v>7.220710814265292</v>
      </c>
      <c r="AF648">
        <f t="shared" si="570"/>
        <v>0</v>
      </c>
      <c r="AH648">
        <f t="shared" si="548"/>
        <v>7.8539816339744828</v>
      </c>
      <c r="AI648">
        <f t="shared" si="549"/>
        <v>-0.44431754067244056</v>
      </c>
      <c r="AJ648">
        <f t="shared" si="550"/>
        <v>-0.25102875480374109</v>
      </c>
      <c r="AK648">
        <f t="shared" si="551"/>
        <v>6.2075475766995299E-2</v>
      </c>
      <c r="AL648" s="9">
        <f t="shared" si="571"/>
        <v>7.2207108142652965</v>
      </c>
      <c r="AM648" t="e">
        <f t="shared" si="552"/>
        <v>#N/A</v>
      </c>
      <c r="AN648" t="e">
        <f t="shared" si="572"/>
        <v>#N/A</v>
      </c>
      <c r="AO648">
        <f t="shared" si="553"/>
        <v>0</v>
      </c>
      <c r="AP648">
        <f t="shared" si="554"/>
        <v>0</v>
      </c>
      <c r="AQ648">
        <f t="shared" si="555"/>
        <v>4.4408920985006262E-15</v>
      </c>
      <c r="AR648">
        <f t="shared" si="573"/>
        <v>0</v>
      </c>
      <c r="AS648">
        <f t="shared" si="556"/>
        <v>0</v>
      </c>
      <c r="AT648">
        <f t="shared" si="574"/>
        <v>0</v>
      </c>
      <c r="AU648">
        <f t="shared" si="575"/>
        <v>0</v>
      </c>
      <c r="AV648">
        <f t="shared" si="557"/>
        <v>1.2220795422464294E-20</v>
      </c>
      <c r="AW648" t="b">
        <f t="shared" si="576"/>
        <v>1</v>
      </c>
      <c r="AX648">
        <f t="shared" si="558"/>
        <v>7.8539816339744828</v>
      </c>
      <c r="AY648">
        <f t="shared" si="559"/>
        <v>-0.44431754067244073</v>
      </c>
      <c r="AZ648">
        <f t="shared" si="560"/>
        <v>-0.25102875480374542</v>
      </c>
      <c r="BA648">
        <f t="shared" si="561"/>
        <v>6.2075475766995299E-2</v>
      </c>
      <c r="BB648">
        <f t="shared" si="562"/>
        <v>-1.2337005501361696E-20</v>
      </c>
      <c r="BD648" s="15">
        <f t="shared" si="577"/>
        <v>7.220710814265292</v>
      </c>
      <c r="BE648" s="10">
        <f t="shared" si="578"/>
        <v>0</v>
      </c>
      <c r="BF648">
        <f t="shared" si="579"/>
        <v>0</v>
      </c>
      <c r="BG648">
        <f t="shared" si="580"/>
        <v>0</v>
      </c>
      <c r="BH648">
        <f t="shared" si="581"/>
        <v>0</v>
      </c>
      <c r="BI648">
        <f t="shared" si="582"/>
        <v>0</v>
      </c>
    </row>
    <row r="649" spans="1:61" x14ac:dyDescent="0.3">
      <c r="A649">
        <f t="shared" si="587"/>
        <v>0.61199999999999999</v>
      </c>
      <c r="B649">
        <f t="shared" si="530"/>
        <v>1.9226547039969533</v>
      </c>
      <c r="C649">
        <f t="shared" si="531"/>
        <v>1.2189379495928399</v>
      </c>
      <c r="D649">
        <f t="shared" si="532"/>
        <v>1.2189379495928399</v>
      </c>
      <c r="E649">
        <f t="shared" si="537"/>
        <v>0.93873385765387418</v>
      </c>
      <c r="F649">
        <f t="shared" si="538"/>
        <v>0.93873385765387407</v>
      </c>
      <c r="G649">
        <f t="shared" si="533"/>
        <v>1.9226547039969533</v>
      </c>
      <c r="H649">
        <f t="shared" si="534"/>
        <v>0.93873385765387418</v>
      </c>
      <c r="I649">
        <f t="shared" si="535"/>
        <v>0.93873385765387407</v>
      </c>
      <c r="J649">
        <f t="shared" si="583"/>
        <v>6.78168542848396E+19</v>
      </c>
      <c r="K649">
        <f t="shared" si="584"/>
        <v>6.78168542848396E+19</v>
      </c>
      <c r="L649">
        <f t="shared" si="539"/>
        <v>1</v>
      </c>
      <c r="M649">
        <f t="shared" si="536"/>
        <v>1.2189379495928398E-20</v>
      </c>
      <c r="N649" s="9">
        <f t="shared" si="585"/>
        <v>1.2189379495928398E-20</v>
      </c>
      <c r="O649">
        <f t="shared" si="586"/>
        <v>1.2189379495928398E-20</v>
      </c>
      <c r="Q649">
        <f t="shared" si="540"/>
        <v>45.6633424262182</v>
      </c>
      <c r="R649">
        <f t="shared" si="541"/>
        <v>0</v>
      </c>
      <c r="S649">
        <f t="shared" si="563"/>
        <v>-45.85372191339038</v>
      </c>
      <c r="T649" s="9" t="e">
        <f t="shared" si="542"/>
        <v>#N/A</v>
      </c>
      <c r="U649">
        <f t="shared" si="564"/>
        <v>-1.0000000000000001E+300</v>
      </c>
      <c r="V649">
        <f t="shared" si="565"/>
        <v>0</v>
      </c>
      <c r="W649">
        <f t="shared" si="566"/>
        <v>0</v>
      </c>
      <c r="X649">
        <f t="shared" si="543"/>
        <v>1.2189379495928399</v>
      </c>
      <c r="Y649">
        <f t="shared" si="544"/>
        <v>7.8539816339744828</v>
      </c>
      <c r="Z649">
        <f t="shared" si="545"/>
        <v>-1.2189379495928399</v>
      </c>
      <c r="AA649">
        <f t="shared" si="567"/>
        <v>-0.44751591166207316</v>
      </c>
      <c r="AB649">
        <f t="shared" si="546"/>
        <v>7.4064657223124097</v>
      </c>
      <c r="AC649">
        <f t="shared" si="568"/>
        <v>-0.25360275879891814</v>
      </c>
      <c r="AD649">
        <f t="shared" si="547"/>
        <v>6.3223271626738881E-2</v>
      </c>
      <c r="AE649" s="9">
        <f t="shared" si="569"/>
        <v>7.2160862351402306</v>
      </c>
      <c r="AF649">
        <f t="shared" si="570"/>
        <v>0</v>
      </c>
      <c r="AH649">
        <f t="shared" si="548"/>
        <v>7.8539816339744828</v>
      </c>
      <c r="AI649">
        <f t="shared" si="549"/>
        <v>-0.44751591166207305</v>
      </c>
      <c r="AJ649">
        <f t="shared" si="550"/>
        <v>-0.25360275879891958</v>
      </c>
      <c r="AK649">
        <f t="shared" si="551"/>
        <v>6.3223271626738881E-2</v>
      </c>
      <c r="AL649" s="9">
        <f t="shared" si="571"/>
        <v>7.2160862351402288</v>
      </c>
      <c r="AM649" t="e">
        <f t="shared" si="552"/>
        <v>#N/A</v>
      </c>
      <c r="AN649" t="e">
        <f t="shared" si="572"/>
        <v>#N/A</v>
      </c>
      <c r="AO649">
        <f t="shared" si="553"/>
        <v>0</v>
      </c>
      <c r="AP649">
        <f t="shared" si="554"/>
        <v>0</v>
      </c>
      <c r="AQ649">
        <f t="shared" si="555"/>
        <v>-1.4432899320127035E-15</v>
      </c>
      <c r="AR649">
        <f t="shared" si="573"/>
        <v>0</v>
      </c>
      <c r="AS649">
        <f t="shared" si="556"/>
        <v>0</v>
      </c>
      <c r="AT649">
        <f t="shared" si="574"/>
        <v>0</v>
      </c>
      <c r="AU649">
        <f t="shared" si="575"/>
        <v>0</v>
      </c>
      <c r="AV649">
        <f t="shared" si="557"/>
        <v>1.2189379495928398E-20</v>
      </c>
      <c r="AW649" t="b">
        <f t="shared" si="576"/>
        <v>1</v>
      </c>
      <c r="AX649">
        <f t="shared" si="558"/>
        <v>7.8539816339744828</v>
      </c>
      <c r="AY649">
        <f t="shared" si="559"/>
        <v>-0.44751591166207316</v>
      </c>
      <c r="AZ649">
        <f t="shared" si="560"/>
        <v>-0.25360275879891814</v>
      </c>
      <c r="BA649">
        <f t="shared" si="561"/>
        <v>6.3223271626739005E-2</v>
      </c>
      <c r="BB649">
        <f t="shared" si="562"/>
        <v>-1.2337005501361696E-20</v>
      </c>
      <c r="BD649" s="15">
        <f t="shared" si="577"/>
        <v>7.2160862351402306</v>
      </c>
      <c r="BE649" s="10">
        <f t="shared" si="578"/>
        <v>0</v>
      </c>
      <c r="BF649">
        <f t="shared" si="579"/>
        <v>0</v>
      </c>
      <c r="BG649">
        <f t="shared" si="580"/>
        <v>0</v>
      </c>
      <c r="BH649">
        <f t="shared" si="581"/>
        <v>0</v>
      </c>
      <c r="BI649">
        <f t="shared" si="582"/>
        <v>0</v>
      </c>
    </row>
    <row r="650" spans="1:61" x14ac:dyDescent="0.3">
      <c r="A650">
        <f t="shared" si="587"/>
        <v>0.61299999999999999</v>
      </c>
      <c r="B650">
        <f t="shared" si="530"/>
        <v>1.9257962966505431</v>
      </c>
      <c r="C650">
        <f t="shared" si="531"/>
        <v>1.21579635693925</v>
      </c>
      <c r="D650">
        <f t="shared" si="532"/>
        <v>1.21579635693925</v>
      </c>
      <c r="E650">
        <f t="shared" si="537"/>
        <v>0.93764649929723576</v>
      </c>
      <c r="F650">
        <f t="shared" si="538"/>
        <v>0.93764649929723565</v>
      </c>
      <c r="G650">
        <f t="shared" si="533"/>
        <v>1.9257962966505431</v>
      </c>
      <c r="H650">
        <f t="shared" si="534"/>
        <v>0.93764649929723576</v>
      </c>
      <c r="I650">
        <f t="shared" si="535"/>
        <v>0.93764649929723565</v>
      </c>
      <c r="J650">
        <f t="shared" si="583"/>
        <v>6.7895499300080222E+19</v>
      </c>
      <c r="K650">
        <f t="shared" si="584"/>
        <v>6.7895499300080222E+19</v>
      </c>
      <c r="L650">
        <f t="shared" si="539"/>
        <v>1</v>
      </c>
      <c r="M650">
        <f t="shared" si="536"/>
        <v>1.2157963569392501E-20</v>
      </c>
      <c r="N650" s="9">
        <f t="shared" si="585"/>
        <v>1.2157963569392501E-20</v>
      </c>
      <c r="O650">
        <f t="shared" si="586"/>
        <v>1.2157963569392501E-20</v>
      </c>
      <c r="Q650">
        <f t="shared" si="540"/>
        <v>45.664501422020223</v>
      </c>
      <c r="R650">
        <f t="shared" si="541"/>
        <v>-710542.73576010019</v>
      </c>
      <c r="S650">
        <f t="shared" si="563"/>
        <v>-45.856302559983867</v>
      </c>
      <c r="T650" s="9" t="e">
        <f t="shared" si="542"/>
        <v>#N/A</v>
      </c>
      <c r="U650">
        <f t="shared" si="564"/>
        <v>-1.0000000000000001E+300</v>
      </c>
      <c r="V650">
        <f t="shared" si="565"/>
        <v>0</v>
      </c>
      <c r="W650">
        <f t="shared" si="566"/>
        <v>0</v>
      </c>
      <c r="X650">
        <f t="shared" si="543"/>
        <v>1.21579635693925</v>
      </c>
      <c r="Y650">
        <f t="shared" si="544"/>
        <v>7.8539816339744828</v>
      </c>
      <c r="Z650">
        <f t="shared" si="545"/>
        <v>-1.21579635693925</v>
      </c>
      <c r="AA650">
        <f t="shared" si="567"/>
        <v>-0.45070190707629182</v>
      </c>
      <c r="AB650">
        <f t="shared" si="546"/>
        <v>7.4032797268981909</v>
      </c>
      <c r="AC650">
        <f t="shared" si="568"/>
        <v>-0.25618340539240991</v>
      </c>
      <c r="AD650">
        <f t="shared" si="547"/>
        <v>6.4382267428766307E-2</v>
      </c>
      <c r="AE650" s="9">
        <f t="shared" si="569"/>
        <v>7.2114785889345479</v>
      </c>
      <c r="AF650">
        <f t="shared" si="570"/>
        <v>0</v>
      </c>
      <c r="AH650">
        <f t="shared" si="548"/>
        <v>7.8539816339744828</v>
      </c>
      <c r="AI650">
        <f t="shared" si="549"/>
        <v>-0.45070190707629182</v>
      </c>
      <c r="AJ650">
        <f t="shared" si="550"/>
        <v>-0.25618340539240592</v>
      </c>
      <c r="AK650">
        <f t="shared" si="551"/>
        <v>6.4382267428766307E-2</v>
      </c>
      <c r="AL650" s="9">
        <f t="shared" si="571"/>
        <v>7.2114785889345514</v>
      </c>
      <c r="AM650" t="e">
        <f t="shared" si="552"/>
        <v>#N/A</v>
      </c>
      <c r="AN650" t="e">
        <f t="shared" si="572"/>
        <v>#N/A</v>
      </c>
      <c r="AO650">
        <f t="shared" si="553"/>
        <v>0</v>
      </c>
      <c r="AP650">
        <f t="shared" si="554"/>
        <v>0</v>
      </c>
      <c r="AQ650">
        <f t="shared" si="555"/>
        <v>3.9968028886505635E-15</v>
      </c>
      <c r="AR650">
        <f t="shared" si="573"/>
        <v>0</v>
      </c>
      <c r="AS650">
        <f t="shared" si="556"/>
        <v>0</v>
      </c>
      <c r="AT650">
        <f t="shared" si="574"/>
        <v>0</v>
      </c>
      <c r="AU650">
        <f t="shared" si="575"/>
        <v>0</v>
      </c>
      <c r="AV650">
        <f t="shared" si="557"/>
        <v>1.2157963569392499E-20</v>
      </c>
      <c r="AW650" t="b">
        <f t="shared" si="576"/>
        <v>1</v>
      </c>
      <c r="AX650">
        <f t="shared" si="558"/>
        <v>7.8539816339744828</v>
      </c>
      <c r="AY650">
        <f t="shared" si="559"/>
        <v>-0.45070190707629182</v>
      </c>
      <c r="AZ650">
        <f t="shared" si="560"/>
        <v>-0.25618340539240975</v>
      </c>
      <c r="BA650">
        <f t="shared" si="561"/>
        <v>6.4382267428766432E-2</v>
      </c>
      <c r="BB650">
        <f t="shared" si="562"/>
        <v>-1.2337005501361696E-20</v>
      </c>
      <c r="BD650" s="15">
        <f t="shared" si="577"/>
        <v>7.2114785889345479</v>
      </c>
      <c r="BE650" s="10">
        <f t="shared" si="578"/>
        <v>0</v>
      </c>
      <c r="BF650">
        <f t="shared" si="579"/>
        <v>0</v>
      </c>
      <c r="BG650">
        <f t="shared" si="580"/>
        <v>0</v>
      </c>
      <c r="BH650">
        <f t="shared" si="581"/>
        <v>0</v>
      </c>
      <c r="BI650">
        <f t="shared" si="582"/>
        <v>0</v>
      </c>
    </row>
    <row r="651" spans="1:61" x14ac:dyDescent="0.3">
      <c r="A651">
        <f t="shared" si="587"/>
        <v>0.61399999999999999</v>
      </c>
      <c r="B651">
        <f t="shared" si="530"/>
        <v>1.9289378893041329</v>
      </c>
      <c r="C651">
        <f t="shared" si="531"/>
        <v>1.2126547642856602</v>
      </c>
      <c r="D651">
        <f t="shared" si="532"/>
        <v>1.2126547642856602</v>
      </c>
      <c r="E651">
        <f t="shared" si="537"/>
        <v>0.9365498867481924</v>
      </c>
      <c r="F651">
        <f t="shared" si="538"/>
        <v>0.9365498867481924</v>
      </c>
      <c r="G651">
        <f t="shared" si="533"/>
        <v>1.9289378893041329</v>
      </c>
      <c r="H651">
        <f t="shared" si="534"/>
        <v>0.9365498867481924</v>
      </c>
      <c r="I651">
        <f t="shared" si="535"/>
        <v>0.9365498867481924</v>
      </c>
      <c r="J651">
        <f t="shared" si="583"/>
        <v>6.7974998595963486E+19</v>
      </c>
      <c r="K651">
        <f t="shared" si="584"/>
        <v>6.7974998595963486E+19</v>
      </c>
      <c r="L651">
        <f t="shared" si="539"/>
        <v>1</v>
      </c>
      <c r="M651">
        <f t="shared" si="536"/>
        <v>1.2126547642856601E-20</v>
      </c>
      <c r="N651" s="9">
        <f t="shared" si="585"/>
        <v>1.2126547642856601E-20</v>
      </c>
      <c r="O651">
        <f t="shared" si="586"/>
        <v>1.2126547642856601E-20</v>
      </c>
      <c r="Q651">
        <f t="shared" si="540"/>
        <v>45.66567164375617</v>
      </c>
      <c r="R651">
        <f t="shared" si="541"/>
        <v>0</v>
      </c>
      <c r="S651">
        <f t="shared" si="563"/>
        <v>-45.858889883548819</v>
      </c>
      <c r="T651" s="9" t="e">
        <f t="shared" si="542"/>
        <v>#N/A</v>
      </c>
      <c r="U651">
        <f t="shared" si="564"/>
        <v>-1.0000000000000001E+300</v>
      </c>
      <c r="V651">
        <f t="shared" si="565"/>
        <v>0</v>
      </c>
      <c r="W651">
        <f t="shared" si="566"/>
        <v>0</v>
      </c>
      <c r="X651">
        <f t="shared" si="543"/>
        <v>1.2126547642856602</v>
      </c>
      <c r="Y651">
        <f t="shared" si="544"/>
        <v>7.8539816339744828</v>
      </c>
      <c r="Z651">
        <f t="shared" si="545"/>
        <v>-1.2126547642856602</v>
      </c>
      <c r="AA651">
        <f t="shared" si="567"/>
        <v>-0.45387556972697018</v>
      </c>
      <c r="AB651">
        <f t="shared" si="546"/>
        <v>7.4001060642475123</v>
      </c>
      <c r="AC651">
        <f t="shared" si="568"/>
        <v>-0.25877072895736086</v>
      </c>
      <c r="AD651">
        <f t="shared" si="547"/>
        <v>6.5552489164707989E-2</v>
      </c>
      <c r="AE651" s="9">
        <f t="shared" si="569"/>
        <v>7.2068878244548591</v>
      </c>
      <c r="AF651">
        <f t="shared" si="570"/>
        <v>0</v>
      </c>
      <c r="AH651">
        <f t="shared" si="548"/>
        <v>7.8539816339744828</v>
      </c>
      <c r="AI651">
        <f t="shared" si="549"/>
        <v>-0.45387556972697002</v>
      </c>
      <c r="AJ651">
        <f t="shared" si="550"/>
        <v>-0.25877072895735864</v>
      </c>
      <c r="AK651">
        <f t="shared" si="551"/>
        <v>6.5552489164707989E-2</v>
      </c>
      <c r="AL651" s="9">
        <f t="shared" si="571"/>
        <v>7.2068878244548626</v>
      </c>
      <c r="AM651" t="e">
        <f t="shared" si="552"/>
        <v>#N/A</v>
      </c>
      <c r="AN651" t="e">
        <f t="shared" si="572"/>
        <v>#N/A</v>
      </c>
      <c r="AO651">
        <f t="shared" si="553"/>
        <v>0</v>
      </c>
      <c r="AP651">
        <f t="shared" si="554"/>
        <v>0</v>
      </c>
      <c r="AQ651">
        <f t="shared" si="555"/>
        <v>2.2204460492503131E-15</v>
      </c>
      <c r="AR651">
        <f t="shared" si="573"/>
        <v>0</v>
      </c>
      <c r="AS651">
        <f t="shared" si="556"/>
        <v>0</v>
      </c>
      <c r="AT651">
        <f t="shared" si="574"/>
        <v>0</v>
      </c>
      <c r="AU651">
        <f t="shared" si="575"/>
        <v>0</v>
      </c>
      <c r="AV651">
        <f t="shared" si="557"/>
        <v>1.2126547642856601E-20</v>
      </c>
      <c r="AW651" t="b">
        <f t="shared" si="576"/>
        <v>1</v>
      </c>
      <c r="AX651">
        <f t="shared" si="558"/>
        <v>7.8539816339744828</v>
      </c>
      <c r="AY651">
        <f t="shared" si="559"/>
        <v>-0.45387556972697024</v>
      </c>
      <c r="AZ651">
        <f t="shared" si="560"/>
        <v>-0.25877072895736086</v>
      </c>
      <c r="BA651">
        <f t="shared" si="561"/>
        <v>6.5552489164707989E-2</v>
      </c>
      <c r="BB651">
        <f t="shared" si="562"/>
        <v>-1.2337005501361696E-20</v>
      </c>
      <c r="BD651" s="15">
        <f t="shared" si="577"/>
        <v>7.2068878244548591</v>
      </c>
      <c r="BE651" s="10">
        <f t="shared" si="578"/>
        <v>0</v>
      </c>
      <c r="BF651">
        <f t="shared" si="579"/>
        <v>0</v>
      </c>
      <c r="BG651">
        <f t="shared" si="580"/>
        <v>0</v>
      </c>
      <c r="BH651">
        <f t="shared" si="581"/>
        <v>0</v>
      </c>
      <c r="BI651">
        <f t="shared" si="582"/>
        <v>0</v>
      </c>
    </row>
    <row r="652" spans="1:61" x14ac:dyDescent="0.3">
      <c r="A652">
        <f t="shared" si="587"/>
        <v>0.61499999999999999</v>
      </c>
      <c r="B652">
        <f t="shared" si="530"/>
        <v>1.9320794819577227</v>
      </c>
      <c r="C652">
        <f t="shared" si="531"/>
        <v>1.2095131716320704</v>
      </c>
      <c r="D652">
        <f t="shared" si="532"/>
        <v>1.2095131716320704</v>
      </c>
      <c r="E652">
        <f t="shared" si="537"/>
        <v>0.93544403082986738</v>
      </c>
      <c r="F652">
        <f t="shared" si="538"/>
        <v>0.93544403082986738</v>
      </c>
      <c r="G652">
        <f t="shared" si="533"/>
        <v>1.9320794819577227</v>
      </c>
      <c r="H652">
        <f t="shared" si="534"/>
        <v>0.93544403082986738</v>
      </c>
      <c r="I652">
        <f t="shared" si="535"/>
        <v>0.93544403082986738</v>
      </c>
      <c r="J652">
        <f t="shared" si="583"/>
        <v>6.8055356748902679E+19</v>
      </c>
      <c r="K652">
        <f t="shared" si="584"/>
        <v>6.8055356748902679E+19</v>
      </c>
      <c r="L652">
        <f t="shared" si="539"/>
        <v>0</v>
      </c>
      <c r="M652">
        <f t="shared" si="536"/>
        <v>1.2095131716320705E-20</v>
      </c>
      <c r="N652" s="9">
        <f t="shared" si="585"/>
        <v>0</v>
      </c>
      <c r="O652">
        <f t="shared" si="586"/>
        <v>0</v>
      </c>
      <c r="Q652">
        <f t="shared" si="540"/>
        <v>45.666853117730604</v>
      </c>
      <c r="R652">
        <f t="shared" si="541"/>
        <v>0</v>
      </c>
      <c r="S652">
        <f t="shared" si="563"/>
        <v>-45.861483918725867</v>
      </c>
      <c r="T652" s="9" t="e">
        <f t="shared" si="542"/>
        <v>#N/A</v>
      </c>
      <c r="U652">
        <f t="shared" si="564"/>
        <v>-1.0000000000000001E+300</v>
      </c>
      <c r="V652">
        <f t="shared" si="565"/>
        <v>0</v>
      </c>
      <c r="W652">
        <f t="shared" si="566"/>
        <v>0</v>
      </c>
      <c r="X652">
        <f t="shared" si="543"/>
        <v>1.2095131716320704</v>
      </c>
      <c r="Y652">
        <f t="shared" si="544"/>
        <v>7.8539816339744828</v>
      </c>
      <c r="Z652">
        <f t="shared" si="545"/>
        <v>-1.2095131716320704</v>
      </c>
      <c r="AA652">
        <f t="shared" si="567"/>
        <v>-0.45703694213786344</v>
      </c>
      <c r="AB652">
        <f t="shared" si="546"/>
        <v>7.3969446918366195</v>
      </c>
      <c r="AC652">
        <f t="shared" si="568"/>
        <v>-0.26136476413440751</v>
      </c>
      <c r="AD652">
        <f t="shared" si="547"/>
        <v>6.6733963139145536E-2</v>
      </c>
      <c r="AE652" s="9">
        <f t="shared" si="569"/>
        <v>7.2023138908413573</v>
      </c>
      <c r="AF652">
        <f t="shared" si="570"/>
        <v>0</v>
      </c>
      <c r="AH652">
        <f t="shared" si="548"/>
        <v>7.8539816339744828</v>
      </c>
      <c r="AI652">
        <f t="shared" si="549"/>
        <v>-0.45703694213786328</v>
      </c>
      <c r="AJ652">
        <f t="shared" si="550"/>
        <v>-0.2613647641344059</v>
      </c>
      <c r="AK652">
        <f t="shared" si="551"/>
        <v>6.6733963139145536E-2</v>
      </c>
      <c r="AL652" s="9">
        <f t="shared" si="571"/>
        <v>7.2023138908413591</v>
      </c>
      <c r="AM652" t="e">
        <f t="shared" si="552"/>
        <v>#N/A</v>
      </c>
      <c r="AN652" t="e">
        <f t="shared" si="572"/>
        <v>#N/A</v>
      </c>
      <c r="AO652">
        <f t="shared" si="553"/>
        <v>0</v>
      </c>
      <c r="AP652">
        <f t="shared" si="554"/>
        <v>0</v>
      </c>
      <c r="AQ652">
        <f t="shared" si="555"/>
        <v>1.609823385706477E-15</v>
      </c>
      <c r="AR652">
        <f t="shared" si="573"/>
        <v>0</v>
      </c>
      <c r="AS652">
        <f t="shared" si="556"/>
        <v>0</v>
      </c>
      <c r="AT652">
        <f t="shared" si="574"/>
        <v>0</v>
      </c>
      <c r="AU652">
        <f t="shared" si="575"/>
        <v>0</v>
      </c>
      <c r="AV652">
        <f t="shared" si="557"/>
        <v>1.2095131716320703E-20</v>
      </c>
      <c r="AW652" t="b">
        <f t="shared" si="576"/>
        <v>1</v>
      </c>
      <c r="AX652">
        <f t="shared" si="558"/>
        <v>7.8539816339744828</v>
      </c>
      <c r="AY652">
        <f t="shared" si="559"/>
        <v>-0.4570369421378635</v>
      </c>
      <c r="AZ652">
        <f t="shared" si="560"/>
        <v>-0.26136476413440751</v>
      </c>
      <c r="BA652">
        <f t="shared" si="561"/>
        <v>6.6733963139145536E-2</v>
      </c>
      <c r="BB652">
        <f t="shared" si="562"/>
        <v>-1.2337005501361696E-20</v>
      </c>
      <c r="BD652" s="15">
        <f t="shared" si="577"/>
        <v>7.2023138908413573</v>
      </c>
      <c r="BE652" s="10">
        <f t="shared" si="578"/>
        <v>0</v>
      </c>
      <c r="BF652">
        <f t="shared" si="579"/>
        <v>0</v>
      </c>
      <c r="BG652">
        <f t="shared" si="580"/>
        <v>0</v>
      </c>
      <c r="BH652">
        <f t="shared" si="581"/>
        <v>0</v>
      </c>
      <c r="BI652">
        <f t="shared" si="582"/>
        <v>0</v>
      </c>
    </row>
    <row r="653" spans="1:61" x14ac:dyDescent="0.3">
      <c r="A653">
        <f t="shared" si="587"/>
        <v>0.61599999999999999</v>
      </c>
      <c r="B653">
        <f t="shared" si="530"/>
        <v>1.9352210746113125</v>
      </c>
      <c r="C653">
        <f t="shared" si="531"/>
        <v>1.2063715789784806</v>
      </c>
      <c r="D653">
        <f t="shared" si="532"/>
        <v>1.2063715789784806</v>
      </c>
      <c r="E653">
        <f t="shared" si="537"/>
        <v>0.93432894245661213</v>
      </c>
      <c r="F653">
        <f t="shared" si="538"/>
        <v>0.93432894245661202</v>
      </c>
      <c r="G653">
        <f t="shared" si="533"/>
        <v>1.9352210746113125</v>
      </c>
      <c r="H653">
        <f t="shared" si="534"/>
        <v>0.93432894245661213</v>
      </c>
      <c r="I653">
        <f t="shared" si="535"/>
        <v>0.93432894245661202</v>
      </c>
      <c r="J653">
        <f t="shared" si="583"/>
        <v>6.8136578397510623E+19</v>
      </c>
      <c r="K653">
        <f t="shared" si="584"/>
        <v>6.8136578397510623E+19</v>
      </c>
      <c r="L653" t="e">
        <f t="shared" si="539"/>
        <v>#NUM!</v>
      </c>
      <c r="M653">
        <f t="shared" si="536"/>
        <v>1.2063715789784805E-20</v>
      </c>
      <c r="N653" s="9" t="e">
        <f t="shared" si="585"/>
        <v>#NUM!</v>
      </c>
      <c r="O653" t="e">
        <f t="shared" si="586"/>
        <v>#NUM!</v>
      </c>
      <c r="Q653">
        <f t="shared" si="540"/>
        <v>45.668045870563581</v>
      </c>
      <c r="R653">
        <f t="shared" si="541"/>
        <v>0</v>
      </c>
      <c r="S653">
        <f t="shared" si="563"/>
        <v>-45.864084700425927</v>
      </c>
      <c r="T653" s="9" t="e">
        <f t="shared" si="542"/>
        <v>#N/A</v>
      </c>
      <c r="U653">
        <f t="shared" si="564"/>
        <v>-1.0000000000000001E+300</v>
      </c>
      <c r="V653">
        <f t="shared" si="565"/>
        <v>0</v>
      </c>
      <c r="W653">
        <f t="shared" si="566"/>
        <v>0</v>
      </c>
      <c r="X653">
        <f t="shared" si="543"/>
        <v>1.2063715789784806</v>
      </c>
      <c r="Y653">
        <f t="shared" si="544"/>
        <v>7.8539816339744828</v>
      </c>
      <c r="Z653">
        <f t="shared" si="545"/>
        <v>-1.2063715789784806</v>
      </c>
      <c r="AA653">
        <f t="shared" si="567"/>
        <v>-0.46018606654685479</v>
      </c>
      <c r="AB653">
        <f t="shared" si="546"/>
        <v>7.3937955674276283</v>
      </c>
      <c r="AC653">
        <f t="shared" si="568"/>
        <v>-0.26396554583446485</v>
      </c>
      <c r="AD653">
        <f t="shared" si="547"/>
        <v>6.7926715972121299E-2</v>
      </c>
      <c r="AE653" s="9">
        <f t="shared" si="569"/>
        <v>7.1977567375652853</v>
      </c>
      <c r="AF653">
        <f t="shared" si="570"/>
        <v>0</v>
      </c>
      <c r="AH653">
        <f t="shared" si="548"/>
        <v>7.8539816339744828</v>
      </c>
      <c r="AI653">
        <f t="shared" si="549"/>
        <v>-0.46018606654685468</v>
      </c>
      <c r="AJ653">
        <f t="shared" si="550"/>
        <v>-0.2639655458344663</v>
      </c>
      <c r="AK653">
        <f t="shared" si="551"/>
        <v>6.7926715972121299E-2</v>
      </c>
      <c r="AL653" s="9">
        <f t="shared" si="571"/>
        <v>7.1977567375652836</v>
      </c>
      <c r="AM653" t="e">
        <f t="shared" si="552"/>
        <v>#N/A</v>
      </c>
      <c r="AN653" t="e">
        <f t="shared" si="572"/>
        <v>#N/A</v>
      </c>
      <c r="AO653">
        <f t="shared" si="553"/>
        <v>0</v>
      </c>
      <c r="AP653">
        <f t="shared" si="554"/>
        <v>0</v>
      </c>
      <c r="AQ653">
        <f t="shared" si="555"/>
        <v>-1.4432899320127035E-15</v>
      </c>
      <c r="AR653">
        <f t="shared" si="573"/>
        <v>0</v>
      </c>
      <c r="AS653">
        <f t="shared" si="556"/>
        <v>0</v>
      </c>
      <c r="AT653">
        <f t="shared" si="574"/>
        <v>0</v>
      </c>
      <c r="AU653">
        <f t="shared" si="575"/>
        <v>0</v>
      </c>
      <c r="AV653">
        <f t="shared" si="557"/>
        <v>1.2063715789784805E-20</v>
      </c>
      <c r="AW653" t="b">
        <f t="shared" si="576"/>
        <v>1</v>
      </c>
      <c r="AX653">
        <f t="shared" si="558"/>
        <v>7.8539816339744828</v>
      </c>
      <c r="AY653">
        <f t="shared" si="559"/>
        <v>-0.46018606654685484</v>
      </c>
      <c r="AZ653">
        <f t="shared" si="560"/>
        <v>-0.26396554583446485</v>
      </c>
      <c r="BA653">
        <f t="shared" si="561"/>
        <v>6.7926715972121424E-2</v>
      </c>
      <c r="BB653">
        <f t="shared" si="562"/>
        <v>-1.2337005501361696E-20</v>
      </c>
      <c r="BD653" s="15">
        <f t="shared" si="577"/>
        <v>7.1977567375652853</v>
      </c>
      <c r="BE653" s="10">
        <f t="shared" si="578"/>
        <v>0</v>
      </c>
      <c r="BF653">
        <f t="shared" si="579"/>
        <v>0</v>
      </c>
      <c r="BG653">
        <f t="shared" si="580"/>
        <v>0</v>
      </c>
      <c r="BH653">
        <f t="shared" si="581"/>
        <v>0</v>
      </c>
      <c r="BI653">
        <f t="shared" si="582"/>
        <v>0</v>
      </c>
    </row>
    <row r="654" spans="1:61" x14ac:dyDescent="0.3">
      <c r="A654">
        <f t="shared" si="587"/>
        <v>0.61699999999999999</v>
      </c>
      <c r="B654">
        <f t="shared" si="530"/>
        <v>1.9383626672649024</v>
      </c>
      <c r="C654">
        <f t="shared" si="531"/>
        <v>1.2032299863248908</v>
      </c>
      <c r="D654">
        <f t="shared" si="532"/>
        <v>1.2032299863248908</v>
      </c>
      <c r="E654">
        <f t="shared" si="537"/>
        <v>0.93320463263389863</v>
      </c>
      <c r="F654">
        <f t="shared" si="538"/>
        <v>0.93320463263389852</v>
      </c>
      <c r="G654">
        <f t="shared" si="533"/>
        <v>1.9383626672649024</v>
      </c>
      <c r="H654">
        <f t="shared" si="534"/>
        <v>0.93320463263389863</v>
      </c>
      <c r="I654">
        <f t="shared" si="535"/>
        <v>0.93320463263389852</v>
      </c>
      <c r="J654">
        <f t="shared" si="583"/>
        <v>6.821866824329524E+19</v>
      </c>
      <c r="K654">
        <f t="shared" si="584"/>
        <v>6.821866824329524E+19</v>
      </c>
      <c r="L654">
        <f t="shared" si="539"/>
        <v>1</v>
      </c>
      <c r="M654">
        <f t="shared" si="536"/>
        <v>1.2032299863248909E-20</v>
      </c>
      <c r="N654" s="9">
        <f t="shared" si="585"/>
        <v>1.2032299863248909E-20</v>
      </c>
      <c r="O654">
        <f t="shared" si="586"/>
        <v>1.2032299863248909E-20</v>
      </c>
      <c r="Q654">
        <f t="shared" si="540"/>
        <v>45.669249929193143</v>
      </c>
      <c r="R654">
        <f t="shared" si="541"/>
        <v>-710542.73576010019</v>
      </c>
      <c r="S654">
        <f t="shared" si="563"/>
        <v>-45.866692263833002</v>
      </c>
      <c r="T654" s="9" t="e">
        <f t="shared" si="542"/>
        <v>#N/A</v>
      </c>
      <c r="U654">
        <f t="shared" si="564"/>
        <v>-1.0000000000000001E+300</v>
      </c>
      <c r="V654">
        <f t="shared" si="565"/>
        <v>0</v>
      </c>
      <c r="W654">
        <f t="shared" si="566"/>
        <v>0</v>
      </c>
      <c r="X654">
        <f t="shared" si="543"/>
        <v>1.2032299863248908</v>
      </c>
      <c r="Y654">
        <f t="shared" si="544"/>
        <v>7.8539816339744828</v>
      </c>
      <c r="Z654">
        <f t="shared" si="545"/>
        <v>-1.2032299863248908</v>
      </c>
      <c r="AA654">
        <f t="shared" si="567"/>
        <v>-0.46332298490818091</v>
      </c>
      <c r="AB654">
        <f t="shared" si="546"/>
        <v>7.3906586490663022</v>
      </c>
      <c r="AC654">
        <f t="shared" si="568"/>
        <v>-0.26657310924154576</v>
      </c>
      <c r="AD654">
        <f t="shared" si="547"/>
        <v>6.9130774601686082E-2</v>
      </c>
      <c r="AE654" s="9">
        <f t="shared" si="569"/>
        <v>7.1932163144264427</v>
      </c>
      <c r="AF654">
        <f t="shared" si="570"/>
        <v>0</v>
      </c>
      <c r="AH654">
        <f t="shared" si="548"/>
        <v>7.8539816339744828</v>
      </c>
      <c r="AI654">
        <f t="shared" si="549"/>
        <v>-0.4633229849081808</v>
      </c>
      <c r="AJ654">
        <f t="shared" si="550"/>
        <v>-0.26657310924154132</v>
      </c>
      <c r="AK654">
        <f t="shared" si="551"/>
        <v>6.9130774601686082E-2</v>
      </c>
      <c r="AL654" s="9">
        <f t="shared" si="571"/>
        <v>7.1932163144264472</v>
      </c>
      <c r="AM654" t="e">
        <f t="shared" si="552"/>
        <v>#N/A</v>
      </c>
      <c r="AN654" t="e">
        <f t="shared" si="572"/>
        <v>#N/A</v>
      </c>
      <c r="AO654">
        <f t="shared" si="553"/>
        <v>0</v>
      </c>
      <c r="AP654">
        <f t="shared" si="554"/>
        <v>0</v>
      </c>
      <c r="AQ654">
        <f t="shared" si="555"/>
        <v>4.4408920985006262E-15</v>
      </c>
      <c r="AR654">
        <f t="shared" si="573"/>
        <v>0</v>
      </c>
      <c r="AS654">
        <f t="shared" si="556"/>
        <v>0</v>
      </c>
      <c r="AT654">
        <f t="shared" si="574"/>
        <v>0</v>
      </c>
      <c r="AU654">
        <f t="shared" si="575"/>
        <v>0</v>
      </c>
      <c r="AV654">
        <f t="shared" si="557"/>
        <v>1.2032299863248907E-20</v>
      </c>
      <c r="AW654" t="b">
        <f t="shared" si="576"/>
        <v>1</v>
      </c>
      <c r="AX654">
        <f t="shared" si="558"/>
        <v>7.8539816339744828</v>
      </c>
      <c r="AY654">
        <f t="shared" si="559"/>
        <v>-0.46332298490818102</v>
      </c>
      <c r="AZ654">
        <f t="shared" si="560"/>
        <v>-0.26657310924154576</v>
      </c>
      <c r="BA654">
        <f t="shared" si="561"/>
        <v>6.9130774601686193E-2</v>
      </c>
      <c r="BB654">
        <f t="shared" si="562"/>
        <v>-1.2337005501361696E-20</v>
      </c>
      <c r="BD654" s="15">
        <f t="shared" si="577"/>
        <v>7.1932163144264418</v>
      </c>
      <c r="BE654" s="10">
        <f t="shared" si="578"/>
        <v>0</v>
      </c>
      <c r="BF654">
        <f t="shared" si="579"/>
        <v>0</v>
      </c>
      <c r="BG654">
        <f t="shared" si="580"/>
        <v>0</v>
      </c>
      <c r="BH654">
        <f t="shared" si="581"/>
        <v>0</v>
      </c>
      <c r="BI654">
        <f t="shared" si="582"/>
        <v>0</v>
      </c>
    </row>
    <row r="655" spans="1:61" x14ac:dyDescent="0.3">
      <c r="A655">
        <f t="shared" si="587"/>
        <v>0.61799999999999999</v>
      </c>
      <c r="B655">
        <f t="shared" si="530"/>
        <v>1.9415042599184922</v>
      </c>
      <c r="C655">
        <f t="shared" si="531"/>
        <v>1.2000883936713009</v>
      </c>
      <c r="D655">
        <f t="shared" si="532"/>
        <v>1.2000883936713009</v>
      </c>
      <c r="E655">
        <f t="shared" si="537"/>
        <v>0.93207111245821095</v>
      </c>
      <c r="F655">
        <f t="shared" si="538"/>
        <v>0.93207111245821095</v>
      </c>
      <c r="G655">
        <f t="shared" si="533"/>
        <v>1.9415042599184922</v>
      </c>
      <c r="H655">
        <f t="shared" si="534"/>
        <v>0.93207111245821095</v>
      </c>
      <c r="I655">
        <f t="shared" si="535"/>
        <v>0.93207111245821095</v>
      </c>
      <c r="J655">
        <f t="shared" si="583"/>
        <v>6.8301631051367236E+19</v>
      </c>
      <c r="K655">
        <f t="shared" si="584"/>
        <v>6.8301631051367236E+19</v>
      </c>
      <c r="L655">
        <f t="shared" si="539"/>
        <v>1</v>
      </c>
      <c r="M655">
        <f t="shared" si="536"/>
        <v>1.2000883936713009E-20</v>
      </c>
      <c r="N655" s="9">
        <f t="shared" si="585"/>
        <v>1.2000883936713009E-20</v>
      </c>
      <c r="O655">
        <f t="shared" si="586"/>
        <v>1.2000883936713009E-20</v>
      </c>
      <c r="Q655">
        <f t="shared" si="540"/>
        <v>45.670465320877945</v>
      </c>
      <c r="R655">
        <f t="shared" si="541"/>
        <v>0</v>
      </c>
      <c r="S655">
        <f t="shared" si="563"/>
        <v>-45.869306644407075</v>
      </c>
      <c r="T655" s="9" t="e">
        <f t="shared" si="542"/>
        <v>#N/A</v>
      </c>
      <c r="U655">
        <f t="shared" si="564"/>
        <v>-1.0000000000000001E+300</v>
      </c>
      <c r="V655">
        <f t="shared" si="565"/>
        <v>0</v>
      </c>
      <c r="W655">
        <f t="shared" si="566"/>
        <v>0</v>
      </c>
      <c r="X655">
        <f t="shared" si="543"/>
        <v>1.2000883936713009</v>
      </c>
      <c r="Y655">
        <f t="shared" si="544"/>
        <v>7.8539816339744828</v>
      </c>
      <c r="Z655">
        <f t="shared" si="545"/>
        <v>-1.2000883936713009</v>
      </c>
      <c r="AA655">
        <f t="shared" si="567"/>
        <v>-0.4664477388946352</v>
      </c>
      <c r="AB655">
        <f t="shared" si="546"/>
        <v>7.3875338950798479</v>
      </c>
      <c r="AC655">
        <f t="shared" si="568"/>
        <v>-0.26918748981561652</v>
      </c>
      <c r="AD655">
        <f t="shared" si="547"/>
        <v>7.0346166286485864E-2</v>
      </c>
      <c r="AE655" s="9">
        <f t="shared" si="569"/>
        <v>7.1886925715507175</v>
      </c>
      <c r="AF655">
        <f t="shared" si="570"/>
        <v>0</v>
      </c>
      <c r="AH655">
        <f t="shared" si="548"/>
        <v>7.8539816339744828</v>
      </c>
      <c r="AI655">
        <f t="shared" si="549"/>
        <v>-0.46644773889463514</v>
      </c>
      <c r="AJ655">
        <f t="shared" si="550"/>
        <v>-0.26918748981561436</v>
      </c>
      <c r="AK655">
        <f t="shared" si="551"/>
        <v>7.0346166286485864E-2</v>
      </c>
      <c r="AL655" s="9">
        <f t="shared" si="571"/>
        <v>7.1886925715507193</v>
      </c>
      <c r="AM655" t="e">
        <f t="shared" si="552"/>
        <v>#N/A</v>
      </c>
      <c r="AN655" t="e">
        <f t="shared" si="572"/>
        <v>#N/A</v>
      </c>
      <c r="AO655">
        <f t="shared" si="553"/>
        <v>0</v>
      </c>
      <c r="AP655">
        <f t="shared" si="554"/>
        <v>0</v>
      </c>
      <c r="AQ655">
        <f t="shared" si="555"/>
        <v>2.1649348980190553E-15</v>
      </c>
      <c r="AR655">
        <f t="shared" si="573"/>
        <v>0</v>
      </c>
      <c r="AS655">
        <f t="shared" si="556"/>
        <v>0</v>
      </c>
      <c r="AT655">
        <f t="shared" si="574"/>
        <v>0</v>
      </c>
      <c r="AU655">
        <f t="shared" si="575"/>
        <v>0</v>
      </c>
      <c r="AV655">
        <f t="shared" si="557"/>
        <v>1.2000883936713009E-20</v>
      </c>
      <c r="AW655" t="b">
        <f t="shared" si="576"/>
        <v>1</v>
      </c>
      <c r="AX655">
        <f t="shared" si="558"/>
        <v>7.8539816339744828</v>
      </c>
      <c r="AY655">
        <f t="shared" si="559"/>
        <v>-0.46644773889463537</v>
      </c>
      <c r="AZ655">
        <f t="shared" si="560"/>
        <v>-0.26918748981561652</v>
      </c>
      <c r="BA655">
        <f t="shared" si="561"/>
        <v>7.0346166286485864E-2</v>
      </c>
      <c r="BB655">
        <f t="shared" si="562"/>
        <v>-1.2337005501361696E-20</v>
      </c>
      <c r="BD655" s="15">
        <f t="shared" si="577"/>
        <v>7.1886925715507166</v>
      </c>
      <c r="BE655" s="10">
        <f t="shared" si="578"/>
        <v>0</v>
      </c>
      <c r="BF655">
        <f t="shared" si="579"/>
        <v>0</v>
      </c>
      <c r="BG655">
        <f t="shared" si="580"/>
        <v>0</v>
      </c>
      <c r="BH655">
        <f t="shared" si="581"/>
        <v>0</v>
      </c>
      <c r="BI655">
        <f t="shared" si="582"/>
        <v>0</v>
      </c>
    </row>
    <row r="656" spans="1:61" x14ac:dyDescent="0.3">
      <c r="A656">
        <f t="shared" si="587"/>
        <v>0.61899999999999999</v>
      </c>
      <c r="B656">
        <f t="shared" si="530"/>
        <v>1.944645852572082</v>
      </c>
      <c r="C656">
        <f t="shared" si="531"/>
        <v>1.1969468010177111</v>
      </c>
      <c r="D656">
        <f t="shared" si="532"/>
        <v>1.1969468010177111</v>
      </c>
      <c r="E656">
        <f t="shared" si="537"/>
        <v>0.93092839311693576</v>
      </c>
      <c r="F656">
        <f t="shared" si="538"/>
        <v>0.93092839311693565</v>
      </c>
      <c r="G656">
        <f t="shared" si="533"/>
        <v>1.944645852572082</v>
      </c>
      <c r="H656">
        <f t="shared" si="534"/>
        <v>0.93092839311693576</v>
      </c>
      <c r="I656">
        <f t="shared" si="535"/>
        <v>0.93092839311693565</v>
      </c>
      <c r="J656">
        <f t="shared" si="583"/>
        <v>6.8385471651159998E+19</v>
      </c>
      <c r="K656">
        <f t="shared" si="584"/>
        <v>6.8385471651159998E+19</v>
      </c>
      <c r="L656">
        <f t="shared" si="539"/>
        <v>1</v>
      </c>
      <c r="M656">
        <f t="shared" si="536"/>
        <v>1.1969468010177109E-20</v>
      </c>
      <c r="N656" s="9">
        <f t="shared" si="585"/>
        <v>1.1969468010177109E-20</v>
      </c>
      <c r="O656">
        <f t="shared" si="586"/>
        <v>1.1969468010177109E-20</v>
      </c>
      <c r="Q656">
        <f t="shared" si="540"/>
        <v>45.67169207319985</v>
      </c>
      <c r="R656">
        <f t="shared" si="541"/>
        <v>0</v>
      </c>
      <c r="S656">
        <f t="shared" si="563"/>
        <v>-45.871927877886947</v>
      </c>
      <c r="T656" s="9" t="e">
        <f t="shared" si="542"/>
        <v>#N/A</v>
      </c>
      <c r="U656">
        <f t="shared" si="564"/>
        <v>-1.0000000000000001E+300</v>
      </c>
      <c r="V656">
        <f t="shared" si="565"/>
        <v>0</v>
      </c>
      <c r="W656">
        <f t="shared" si="566"/>
        <v>0</v>
      </c>
      <c r="X656">
        <f t="shared" si="543"/>
        <v>1.1969468010177111</v>
      </c>
      <c r="Y656">
        <f t="shared" si="544"/>
        <v>7.8539816339744828</v>
      </c>
      <c r="Z656">
        <f t="shared" si="545"/>
        <v>-1.1969468010177111</v>
      </c>
      <c r="AA656">
        <f t="shared" si="567"/>
        <v>-0.46956036989974964</v>
      </c>
      <c r="AB656">
        <f t="shared" si="546"/>
        <v>7.3844212640747333</v>
      </c>
      <c r="AC656">
        <f t="shared" si="568"/>
        <v>-0.27180872329549077</v>
      </c>
      <c r="AD656">
        <f t="shared" si="547"/>
        <v>7.1572918608388339E-2</v>
      </c>
      <c r="AE656" s="9">
        <f t="shared" si="569"/>
        <v>7.1841854593876304</v>
      </c>
      <c r="AF656">
        <f t="shared" si="570"/>
        <v>0</v>
      </c>
      <c r="AH656">
        <f t="shared" si="548"/>
        <v>7.8539816339744828</v>
      </c>
      <c r="AI656">
        <f t="shared" si="549"/>
        <v>-0.46956036989974953</v>
      </c>
      <c r="AJ656">
        <f t="shared" si="550"/>
        <v>-0.27180872329548578</v>
      </c>
      <c r="AK656">
        <f t="shared" si="551"/>
        <v>7.1572918608388339E-2</v>
      </c>
      <c r="AL656" s="9">
        <f t="shared" si="571"/>
        <v>7.1841854593876358</v>
      </c>
      <c r="AM656" t="e">
        <f t="shared" si="552"/>
        <v>#N/A</v>
      </c>
      <c r="AN656" t="e">
        <f t="shared" si="572"/>
        <v>#N/A</v>
      </c>
      <c r="AO656">
        <f t="shared" si="553"/>
        <v>0</v>
      </c>
      <c r="AP656">
        <f t="shared" si="554"/>
        <v>0</v>
      </c>
      <c r="AQ656">
        <f t="shared" si="555"/>
        <v>4.9960036108132044E-15</v>
      </c>
      <c r="AR656">
        <f t="shared" si="573"/>
        <v>0</v>
      </c>
      <c r="AS656">
        <f t="shared" si="556"/>
        <v>0</v>
      </c>
      <c r="AT656">
        <f t="shared" si="574"/>
        <v>0</v>
      </c>
      <c r="AU656">
        <f t="shared" si="575"/>
        <v>0</v>
      </c>
      <c r="AV656">
        <f t="shared" si="557"/>
        <v>1.1969468010177111E-20</v>
      </c>
      <c r="AW656" t="b">
        <f t="shared" si="576"/>
        <v>1</v>
      </c>
      <c r="AX656">
        <f t="shared" si="558"/>
        <v>7.8539816339744828</v>
      </c>
      <c r="AY656">
        <f t="shared" si="559"/>
        <v>-0.46956036989974975</v>
      </c>
      <c r="AZ656">
        <f t="shared" si="560"/>
        <v>-0.27180872329549077</v>
      </c>
      <c r="BA656">
        <f t="shared" si="561"/>
        <v>7.1572918608388464E-2</v>
      </c>
      <c r="BB656">
        <f t="shared" si="562"/>
        <v>-1.2337005501361696E-20</v>
      </c>
      <c r="BD656" s="15">
        <f t="shared" si="577"/>
        <v>7.1841854593876304</v>
      </c>
      <c r="BE656" s="10">
        <f t="shared" si="578"/>
        <v>0</v>
      </c>
      <c r="BF656">
        <f t="shared" si="579"/>
        <v>0</v>
      </c>
      <c r="BG656">
        <f t="shared" si="580"/>
        <v>0</v>
      </c>
      <c r="BH656">
        <f t="shared" si="581"/>
        <v>0</v>
      </c>
      <c r="BI656">
        <f t="shared" si="582"/>
        <v>0</v>
      </c>
    </row>
    <row r="657" spans="1:61" x14ac:dyDescent="0.3">
      <c r="A657">
        <f t="shared" si="587"/>
        <v>0.62</v>
      </c>
      <c r="B657">
        <f t="shared" si="530"/>
        <v>1.9477874452256718</v>
      </c>
      <c r="C657">
        <f t="shared" si="531"/>
        <v>1.1938052083641213</v>
      </c>
      <c r="D657">
        <f t="shared" si="532"/>
        <v>1.1938052083641213</v>
      </c>
      <c r="E657">
        <f t="shared" si="537"/>
        <v>0.92977648588825135</v>
      </c>
      <c r="F657">
        <f t="shared" si="538"/>
        <v>0.92977648588825135</v>
      </c>
      <c r="G657">
        <f t="shared" si="533"/>
        <v>1.9477874452256718</v>
      </c>
      <c r="H657">
        <f t="shared" si="534"/>
        <v>0.92977648588825135</v>
      </c>
      <c r="I657">
        <f t="shared" si="535"/>
        <v>0.92977648588825135</v>
      </c>
      <c r="J657">
        <f t="shared" si="583"/>
        <v>6.8470194937162129E+19</v>
      </c>
      <c r="K657">
        <f t="shared" si="584"/>
        <v>6.8470194937162129E+19</v>
      </c>
      <c r="L657">
        <f t="shared" si="539"/>
        <v>1</v>
      </c>
      <c r="M657">
        <f t="shared" si="536"/>
        <v>1.1938052083641213E-20</v>
      </c>
      <c r="N657" s="9">
        <f t="shared" si="585"/>
        <v>1.1938052083641213E-20</v>
      </c>
      <c r="O657">
        <f t="shared" si="586"/>
        <v>1.1938052083641213E-20</v>
      </c>
      <c r="Q657">
        <f t="shared" si="540"/>
        <v>45.672930214066611</v>
      </c>
      <c r="R657">
        <f t="shared" si="541"/>
        <v>0</v>
      </c>
      <c r="S657">
        <f t="shared" si="563"/>
        <v>-45.874556000293218</v>
      </c>
      <c r="T657" s="9" t="e">
        <f t="shared" si="542"/>
        <v>#N/A</v>
      </c>
      <c r="U657">
        <f t="shared" si="564"/>
        <v>-1.0000000000000001E+300</v>
      </c>
      <c r="V657">
        <f t="shared" si="565"/>
        <v>0</v>
      </c>
      <c r="W657">
        <f t="shared" si="566"/>
        <v>0</v>
      </c>
      <c r="X657">
        <f t="shared" si="543"/>
        <v>1.1938052083641213</v>
      </c>
      <c r="Y657">
        <f t="shared" si="544"/>
        <v>7.8539816339744828</v>
      </c>
      <c r="Z657">
        <f t="shared" si="545"/>
        <v>-1.1938052083641213</v>
      </c>
      <c r="AA657">
        <f t="shared" si="567"/>
        <v>-0.47266091903995539</v>
      </c>
      <c r="AB657">
        <f t="shared" si="546"/>
        <v>7.3813207149345272</v>
      </c>
      <c r="AC657">
        <f t="shared" si="568"/>
        <v>-0.27443684570176041</v>
      </c>
      <c r="AD657">
        <f t="shared" si="547"/>
        <v>7.2811059475150333E-2</v>
      </c>
      <c r="AE657" s="9">
        <f t="shared" si="569"/>
        <v>7.1796949287079173</v>
      </c>
      <c r="AF657">
        <f t="shared" si="570"/>
        <v>0</v>
      </c>
      <c r="AH657">
        <f t="shared" si="548"/>
        <v>7.8539816339744828</v>
      </c>
      <c r="AI657">
        <f t="shared" si="549"/>
        <v>-0.47266091903995516</v>
      </c>
      <c r="AJ657">
        <f t="shared" si="550"/>
        <v>-0.27443684570175719</v>
      </c>
      <c r="AK657">
        <f t="shared" si="551"/>
        <v>7.2811059475150333E-2</v>
      </c>
      <c r="AL657" s="9">
        <f t="shared" si="571"/>
        <v>7.1796949287079208</v>
      </c>
      <c r="AM657" t="e">
        <f t="shared" si="552"/>
        <v>#N/A</v>
      </c>
      <c r="AN657" t="e">
        <f t="shared" si="572"/>
        <v>#N/A</v>
      </c>
      <c r="AO657">
        <f t="shared" si="553"/>
        <v>0</v>
      </c>
      <c r="AP657">
        <f t="shared" si="554"/>
        <v>0</v>
      </c>
      <c r="AQ657">
        <f t="shared" si="555"/>
        <v>3.219646771412954E-15</v>
      </c>
      <c r="AR657">
        <f t="shared" si="573"/>
        <v>0</v>
      </c>
      <c r="AS657">
        <f t="shared" si="556"/>
        <v>0</v>
      </c>
      <c r="AT657">
        <f t="shared" si="574"/>
        <v>0</v>
      </c>
      <c r="AU657">
        <f t="shared" si="575"/>
        <v>0</v>
      </c>
      <c r="AV657">
        <f t="shared" si="557"/>
        <v>1.1938052083641213E-20</v>
      </c>
      <c r="AW657" t="b">
        <f t="shared" si="576"/>
        <v>1</v>
      </c>
      <c r="AX657">
        <f t="shared" si="558"/>
        <v>7.8539816339744828</v>
      </c>
      <c r="AY657">
        <f t="shared" si="559"/>
        <v>-0.4726609190399555</v>
      </c>
      <c r="AZ657">
        <f t="shared" si="560"/>
        <v>-0.2744368457017603</v>
      </c>
      <c r="BA657">
        <f t="shared" si="561"/>
        <v>7.2811059475150333E-2</v>
      </c>
      <c r="BB657">
        <f t="shared" si="562"/>
        <v>-1.2337005501361696E-20</v>
      </c>
      <c r="BD657" s="15">
        <f t="shared" si="577"/>
        <v>7.1796949287079181</v>
      </c>
      <c r="BE657" s="10">
        <f t="shared" si="578"/>
        <v>0</v>
      </c>
      <c r="BF657">
        <f t="shared" si="579"/>
        <v>0</v>
      </c>
      <c r="BG657">
        <f t="shared" si="580"/>
        <v>0</v>
      </c>
      <c r="BH657">
        <f t="shared" si="581"/>
        <v>0</v>
      </c>
      <c r="BI657">
        <f t="shared" si="582"/>
        <v>0</v>
      </c>
    </row>
    <row r="658" spans="1:61" x14ac:dyDescent="0.3">
      <c r="A658">
        <f t="shared" si="587"/>
        <v>0.621</v>
      </c>
      <c r="B658">
        <f t="shared" si="530"/>
        <v>1.9509290378792614</v>
      </c>
      <c r="C658">
        <f t="shared" si="531"/>
        <v>1.1906636157105317</v>
      </c>
      <c r="D658">
        <f t="shared" si="532"/>
        <v>1.1906636157105317</v>
      </c>
      <c r="E658">
        <f t="shared" si="537"/>
        <v>0.92861540214101734</v>
      </c>
      <c r="F658">
        <f t="shared" si="538"/>
        <v>0.92861540214101734</v>
      </c>
      <c r="G658">
        <f t="shared" si="533"/>
        <v>1.9509290378792614</v>
      </c>
      <c r="H658">
        <f t="shared" si="534"/>
        <v>0.92861540214101734</v>
      </c>
      <c r="I658">
        <f t="shared" si="535"/>
        <v>0.92861540214101734</v>
      </c>
      <c r="J658">
        <f t="shared" si="583"/>
        <v>6.8555805869662478E+19</v>
      </c>
      <c r="K658">
        <f t="shared" si="584"/>
        <v>6.8555805869662478E+19</v>
      </c>
      <c r="L658">
        <f t="shared" si="539"/>
        <v>1</v>
      </c>
      <c r="M658">
        <f t="shared" si="536"/>
        <v>1.1906636157105316E-20</v>
      </c>
      <c r="N658" s="9">
        <f t="shared" si="585"/>
        <v>1.1906636157105316E-20</v>
      </c>
      <c r="O658">
        <f t="shared" si="586"/>
        <v>1.1906636157105316E-20</v>
      </c>
      <c r="Q658">
        <f t="shared" si="540"/>
        <v>45.674179771714584</v>
      </c>
      <c r="R658">
        <f t="shared" si="541"/>
        <v>0</v>
      </c>
      <c r="S658">
        <f t="shared" si="563"/>
        <v>-45.877191047931227</v>
      </c>
      <c r="T658" s="9" t="e">
        <f t="shared" si="542"/>
        <v>#N/A</v>
      </c>
      <c r="U658">
        <f t="shared" si="564"/>
        <v>-1.0000000000000001E+300</v>
      </c>
      <c r="V658">
        <f t="shared" si="565"/>
        <v>0</v>
      </c>
      <c r="W658">
        <f t="shared" si="566"/>
        <v>0</v>
      </c>
      <c r="X658">
        <f t="shared" si="543"/>
        <v>1.1906636157105317</v>
      </c>
      <c r="Y658">
        <f t="shared" si="544"/>
        <v>7.8539816339744828</v>
      </c>
      <c r="Z658">
        <f t="shared" si="545"/>
        <v>-1.1906636157105317</v>
      </c>
      <c r="AA658">
        <f t="shared" si="567"/>
        <v>-0.47574942715672175</v>
      </c>
      <c r="AB658">
        <f t="shared" si="546"/>
        <v>7.3782322068177608</v>
      </c>
      <c r="AC658">
        <f t="shared" si="568"/>
        <v>-0.27707189333976523</v>
      </c>
      <c r="AD658">
        <f t="shared" si="547"/>
        <v>7.4060617123124214E-2</v>
      </c>
      <c r="AE658" s="9">
        <f t="shared" si="569"/>
        <v>7.1752209306011201</v>
      </c>
      <c r="AF658">
        <f t="shared" si="570"/>
        <v>0</v>
      </c>
      <c r="AH658">
        <f t="shared" si="548"/>
        <v>7.8539816339744828</v>
      </c>
      <c r="AI658">
        <f t="shared" si="549"/>
        <v>-0.47574942715672169</v>
      </c>
      <c r="AJ658">
        <f t="shared" si="550"/>
        <v>-0.27707189333976601</v>
      </c>
      <c r="AK658">
        <f t="shared" si="551"/>
        <v>7.4060617123124214E-2</v>
      </c>
      <c r="AL658" s="9">
        <f t="shared" si="571"/>
        <v>7.1752209306011192</v>
      </c>
      <c r="AM658" t="e">
        <f t="shared" si="552"/>
        <v>#N/A</v>
      </c>
      <c r="AN658" t="e">
        <f t="shared" si="572"/>
        <v>#N/A</v>
      </c>
      <c r="AO658">
        <f t="shared" si="553"/>
        <v>0</v>
      </c>
      <c r="AP658">
        <f t="shared" si="554"/>
        <v>0</v>
      </c>
      <c r="AQ658">
        <f t="shared" si="555"/>
        <v>-7.7715611723760958E-16</v>
      </c>
      <c r="AR658">
        <f t="shared" si="573"/>
        <v>0</v>
      </c>
      <c r="AS658">
        <f t="shared" si="556"/>
        <v>0</v>
      </c>
      <c r="AT658">
        <f t="shared" si="574"/>
        <v>0</v>
      </c>
      <c r="AU658">
        <f t="shared" si="575"/>
        <v>0</v>
      </c>
      <c r="AV658">
        <f t="shared" si="557"/>
        <v>1.1906636157105316E-20</v>
      </c>
      <c r="AW658" t="b">
        <f t="shared" si="576"/>
        <v>1</v>
      </c>
      <c r="AX658">
        <f t="shared" si="558"/>
        <v>7.8539816339744828</v>
      </c>
      <c r="AY658">
        <f t="shared" si="559"/>
        <v>-0.47574942715672186</v>
      </c>
      <c r="AZ658">
        <f t="shared" si="560"/>
        <v>-0.27707189333976523</v>
      </c>
      <c r="BA658">
        <f t="shared" si="561"/>
        <v>7.4060617123124214E-2</v>
      </c>
      <c r="BB658">
        <f t="shared" si="562"/>
        <v>-1.2337005501361696E-20</v>
      </c>
      <c r="BD658" s="15">
        <f t="shared" si="577"/>
        <v>7.1752209306011201</v>
      </c>
      <c r="BE658" s="10">
        <f t="shared" si="578"/>
        <v>0</v>
      </c>
      <c r="BF658">
        <f t="shared" si="579"/>
        <v>0</v>
      </c>
      <c r="BG658">
        <f t="shared" si="580"/>
        <v>0</v>
      </c>
      <c r="BH658">
        <f t="shared" si="581"/>
        <v>0</v>
      </c>
      <c r="BI658">
        <f t="shared" si="582"/>
        <v>0</v>
      </c>
    </row>
    <row r="659" spans="1:61" x14ac:dyDescent="0.3">
      <c r="A659">
        <f t="shared" si="587"/>
        <v>0.622</v>
      </c>
      <c r="B659">
        <f t="shared" si="530"/>
        <v>1.9540706305328512</v>
      </c>
      <c r="C659">
        <f t="shared" si="531"/>
        <v>1.1875220230569419</v>
      </c>
      <c r="D659">
        <f t="shared" si="532"/>
        <v>1.1875220230569419</v>
      </c>
      <c r="E659">
        <f t="shared" si="537"/>
        <v>0.92744515333466138</v>
      </c>
      <c r="F659">
        <f t="shared" si="538"/>
        <v>0.92744515333466138</v>
      </c>
      <c r="G659">
        <f t="shared" si="533"/>
        <v>1.9540706305328512</v>
      </c>
      <c r="H659">
        <f t="shared" si="534"/>
        <v>0.92744515333466138</v>
      </c>
      <c r="I659">
        <f t="shared" si="535"/>
        <v>0.92744515333466138</v>
      </c>
      <c r="J659">
        <f t="shared" si="583"/>
        <v>6.8642309475508371E+19</v>
      </c>
      <c r="K659">
        <f t="shared" si="584"/>
        <v>6.8642309475508371E+19</v>
      </c>
      <c r="L659">
        <f t="shared" si="539"/>
        <v>1</v>
      </c>
      <c r="M659">
        <f t="shared" si="536"/>
        <v>1.1875220230569419E-20</v>
      </c>
      <c r="N659" s="9">
        <f t="shared" si="585"/>
        <v>1.1875220230569419E-20</v>
      </c>
      <c r="O659">
        <f t="shared" si="586"/>
        <v>1.1875220230569419E-20</v>
      </c>
      <c r="Q659">
        <f t="shared" si="540"/>
        <v>45.675440774711468</v>
      </c>
      <c r="R659">
        <f t="shared" si="541"/>
        <v>0</v>
      </c>
      <c r="S659">
        <f t="shared" si="563"/>
        <v>-45.879833057394066</v>
      </c>
      <c r="T659" s="9" t="e">
        <f t="shared" si="542"/>
        <v>#N/A</v>
      </c>
      <c r="U659">
        <f t="shared" si="564"/>
        <v>-1.0000000000000001E+300</v>
      </c>
      <c r="V659">
        <f t="shared" si="565"/>
        <v>0</v>
      </c>
      <c r="W659">
        <f t="shared" si="566"/>
        <v>0</v>
      </c>
      <c r="X659">
        <f t="shared" si="543"/>
        <v>1.1875220230569419</v>
      </c>
      <c r="Y659">
        <f t="shared" si="544"/>
        <v>7.8539816339744828</v>
      </c>
      <c r="Z659">
        <f t="shared" si="545"/>
        <v>-1.1875220230569419</v>
      </c>
      <c r="AA659">
        <f t="shared" si="567"/>
        <v>-0.4788259348186763</v>
      </c>
      <c r="AB659">
        <f t="shared" si="546"/>
        <v>7.3751556991558065</v>
      </c>
      <c r="AC659">
        <f t="shared" si="568"/>
        <v>-0.27971390280260405</v>
      </c>
      <c r="AD659">
        <f t="shared" si="547"/>
        <v>7.5321620120008162E-2</v>
      </c>
      <c r="AE659" s="9">
        <f t="shared" si="569"/>
        <v>7.1707634164732106</v>
      </c>
      <c r="AF659">
        <f t="shared" si="570"/>
        <v>0</v>
      </c>
      <c r="AH659">
        <f t="shared" si="548"/>
        <v>7.8539816339744828</v>
      </c>
      <c r="AI659">
        <f t="shared" si="549"/>
        <v>-0.47882593481867625</v>
      </c>
      <c r="AJ659">
        <f t="shared" si="550"/>
        <v>-0.27971390280260522</v>
      </c>
      <c r="AK659">
        <f t="shared" si="551"/>
        <v>7.5321620120008162E-2</v>
      </c>
      <c r="AL659" s="9">
        <f t="shared" si="571"/>
        <v>7.1707634164732097</v>
      </c>
      <c r="AM659" t="e">
        <f t="shared" si="552"/>
        <v>#N/A</v>
      </c>
      <c r="AN659" t="e">
        <f t="shared" si="572"/>
        <v>#N/A</v>
      </c>
      <c r="AO659">
        <f t="shared" si="553"/>
        <v>0</v>
      </c>
      <c r="AP659">
        <f t="shared" si="554"/>
        <v>0</v>
      </c>
      <c r="AQ659">
        <f t="shared" si="555"/>
        <v>-1.1657341758564144E-15</v>
      </c>
      <c r="AR659">
        <f t="shared" si="573"/>
        <v>0</v>
      </c>
      <c r="AS659">
        <f t="shared" si="556"/>
        <v>0</v>
      </c>
      <c r="AT659">
        <f t="shared" si="574"/>
        <v>0</v>
      </c>
      <c r="AU659">
        <f t="shared" si="575"/>
        <v>0</v>
      </c>
      <c r="AV659">
        <f t="shared" si="557"/>
        <v>1.1875220230569418E-20</v>
      </c>
      <c r="AW659" t="b">
        <f t="shared" si="576"/>
        <v>1</v>
      </c>
      <c r="AX659">
        <f t="shared" si="558"/>
        <v>7.8539816339744828</v>
      </c>
      <c r="AY659">
        <f t="shared" si="559"/>
        <v>-0.4788259348186763</v>
      </c>
      <c r="AZ659">
        <f t="shared" si="560"/>
        <v>-0.27971390280260389</v>
      </c>
      <c r="BA659">
        <f t="shared" si="561"/>
        <v>7.5321620120008162E-2</v>
      </c>
      <c r="BB659">
        <f t="shared" si="562"/>
        <v>-1.2337005501361696E-20</v>
      </c>
      <c r="BD659" s="15">
        <f t="shared" si="577"/>
        <v>7.1707634164732115</v>
      </c>
      <c r="BE659" s="10">
        <f t="shared" si="578"/>
        <v>0</v>
      </c>
      <c r="BF659">
        <f t="shared" si="579"/>
        <v>0</v>
      </c>
      <c r="BG659">
        <f t="shared" si="580"/>
        <v>0</v>
      </c>
      <c r="BH659">
        <f t="shared" si="581"/>
        <v>0</v>
      </c>
      <c r="BI659">
        <f t="shared" si="582"/>
        <v>0</v>
      </c>
    </row>
    <row r="660" spans="1:61" x14ac:dyDescent="0.3">
      <c r="A660">
        <f t="shared" si="587"/>
        <v>0.623</v>
      </c>
      <c r="B660">
        <f t="shared" si="530"/>
        <v>1.9572122231864411</v>
      </c>
      <c r="C660">
        <f t="shared" si="531"/>
        <v>1.1843804304033521</v>
      </c>
      <c r="D660">
        <f t="shared" si="532"/>
        <v>1.1843804304033521</v>
      </c>
      <c r="E660">
        <f t="shared" si="537"/>
        <v>0.92626575101906672</v>
      </c>
      <c r="F660">
        <f t="shared" si="538"/>
        <v>0.92626575101906661</v>
      </c>
      <c r="G660">
        <f t="shared" si="533"/>
        <v>1.9572122231864411</v>
      </c>
      <c r="H660">
        <f t="shared" si="534"/>
        <v>0.92626575101906672</v>
      </c>
      <c r="I660">
        <f t="shared" si="535"/>
        <v>0.92626575101906661</v>
      </c>
      <c r="J660">
        <f t="shared" si="583"/>
        <v>6.8729710848876773E+19</v>
      </c>
      <c r="K660">
        <f t="shared" si="584"/>
        <v>6.8729710848876773E+19</v>
      </c>
      <c r="L660">
        <f t="shared" si="539"/>
        <v>1</v>
      </c>
      <c r="M660">
        <f t="shared" si="536"/>
        <v>1.184380430403352E-20</v>
      </c>
      <c r="N660" s="9">
        <f t="shared" si="585"/>
        <v>1.184380430403352E-20</v>
      </c>
      <c r="O660">
        <f t="shared" si="586"/>
        <v>1.184380430403352E-20</v>
      </c>
      <c r="Q660">
        <f t="shared" si="540"/>
        <v>45.676713251959093</v>
      </c>
      <c r="R660">
        <f t="shared" si="541"/>
        <v>-710542.73576010019</v>
      </c>
      <c r="S660">
        <f t="shared" si="563"/>
        <v>-45.88248206556564</v>
      </c>
      <c r="T660" s="9" t="e">
        <f t="shared" si="542"/>
        <v>#N/A</v>
      </c>
      <c r="U660">
        <f t="shared" si="564"/>
        <v>-1.0000000000000001E+300</v>
      </c>
      <c r="V660">
        <f t="shared" si="565"/>
        <v>0</v>
      </c>
      <c r="W660">
        <f t="shared" si="566"/>
        <v>0</v>
      </c>
      <c r="X660">
        <f t="shared" si="543"/>
        <v>1.1843804304033521</v>
      </c>
      <c r="Y660">
        <f t="shared" si="544"/>
        <v>7.8539816339744828</v>
      </c>
      <c r="Z660">
        <f t="shared" si="545"/>
        <v>-1.1843804304033521</v>
      </c>
      <c r="AA660">
        <f t="shared" si="567"/>
        <v>-0.48189048232370113</v>
      </c>
      <c r="AB660">
        <f t="shared" si="546"/>
        <v>7.3720911516507819</v>
      </c>
      <c r="AC660">
        <f t="shared" si="568"/>
        <v>-0.28236291097418098</v>
      </c>
      <c r="AD660">
        <f t="shared" si="547"/>
        <v>7.6594097367636338E-2</v>
      </c>
      <c r="AE660" s="9">
        <f t="shared" si="569"/>
        <v>7.166322338044238</v>
      </c>
      <c r="AF660">
        <f t="shared" si="570"/>
        <v>0</v>
      </c>
      <c r="AH660">
        <f t="shared" si="548"/>
        <v>7.8539816339744828</v>
      </c>
      <c r="AI660">
        <f t="shared" si="549"/>
        <v>-0.48189048232370107</v>
      </c>
      <c r="AJ660">
        <f t="shared" si="550"/>
        <v>-0.28236291097417876</v>
      </c>
      <c r="AK660">
        <f t="shared" si="551"/>
        <v>7.6594097367636338E-2</v>
      </c>
      <c r="AL660" s="9">
        <f t="shared" si="571"/>
        <v>7.1663223380442398</v>
      </c>
      <c r="AM660" t="e">
        <f t="shared" si="552"/>
        <v>#N/A</v>
      </c>
      <c r="AN660" t="e">
        <f t="shared" si="572"/>
        <v>#N/A</v>
      </c>
      <c r="AO660">
        <f t="shared" si="553"/>
        <v>0</v>
      </c>
      <c r="AP660">
        <f t="shared" si="554"/>
        <v>0</v>
      </c>
      <c r="AQ660">
        <f t="shared" si="555"/>
        <v>2.2204460492503131E-15</v>
      </c>
      <c r="AR660">
        <f t="shared" si="573"/>
        <v>0</v>
      </c>
      <c r="AS660">
        <f t="shared" si="556"/>
        <v>0</v>
      </c>
      <c r="AT660">
        <f t="shared" si="574"/>
        <v>0</v>
      </c>
      <c r="AU660">
        <f t="shared" si="575"/>
        <v>0</v>
      </c>
      <c r="AV660">
        <f t="shared" si="557"/>
        <v>1.184380430403352E-20</v>
      </c>
      <c r="AW660" t="b">
        <f t="shared" si="576"/>
        <v>1</v>
      </c>
      <c r="AX660">
        <f t="shared" si="558"/>
        <v>7.8539816339744828</v>
      </c>
      <c r="AY660">
        <f t="shared" si="559"/>
        <v>-0.48189048232370124</v>
      </c>
      <c r="AZ660">
        <f t="shared" si="560"/>
        <v>-0.28236291097418081</v>
      </c>
      <c r="BA660">
        <f t="shared" si="561"/>
        <v>7.6594097367636449E-2</v>
      </c>
      <c r="BB660">
        <f t="shared" si="562"/>
        <v>-1.2337005501361696E-20</v>
      </c>
      <c r="BD660" s="15">
        <f t="shared" si="577"/>
        <v>7.166322338044238</v>
      </c>
      <c r="BE660" s="10">
        <f t="shared" si="578"/>
        <v>0</v>
      </c>
      <c r="BF660">
        <f t="shared" si="579"/>
        <v>0</v>
      </c>
      <c r="BG660">
        <f t="shared" si="580"/>
        <v>0</v>
      </c>
      <c r="BH660">
        <f t="shared" si="581"/>
        <v>0</v>
      </c>
      <c r="BI660">
        <f t="shared" si="582"/>
        <v>0</v>
      </c>
    </row>
    <row r="661" spans="1:61" x14ac:dyDescent="0.3">
      <c r="A661">
        <f t="shared" si="587"/>
        <v>0.624</v>
      </c>
      <c r="B661">
        <f t="shared" si="530"/>
        <v>1.9603538158400309</v>
      </c>
      <c r="C661">
        <f t="shared" si="531"/>
        <v>1.1812388377497622</v>
      </c>
      <c r="D661">
        <f t="shared" si="532"/>
        <v>1.1812388377497622</v>
      </c>
      <c r="E661">
        <f t="shared" si="537"/>
        <v>0.92507720683445804</v>
      </c>
      <c r="F661">
        <f t="shared" si="538"/>
        <v>0.92507720683445804</v>
      </c>
      <c r="G661">
        <f t="shared" si="533"/>
        <v>1.9603538158400309</v>
      </c>
      <c r="H661">
        <f t="shared" si="534"/>
        <v>0.92507720683445804</v>
      </c>
      <c r="I661">
        <f t="shared" si="535"/>
        <v>0.92507720683445804</v>
      </c>
      <c r="J661">
        <f t="shared" si="583"/>
        <v>6.8818015152058991E+19</v>
      </c>
      <c r="K661">
        <f t="shared" si="584"/>
        <v>6.8818015152058991E+19</v>
      </c>
      <c r="L661">
        <f t="shared" si="539"/>
        <v>1</v>
      </c>
      <c r="M661">
        <f t="shared" si="536"/>
        <v>1.1812388377497623E-20</v>
      </c>
      <c r="N661" s="9">
        <f t="shared" si="585"/>
        <v>1.1812388377497623E-20</v>
      </c>
      <c r="O661">
        <f t="shared" si="586"/>
        <v>1.1812388377497623E-20</v>
      </c>
      <c r="Q661">
        <f t="shared" si="540"/>
        <v>45.677997232696271</v>
      </c>
      <c r="R661">
        <f t="shared" si="541"/>
        <v>0</v>
      </c>
      <c r="S661">
        <f t="shared" si="563"/>
        <v>-45.885138109623753</v>
      </c>
      <c r="T661" s="9" t="e">
        <f t="shared" si="542"/>
        <v>#N/A</v>
      </c>
      <c r="U661">
        <f t="shared" si="564"/>
        <v>-1.0000000000000001E+300</v>
      </c>
      <c r="V661">
        <f t="shared" si="565"/>
        <v>0</v>
      </c>
      <c r="W661">
        <f t="shared" si="566"/>
        <v>0</v>
      </c>
      <c r="X661">
        <f t="shared" si="543"/>
        <v>1.1812388377497622</v>
      </c>
      <c r="Y661">
        <f t="shared" si="544"/>
        <v>7.8539816339744828</v>
      </c>
      <c r="Z661">
        <f t="shared" si="545"/>
        <v>-1.1812388377497622</v>
      </c>
      <c r="AA661">
        <f t="shared" si="567"/>
        <v>-0.48494310970101184</v>
      </c>
      <c r="AB661">
        <f t="shared" si="546"/>
        <v>7.3690385242734706</v>
      </c>
      <c r="AC661">
        <f t="shared" si="568"/>
        <v>-0.28501895503229724</v>
      </c>
      <c r="AD661">
        <f t="shared" si="547"/>
        <v>7.7878078104812648E-2</v>
      </c>
      <c r="AE661" s="9">
        <f t="shared" si="569"/>
        <v>7.1618976473459854</v>
      </c>
      <c r="AF661">
        <f t="shared" si="570"/>
        <v>0</v>
      </c>
      <c r="AH661">
        <f t="shared" si="548"/>
        <v>7.8539816339744828</v>
      </c>
      <c r="AI661">
        <f t="shared" si="549"/>
        <v>-0.48494310970101173</v>
      </c>
      <c r="AJ661">
        <f t="shared" si="550"/>
        <v>-0.28501895503229235</v>
      </c>
      <c r="AK661">
        <f t="shared" si="551"/>
        <v>7.7878078104812648E-2</v>
      </c>
      <c r="AL661" s="9">
        <f t="shared" si="571"/>
        <v>7.1618976473459908</v>
      </c>
      <c r="AM661" t="e">
        <f t="shared" si="552"/>
        <v>#N/A</v>
      </c>
      <c r="AN661" t="e">
        <f t="shared" si="572"/>
        <v>#N/A</v>
      </c>
      <c r="AO661">
        <f t="shared" si="553"/>
        <v>0</v>
      </c>
      <c r="AP661">
        <f t="shared" si="554"/>
        <v>0</v>
      </c>
      <c r="AQ661">
        <f t="shared" si="555"/>
        <v>4.8849813083506888E-15</v>
      </c>
      <c r="AR661">
        <f t="shared" si="573"/>
        <v>0</v>
      </c>
      <c r="AS661">
        <f t="shared" si="556"/>
        <v>0</v>
      </c>
      <c r="AT661">
        <f t="shared" si="574"/>
        <v>0</v>
      </c>
      <c r="AU661">
        <f t="shared" si="575"/>
        <v>0</v>
      </c>
      <c r="AV661">
        <f t="shared" si="557"/>
        <v>1.1812388377497622E-20</v>
      </c>
      <c r="AW661" t="b">
        <f t="shared" si="576"/>
        <v>1</v>
      </c>
      <c r="AX661">
        <f t="shared" si="558"/>
        <v>7.8539816339744828</v>
      </c>
      <c r="AY661">
        <f t="shared" si="559"/>
        <v>-0.48494310970101195</v>
      </c>
      <c r="AZ661">
        <f t="shared" si="560"/>
        <v>-0.28501895503229724</v>
      </c>
      <c r="BA661">
        <f t="shared" si="561"/>
        <v>7.7878078104812648E-2</v>
      </c>
      <c r="BB661">
        <f t="shared" si="562"/>
        <v>-1.2337005501361696E-20</v>
      </c>
      <c r="BD661" s="15">
        <f t="shared" si="577"/>
        <v>7.1618976473459854</v>
      </c>
      <c r="BE661" s="10">
        <f t="shared" si="578"/>
        <v>0</v>
      </c>
      <c r="BF661">
        <f t="shared" si="579"/>
        <v>0</v>
      </c>
      <c r="BG661">
        <f t="shared" si="580"/>
        <v>0</v>
      </c>
      <c r="BH661">
        <f t="shared" si="581"/>
        <v>0</v>
      </c>
      <c r="BI661">
        <f t="shared" si="582"/>
        <v>0</v>
      </c>
    </row>
    <row r="662" spans="1:61" x14ac:dyDescent="0.3">
      <c r="A662">
        <f t="shared" si="587"/>
        <v>0.625</v>
      </c>
      <c r="B662">
        <f t="shared" si="530"/>
        <v>1.9634954084936207</v>
      </c>
      <c r="C662">
        <f t="shared" si="531"/>
        <v>1.1780972450961724</v>
      </c>
      <c r="D662">
        <f t="shared" si="532"/>
        <v>1.1780972450961724</v>
      </c>
      <c r="E662">
        <f t="shared" si="537"/>
        <v>0.92387953251128674</v>
      </c>
      <c r="F662">
        <f t="shared" si="538"/>
        <v>0.92387953251128674</v>
      </c>
      <c r="G662">
        <f t="shared" si="533"/>
        <v>1.9634954084936207</v>
      </c>
      <c r="H662">
        <f t="shared" si="534"/>
        <v>0.92387953251128674</v>
      </c>
      <c r="I662">
        <f t="shared" si="535"/>
        <v>0.92387953251128674</v>
      </c>
      <c r="J662">
        <f t="shared" si="583"/>
        <v>6.8907227616258949E+19</v>
      </c>
      <c r="K662">
        <f t="shared" si="584"/>
        <v>6.8907227616258949E+19</v>
      </c>
      <c r="L662" t="e">
        <f t="shared" si="539"/>
        <v>#NUM!</v>
      </c>
      <c r="M662">
        <f t="shared" si="536"/>
        <v>1.1780972450961724E-20</v>
      </c>
      <c r="N662" s="9" t="e">
        <f t="shared" si="585"/>
        <v>#NUM!</v>
      </c>
      <c r="O662" t="e">
        <f t="shared" si="586"/>
        <v>#NUM!</v>
      </c>
      <c r="Q662">
        <f t="shared" si="540"/>
        <v>45.679292746501645</v>
      </c>
      <c r="R662">
        <f t="shared" si="541"/>
        <v>-710542.73576010019</v>
      </c>
      <c r="S662">
        <f t="shared" si="563"/>
        <v>-45.887801227043241</v>
      </c>
      <c r="T662" s="9" t="e">
        <f t="shared" si="542"/>
        <v>#N/A</v>
      </c>
      <c r="U662">
        <f t="shared" si="564"/>
        <v>-1.0000000000000001E+300</v>
      </c>
      <c r="V662">
        <f t="shared" si="565"/>
        <v>0</v>
      </c>
      <c r="W662">
        <f t="shared" si="566"/>
        <v>0</v>
      </c>
      <c r="X662">
        <f t="shared" si="543"/>
        <v>1.1780972450961724</v>
      </c>
      <c r="Y662">
        <f t="shared" si="544"/>
        <v>7.8539816339744828</v>
      </c>
      <c r="Z662">
        <f t="shared" si="545"/>
        <v>-1.1780972450961724</v>
      </c>
      <c r="AA662">
        <f t="shared" si="567"/>
        <v>-0.48798385671321487</v>
      </c>
      <c r="AB662">
        <f t="shared" si="546"/>
        <v>7.3659977772612679</v>
      </c>
      <c r="AC662">
        <f t="shared" si="568"/>
        <v>-0.2876820724517809</v>
      </c>
      <c r="AD662">
        <f t="shared" si="547"/>
        <v>7.9173591910187482E-2</v>
      </c>
      <c r="AE662" s="9">
        <f t="shared" si="569"/>
        <v>7.1574892967196746</v>
      </c>
      <c r="AF662">
        <f t="shared" si="570"/>
        <v>0</v>
      </c>
      <c r="AH662">
        <f t="shared" si="548"/>
        <v>7.8539816339744828</v>
      </c>
      <c r="AI662">
        <f t="shared" si="549"/>
        <v>-0.48798385671321476</v>
      </c>
      <c r="AJ662">
        <f t="shared" si="550"/>
        <v>-0.2876820724517799</v>
      </c>
      <c r="AK662">
        <f t="shared" si="551"/>
        <v>7.9173591910187482E-2</v>
      </c>
      <c r="AL662" s="9">
        <f t="shared" si="571"/>
        <v>7.1574892967196755</v>
      </c>
      <c r="AM662" t="e">
        <f t="shared" si="552"/>
        <v>#N/A</v>
      </c>
      <c r="AN662" t="e">
        <f t="shared" si="572"/>
        <v>#N/A</v>
      </c>
      <c r="AO662">
        <f t="shared" si="553"/>
        <v>0</v>
      </c>
      <c r="AP662">
        <f t="shared" si="554"/>
        <v>0</v>
      </c>
      <c r="AQ662">
        <f t="shared" si="555"/>
        <v>9.9920072216264089E-16</v>
      </c>
      <c r="AR662">
        <f t="shared" si="573"/>
        <v>0</v>
      </c>
      <c r="AS662">
        <f t="shared" si="556"/>
        <v>0</v>
      </c>
      <c r="AT662">
        <f t="shared" si="574"/>
        <v>0</v>
      </c>
      <c r="AU662">
        <f t="shared" si="575"/>
        <v>0</v>
      </c>
      <c r="AV662">
        <f t="shared" si="557"/>
        <v>1.1780972450961724E-20</v>
      </c>
      <c r="AW662" t="b">
        <f t="shared" si="576"/>
        <v>1</v>
      </c>
      <c r="AX662">
        <f t="shared" si="558"/>
        <v>7.8539816339744828</v>
      </c>
      <c r="AY662">
        <f t="shared" si="559"/>
        <v>-0.48798385671321487</v>
      </c>
      <c r="AZ662">
        <f t="shared" si="560"/>
        <v>-0.2876820724517809</v>
      </c>
      <c r="BA662">
        <f t="shared" si="561"/>
        <v>7.9173591910187482E-2</v>
      </c>
      <c r="BB662">
        <f t="shared" si="562"/>
        <v>-1.2337005501361696E-20</v>
      </c>
      <c r="BD662" s="15">
        <f t="shared" si="577"/>
        <v>7.1574892967196746</v>
      </c>
      <c r="BE662" s="10">
        <f t="shared" si="578"/>
        <v>0</v>
      </c>
      <c r="BF662">
        <f t="shared" si="579"/>
        <v>0</v>
      </c>
      <c r="BG662">
        <f t="shared" si="580"/>
        <v>0</v>
      </c>
      <c r="BH662">
        <f t="shared" si="581"/>
        <v>0</v>
      </c>
      <c r="BI662">
        <f t="shared" si="582"/>
        <v>0</v>
      </c>
    </row>
    <row r="663" spans="1:61" x14ac:dyDescent="0.3">
      <c r="A663">
        <f t="shared" si="587"/>
        <v>0.626</v>
      </c>
      <c r="B663">
        <f t="shared" si="530"/>
        <v>1.9666370011472105</v>
      </c>
      <c r="C663">
        <f t="shared" si="531"/>
        <v>1.1749556524425826</v>
      </c>
      <c r="D663">
        <f t="shared" si="532"/>
        <v>1.1749556524425826</v>
      </c>
      <c r="E663">
        <f t="shared" si="537"/>
        <v>0.92267273987011489</v>
      </c>
      <c r="F663">
        <f t="shared" si="538"/>
        <v>0.92267273987011478</v>
      </c>
      <c r="G663">
        <f t="shared" si="533"/>
        <v>1.9666370011472105</v>
      </c>
      <c r="H663">
        <f t="shared" si="534"/>
        <v>0.92267273987011489</v>
      </c>
      <c r="I663">
        <f t="shared" si="535"/>
        <v>0.92267273987011478</v>
      </c>
      <c r="J663">
        <f t="shared" si="583"/>
        <v>6.8997353542405374E+19</v>
      </c>
      <c r="K663">
        <f t="shared" si="584"/>
        <v>6.8997353542405374E+19</v>
      </c>
      <c r="L663" t="e">
        <f t="shared" si="539"/>
        <v>#NUM!</v>
      </c>
      <c r="M663">
        <f t="shared" si="536"/>
        <v>1.1749556524425827E-20</v>
      </c>
      <c r="N663" s="9" t="e">
        <f t="shared" si="585"/>
        <v>#NUM!</v>
      </c>
      <c r="O663" t="e">
        <f t="shared" si="586"/>
        <v>#NUM!</v>
      </c>
      <c r="Q663">
        <f t="shared" si="540"/>
        <v>45.680599823296639</v>
      </c>
      <c r="R663">
        <f t="shared" si="541"/>
        <v>0</v>
      </c>
      <c r="S663">
        <f t="shared" si="563"/>
        <v>-45.890471455599119</v>
      </c>
      <c r="T663" s="9" t="e">
        <f t="shared" si="542"/>
        <v>#N/A</v>
      </c>
      <c r="U663">
        <f t="shared" si="564"/>
        <v>-1.0000000000000001E+300</v>
      </c>
      <c r="V663">
        <f t="shared" si="565"/>
        <v>0</v>
      </c>
      <c r="W663">
        <f t="shared" si="566"/>
        <v>0</v>
      </c>
      <c r="X663">
        <f t="shared" si="543"/>
        <v>1.1749556524425826</v>
      </c>
      <c r="Y663">
        <f t="shared" si="544"/>
        <v>7.8539816339744828</v>
      </c>
      <c r="Z663">
        <f t="shared" si="545"/>
        <v>-1.1749556524425826</v>
      </c>
      <c r="AA663">
        <f t="shared" si="567"/>
        <v>-0.49101276285834505</v>
      </c>
      <c r="AB663">
        <f t="shared" si="546"/>
        <v>7.3629688711161378</v>
      </c>
      <c r="AC663">
        <f t="shared" si="568"/>
        <v>-0.2903523010076598</v>
      </c>
      <c r="AD663">
        <f t="shared" si="547"/>
        <v>8.0480668705178574E-2</v>
      </c>
      <c r="AE663" s="9">
        <f t="shared" si="569"/>
        <v>7.1530972388136567</v>
      </c>
      <c r="AF663">
        <f t="shared" si="570"/>
        <v>0</v>
      </c>
      <c r="AH663">
        <f t="shared" si="548"/>
        <v>7.8539816339744828</v>
      </c>
      <c r="AI663">
        <f t="shared" si="549"/>
        <v>-0.49101276285834505</v>
      </c>
      <c r="AJ663">
        <f t="shared" si="550"/>
        <v>-0.2903523010076583</v>
      </c>
      <c r="AK663">
        <f t="shared" si="551"/>
        <v>8.0480668705178574E-2</v>
      </c>
      <c r="AL663" s="9">
        <f t="shared" si="571"/>
        <v>7.1530972388136584</v>
      </c>
      <c r="AM663" t="e">
        <f t="shared" si="552"/>
        <v>#N/A</v>
      </c>
      <c r="AN663" t="e">
        <f t="shared" si="572"/>
        <v>#N/A</v>
      </c>
      <c r="AO663">
        <f t="shared" si="553"/>
        <v>0</v>
      </c>
      <c r="AP663">
        <f t="shared" si="554"/>
        <v>0</v>
      </c>
      <c r="AQ663">
        <f t="shared" si="555"/>
        <v>1.4988010832439613E-15</v>
      </c>
      <c r="AR663">
        <f t="shared" si="573"/>
        <v>0</v>
      </c>
      <c r="AS663">
        <f t="shared" si="556"/>
        <v>0</v>
      </c>
      <c r="AT663">
        <f t="shared" si="574"/>
        <v>0</v>
      </c>
      <c r="AU663">
        <f t="shared" si="575"/>
        <v>0</v>
      </c>
      <c r="AV663">
        <f t="shared" si="557"/>
        <v>1.1749556524425826E-20</v>
      </c>
      <c r="AW663" t="b">
        <f t="shared" si="576"/>
        <v>1</v>
      </c>
      <c r="AX663">
        <f t="shared" si="558"/>
        <v>7.8539816339744828</v>
      </c>
      <c r="AY663">
        <f t="shared" si="559"/>
        <v>-0.49101276285834516</v>
      </c>
      <c r="AZ663">
        <f t="shared" si="560"/>
        <v>-0.2903523010076598</v>
      </c>
      <c r="BA663">
        <f t="shared" si="561"/>
        <v>8.0480668705178698E-2</v>
      </c>
      <c r="BB663">
        <f t="shared" si="562"/>
        <v>-1.2337005501361696E-20</v>
      </c>
      <c r="BD663" s="15">
        <f t="shared" si="577"/>
        <v>7.1530972388136567</v>
      </c>
      <c r="BE663" s="10">
        <f t="shared" si="578"/>
        <v>0</v>
      </c>
      <c r="BF663">
        <f t="shared" si="579"/>
        <v>0</v>
      </c>
      <c r="BG663">
        <f t="shared" si="580"/>
        <v>0</v>
      </c>
      <c r="BH663">
        <f t="shared" si="581"/>
        <v>0</v>
      </c>
      <c r="BI663">
        <f t="shared" si="582"/>
        <v>0</v>
      </c>
    </row>
    <row r="664" spans="1:61" x14ac:dyDescent="0.3">
      <c r="A664">
        <f t="shared" si="587"/>
        <v>0.627</v>
      </c>
      <c r="B664">
        <f t="shared" ref="B664:B727" si="588">th_max*A664</f>
        <v>1.9697785938008003</v>
      </c>
      <c r="C664">
        <f t="shared" ref="C664:C727" si="589">th_max-B664</f>
        <v>1.1718140597889928</v>
      </c>
      <c r="D664">
        <f t="shared" ref="D664:D727" si="590">IF(use_th_l,B664,C664)</f>
        <v>1.1718140597889928</v>
      </c>
      <c r="E664">
        <f t="shared" si="537"/>
        <v>0.92145684082149848</v>
      </c>
      <c r="F664">
        <f t="shared" si="538"/>
        <v>0.92145684082149837</v>
      </c>
      <c r="G664">
        <f t="shared" ref="G664:G727" si="591">alpha*B664</f>
        <v>1.9697785938008003</v>
      </c>
      <c r="H664">
        <f t="shared" ref="H664:H727" si="592">SIN(G664)</f>
        <v>0.92145684082149848</v>
      </c>
      <c r="I664">
        <f t="shared" ref="I664:I727" si="593">SIN(alpha*C664+add_r)</f>
        <v>0.92145684082149837</v>
      </c>
      <c r="J664">
        <f t="shared" si="583"/>
        <v>6.9088398301978124E+19</v>
      </c>
      <c r="K664">
        <f t="shared" si="584"/>
        <v>6.9088398301978124E+19</v>
      </c>
      <c r="L664">
        <f t="shared" si="539"/>
        <v>1</v>
      </c>
      <c r="M664">
        <f t="shared" ref="M664:M727" si="594">-SIN((alpha_m_1)*B664+add_l)</f>
        <v>1.1718140597889927E-20</v>
      </c>
      <c r="N664" s="9">
        <f t="shared" si="585"/>
        <v>1.1718140597889927E-20</v>
      </c>
      <c r="O664">
        <f t="shared" si="586"/>
        <v>1.1718140597889927E-20</v>
      </c>
      <c r="Q664">
        <f t="shared" si="540"/>
        <v>45.681918493348398</v>
      </c>
      <c r="R664">
        <f t="shared" si="541"/>
        <v>0</v>
      </c>
      <c r="S664">
        <f t="shared" si="563"/>
        <v>-45.893148833369835</v>
      </c>
      <c r="T664" s="9" t="e">
        <f t="shared" si="542"/>
        <v>#N/A</v>
      </c>
      <c r="U664">
        <f t="shared" si="564"/>
        <v>-1.0000000000000001E+300</v>
      </c>
      <c r="V664">
        <f t="shared" si="565"/>
        <v>0</v>
      </c>
      <c r="W664">
        <f t="shared" si="566"/>
        <v>0</v>
      </c>
      <c r="X664">
        <f t="shared" si="543"/>
        <v>1.1718140597889928</v>
      </c>
      <c r="Y664">
        <f t="shared" si="544"/>
        <v>7.8539816339744828</v>
      </c>
      <c r="Z664">
        <f t="shared" si="545"/>
        <v>-1.1718140597889928</v>
      </c>
      <c r="AA664">
        <f t="shared" si="567"/>
        <v>-0.49402986737188415</v>
      </c>
      <c r="AB664">
        <f t="shared" si="546"/>
        <v>7.3599517666025989</v>
      </c>
      <c r="AC664">
        <f t="shared" si="568"/>
        <v>-0.29302967877837621</v>
      </c>
      <c r="AD664">
        <f t="shared" si="547"/>
        <v>8.1799338756936388E-2</v>
      </c>
      <c r="AE664" s="9">
        <f t="shared" si="569"/>
        <v>7.1487214265811589</v>
      </c>
      <c r="AF664">
        <f t="shared" si="570"/>
        <v>0</v>
      </c>
      <c r="AH664">
        <f t="shared" si="548"/>
        <v>7.8539816339744828</v>
      </c>
      <c r="AI664">
        <f t="shared" si="549"/>
        <v>-0.49402986737188403</v>
      </c>
      <c r="AJ664">
        <f t="shared" si="550"/>
        <v>-0.2930296787783746</v>
      </c>
      <c r="AK664">
        <f t="shared" si="551"/>
        <v>8.1799338756936388E-2</v>
      </c>
      <c r="AL664" s="9">
        <f t="shared" si="571"/>
        <v>7.1487214265811607</v>
      </c>
      <c r="AM664" t="e">
        <f t="shared" si="552"/>
        <v>#N/A</v>
      </c>
      <c r="AN664" t="e">
        <f t="shared" si="572"/>
        <v>#N/A</v>
      </c>
      <c r="AO664">
        <f t="shared" si="553"/>
        <v>0</v>
      </c>
      <c r="AP664">
        <f t="shared" si="554"/>
        <v>0</v>
      </c>
      <c r="AQ664">
        <f t="shared" si="555"/>
        <v>1.609823385706477E-15</v>
      </c>
      <c r="AR664">
        <f t="shared" si="573"/>
        <v>0</v>
      </c>
      <c r="AS664">
        <f t="shared" si="556"/>
        <v>0</v>
      </c>
      <c r="AT664">
        <f t="shared" si="574"/>
        <v>0</v>
      </c>
      <c r="AU664">
        <f t="shared" si="575"/>
        <v>0</v>
      </c>
      <c r="AV664">
        <f t="shared" si="557"/>
        <v>1.1718140597889927E-20</v>
      </c>
      <c r="AW664" t="b">
        <f t="shared" si="576"/>
        <v>1</v>
      </c>
      <c r="AX664">
        <f t="shared" si="558"/>
        <v>7.8539816339744828</v>
      </c>
      <c r="AY664">
        <f t="shared" si="559"/>
        <v>-0.49402986737188415</v>
      </c>
      <c r="AZ664">
        <f t="shared" si="560"/>
        <v>-0.29302967877837621</v>
      </c>
      <c r="BA664">
        <f t="shared" si="561"/>
        <v>8.1799338756936513E-2</v>
      </c>
      <c r="BB664">
        <f t="shared" si="562"/>
        <v>-1.2337005501361696E-20</v>
      </c>
      <c r="BD664" s="15">
        <f t="shared" si="577"/>
        <v>7.1487214265811589</v>
      </c>
      <c r="BE664" s="10">
        <f t="shared" si="578"/>
        <v>0</v>
      </c>
      <c r="BF664">
        <f t="shared" si="579"/>
        <v>0</v>
      </c>
      <c r="BG664">
        <f t="shared" si="580"/>
        <v>0</v>
      </c>
      <c r="BH664">
        <f t="shared" si="581"/>
        <v>0</v>
      </c>
      <c r="BI664">
        <f t="shared" si="582"/>
        <v>0</v>
      </c>
    </row>
    <row r="665" spans="1:61" x14ac:dyDescent="0.3">
      <c r="A665">
        <f t="shared" si="587"/>
        <v>0.628</v>
      </c>
      <c r="B665">
        <f t="shared" si="588"/>
        <v>1.9729201864543902</v>
      </c>
      <c r="C665">
        <f t="shared" si="589"/>
        <v>1.168672467135403</v>
      </c>
      <c r="D665">
        <f t="shared" si="590"/>
        <v>1.168672467135403</v>
      </c>
      <c r="E665">
        <f t="shared" ref="E665:E728" si="595">SIN(B665-add_l)</f>
        <v>0.92023184736587038</v>
      </c>
      <c r="F665">
        <f t="shared" ref="F665:F728" si="596">SIN(C665)</f>
        <v>0.92023184736587027</v>
      </c>
      <c r="G665">
        <f t="shared" si="591"/>
        <v>1.9729201864543902</v>
      </c>
      <c r="H665">
        <f t="shared" si="592"/>
        <v>0.92023184736587038</v>
      </c>
      <c r="I665">
        <f t="shared" si="593"/>
        <v>0.92023184736587027</v>
      </c>
      <c r="J665">
        <f t="shared" si="583"/>
        <v>6.9180367337848824E+19</v>
      </c>
      <c r="K665">
        <f t="shared" si="584"/>
        <v>6.9180367337848824E+19</v>
      </c>
      <c r="L665" t="e">
        <f t="shared" ref="L665:L728" si="597">(cat0*E665*K665)^(1/(alpha_m_1))</f>
        <v>#NUM!</v>
      </c>
      <c r="M665">
        <f t="shared" si="594"/>
        <v>1.1686724671354028E-20</v>
      </c>
      <c r="N665" s="9" t="e">
        <f t="shared" si="585"/>
        <v>#NUM!</v>
      </c>
      <c r="O665" t="e">
        <f t="shared" si="586"/>
        <v>#NUM!</v>
      </c>
      <c r="Q665">
        <f t="shared" ref="Q665:Q728" si="598">alpha*LN(J665)</f>
        <v>45.683248787272809</v>
      </c>
      <c r="R665">
        <f t="shared" ref="R665:R728" si="599">(LN(cat0)+LN(E665)+Q665)/(alpha_m_1)</f>
        <v>-710542.73576010019</v>
      </c>
      <c r="S665">
        <f t="shared" si="563"/>
        <v>-45.895833398740507</v>
      </c>
      <c r="T665" s="9" t="e">
        <f t="shared" ref="T665:T728" si="600">IF(ABS(alpha_m_1)&gt;0.00000000000001,R665+S665,NA())</f>
        <v>#N/A</v>
      </c>
      <c r="U665">
        <f t="shared" si="564"/>
        <v>-1.0000000000000001E+300</v>
      </c>
      <c r="V665">
        <f t="shared" si="565"/>
        <v>0</v>
      </c>
      <c r="W665">
        <f t="shared" si="566"/>
        <v>0</v>
      </c>
      <c r="X665">
        <f t="shared" ref="X665:X728" si="601">C665</f>
        <v>1.168672467135403</v>
      </c>
      <c r="Y665">
        <f t="shared" ref="Y665:Y728" si="602">ea</f>
        <v>7.8539816339744828</v>
      </c>
      <c r="Z665">
        <f t="shared" ref="Z665:Z728" si="603">p2b+PI()/2-X665</f>
        <v>-1.168672467135403</v>
      </c>
      <c r="AA665">
        <f t="shared" si="567"/>
        <v>-0.49703520922875888</v>
      </c>
      <c r="AB665">
        <f t="shared" ref="AB665:AB728" si="604">$AA$7+AA665</f>
        <v>7.3569464247457237</v>
      </c>
      <c r="AC665">
        <f t="shared" si="568"/>
        <v>-0.29571424414904518</v>
      </c>
      <c r="AD665">
        <f t="shared" ref="AD665:AD728" si="605">-LN(SIN(A665*PI()))</f>
        <v>8.312963268135401E-2</v>
      </c>
      <c r="AE665" s="9">
        <f t="shared" si="569"/>
        <v>7.1443618132780324</v>
      </c>
      <c r="AF665">
        <f t="shared" si="570"/>
        <v>0</v>
      </c>
      <c r="AH665">
        <f t="shared" ref="AH665:AH728" si="606">IF(use_alpha_near_1,$D$18,NA())</f>
        <v>7.8539816339744828</v>
      </c>
      <c r="AI665">
        <f t="shared" ref="AI665:AI728" si="607">IF(use_alpha_near_1,alpha/(alpha_m_1)*(log1p(-SIN(add_l)*_xlfn.COT(B665)-2*SIN(add_l/2)^2)-log1p(SIN(alpha_m_1*B665)*_xlfn.COT(B665)-2*SIN(alpha_m_1*B665/2)^2)),NA())</f>
        <v>-0.49703520922875866</v>
      </c>
      <c r="AJ665">
        <f t="shared" ref="AJ665:AJ728" si="608">IF(use_alpha_near_1,$D$21+LN(M665),NA())</f>
        <v>-0.29571424414904612</v>
      </c>
      <c r="AK665">
        <f t="shared" ref="AK665:AK728" si="609">IF(use_alpha_near_1,-LN(E665),NA())</f>
        <v>8.312963268135401E-2</v>
      </c>
      <c r="AL665" s="9">
        <f t="shared" si="571"/>
        <v>7.1443618132780315</v>
      </c>
      <c r="AM665" t="e">
        <f t="shared" ref="AM665:AM728" si="610">AL665-T665</f>
        <v>#N/A</v>
      </c>
      <c r="AN665" t="e">
        <f t="shared" si="572"/>
        <v>#N/A</v>
      </c>
      <c r="AO665">
        <f t="shared" ref="AO665:AO728" si="611">AH665-Y665</f>
        <v>0</v>
      </c>
      <c r="AP665">
        <f t="shared" ref="AP665:AP728" si="612">AI665-AA665</f>
        <v>0</v>
      </c>
      <c r="AQ665">
        <f t="shared" ref="AQ665:AQ728" si="613">AJ665-AC665</f>
        <v>-9.4368957093138306E-16</v>
      </c>
      <c r="AR665">
        <f t="shared" si="573"/>
        <v>0</v>
      </c>
      <c r="AS665">
        <f t="shared" ref="AS665:AS728" si="614">AL665-AE665</f>
        <v>0</v>
      </c>
      <c r="AT665">
        <f t="shared" si="574"/>
        <v>0</v>
      </c>
      <c r="AU665">
        <f t="shared" si="575"/>
        <v>0</v>
      </c>
      <c r="AV665">
        <f t="shared" ref="AV665:AV728" si="615">alpha_m_1*C665+add_r</f>
        <v>1.1686724671354029E-20</v>
      </c>
      <c r="AW665" t="b">
        <f t="shared" si="576"/>
        <v>1</v>
      </c>
      <c r="AX665">
        <f t="shared" ref="AX665:AX728" si="616">IF(use_alpha_near_1,$D$18,NA())</f>
        <v>7.8539816339744828</v>
      </c>
      <c r="AY665">
        <f t="shared" ref="AY665:AY728" si="617">-alpha/alpha_m_1*log1p(_xlfn.COT(C665)*SIN(AV665)-2*SIN(AV665/2)^2)</f>
        <v>-0.49703520922875899</v>
      </c>
      <c r="AZ665">
        <f t="shared" ref="AZ665:AZ728" si="618">LN(ABS(zeta)*SIN(AV665))</f>
        <v>-0.29571424414904518</v>
      </c>
      <c r="BA665">
        <f t="shared" ref="BA665:BA728" si="619">-LN(SIN(C665))</f>
        <v>8.3129632681354135E-2</v>
      </c>
      <c r="BB665">
        <f t="shared" ref="BB665:BB728" si="620">-log1p(zeta^-2)/(2*alpha_m_1)</f>
        <v>-1.2337005501361696E-20</v>
      </c>
      <c r="BD665" s="15">
        <f t="shared" si="577"/>
        <v>7.1443618132780324</v>
      </c>
      <c r="BE665" s="10">
        <f t="shared" si="578"/>
        <v>0</v>
      </c>
      <c r="BF665">
        <f t="shared" si="579"/>
        <v>0</v>
      </c>
      <c r="BG665">
        <f t="shared" si="580"/>
        <v>0</v>
      </c>
      <c r="BH665">
        <f t="shared" si="581"/>
        <v>0</v>
      </c>
      <c r="BI665">
        <f t="shared" si="582"/>
        <v>0</v>
      </c>
    </row>
    <row r="666" spans="1:61" x14ac:dyDescent="0.3">
      <c r="A666">
        <f t="shared" si="587"/>
        <v>0.629</v>
      </c>
      <c r="B666">
        <f t="shared" si="588"/>
        <v>1.97606177910798</v>
      </c>
      <c r="C666">
        <f t="shared" si="589"/>
        <v>1.1655308744818131</v>
      </c>
      <c r="D666">
        <f t="shared" si="590"/>
        <v>1.1655308744818131</v>
      </c>
      <c r="E666">
        <f t="shared" si="595"/>
        <v>0.91899777159342133</v>
      </c>
      <c r="F666">
        <f t="shared" si="596"/>
        <v>0.91899777159342133</v>
      </c>
      <c r="G666">
        <f t="shared" si="591"/>
        <v>1.97606177910798</v>
      </c>
      <c r="H666">
        <f t="shared" si="592"/>
        <v>0.91899777159342133</v>
      </c>
      <c r="I666">
        <f t="shared" si="593"/>
        <v>0.91899777159342133</v>
      </c>
      <c r="J666">
        <f t="shared" si="583"/>
        <v>6.9273266165136228E+19</v>
      </c>
      <c r="K666">
        <f t="shared" si="584"/>
        <v>6.9273266165136228E+19</v>
      </c>
      <c r="L666" t="e">
        <f t="shared" si="597"/>
        <v>#NUM!</v>
      </c>
      <c r="M666">
        <f t="shared" si="594"/>
        <v>1.1655308744818131E-20</v>
      </c>
      <c r="N666" s="9" t="e">
        <f t="shared" si="585"/>
        <v>#NUM!</v>
      </c>
      <c r="O666" t="e">
        <f t="shared" si="586"/>
        <v>#NUM!</v>
      </c>
      <c r="Q666">
        <f t="shared" si="598"/>
        <v>45.684590736037585</v>
      </c>
      <c r="R666">
        <f t="shared" si="599"/>
        <v>0</v>
      </c>
      <c r="S666">
        <f t="shared" ref="S666:S729" si="621">LN(M666)</f>
        <v>-45.898525190406218</v>
      </c>
      <c r="T666" s="9" t="e">
        <f t="shared" si="600"/>
        <v>#N/A</v>
      </c>
      <c r="U666">
        <f t="shared" ref="U666:U729" si="622">IFERROR(T666-EXP(T666),-1E+300)</f>
        <v>-1.0000000000000001E+300</v>
      </c>
      <c r="V666">
        <f t="shared" ref="V666:V729" si="623">EXP(U666)</f>
        <v>0</v>
      </c>
      <c r="W666">
        <f t="shared" ref="W666:W729" si="624">IFERROR(T666-LN(N666),0)</f>
        <v>0</v>
      </c>
      <c r="X666">
        <f t="shared" si="601"/>
        <v>1.1655308744818131</v>
      </c>
      <c r="Y666">
        <f t="shared" si="602"/>
        <v>7.8539816339744828</v>
      </c>
      <c r="Z666">
        <f t="shared" si="603"/>
        <v>-1.1655308744818131</v>
      </c>
      <c r="AA666">
        <f t="shared" ref="AA666:AA729" si="625">Z666*TAN(PI()/2-X666)</f>
        <v>-0.50002882714532071</v>
      </c>
      <c r="AB666">
        <f t="shared" si="604"/>
        <v>7.3539528068291622</v>
      </c>
      <c r="AC666">
        <f t="shared" ref="AC666:AC729" si="626">LN(Z666/$AA$6)</f>
        <v>-0.29840603581475678</v>
      </c>
      <c r="AD666">
        <f t="shared" si="605"/>
        <v>8.4471581446124003E-2</v>
      </c>
      <c r="AE666" s="9">
        <f t="shared" ref="AE666:AE729" si="627">AB666+AC666+AD666</f>
        <v>7.1400183524605296</v>
      </c>
      <c r="AF666">
        <f t="shared" ref="AF666:AF729" si="628">IFERROR(EXP(AE666)*EXP(-EXP(AE666)),0)</f>
        <v>0</v>
      </c>
      <c r="AH666">
        <f t="shared" si="606"/>
        <v>7.8539816339744828</v>
      </c>
      <c r="AI666">
        <f t="shared" si="607"/>
        <v>-0.5000288271453206</v>
      </c>
      <c r="AJ666">
        <f t="shared" si="608"/>
        <v>-0.29840603581475733</v>
      </c>
      <c r="AK666">
        <f t="shared" si="609"/>
        <v>8.4471581446124003E-2</v>
      </c>
      <c r="AL666" s="9">
        <f t="shared" ref="AL666:AL729" si="629">SUM(AH666:AK666)</f>
        <v>7.1400183524605287</v>
      </c>
      <c r="AM666" t="e">
        <f t="shared" si="610"/>
        <v>#N/A</v>
      </c>
      <c r="AN666" t="e">
        <f t="shared" ref="AN666:AN729" si="630">AM666/AL666</f>
        <v>#N/A</v>
      </c>
      <c r="AO666">
        <f t="shared" si="611"/>
        <v>0</v>
      </c>
      <c r="AP666">
        <f t="shared" si="612"/>
        <v>0</v>
      </c>
      <c r="AQ666">
        <f t="shared" si="613"/>
        <v>-5.5511151231257827E-16</v>
      </c>
      <c r="AR666">
        <f t="shared" ref="AR666:AR729" si="631">AP666/AI666</f>
        <v>0</v>
      </c>
      <c r="AS666">
        <f t="shared" si="614"/>
        <v>0</v>
      </c>
      <c r="AT666">
        <f t="shared" ref="AT666:AT729" si="632">AS666/AL666</f>
        <v>0</v>
      </c>
      <c r="AU666">
        <f t="shared" ref="AU666:AU729" si="633">IFERROR(EXP(AL666)*EXP(-EXP(AL666)),0)</f>
        <v>0</v>
      </c>
      <c r="AV666">
        <f t="shared" si="615"/>
        <v>1.1655308744818131E-20</v>
      </c>
      <c r="AW666" t="b">
        <f t="shared" ref="AW666:AW729" si="634">(ABS(_xlfn.COT(C666)*SIN(AV666))&lt;0.00000001)</f>
        <v>1</v>
      </c>
      <c r="AX666">
        <f t="shared" si="616"/>
        <v>7.8539816339744828</v>
      </c>
      <c r="AY666">
        <f t="shared" si="617"/>
        <v>-0.50002882714532082</v>
      </c>
      <c r="AZ666">
        <f t="shared" si="618"/>
        <v>-0.29840603581475661</v>
      </c>
      <c r="BA666">
        <f t="shared" si="619"/>
        <v>8.4471581446124003E-2</v>
      </c>
      <c r="BB666">
        <f t="shared" si="620"/>
        <v>-1.2337005501361696E-20</v>
      </c>
      <c r="BD666" s="15">
        <f t="shared" ref="BD666:BD729" si="635">SUM(AX666:BB666)</f>
        <v>7.1400183524605296</v>
      </c>
      <c r="BE666" s="10">
        <f t="shared" ref="BE666:BE729" si="636">BD666-AL666</f>
        <v>0</v>
      </c>
      <c r="BF666">
        <f t="shared" ref="BF666:BF729" si="637">BD666-AE666</f>
        <v>0</v>
      </c>
      <c r="BG666">
        <f t="shared" ref="BG666:BG729" si="638">AX666-Y666</f>
        <v>0</v>
      </c>
      <c r="BH666">
        <f t="shared" ref="BH666:BH729" si="639">AY666-AA666</f>
        <v>0</v>
      </c>
      <c r="BI666">
        <f t="shared" ref="BI666:BI729" si="640">AZ666-AC666</f>
        <v>0</v>
      </c>
    </row>
    <row r="667" spans="1:61" x14ac:dyDescent="0.3">
      <c r="A667">
        <f t="shared" si="587"/>
        <v>0.63</v>
      </c>
      <c r="B667">
        <f t="shared" si="588"/>
        <v>1.9792033717615696</v>
      </c>
      <c r="C667">
        <f t="shared" si="589"/>
        <v>1.1623892818282235</v>
      </c>
      <c r="D667">
        <f t="shared" si="590"/>
        <v>1.1623892818282235</v>
      </c>
      <c r="E667">
        <f t="shared" si="595"/>
        <v>0.91775462568398125</v>
      </c>
      <c r="F667">
        <f t="shared" si="596"/>
        <v>0.91775462568398114</v>
      </c>
      <c r="G667">
        <f t="shared" si="591"/>
        <v>1.9792033717615696</v>
      </c>
      <c r="H667">
        <f t="shared" si="592"/>
        <v>0.91775462568398125</v>
      </c>
      <c r="I667">
        <f t="shared" si="593"/>
        <v>0.91775462568398114</v>
      </c>
      <c r="J667">
        <f t="shared" si="583"/>
        <v>6.9367100372076413E+19</v>
      </c>
      <c r="K667">
        <f t="shared" si="584"/>
        <v>6.9367100372076413E+19</v>
      </c>
      <c r="L667" t="e">
        <f t="shared" si="597"/>
        <v>#NUM!</v>
      </c>
      <c r="M667">
        <f t="shared" si="594"/>
        <v>1.1623892818282235E-20</v>
      </c>
      <c r="N667" s="9" t="e">
        <f t="shared" si="585"/>
        <v>#NUM!</v>
      </c>
      <c r="O667" t="e">
        <f t="shared" si="586"/>
        <v>#NUM!</v>
      </c>
      <c r="Q667">
        <f t="shared" si="598"/>
        <v>45.685944370965302</v>
      </c>
      <c r="R667">
        <f t="shared" si="599"/>
        <v>0</v>
      </c>
      <c r="S667">
        <f t="shared" si="621"/>
        <v>-45.901224247375382</v>
      </c>
      <c r="T667" s="9" t="e">
        <f t="shared" si="600"/>
        <v>#N/A</v>
      </c>
      <c r="U667">
        <f t="shared" si="622"/>
        <v>-1.0000000000000001E+300</v>
      </c>
      <c r="V667">
        <f t="shared" si="623"/>
        <v>0</v>
      </c>
      <c r="W667">
        <f t="shared" si="624"/>
        <v>0</v>
      </c>
      <c r="X667">
        <f t="shared" si="601"/>
        <v>1.1623892818282235</v>
      </c>
      <c r="Y667">
        <f t="shared" si="602"/>
        <v>7.8539816339744828</v>
      </c>
      <c r="Z667">
        <f t="shared" si="603"/>
        <v>-1.1623892818282235</v>
      </c>
      <c r="AA667">
        <f t="shared" si="625"/>
        <v>-0.50301075958130581</v>
      </c>
      <c r="AB667">
        <f t="shared" si="604"/>
        <v>7.3509708743931768</v>
      </c>
      <c r="AC667">
        <f t="shared" si="626"/>
        <v>-0.3011050927839215</v>
      </c>
      <c r="AD667">
        <f t="shared" si="605"/>
        <v>8.5825216373840607E-2</v>
      </c>
      <c r="AE667" s="9">
        <f t="shared" si="627"/>
        <v>7.1356909979830956</v>
      </c>
      <c r="AF667">
        <f t="shared" si="628"/>
        <v>0</v>
      </c>
      <c r="AH667">
        <f t="shared" si="606"/>
        <v>7.8539816339744828</v>
      </c>
      <c r="AI667">
        <f t="shared" si="607"/>
        <v>-0.5030107595813057</v>
      </c>
      <c r="AJ667">
        <f t="shared" si="608"/>
        <v>-0.30110509278392072</v>
      </c>
      <c r="AK667">
        <f t="shared" si="609"/>
        <v>8.5825216373840607E-2</v>
      </c>
      <c r="AL667" s="9">
        <f t="shared" si="629"/>
        <v>7.1356909979830965</v>
      </c>
      <c r="AM667" t="e">
        <f t="shared" si="610"/>
        <v>#N/A</v>
      </c>
      <c r="AN667" t="e">
        <f t="shared" si="630"/>
        <v>#N/A</v>
      </c>
      <c r="AO667">
        <f t="shared" si="611"/>
        <v>0</v>
      </c>
      <c r="AP667">
        <f t="shared" si="612"/>
        <v>0</v>
      </c>
      <c r="AQ667">
        <f t="shared" si="613"/>
        <v>7.7715611723760958E-16</v>
      </c>
      <c r="AR667">
        <f t="shared" si="631"/>
        <v>0</v>
      </c>
      <c r="AS667">
        <f t="shared" si="614"/>
        <v>0</v>
      </c>
      <c r="AT667">
        <f t="shared" si="632"/>
        <v>0</v>
      </c>
      <c r="AU667">
        <f t="shared" si="633"/>
        <v>0</v>
      </c>
      <c r="AV667">
        <f t="shared" si="615"/>
        <v>1.1623892818282235E-20</v>
      </c>
      <c r="AW667" t="b">
        <f t="shared" si="634"/>
        <v>1</v>
      </c>
      <c r="AX667">
        <f t="shared" si="616"/>
        <v>7.8539816339744828</v>
      </c>
      <c r="AY667">
        <f t="shared" si="617"/>
        <v>-0.50301075958130592</v>
      </c>
      <c r="AZ667">
        <f t="shared" si="618"/>
        <v>-0.3011050927839215</v>
      </c>
      <c r="BA667">
        <f t="shared" si="619"/>
        <v>8.5825216373840732E-2</v>
      </c>
      <c r="BB667">
        <f t="shared" si="620"/>
        <v>-1.2337005501361696E-20</v>
      </c>
      <c r="BD667" s="15">
        <f t="shared" si="635"/>
        <v>7.1356909979830956</v>
      </c>
      <c r="BE667" s="10">
        <f t="shared" si="636"/>
        <v>0</v>
      </c>
      <c r="BF667">
        <f t="shared" si="637"/>
        <v>0</v>
      </c>
      <c r="BG667">
        <f t="shared" si="638"/>
        <v>0</v>
      </c>
      <c r="BH667">
        <f t="shared" si="639"/>
        <v>0</v>
      </c>
      <c r="BI667">
        <f t="shared" si="640"/>
        <v>0</v>
      </c>
    </row>
    <row r="668" spans="1:61" x14ac:dyDescent="0.3">
      <c r="A668">
        <f t="shared" si="587"/>
        <v>0.63100000000000001</v>
      </c>
      <c r="B668">
        <f t="shared" si="588"/>
        <v>1.9823449644151594</v>
      </c>
      <c r="C668">
        <f t="shared" si="589"/>
        <v>1.1592476891746337</v>
      </c>
      <c r="D668">
        <f t="shared" si="590"/>
        <v>1.1592476891746337</v>
      </c>
      <c r="E668">
        <f t="shared" si="595"/>
        <v>0.91650242190689801</v>
      </c>
      <c r="F668">
        <f t="shared" si="596"/>
        <v>0.91650242190689801</v>
      </c>
      <c r="G668">
        <f t="shared" si="591"/>
        <v>1.9823449644151594</v>
      </c>
      <c r="H668">
        <f t="shared" si="592"/>
        <v>0.91650242190689801</v>
      </c>
      <c r="I668">
        <f t="shared" si="593"/>
        <v>0.91650242190689801</v>
      </c>
      <c r="J668">
        <f t="shared" si="583"/>
        <v>6.946187562090827E+19</v>
      </c>
      <c r="K668">
        <f t="shared" si="584"/>
        <v>6.946187562090827E+19</v>
      </c>
      <c r="L668">
        <f t="shared" si="597"/>
        <v>1</v>
      </c>
      <c r="M668">
        <f t="shared" si="594"/>
        <v>1.1592476891746338E-20</v>
      </c>
      <c r="N668" s="9">
        <f t="shared" si="585"/>
        <v>1.1592476891746338E-20</v>
      </c>
      <c r="O668">
        <f t="shared" si="586"/>
        <v>1.1592476891746338E-20</v>
      </c>
      <c r="Q668">
        <f t="shared" si="598"/>
        <v>45.687309723736611</v>
      </c>
      <c r="R668">
        <f t="shared" si="599"/>
        <v>0</v>
      </c>
      <c r="S668">
        <f t="shared" si="621"/>
        <v>-45.90393060897312</v>
      </c>
      <c r="T668" s="9" t="e">
        <f t="shared" si="600"/>
        <v>#N/A</v>
      </c>
      <c r="U668">
        <f t="shared" si="622"/>
        <v>-1.0000000000000001E+300</v>
      </c>
      <c r="V668">
        <f t="shared" si="623"/>
        <v>0</v>
      </c>
      <c r="W668">
        <f t="shared" si="624"/>
        <v>0</v>
      </c>
      <c r="X668">
        <f t="shared" si="601"/>
        <v>1.1592476891746337</v>
      </c>
      <c r="Y668">
        <f t="shared" si="602"/>
        <v>7.8539816339744828</v>
      </c>
      <c r="Z668">
        <f t="shared" si="603"/>
        <v>-1.1592476891746337</v>
      </c>
      <c r="AA668">
        <f t="shared" si="625"/>
        <v>-0.50598104474177741</v>
      </c>
      <c r="AB668">
        <f t="shared" si="604"/>
        <v>7.3480005892327052</v>
      </c>
      <c r="AC668">
        <f t="shared" si="626"/>
        <v>-0.30381145438166457</v>
      </c>
      <c r="AD668">
        <f t="shared" si="605"/>
        <v>8.7190569145150942E-2</v>
      </c>
      <c r="AE668" s="9">
        <f t="shared" si="627"/>
        <v>7.1313797039961919</v>
      </c>
      <c r="AF668">
        <f t="shared" si="628"/>
        <v>0</v>
      </c>
      <c r="AH668">
        <f t="shared" si="606"/>
        <v>7.8539816339744828</v>
      </c>
      <c r="AI668">
        <f t="shared" si="607"/>
        <v>-0.50598104474177741</v>
      </c>
      <c r="AJ668">
        <f t="shared" si="608"/>
        <v>-0.30381145438165902</v>
      </c>
      <c r="AK668">
        <f t="shared" si="609"/>
        <v>8.7190569145150942E-2</v>
      </c>
      <c r="AL668" s="9">
        <f t="shared" si="629"/>
        <v>7.1313797039961973</v>
      </c>
      <c r="AM668" t="e">
        <f t="shared" si="610"/>
        <v>#N/A</v>
      </c>
      <c r="AN668" t="e">
        <f t="shared" si="630"/>
        <v>#N/A</v>
      </c>
      <c r="AO668">
        <f t="shared" si="611"/>
        <v>0</v>
      </c>
      <c r="AP668">
        <f t="shared" si="612"/>
        <v>0</v>
      </c>
      <c r="AQ668">
        <f t="shared" si="613"/>
        <v>5.5511151231257827E-15</v>
      </c>
      <c r="AR668">
        <f t="shared" si="631"/>
        <v>0</v>
      </c>
      <c r="AS668">
        <f t="shared" si="614"/>
        <v>0</v>
      </c>
      <c r="AT668">
        <f t="shared" si="632"/>
        <v>0</v>
      </c>
      <c r="AU668">
        <f t="shared" si="633"/>
        <v>0</v>
      </c>
      <c r="AV668">
        <f t="shared" si="615"/>
        <v>1.1592476891746336E-20</v>
      </c>
      <c r="AW668" t="b">
        <f t="shared" si="634"/>
        <v>1</v>
      </c>
      <c r="AX668">
        <f t="shared" si="616"/>
        <v>7.8539816339744828</v>
      </c>
      <c r="AY668">
        <f t="shared" si="617"/>
        <v>-0.50598104474177741</v>
      </c>
      <c r="AZ668">
        <f t="shared" si="618"/>
        <v>-0.3038114543816644</v>
      </c>
      <c r="BA668">
        <f t="shared" si="619"/>
        <v>8.7190569145150942E-2</v>
      </c>
      <c r="BB668">
        <f t="shared" si="620"/>
        <v>-1.2337005501361696E-20</v>
      </c>
      <c r="BD668" s="15">
        <f t="shared" si="635"/>
        <v>7.1313797039961919</v>
      </c>
      <c r="BE668" s="10">
        <f t="shared" si="636"/>
        <v>0</v>
      </c>
      <c r="BF668">
        <f t="shared" si="637"/>
        <v>0</v>
      </c>
      <c r="BG668">
        <f t="shared" si="638"/>
        <v>0</v>
      </c>
      <c r="BH668">
        <f t="shared" si="639"/>
        <v>0</v>
      </c>
      <c r="BI668">
        <f t="shared" si="640"/>
        <v>0</v>
      </c>
    </row>
    <row r="669" spans="1:61" x14ac:dyDescent="0.3">
      <c r="A669">
        <f t="shared" si="587"/>
        <v>0.63200000000000001</v>
      </c>
      <c r="B669">
        <f t="shared" si="588"/>
        <v>1.9854865570687492</v>
      </c>
      <c r="C669">
        <f t="shared" si="589"/>
        <v>1.1561060965210439</v>
      </c>
      <c r="D669">
        <f t="shared" si="590"/>
        <v>1.1561060965210439</v>
      </c>
      <c r="E669">
        <f t="shared" si="595"/>
        <v>0.91524117262091764</v>
      </c>
      <c r="F669">
        <f t="shared" si="596"/>
        <v>0.91524117262091753</v>
      </c>
      <c r="G669">
        <f t="shared" si="591"/>
        <v>1.9854865570687492</v>
      </c>
      <c r="H669">
        <f t="shared" si="592"/>
        <v>0.91524117262091764</v>
      </c>
      <c r="I669">
        <f t="shared" si="593"/>
        <v>0.91524117262091753</v>
      </c>
      <c r="J669">
        <f t="shared" si="583"/>
        <v>6.9557597648774267E+19</v>
      </c>
      <c r="K669">
        <f t="shared" si="584"/>
        <v>6.9557597648774267E+19</v>
      </c>
      <c r="L669">
        <f t="shared" si="597"/>
        <v>1</v>
      </c>
      <c r="M669">
        <f t="shared" si="594"/>
        <v>1.1561060965210438E-20</v>
      </c>
      <c r="N669" s="9">
        <f t="shared" si="585"/>
        <v>1.1561060965210438E-20</v>
      </c>
      <c r="O669">
        <f t="shared" si="586"/>
        <v>1.1561060965210438E-20</v>
      </c>
      <c r="Q669">
        <f t="shared" si="598"/>
        <v>45.688686826393408</v>
      </c>
      <c r="R669">
        <f t="shared" si="599"/>
        <v>-710542.73576010019</v>
      </c>
      <c r="S669">
        <f t="shared" si="621"/>
        <v>-45.906644314844719</v>
      </c>
      <c r="T669" s="9" t="e">
        <f t="shared" si="600"/>
        <v>#N/A</v>
      </c>
      <c r="U669">
        <f t="shared" si="622"/>
        <v>-1.0000000000000001E+300</v>
      </c>
      <c r="V669">
        <f t="shared" si="623"/>
        <v>0</v>
      </c>
      <c r="W669">
        <f t="shared" si="624"/>
        <v>0</v>
      </c>
      <c r="X669">
        <f t="shared" si="601"/>
        <v>1.1561060965210439</v>
      </c>
      <c r="Y669">
        <f t="shared" si="602"/>
        <v>7.8539816339744828</v>
      </c>
      <c r="Z669">
        <f t="shared" si="603"/>
        <v>-1.1561060965210439</v>
      </c>
      <c r="AA669">
        <f t="shared" si="625"/>
        <v>-0.50893972057904735</v>
      </c>
      <c r="AB669">
        <f t="shared" si="604"/>
        <v>7.3450419133954359</v>
      </c>
      <c r="AC669">
        <f t="shared" si="626"/>
        <v>-0.30652516025326082</v>
      </c>
      <c r="AD669">
        <f t="shared" si="605"/>
        <v>8.8567671801951714E-2</v>
      </c>
      <c r="AE669" s="9">
        <f t="shared" si="627"/>
        <v>7.127084424944127</v>
      </c>
      <c r="AF669">
        <f t="shared" si="628"/>
        <v>0</v>
      </c>
      <c r="AH669">
        <f t="shared" si="606"/>
        <v>7.8539816339744828</v>
      </c>
      <c r="AI669">
        <f t="shared" si="607"/>
        <v>-0.50893972057904724</v>
      </c>
      <c r="AJ669">
        <f t="shared" si="608"/>
        <v>-0.30652516025325838</v>
      </c>
      <c r="AK669">
        <f t="shared" si="609"/>
        <v>8.8567671801951714E-2</v>
      </c>
      <c r="AL669" s="9">
        <f t="shared" si="629"/>
        <v>7.1270844249441296</v>
      </c>
      <c r="AM669" t="e">
        <f t="shared" si="610"/>
        <v>#N/A</v>
      </c>
      <c r="AN669" t="e">
        <f t="shared" si="630"/>
        <v>#N/A</v>
      </c>
      <c r="AO669">
        <f t="shared" si="611"/>
        <v>0</v>
      </c>
      <c r="AP669">
        <f t="shared" si="612"/>
        <v>0</v>
      </c>
      <c r="AQ669">
        <f t="shared" si="613"/>
        <v>2.4424906541753444E-15</v>
      </c>
      <c r="AR669">
        <f t="shared" si="631"/>
        <v>0</v>
      </c>
      <c r="AS669">
        <f t="shared" si="614"/>
        <v>0</v>
      </c>
      <c r="AT669">
        <f t="shared" si="632"/>
        <v>0</v>
      </c>
      <c r="AU669">
        <f t="shared" si="633"/>
        <v>0</v>
      </c>
      <c r="AV669">
        <f t="shared" si="615"/>
        <v>1.1561060965210438E-20</v>
      </c>
      <c r="AW669" t="b">
        <f t="shared" si="634"/>
        <v>1</v>
      </c>
      <c r="AX669">
        <f t="shared" si="616"/>
        <v>7.8539816339744828</v>
      </c>
      <c r="AY669">
        <f t="shared" si="617"/>
        <v>-0.50893972057904735</v>
      </c>
      <c r="AZ669">
        <f t="shared" si="618"/>
        <v>-0.30652516025326065</v>
      </c>
      <c r="BA669">
        <f t="shared" si="619"/>
        <v>8.8567671801951839E-2</v>
      </c>
      <c r="BB669">
        <f t="shared" si="620"/>
        <v>-1.2337005501361696E-20</v>
      </c>
      <c r="BD669" s="15">
        <f t="shared" si="635"/>
        <v>7.127084424944127</v>
      </c>
      <c r="BE669" s="10">
        <f t="shared" si="636"/>
        <v>0</v>
      </c>
      <c r="BF669">
        <f t="shared" si="637"/>
        <v>0</v>
      </c>
      <c r="BG669">
        <f t="shared" si="638"/>
        <v>0</v>
      </c>
      <c r="BH669">
        <f t="shared" si="639"/>
        <v>0</v>
      </c>
      <c r="BI669">
        <f t="shared" si="640"/>
        <v>0</v>
      </c>
    </row>
    <row r="670" spans="1:61" x14ac:dyDescent="0.3">
      <c r="A670">
        <f t="shared" si="587"/>
        <v>0.63300000000000001</v>
      </c>
      <c r="B670">
        <f t="shared" si="588"/>
        <v>1.988628149722339</v>
      </c>
      <c r="C670">
        <f t="shared" si="589"/>
        <v>1.1529645038674541</v>
      </c>
      <c r="D670">
        <f t="shared" si="590"/>
        <v>1.1529645038674541</v>
      </c>
      <c r="E670">
        <f t="shared" si="595"/>
        <v>0.9139708902740612</v>
      </c>
      <c r="F670">
        <f t="shared" si="596"/>
        <v>0.9139708902740612</v>
      </c>
      <c r="G670">
        <f t="shared" si="591"/>
        <v>1.988628149722339</v>
      </c>
      <c r="H670">
        <f t="shared" si="592"/>
        <v>0.9139708902740612</v>
      </c>
      <c r="I670">
        <f t="shared" si="593"/>
        <v>0.9139708902740612</v>
      </c>
      <c r="J670">
        <f t="shared" si="583"/>
        <v>6.9654272268637143E+19</v>
      </c>
      <c r="K670">
        <f t="shared" si="584"/>
        <v>6.9654272268637143E+19</v>
      </c>
      <c r="L670">
        <f t="shared" si="597"/>
        <v>0</v>
      </c>
      <c r="M670">
        <f t="shared" si="594"/>
        <v>1.1529645038674542E-20</v>
      </c>
      <c r="N670" s="9">
        <f t="shared" si="585"/>
        <v>0</v>
      </c>
      <c r="O670">
        <f t="shared" si="586"/>
        <v>0</v>
      </c>
      <c r="Q670">
        <f t="shared" si="598"/>
        <v>45.690075711342097</v>
      </c>
      <c r="R670">
        <f t="shared" si="599"/>
        <v>0</v>
      </c>
      <c r="S670">
        <f t="shared" si="621"/>
        <v>-45.909365404959082</v>
      </c>
      <c r="T670" s="9" t="e">
        <f t="shared" si="600"/>
        <v>#N/A</v>
      </c>
      <c r="U670">
        <f t="shared" si="622"/>
        <v>-1.0000000000000001E+300</v>
      </c>
      <c r="V670">
        <f t="shared" si="623"/>
        <v>0</v>
      </c>
      <c r="W670">
        <f t="shared" si="624"/>
        <v>0</v>
      </c>
      <c r="X670">
        <f t="shared" si="601"/>
        <v>1.1529645038674541</v>
      </c>
      <c r="Y670">
        <f t="shared" si="602"/>
        <v>7.8539816339744828</v>
      </c>
      <c r="Z670">
        <f t="shared" si="603"/>
        <v>-1.1529645038674541</v>
      </c>
      <c r="AA670">
        <f t="shared" si="625"/>
        <v>-0.51188682479458147</v>
      </c>
      <c r="AB670">
        <f t="shared" si="604"/>
        <v>7.3420948091799012</v>
      </c>
      <c r="AC670">
        <f t="shared" si="626"/>
        <v>-0.30924625036762149</v>
      </c>
      <c r="AD670">
        <f t="shared" si="605"/>
        <v>8.9956556750637295E-2</v>
      </c>
      <c r="AE670" s="9">
        <f t="shared" si="627"/>
        <v>7.1228051155629171</v>
      </c>
      <c r="AF670">
        <f t="shared" si="628"/>
        <v>0</v>
      </c>
      <c r="AH670">
        <f t="shared" si="606"/>
        <v>7.8539816339744828</v>
      </c>
      <c r="AI670">
        <f t="shared" si="607"/>
        <v>-0.51188682479458125</v>
      </c>
      <c r="AJ670">
        <f t="shared" si="608"/>
        <v>-0.30924625036762166</v>
      </c>
      <c r="AK670">
        <f t="shared" si="609"/>
        <v>8.9956556750637295E-2</v>
      </c>
      <c r="AL670" s="9">
        <f t="shared" si="629"/>
        <v>7.1228051155629171</v>
      </c>
      <c r="AM670" t="e">
        <f t="shared" si="610"/>
        <v>#N/A</v>
      </c>
      <c r="AN670" t="e">
        <f t="shared" si="630"/>
        <v>#N/A</v>
      </c>
      <c r="AO670">
        <f t="shared" si="611"/>
        <v>0</v>
      </c>
      <c r="AP670">
        <f t="shared" si="612"/>
        <v>0</v>
      </c>
      <c r="AQ670">
        <f t="shared" si="613"/>
        <v>0</v>
      </c>
      <c r="AR670">
        <f t="shared" si="631"/>
        <v>0</v>
      </c>
      <c r="AS670">
        <f t="shared" si="614"/>
        <v>0</v>
      </c>
      <c r="AT670">
        <f t="shared" si="632"/>
        <v>0</v>
      </c>
      <c r="AU670">
        <f t="shared" si="633"/>
        <v>0</v>
      </c>
      <c r="AV670">
        <f t="shared" si="615"/>
        <v>1.152964503867454E-20</v>
      </c>
      <c r="AW670" t="b">
        <f t="shared" si="634"/>
        <v>1</v>
      </c>
      <c r="AX670">
        <f t="shared" si="616"/>
        <v>7.8539816339744828</v>
      </c>
      <c r="AY670">
        <f t="shared" si="617"/>
        <v>-0.51188682479458147</v>
      </c>
      <c r="AZ670">
        <f t="shared" si="618"/>
        <v>-0.30924625036762149</v>
      </c>
      <c r="BA670">
        <f t="shared" si="619"/>
        <v>8.9956556750637295E-2</v>
      </c>
      <c r="BB670">
        <f t="shared" si="620"/>
        <v>-1.2337005501361696E-20</v>
      </c>
      <c r="BD670" s="15">
        <f t="shared" si="635"/>
        <v>7.1228051155629171</v>
      </c>
      <c r="BE670" s="10">
        <f t="shared" si="636"/>
        <v>0</v>
      </c>
      <c r="BF670">
        <f t="shared" si="637"/>
        <v>0</v>
      </c>
      <c r="BG670">
        <f t="shared" si="638"/>
        <v>0</v>
      </c>
      <c r="BH670">
        <f t="shared" si="639"/>
        <v>0</v>
      </c>
      <c r="BI670">
        <f t="shared" si="640"/>
        <v>0</v>
      </c>
    </row>
    <row r="671" spans="1:61" x14ac:dyDescent="0.3">
      <c r="A671">
        <f t="shared" si="587"/>
        <v>0.63400000000000001</v>
      </c>
      <c r="B671">
        <f t="shared" si="588"/>
        <v>1.9917697423759289</v>
      </c>
      <c r="C671">
        <f t="shared" si="589"/>
        <v>1.1498229112138643</v>
      </c>
      <c r="D671">
        <f t="shared" si="590"/>
        <v>1.1498229112138643</v>
      </c>
      <c r="E671">
        <f t="shared" si="595"/>
        <v>0.91269158740350287</v>
      </c>
      <c r="F671">
        <f t="shared" si="596"/>
        <v>0.91269158740350276</v>
      </c>
      <c r="G671">
        <f t="shared" si="591"/>
        <v>1.9917697423759289</v>
      </c>
      <c r="H671">
        <f t="shared" si="592"/>
        <v>0.91269158740350287</v>
      </c>
      <c r="I671">
        <f t="shared" si="593"/>
        <v>0.91269158740350276</v>
      </c>
      <c r="J671">
        <f t="shared" si="583"/>
        <v>6.9751905370212475E+19</v>
      </c>
      <c r="K671">
        <f t="shared" si="584"/>
        <v>6.9751905370212475E+19</v>
      </c>
      <c r="L671">
        <f t="shared" si="597"/>
        <v>0</v>
      </c>
      <c r="M671">
        <f t="shared" si="594"/>
        <v>1.1498229112138642E-20</v>
      </c>
      <c r="N671" s="9">
        <f t="shared" si="585"/>
        <v>0</v>
      </c>
      <c r="O671">
        <f t="shared" si="586"/>
        <v>0</v>
      </c>
      <c r="Q671">
        <f t="shared" si="598"/>
        <v>45.691476411356852</v>
      </c>
      <c r="R671">
        <f t="shared" si="599"/>
        <v>0</v>
      </c>
      <c r="S671">
        <f t="shared" si="621"/>
        <v>-45.912093919612282</v>
      </c>
      <c r="T671" s="9" t="e">
        <f t="shared" si="600"/>
        <v>#N/A</v>
      </c>
      <c r="U671">
        <f t="shared" si="622"/>
        <v>-1.0000000000000001E+300</v>
      </c>
      <c r="V671">
        <f t="shared" si="623"/>
        <v>0</v>
      </c>
      <c r="W671">
        <f t="shared" si="624"/>
        <v>0</v>
      </c>
      <c r="X671">
        <f t="shared" si="601"/>
        <v>1.1498229112138643</v>
      </c>
      <c r="Y671">
        <f t="shared" si="602"/>
        <v>7.8539816339744828</v>
      </c>
      <c r="Z671">
        <f t="shared" si="603"/>
        <v>-1.1498229112138643</v>
      </c>
      <c r="AA671">
        <f t="shared" si="625"/>
        <v>-0.51482239484088566</v>
      </c>
      <c r="AB671">
        <f t="shared" si="604"/>
        <v>7.3391592391335969</v>
      </c>
      <c r="AC671">
        <f t="shared" si="626"/>
        <v>-0.3119747650208255</v>
      </c>
      <c r="AD671">
        <f t="shared" si="605"/>
        <v>9.1357256765394981E-2</v>
      </c>
      <c r="AE671" s="9">
        <f t="shared" si="627"/>
        <v>7.1185417308781664</v>
      </c>
      <c r="AF671">
        <f t="shared" si="628"/>
        <v>0</v>
      </c>
      <c r="AH671">
        <f t="shared" si="606"/>
        <v>7.8539816339744828</v>
      </c>
      <c r="AI671">
        <f t="shared" si="607"/>
        <v>-0.51482239484088543</v>
      </c>
      <c r="AJ671">
        <f t="shared" si="608"/>
        <v>-0.31197476502082111</v>
      </c>
      <c r="AK671">
        <f t="shared" si="609"/>
        <v>9.1357256765394981E-2</v>
      </c>
      <c r="AL671" s="9">
        <f t="shared" si="629"/>
        <v>7.1185417308781709</v>
      </c>
      <c r="AM671" t="e">
        <f t="shared" si="610"/>
        <v>#N/A</v>
      </c>
      <c r="AN671" t="e">
        <f t="shared" si="630"/>
        <v>#N/A</v>
      </c>
      <c r="AO671">
        <f t="shared" si="611"/>
        <v>0</v>
      </c>
      <c r="AP671">
        <f t="shared" si="612"/>
        <v>0</v>
      </c>
      <c r="AQ671">
        <f t="shared" si="613"/>
        <v>4.3853809472693683E-15</v>
      </c>
      <c r="AR671">
        <f t="shared" si="631"/>
        <v>0</v>
      </c>
      <c r="AS671">
        <f t="shared" si="614"/>
        <v>0</v>
      </c>
      <c r="AT671">
        <f t="shared" si="632"/>
        <v>0</v>
      </c>
      <c r="AU671">
        <f t="shared" si="633"/>
        <v>0</v>
      </c>
      <c r="AV671">
        <f t="shared" si="615"/>
        <v>1.1498229112138642E-20</v>
      </c>
      <c r="AW671" t="b">
        <f t="shared" si="634"/>
        <v>1</v>
      </c>
      <c r="AX671">
        <f t="shared" si="616"/>
        <v>7.8539816339744828</v>
      </c>
      <c r="AY671">
        <f t="shared" si="617"/>
        <v>-0.51482239484088566</v>
      </c>
      <c r="AZ671">
        <f t="shared" si="618"/>
        <v>-0.3119747650208255</v>
      </c>
      <c r="BA671">
        <f t="shared" si="619"/>
        <v>9.1357256765395106E-2</v>
      </c>
      <c r="BB671">
        <f t="shared" si="620"/>
        <v>-1.2337005501361696E-20</v>
      </c>
      <c r="BD671" s="15">
        <f t="shared" si="635"/>
        <v>7.1185417308781664</v>
      </c>
      <c r="BE671" s="10">
        <f t="shared" si="636"/>
        <v>0</v>
      </c>
      <c r="BF671">
        <f t="shared" si="637"/>
        <v>0</v>
      </c>
      <c r="BG671">
        <f t="shared" si="638"/>
        <v>0</v>
      </c>
      <c r="BH671">
        <f t="shared" si="639"/>
        <v>0</v>
      </c>
      <c r="BI671">
        <f t="shared" si="640"/>
        <v>0</v>
      </c>
    </row>
    <row r="672" spans="1:61" x14ac:dyDescent="0.3">
      <c r="A672">
        <f t="shared" si="587"/>
        <v>0.63500000000000001</v>
      </c>
      <c r="B672">
        <f t="shared" si="588"/>
        <v>1.9949113350295187</v>
      </c>
      <c r="C672">
        <f t="shared" si="589"/>
        <v>1.1466813185602744</v>
      </c>
      <c r="D672">
        <f t="shared" si="590"/>
        <v>1.1466813185602744</v>
      </c>
      <c r="E672">
        <f t="shared" si="595"/>
        <v>0.91140327663544529</v>
      </c>
      <c r="F672">
        <f t="shared" si="596"/>
        <v>0.91140327663544518</v>
      </c>
      <c r="G672">
        <f t="shared" si="591"/>
        <v>1.9949113350295187</v>
      </c>
      <c r="H672">
        <f t="shared" si="592"/>
        <v>0.91140327663544529</v>
      </c>
      <c r="I672">
        <f t="shared" si="593"/>
        <v>0.91140327663544518</v>
      </c>
      <c r="J672">
        <f t="shared" si="583"/>
        <v>6.9850502920917713E+19</v>
      </c>
      <c r="K672">
        <f t="shared" si="584"/>
        <v>6.9850502920917713E+19</v>
      </c>
      <c r="L672">
        <f t="shared" si="597"/>
        <v>1</v>
      </c>
      <c r="M672">
        <f t="shared" si="594"/>
        <v>1.1466813185602746E-20</v>
      </c>
      <c r="N672" s="9">
        <f t="shared" si="585"/>
        <v>1.1466813185602746E-20</v>
      </c>
      <c r="O672">
        <f t="shared" si="586"/>
        <v>1.1466813185602746E-20</v>
      </c>
      <c r="Q672">
        <f t="shared" si="598"/>
        <v>45.692888959583009</v>
      </c>
      <c r="R672">
        <f t="shared" si="599"/>
        <v>-710542.73576010019</v>
      </c>
      <c r="S672">
        <f t="shared" si="621"/>
        <v>-45.914829899431162</v>
      </c>
      <c r="T672" s="9" t="e">
        <f t="shared" si="600"/>
        <v>#N/A</v>
      </c>
      <c r="U672">
        <f t="shared" si="622"/>
        <v>-1.0000000000000001E+300</v>
      </c>
      <c r="V672">
        <f t="shared" si="623"/>
        <v>0</v>
      </c>
      <c r="W672">
        <f t="shared" si="624"/>
        <v>0</v>
      </c>
      <c r="X672">
        <f t="shared" si="601"/>
        <v>1.1466813185602744</v>
      </c>
      <c r="Y672">
        <f t="shared" si="602"/>
        <v>7.8539816339744828</v>
      </c>
      <c r="Z672">
        <f t="shared" si="603"/>
        <v>-1.1466813185602744</v>
      </c>
      <c r="AA672">
        <f t="shared" si="625"/>
        <v>-0.51774646792337431</v>
      </c>
      <c r="AB672">
        <f t="shared" si="604"/>
        <v>7.3362351660511083</v>
      </c>
      <c r="AC672">
        <f t="shared" si="626"/>
        <v>-0.31471074483970024</v>
      </c>
      <c r="AD672">
        <f t="shared" si="605"/>
        <v>9.2769804991552504E-2</v>
      </c>
      <c r="AE672" s="9">
        <f t="shared" si="627"/>
        <v>7.1142942262029605</v>
      </c>
      <c r="AF672">
        <f t="shared" si="628"/>
        <v>0</v>
      </c>
      <c r="AH672">
        <f t="shared" si="606"/>
        <v>7.8539816339744828</v>
      </c>
      <c r="AI672">
        <f t="shared" si="607"/>
        <v>-0.51774646792337442</v>
      </c>
      <c r="AJ672">
        <f t="shared" si="608"/>
        <v>-0.31471074483970085</v>
      </c>
      <c r="AK672">
        <f t="shared" si="609"/>
        <v>9.2769804991552504E-2</v>
      </c>
      <c r="AL672" s="9">
        <f t="shared" si="629"/>
        <v>7.1142942262029596</v>
      </c>
      <c r="AM672" t="e">
        <f t="shared" si="610"/>
        <v>#N/A</v>
      </c>
      <c r="AN672" t="e">
        <f t="shared" si="630"/>
        <v>#N/A</v>
      </c>
      <c r="AO672">
        <f t="shared" si="611"/>
        <v>0</v>
      </c>
      <c r="AP672">
        <f t="shared" si="612"/>
        <v>0</v>
      </c>
      <c r="AQ672">
        <f t="shared" si="613"/>
        <v>-6.106226635438361E-16</v>
      </c>
      <c r="AR672">
        <f t="shared" si="631"/>
        <v>0</v>
      </c>
      <c r="AS672">
        <f t="shared" si="614"/>
        <v>0</v>
      </c>
      <c r="AT672">
        <f t="shared" si="632"/>
        <v>0</v>
      </c>
      <c r="AU672">
        <f t="shared" si="633"/>
        <v>0</v>
      </c>
      <c r="AV672">
        <f t="shared" si="615"/>
        <v>1.1466813185602744E-20</v>
      </c>
      <c r="AW672" t="b">
        <f t="shared" si="634"/>
        <v>1</v>
      </c>
      <c r="AX672">
        <f t="shared" si="616"/>
        <v>7.8539816339744828</v>
      </c>
      <c r="AY672">
        <f t="shared" si="617"/>
        <v>-0.51774646792337431</v>
      </c>
      <c r="AZ672">
        <f t="shared" si="618"/>
        <v>-0.31471074483970024</v>
      </c>
      <c r="BA672">
        <f t="shared" si="619"/>
        <v>9.2769804991552629E-2</v>
      </c>
      <c r="BB672">
        <f t="shared" si="620"/>
        <v>-1.2337005501361696E-20</v>
      </c>
      <c r="BD672" s="15">
        <f t="shared" si="635"/>
        <v>7.1142942262029614</v>
      </c>
      <c r="BE672" s="10">
        <f t="shared" si="636"/>
        <v>0</v>
      </c>
      <c r="BF672">
        <f t="shared" si="637"/>
        <v>0</v>
      </c>
      <c r="BG672">
        <f t="shared" si="638"/>
        <v>0</v>
      </c>
      <c r="BH672">
        <f t="shared" si="639"/>
        <v>0</v>
      </c>
      <c r="BI672">
        <f t="shared" si="640"/>
        <v>0</v>
      </c>
    </row>
    <row r="673" spans="1:61" x14ac:dyDescent="0.3">
      <c r="A673">
        <f t="shared" si="587"/>
        <v>0.63600000000000001</v>
      </c>
      <c r="B673">
        <f t="shared" si="588"/>
        <v>1.9980529276831085</v>
      </c>
      <c r="C673">
        <f t="shared" si="589"/>
        <v>1.1435397259066846</v>
      </c>
      <c r="D673">
        <f t="shared" si="590"/>
        <v>1.1435397259066846</v>
      </c>
      <c r="E673">
        <f t="shared" si="595"/>
        <v>0.91010597068499566</v>
      </c>
      <c r="F673">
        <f t="shared" si="596"/>
        <v>0.91010597068499566</v>
      </c>
      <c r="G673">
        <f t="shared" si="591"/>
        <v>1.9980529276831085</v>
      </c>
      <c r="H673">
        <f t="shared" si="592"/>
        <v>0.91010597068499566</v>
      </c>
      <c r="I673">
        <f t="shared" si="593"/>
        <v>0.91010597068499566</v>
      </c>
      <c r="J673">
        <f t="shared" si="583"/>
        <v>6.9950070966837682E+19</v>
      </c>
      <c r="K673">
        <f t="shared" si="584"/>
        <v>6.9950070966837682E+19</v>
      </c>
      <c r="L673" t="e">
        <f t="shared" si="597"/>
        <v>#NUM!</v>
      </c>
      <c r="M673">
        <f t="shared" si="594"/>
        <v>1.1435397259066846E-20</v>
      </c>
      <c r="N673" s="9" t="e">
        <f t="shared" si="585"/>
        <v>#NUM!</v>
      </c>
      <c r="O673" t="e">
        <f t="shared" si="586"/>
        <v>#NUM!</v>
      </c>
      <c r="Q673">
        <f t="shared" si="598"/>
        <v>45.694313389540433</v>
      </c>
      <c r="R673">
        <f t="shared" si="599"/>
        <v>0</v>
      </c>
      <c r="S673">
        <f t="shared" si="621"/>
        <v>-45.917573385376912</v>
      </c>
      <c r="T673" s="9" t="e">
        <f t="shared" si="600"/>
        <v>#N/A</v>
      </c>
      <c r="U673">
        <f t="shared" si="622"/>
        <v>-1.0000000000000001E+300</v>
      </c>
      <c r="V673">
        <f t="shared" si="623"/>
        <v>0</v>
      </c>
      <c r="W673">
        <f t="shared" si="624"/>
        <v>0</v>
      </c>
      <c r="X673">
        <f t="shared" si="601"/>
        <v>1.1435397259066846</v>
      </c>
      <c r="Y673">
        <f t="shared" si="602"/>
        <v>7.8539816339744828</v>
      </c>
      <c r="Z673">
        <f t="shared" si="603"/>
        <v>-1.1435397259066846</v>
      </c>
      <c r="AA673">
        <f t="shared" si="625"/>
        <v>-0.52065908100222025</v>
      </c>
      <c r="AB673">
        <f t="shared" si="604"/>
        <v>7.3333225529722625</v>
      </c>
      <c r="AC673">
        <f t="shared" si="626"/>
        <v>-0.3174542307854511</v>
      </c>
      <c r="AD673">
        <f t="shared" si="605"/>
        <v>9.4194234948974845E-2</v>
      </c>
      <c r="AE673" s="9">
        <f t="shared" si="627"/>
        <v>7.1100625571357865</v>
      </c>
      <c r="AF673">
        <f t="shared" si="628"/>
        <v>0</v>
      </c>
      <c r="AH673">
        <f t="shared" si="606"/>
        <v>7.8539816339744828</v>
      </c>
      <c r="AI673">
        <f t="shared" si="607"/>
        <v>-0.52065908100221991</v>
      </c>
      <c r="AJ673">
        <f t="shared" si="608"/>
        <v>-0.31745423078545087</v>
      </c>
      <c r="AK673">
        <f t="shared" si="609"/>
        <v>9.4194234948974845E-2</v>
      </c>
      <c r="AL673" s="9">
        <f t="shared" si="629"/>
        <v>7.1100625571357865</v>
      </c>
      <c r="AM673" t="e">
        <f t="shared" si="610"/>
        <v>#N/A</v>
      </c>
      <c r="AN673" t="e">
        <f t="shared" si="630"/>
        <v>#N/A</v>
      </c>
      <c r="AO673">
        <f t="shared" si="611"/>
        <v>0</v>
      </c>
      <c r="AP673">
        <f t="shared" si="612"/>
        <v>0</v>
      </c>
      <c r="AQ673">
        <f t="shared" si="613"/>
        <v>0</v>
      </c>
      <c r="AR673">
        <f t="shared" si="631"/>
        <v>0</v>
      </c>
      <c r="AS673">
        <f t="shared" si="614"/>
        <v>0</v>
      </c>
      <c r="AT673">
        <f t="shared" si="632"/>
        <v>0</v>
      </c>
      <c r="AU673">
        <f t="shared" si="633"/>
        <v>0</v>
      </c>
      <c r="AV673">
        <f t="shared" si="615"/>
        <v>1.1435397259066846E-20</v>
      </c>
      <c r="AW673" t="b">
        <f t="shared" si="634"/>
        <v>1</v>
      </c>
      <c r="AX673">
        <f t="shared" si="616"/>
        <v>7.8539816339744828</v>
      </c>
      <c r="AY673">
        <f t="shared" si="617"/>
        <v>-0.52065908100222036</v>
      </c>
      <c r="AZ673">
        <f t="shared" si="618"/>
        <v>-0.3174542307854511</v>
      </c>
      <c r="BA673">
        <f t="shared" si="619"/>
        <v>9.4194234948974845E-2</v>
      </c>
      <c r="BB673">
        <f t="shared" si="620"/>
        <v>-1.2337005501361696E-20</v>
      </c>
      <c r="BD673" s="15">
        <f t="shared" si="635"/>
        <v>7.1100625571357865</v>
      </c>
      <c r="BE673" s="10">
        <f t="shared" si="636"/>
        <v>0</v>
      </c>
      <c r="BF673">
        <f t="shared" si="637"/>
        <v>0</v>
      </c>
      <c r="BG673">
        <f t="shared" si="638"/>
        <v>0</v>
      </c>
      <c r="BH673">
        <f t="shared" si="639"/>
        <v>0</v>
      </c>
      <c r="BI673">
        <f t="shared" si="640"/>
        <v>0</v>
      </c>
    </row>
    <row r="674" spans="1:61" x14ac:dyDescent="0.3">
      <c r="A674">
        <f t="shared" si="587"/>
        <v>0.63700000000000001</v>
      </c>
      <c r="B674">
        <f t="shared" si="588"/>
        <v>2.0011945203366981</v>
      </c>
      <c r="C674">
        <f t="shared" si="589"/>
        <v>1.140398133253095</v>
      </c>
      <c r="D674">
        <f t="shared" si="590"/>
        <v>1.140398133253095</v>
      </c>
      <c r="E674">
        <f t="shared" si="595"/>
        <v>0.90879968235604014</v>
      </c>
      <c r="F674">
        <f t="shared" si="596"/>
        <v>0.90879968235604014</v>
      </c>
      <c r="G674">
        <f t="shared" si="591"/>
        <v>2.0011945203366981</v>
      </c>
      <c r="H674">
        <f t="shared" si="592"/>
        <v>0.90879968235604014</v>
      </c>
      <c r="I674">
        <f t="shared" si="593"/>
        <v>0.90879968235604014</v>
      </c>
      <c r="J674">
        <f t="shared" si="583"/>
        <v>7.005061563370718E+19</v>
      </c>
      <c r="K674">
        <f t="shared" si="584"/>
        <v>7.005061563370718E+19</v>
      </c>
      <c r="L674">
        <f t="shared" si="597"/>
        <v>1</v>
      </c>
      <c r="M674">
        <f t="shared" si="594"/>
        <v>1.1403981332530949E-20</v>
      </c>
      <c r="N674" s="9">
        <f t="shared" si="585"/>
        <v>1.1403981332530949E-20</v>
      </c>
      <c r="O674">
        <f t="shared" si="586"/>
        <v>1.1403981332530949E-20</v>
      </c>
      <c r="Q674">
        <f t="shared" si="598"/>
        <v>45.695749735126974</v>
      </c>
      <c r="R674">
        <f t="shared" si="599"/>
        <v>0</v>
      </c>
      <c r="S674">
        <f t="shared" si="621"/>
        <v>-45.920324418748798</v>
      </c>
      <c r="T674" s="9" t="e">
        <f t="shared" si="600"/>
        <v>#N/A</v>
      </c>
      <c r="U674">
        <f t="shared" si="622"/>
        <v>-1.0000000000000001E+300</v>
      </c>
      <c r="V674">
        <f t="shared" si="623"/>
        <v>0</v>
      </c>
      <c r="W674">
        <f t="shared" si="624"/>
        <v>0</v>
      </c>
      <c r="X674">
        <f t="shared" si="601"/>
        <v>1.140398133253095</v>
      </c>
      <c r="Y674">
        <f t="shared" si="602"/>
        <v>7.8539816339744828</v>
      </c>
      <c r="Z674">
        <f t="shared" si="603"/>
        <v>-1.140398133253095</v>
      </c>
      <c r="AA674">
        <f t="shared" si="625"/>
        <v>-0.52356027079418765</v>
      </c>
      <c r="AB674">
        <f t="shared" si="604"/>
        <v>7.330421363180295</v>
      </c>
      <c r="AC674">
        <f t="shared" si="626"/>
        <v>-0.32020526415734085</v>
      </c>
      <c r="AD674">
        <f t="shared" si="605"/>
        <v>9.5630580535513543E-2</v>
      </c>
      <c r="AE674" s="9">
        <f t="shared" si="627"/>
        <v>7.1058466795584678</v>
      </c>
      <c r="AF674">
        <f t="shared" si="628"/>
        <v>0</v>
      </c>
      <c r="AH674">
        <f t="shared" si="606"/>
        <v>7.8539816339744828</v>
      </c>
      <c r="AI674">
        <f t="shared" si="607"/>
        <v>-0.52356027079418754</v>
      </c>
      <c r="AJ674">
        <f t="shared" si="608"/>
        <v>-0.32020526415733741</v>
      </c>
      <c r="AK674">
        <f t="shared" si="609"/>
        <v>9.5630580535513543E-2</v>
      </c>
      <c r="AL674" s="9">
        <f t="shared" si="629"/>
        <v>7.1058466795584714</v>
      </c>
      <c r="AM674" t="e">
        <f t="shared" si="610"/>
        <v>#N/A</v>
      </c>
      <c r="AN674" t="e">
        <f t="shared" si="630"/>
        <v>#N/A</v>
      </c>
      <c r="AO674">
        <f t="shared" si="611"/>
        <v>0</v>
      </c>
      <c r="AP674">
        <f t="shared" si="612"/>
        <v>0</v>
      </c>
      <c r="AQ674">
        <f t="shared" si="613"/>
        <v>3.4416913763379853E-15</v>
      </c>
      <c r="AR674">
        <f t="shared" si="631"/>
        <v>0</v>
      </c>
      <c r="AS674">
        <f t="shared" si="614"/>
        <v>0</v>
      </c>
      <c r="AT674">
        <f t="shared" si="632"/>
        <v>0</v>
      </c>
      <c r="AU674">
        <f t="shared" si="633"/>
        <v>0</v>
      </c>
      <c r="AV674">
        <f t="shared" si="615"/>
        <v>1.1403981332530949E-20</v>
      </c>
      <c r="AW674" t="b">
        <f t="shared" si="634"/>
        <v>1</v>
      </c>
      <c r="AX674">
        <f t="shared" si="616"/>
        <v>7.8539816339744828</v>
      </c>
      <c r="AY674">
        <f t="shared" si="617"/>
        <v>-0.52356027079418765</v>
      </c>
      <c r="AZ674">
        <f t="shared" si="618"/>
        <v>-0.32020526415734085</v>
      </c>
      <c r="BA674">
        <f t="shared" si="619"/>
        <v>9.5630580535513543E-2</v>
      </c>
      <c r="BB674">
        <f t="shared" si="620"/>
        <v>-1.2337005501361696E-20</v>
      </c>
      <c r="BD674" s="15">
        <f t="shared" si="635"/>
        <v>7.1058466795584678</v>
      </c>
      <c r="BE674" s="10">
        <f t="shared" si="636"/>
        <v>0</v>
      </c>
      <c r="BF674">
        <f t="shared" si="637"/>
        <v>0</v>
      </c>
      <c r="BG674">
        <f t="shared" si="638"/>
        <v>0</v>
      </c>
      <c r="BH674">
        <f t="shared" si="639"/>
        <v>0</v>
      </c>
      <c r="BI674">
        <f t="shared" si="640"/>
        <v>0</v>
      </c>
    </row>
    <row r="675" spans="1:61" x14ac:dyDescent="0.3">
      <c r="A675">
        <f t="shared" si="587"/>
        <v>0.63800000000000001</v>
      </c>
      <c r="B675">
        <f t="shared" si="588"/>
        <v>2.0043361129902881</v>
      </c>
      <c r="C675">
        <f t="shared" si="589"/>
        <v>1.137256540599505</v>
      </c>
      <c r="D675">
        <f t="shared" si="590"/>
        <v>1.137256540599505</v>
      </c>
      <c r="E675">
        <f t="shared" si="595"/>
        <v>0.90748442454111689</v>
      </c>
      <c r="F675">
        <f t="shared" si="596"/>
        <v>0.90748442454111689</v>
      </c>
      <c r="G675">
        <f t="shared" si="591"/>
        <v>2.0043361129902881</v>
      </c>
      <c r="H675">
        <f t="shared" si="592"/>
        <v>0.90748442454111689</v>
      </c>
      <c r="I675">
        <f t="shared" si="593"/>
        <v>0.90748442454111689</v>
      </c>
      <c r="J675">
        <f t="shared" si="583"/>
        <v>7.0152143127910736E+19</v>
      </c>
      <c r="K675">
        <f t="shared" si="584"/>
        <v>7.0152143127910736E+19</v>
      </c>
      <c r="L675">
        <f t="shared" si="597"/>
        <v>1</v>
      </c>
      <c r="M675">
        <f t="shared" si="594"/>
        <v>1.137256540599505E-20</v>
      </c>
      <c r="N675" s="9">
        <f t="shared" si="585"/>
        <v>1.137256540599505E-20</v>
      </c>
      <c r="O675">
        <f t="shared" si="586"/>
        <v>1.137256540599505E-20</v>
      </c>
      <c r="Q675">
        <f t="shared" si="598"/>
        <v>45.697198030621969</v>
      </c>
      <c r="R675">
        <f t="shared" si="599"/>
        <v>0</v>
      </c>
      <c r="S675">
        <f t="shared" si="621"/>
        <v>-45.92308304118788</v>
      </c>
      <c r="T675" s="9" t="e">
        <f t="shared" si="600"/>
        <v>#N/A</v>
      </c>
      <c r="U675">
        <f t="shared" si="622"/>
        <v>-1.0000000000000001E+300</v>
      </c>
      <c r="V675">
        <f t="shared" si="623"/>
        <v>0</v>
      </c>
      <c r="W675">
        <f t="shared" si="624"/>
        <v>0</v>
      </c>
      <c r="X675">
        <f t="shared" si="601"/>
        <v>1.137256540599505</v>
      </c>
      <c r="Y675">
        <f t="shared" si="602"/>
        <v>7.8539816339744828</v>
      </c>
      <c r="Z675">
        <f t="shared" si="603"/>
        <v>-1.137256540599505</v>
      </c>
      <c r="AA675">
        <f t="shared" si="625"/>
        <v>-0.52645007377444863</v>
      </c>
      <c r="AB675">
        <f t="shared" si="604"/>
        <v>7.3275315602000344</v>
      </c>
      <c r="AC675">
        <f t="shared" si="626"/>
        <v>-0.32296388659642089</v>
      </c>
      <c r="AD675">
        <f t="shared" si="605"/>
        <v>9.7078876030509451E-2</v>
      </c>
      <c r="AE675" s="9">
        <f t="shared" si="627"/>
        <v>7.1016465496341228</v>
      </c>
      <c r="AF675">
        <f t="shared" si="628"/>
        <v>0</v>
      </c>
      <c r="AH675">
        <f t="shared" si="606"/>
        <v>7.8539816339744828</v>
      </c>
      <c r="AI675">
        <f t="shared" si="607"/>
        <v>-0.52645007377444841</v>
      </c>
      <c r="AJ675">
        <f t="shared" si="608"/>
        <v>-0.32296388659641906</v>
      </c>
      <c r="AK675">
        <f t="shared" si="609"/>
        <v>9.7078876030509451E-2</v>
      </c>
      <c r="AL675" s="9">
        <f t="shared" si="629"/>
        <v>7.1016465496341246</v>
      </c>
      <c r="AM675" t="e">
        <f t="shared" si="610"/>
        <v>#N/A</v>
      </c>
      <c r="AN675" t="e">
        <f t="shared" si="630"/>
        <v>#N/A</v>
      </c>
      <c r="AO675">
        <f t="shared" si="611"/>
        <v>0</v>
      </c>
      <c r="AP675">
        <f t="shared" si="612"/>
        <v>0</v>
      </c>
      <c r="AQ675">
        <f t="shared" si="613"/>
        <v>1.8318679906315083E-15</v>
      </c>
      <c r="AR675">
        <f t="shared" si="631"/>
        <v>0</v>
      </c>
      <c r="AS675">
        <f t="shared" si="614"/>
        <v>0</v>
      </c>
      <c r="AT675">
        <f t="shared" si="632"/>
        <v>0</v>
      </c>
      <c r="AU675">
        <f t="shared" si="633"/>
        <v>0</v>
      </c>
      <c r="AV675">
        <f t="shared" si="615"/>
        <v>1.137256540599505E-20</v>
      </c>
      <c r="AW675" t="b">
        <f t="shared" si="634"/>
        <v>1</v>
      </c>
      <c r="AX675">
        <f t="shared" si="616"/>
        <v>7.8539816339744828</v>
      </c>
      <c r="AY675">
        <f t="shared" si="617"/>
        <v>-0.52645007377444875</v>
      </c>
      <c r="AZ675">
        <f t="shared" si="618"/>
        <v>-0.32296388659642072</v>
      </c>
      <c r="BA675">
        <f t="shared" si="619"/>
        <v>9.7078876030509451E-2</v>
      </c>
      <c r="BB675">
        <f t="shared" si="620"/>
        <v>-1.2337005501361696E-20</v>
      </c>
      <c r="BD675" s="15">
        <f t="shared" si="635"/>
        <v>7.1016465496341228</v>
      </c>
      <c r="BE675" s="10">
        <f t="shared" si="636"/>
        <v>0</v>
      </c>
      <c r="BF675">
        <f t="shared" si="637"/>
        <v>0</v>
      </c>
      <c r="BG675">
        <f t="shared" si="638"/>
        <v>0</v>
      </c>
      <c r="BH675">
        <f t="shared" si="639"/>
        <v>0</v>
      </c>
      <c r="BI675">
        <f t="shared" si="640"/>
        <v>0</v>
      </c>
    </row>
    <row r="676" spans="1:61" x14ac:dyDescent="0.3">
      <c r="A676">
        <f t="shared" si="587"/>
        <v>0.63900000000000001</v>
      </c>
      <c r="B676">
        <f t="shared" si="588"/>
        <v>2.0074777056438777</v>
      </c>
      <c r="C676">
        <f t="shared" si="589"/>
        <v>1.1341149479459154</v>
      </c>
      <c r="D676">
        <f t="shared" si="590"/>
        <v>1.1341149479459154</v>
      </c>
      <c r="E676">
        <f t="shared" si="595"/>
        <v>0.9061602102212899</v>
      </c>
      <c r="F676">
        <f t="shared" si="596"/>
        <v>0.9061602102212899</v>
      </c>
      <c r="G676">
        <f t="shared" si="591"/>
        <v>2.0074777056438777</v>
      </c>
      <c r="H676">
        <f t="shared" si="592"/>
        <v>0.9061602102212899</v>
      </c>
      <c r="I676">
        <f t="shared" si="593"/>
        <v>0.9061602102212899</v>
      </c>
      <c r="J676">
        <f t="shared" si="583"/>
        <v>7.0254659737499943E+19</v>
      </c>
      <c r="K676">
        <f t="shared" si="584"/>
        <v>7.0254659737499943E+19</v>
      </c>
      <c r="L676">
        <f t="shared" si="597"/>
        <v>1</v>
      </c>
      <c r="M676">
        <f t="shared" si="594"/>
        <v>1.1341149479459153E-20</v>
      </c>
      <c r="N676" s="9">
        <f t="shared" si="585"/>
        <v>1.1341149479459153E-20</v>
      </c>
      <c r="O676">
        <f t="shared" si="586"/>
        <v>1.1341149479459153E-20</v>
      </c>
      <c r="Q676">
        <f t="shared" si="598"/>
        <v>45.698658310689808</v>
      </c>
      <c r="R676">
        <f t="shared" si="599"/>
        <v>0</v>
      </c>
      <c r="S676">
        <f t="shared" si="621"/>
        <v>-45.925849294680766</v>
      </c>
      <c r="T676" s="9" t="e">
        <f t="shared" si="600"/>
        <v>#N/A</v>
      </c>
      <c r="U676">
        <f t="shared" si="622"/>
        <v>-1.0000000000000001E+300</v>
      </c>
      <c r="V676">
        <f t="shared" si="623"/>
        <v>0</v>
      </c>
      <c r="W676">
        <f t="shared" si="624"/>
        <v>0</v>
      </c>
      <c r="X676">
        <f t="shared" si="601"/>
        <v>1.1341149479459154</v>
      </c>
      <c r="Y676">
        <f t="shared" si="602"/>
        <v>7.8539816339744828</v>
      </c>
      <c r="Z676">
        <f t="shared" si="603"/>
        <v>-1.1341149479459154</v>
      </c>
      <c r="AA676">
        <f t="shared" si="625"/>
        <v>-0.52932852617837878</v>
      </c>
      <c r="AB676">
        <f t="shared" si="604"/>
        <v>7.3246531077961041</v>
      </c>
      <c r="AC676">
        <f t="shared" si="626"/>
        <v>-0.32573014008931073</v>
      </c>
      <c r="AD676">
        <f t="shared" si="605"/>
        <v>9.8539156098346792E-2</v>
      </c>
      <c r="AE676" s="9">
        <f t="shared" si="627"/>
        <v>7.0974621238051396</v>
      </c>
      <c r="AF676">
        <f t="shared" si="628"/>
        <v>0</v>
      </c>
      <c r="AH676">
        <f t="shared" si="606"/>
        <v>7.8539816339744828</v>
      </c>
      <c r="AI676">
        <f t="shared" si="607"/>
        <v>-0.52932852617837867</v>
      </c>
      <c r="AJ676">
        <f t="shared" si="608"/>
        <v>-0.32573014008930556</v>
      </c>
      <c r="AK676">
        <f t="shared" si="609"/>
        <v>9.8539156098346792E-2</v>
      </c>
      <c r="AL676" s="9">
        <f t="shared" si="629"/>
        <v>7.097462123805145</v>
      </c>
      <c r="AM676" t="e">
        <f t="shared" si="610"/>
        <v>#N/A</v>
      </c>
      <c r="AN676" t="e">
        <f t="shared" si="630"/>
        <v>#N/A</v>
      </c>
      <c r="AO676">
        <f t="shared" si="611"/>
        <v>0</v>
      </c>
      <c r="AP676">
        <f t="shared" si="612"/>
        <v>0</v>
      </c>
      <c r="AQ676">
        <f t="shared" si="613"/>
        <v>5.1625370645069779E-15</v>
      </c>
      <c r="AR676">
        <f t="shared" si="631"/>
        <v>0</v>
      </c>
      <c r="AS676">
        <f t="shared" si="614"/>
        <v>0</v>
      </c>
      <c r="AT676">
        <f t="shared" si="632"/>
        <v>0</v>
      </c>
      <c r="AU676">
        <f t="shared" si="633"/>
        <v>0</v>
      </c>
      <c r="AV676">
        <f t="shared" si="615"/>
        <v>1.1341149479459153E-20</v>
      </c>
      <c r="AW676" t="b">
        <f t="shared" si="634"/>
        <v>1</v>
      </c>
      <c r="AX676">
        <f t="shared" si="616"/>
        <v>7.8539816339744828</v>
      </c>
      <c r="AY676">
        <f t="shared" si="617"/>
        <v>-0.52932852617837889</v>
      </c>
      <c r="AZ676">
        <f t="shared" si="618"/>
        <v>-0.32573014008931073</v>
      </c>
      <c r="BA676">
        <f t="shared" si="619"/>
        <v>9.8539156098346792E-2</v>
      </c>
      <c r="BB676">
        <f t="shared" si="620"/>
        <v>-1.2337005501361696E-20</v>
      </c>
      <c r="BD676" s="15">
        <f t="shared" si="635"/>
        <v>7.0974621238051396</v>
      </c>
      <c r="BE676" s="10">
        <f t="shared" si="636"/>
        <v>0</v>
      </c>
      <c r="BF676">
        <f t="shared" si="637"/>
        <v>0</v>
      </c>
      <c r="BG676">
        <f t="shared" si="638"/>
        <v>0</v>
      </c>
      <c r="BH676">
        <f t="shared" si="639"/>
        <v>0</v>
      </c>
      <c r="BI676">
        <f t="shared" si="640"/>
        <v>0</v>
      </c>
    </row>
    <row r="677" spans="1:61" x14ac:dyDescent="0.3">
      <c r="A677">
        <f t="shared" si="587"/>
        <v>0.64</v>
      </c>
      <c r="B677">
        <f t="shared" si="588"/>
        <v>2.0106192982974678</v>
      </c>
      <c r="C677">
        <f t="shared" si="589"/>
        <v>1.1309733552923253</v>
      </c>
      <c r="D677">
        <f t="shared" si="590"/>
        <v>1.1309733552923253</v>
      </c>
      <c r="E677">
        <f t="shared" si="595"/>
        <v>0.90482705246601947</v>
      </c>
      <c r="F677">
        <f t="shared" si="596"/>
        <v>0.90482705246601947</v>
      </c>
      <c r="G677">
        <f t="shared" si="591"/>
        <v>2.0106192982974678</v>
      </c>
      <c r="H677">
        <f t="shared" si="592"/>
        <v>0.90482705246601947</v>
      </c>
      <c r="I677">
        <f t="shared" si="593"/>
        <v>0.90482705246601947</v>
      </c>
      <c r="J677">
        <f t="shared" ref="J677:J740" si="641">x_m_zeta/H677</f>
        <v>7.0358171833228812E+19</v>
      </c>
      <c r="K677">
        <f t="shared" ref="K677:K740" si="642">(J677)^alpha</f>
        <v>7.0358171833228812E+19</v>
      </c>
      <c r="L677">
        <f t="shared" si="597"/>
        <v>0</v>
      </c>
      <c r="M677">
        <f t="shared" si="594"/>
        <v>1.1309733552923253E-20</v>
      </c>
      <c r="N677" s="9">
        <f t="shared" si="585"/>
        <v>0</v>
      </c>
      <c r="O677">
        <f t="shared" si="586"/>
        <v>0</v>
      </c>
      <c r="Q677">
        <f t="shared" si="598"/>
        <v>45.700130610383525</v>
      </c>
      <c r="R677">
        <f t="shared" si="599"/>
        <v>0</v>
      </c>
      <c r="S677">
        <f t="shared" si="621"/>
        <v>-45.928623221563498</v>
      </c>
      <c r="T677" s="9" t="e">
        <f t="shared" si="600"/>
        <v>#N/A</v>
      </c>
      <c r="U677">
        <f t="shared" si="622"/>
        <v>-1.0000000000000001E+300</v>
      </c>
      <c r="V677">
        <f t="shared" si="623"/>
        <v>0</v>
      </c>
      <c r="W677">
        <f t="shared" si="624"/>
        <v>0</v>
      </c>
      <c r="X677">
        <f t="shared" si="601"/>
        <v>1.1309733552923253</v>
      </c>
      <c r="Y677">
        <f t="shared" si="602"/>
        <v>7.8539816339744828</v>
      </c>
      <c r="Z677">
        <f t="shared" si="603"/>
        <v>-1.1309733552923253</v>
      </c>
      <c r="AA677">
        <f t="shared" si="625"/>
        <v>-0.53219566400334162</v>
      </c>
      <c r="AB677">
        <f t="shared" si="604"/>
        <v>7.321785969971141</v>
      </c>
      <c r="AC677">
        <f t="shared" si="626"/>
        <v>-0.32850406697203627</v>
      </c>
      <c r="AD677">
        <f t="shared" si="605"/>
        <v>0.10001145579206443</v>
      </c>
      <c r="AE677" s="9">
        <f t="shared" si="627"/>
        <v>7.0932933587911693</v>
      </c>
      <c r="AF677">
        <f t="shared" si="628"/>
        <v>0</v>
      </c>
      <c r="AH677">
        <f t="shared" si="606"/>
        <v>7.8539816339744828</v>
      </c>
      <c r="AI677">
        <f t="shared" si="607"/>
        <v>-0.53219566400334151</v>
      </c>
      <c r="AJ677">
        <f t="shared" si="608"/>
        <v>-0.32850406697203738</v>
      </c>
      <c r="AK677">
        <f t="shared" si="609"/>
        <v>0.10001145579206443</v>
      </c>
      <c r="AL677" s="9">
        <f t="shared" si="629"/>
        <v>7.0932933587911684</v>
      </c>
      <c r="AM677" t="e">
        <f t="shared" si="610"/>
        <v>#N/A</v>
      </c>
      <c r="AN677" t="e">
        <f t="shared" si="630"/>
        <v>#N/A</v>
      </c>
      <c r="AO677">
        <f t="shared" si="611"/>
        <v>0</v>
      </c>
      <c r="AP677">
        <f t="shared" si="612"/>
        <v>0</v>
      </c>
      <c r="AQ677">
        <f t="shared" si="613"/>
        <v>-1.1102230246251565E-15</v>
      </c>
      <c r="AR677">
        <f t="shared" si="631"/>
        <v>0</v>
      </c>
      <c r="AS677">
        <f t="shared" si="614"/>
        <v>0</v>
      </c>
      <c r="AT677">
        <f t="shared" si="632"/>
        <v>0</v>
      </c>
      <c r="AU677">
        <f t="shared" si="633"/>
        <v>0</v>
      </c>
      <c r="AV677">
        <f t="shared" si="615"/>
        <v>1.1309733552923253E-20</v>
      </c>
      <c r="AW677" t="b">
        <f t="shared" si="634"/>
        <v>1</v>
      </c>
      <c r="AX677">
        <f t="shared" si="616"/>
        <v>7.8539816339744828</v>
      </c>
      <c r="AY677">
        <f t="shared" si="617"/>
        <v>-0.53219566400334184</v>
      </c>
      <c r="AZ677">
        <f t="shared" si="618"/>
        <v>-0.3285040669720361</v>
      </c>
      <c r="BA677">
        <f t="shared" si="619"/>
        <v>0.10001145579206443</v>
      </c>
      <c r="BB677">
        <f t="shared" si="620"/>
        <v>-1.2337005501361696E-20</v>
      </c>
      <c r="BD677" s="15">
        <f t="shared" si="635"/>
        <v>7.0932933587911693</v>
      </c>
      <c r="BE677" s="10">
        <f t="shared" si="636"/>
        <v>0</v>
      </c>
      <c r="BF677">
        <f t="shared" si="637"/>
        <v>0</v>
      </c>
      <c r="BG677">
        <f t="shared" si="638"/>
        <v>0</v>
      </c>
      <c r="BH677">
        <f t="shared" si="639"/>
        <v>0</v>
      </c>
      <c r="BI677">
        <f t="shared" si="640"/>
        <v>0</v>
      </c>
    </row>
    <row r="678" spans="1:61" x14ac:dyDescent="0.3">
      <c r="A678">
        <f t="shared" si="587"/>
        <v>0.64100000000000001</v>
      </c>
      <c r="B678">
        <f t="shared" si="588"/>
        <v>2.0137608909510574</v>
      </c>
      <c r="C678">
        <f t="shared" si="589"/>
        <v>1.1278317626387357</v>
      </c>
      <c r="D678">
        <f t="shared" si="590"/>
        <v>1.1278317626387357</v>
      </c>
      <c r="E678">
        <f t="shared" si="595"/>
        <v>0.90348496443303483</v>
      </c>
      <c r="F678">
        <f t="shared" si="596"/>
        <v>0.90348496443303483</v>
      </c>
      <c r="G678">
        <f t="shared" si="591"/>
        <v>2.0137608909510574</v>
      </c>
      <c r="H678">
        <f t="shared" si="592"/>
        <v>0.90348496443303483</v>
      </c>
      <c r="I678">
        <f t="shared" si="593"/>
        <v>0.90348496443303483</v>
      </c>
      <c r="J678">
        <f t="shared" si="641"/>
        <v>7.0462685869607174E+19</v>
      </c>
      <c r="K678">
        <f t="shared" si="642"/>
        <v>7.0462685869607174E+19</v>
      </c>
      <c r="L678">
        <f t="shared" si="597"/>
        <v>1</v>
      </c>
      <c r="M678">
        <f t="shared" si="594"/>
        <v>1.1278317626387357E-20</v>
      </c>
      <c r="N678" s="9">
        <f t="shared" ref="N678:N741" si="643">L678*M678</f>
        <v>1.1278317626387357E-20</v>
      </c>
      <c r="O678">
        <f t="shared" ref="O678:O741" si="644">N678*EXP(-N678)</f>
        <v>1.1278317626387357E-20</v>
      </c>
      <c r="Q678">
        <f t="shared" si="598"/>
        <v>45.70161496514848</v>
      </c>
      <c r="R678">
        <f t="shared" si="599"/>
        <v>0</v>
      </c>
      <c r="S678">
        <f t="shared" si="621"/>
        <v>-45.931404864525369</v>
      </c>
      <c r="T678" s="9" t="e">
        <f t="shared" si="600"/>
        <v>#N/A</v>
      </c>
      <c r="U678">
        <f t="shared" si="622"/>
        <v>-1.0000000000000001E+300</v>
      </c>
      <c r="V678">
        <f t="shared" si="623"/>
        <v>0</v>
      </c>
      <c r="W678">
        <f t="shared" si="624"/>
        <v>0</v>
      </c>
      <c r="X678">
        <f t="shared" si="601"/>
        <v>1.1278317626387357</v>
      </c>
      <c r="Y678">
        <f t="shared" si="602"/>
        <v>7.8539816339744828</v>
      </c>
      <c r="Z678">
        <f t="shared" si="603"/>
        <v>-1.1278317626387357</v>
      </c>
      <c r="AA678">
        <f t="shared" si="625"/>
        <v>-0.53505152301044911</v>
      </c>
      <c r="AB678">
        <f t="shared" si="604"/>
        <v>7.3189301109640335</v>
      </c>
      <c r="AC678">
        <f t="shared" si="626"/>
        <v>-0.33128570993391293</v>
      </c>
      <c r="AD678">
        <f t="shared" si="605"/>
        <v>0.1014958105570188</v>
      </c>
      <c r="AE678" s="9">
        <f t="shared" si="627"/>
        <v>7.0891402115871394</v>
      </c>
      <c r="AF678">
        <f t="shared" si="628"/>
        <v>0</v>
      </c>
      <c r="AH678">
        <f t="shared" si="606"/>
        <v>7.8539816339744828</v>
      </c>
      <c r="AI678">
        <f t="shared" si="607"/>
        <v>-0.535051523010449</v>
      </c>
      <c r="AJ678">
        <f t="shared" si="608"/>
        <v>-0.33128570993390838</v>
      </c>
      <c r="AK678">
        <f t="shared" si="609"/>
        <v>0.1014958105570188</v>
      </c>
      <c r="AL678" s="9">
        <f t="shared" si="629"/>
        <v>7.0891402115871438</v>
      </c>
      <c r="AM678" t="e">
        <f t="shared" si="610"/>
        <v>#N/A</v>
      </c>
      <c r="AN678" t="e">
        <f t="shared" si="630"/>
        <v>#N/A</v>
      </c>
      <c r="AO678">
        <f t="shared" si="611"/>
        <v>0</v>
      </c>
      <c r="AP678">
        <f t="shared" si="612"/>
        <v>0</v>
      </c>
      <c r="AQ678">
        <f t="shared" si="613"/>
        <v>4.5519144009631418E-15</v>
      </c>
      <c r="AR678">
        <f t="shared" si="631"/>
        <v>0</v>
      </c>
      <c r="AS678">
        <f t="shared" si="614"/>
        <v>0</v>
      </c>
      <c r="AT678">
        <f t="shared" si="632"/>
        <v>0</v>
      </c>
      <c r="AU678">
        <f t="shared" si="633"/>
        <v>0</v>
      </c>
      <c r="AV678">
        <f t="shared" si="615"/>
        <v>1.1278317626387357E-20</v>
      </c>
      <c r="AW678" t="b">
        <f t="shared" si="634"/>
        <v>1</v>
      </c>
      <c r="AX678">
        <f t="shared" si="616"/>
        <v>7.8539816339744828</v>
      </c>
      <c r="AY678">
        <f t="shared" si="617"/>
        <v>-0.53505152301044911</v>
      </c>
      <c r="AZ678">
        <f t="shared" si="618"/>
        <v>-0.33128570993391276</v>
      </c>
      <c r="BA678">
        <f t="shared" si="619"/>
        <v>0.1014958105570188</v>
      </c>
      <c r="BB678">
        <f t="shared" si="620"/>
        <v>-1.2337005501361696E-20</v>
      </c>
      <c r="BD678" s="15">
        <f t="shared" si="635"/>
        <v>7.0891402115871394</v>
      </c>
      <c r="BE678" s="10">
        <f t="shared" si="636"/>
        <v>0</v>
      </c>
      <c r="BF678">
        <f t="shared" si="637"/>
        <v>0</v>
      </c>
      <c r="BG678">
        <f t="shared" si="638"/>
        <v>0</v>
      </c>
      <c r="BH678">
        <f t="shared" si="639"/>
        <v>0</v>
      </c>
      <c r="BI678">
        <f t="shared" si="640"/>
        <v>0</v>
      </c>
    </row>
    <row r="679" spans="1:61" x14ac:dyDescent="0.3">
      <c r="A679">
        <f t="shared" ref="A679:A742" si="645">ROUND(A678+1/1000,3)</f>
        <v>0.64200000000000002</v>
      </c>
      <c r="B679">
        <f t="shared" si="588"/>
        <v>2.0169024836046474</v>
      </c>
      <c r="C679">
        <f t="shared" si="589"/>
        <v>1.1246901699851457</v>
      </c>
      <c r="D679">
        <f t="shared" si="590"/>
        <v>1.1246901699851457</v>
      </c>
      <c r="E679">
        <f t="shared" si="595"/>
        <v>0.90213395936820273</v>
      </c>
      <c r="F679">
        <f t="shared" si="596"/>
        <v>0.90213395936820273</v>
      </c>
      <c r="G679">
        <f t="shared" si="591"/>
        <v>2.0169024836046474</v>
      </c>
      <c r="H679">
        <f t="shared" si="592"/>
        <v>0.90213395936820273</v>
      </c>
      <c r="I679">
        <f t="shared" si="593"/>
        <v>0.90213395936820273</v>
      </c>
      <c r="J679">
        <f t="shared" si="641"/>
        <v>7.0568208385972904E+19</v>
      </c>
      <c r="K679">
        <f t="shared" si="642"/>
        <v>7.0568208385972904E+19</v>
      </c>
      <c r="L679">
        <f t="shared" si="597"/>
        <v>1</v>
      </c>
      <c r="M679">
        <f t="shared" si="594"/>
        <v>1.1246901699851457E-20</v>
      </c>
      <c r="N679" s="9">
        <f t="shared" si="643"/>
        <v>1.1246901699851457E-20</v>
      </c>
      <c r="O679">
        <f t="shared" si="644"/>
        <v>1.1246901699851457E-20</v>
      </c>
      <c r="Q679">
        <f t="shared" si="598"/>
        <v>45.703111410826068</v>
      </c>
      <c r="R679">
        <f t="shared" si="599"/>
        <v>0</v>
      </c>
      <c r="S679">
        <f t="shared" si="621"/>
        <v>-45.934194266612948</v>
      </c>
      <c r="T679" s="9" t="e">
        <f t="shared" si="600"/>
        <v>#N/A</v>
      </c>
      <c r="U679">
        <f t="shared" si="622"/>
        <v>-1.0000000000000001E+300</v>
      </c>
      <c r="V679">
        <f t="shared" si="623"/>
        <v>0</v>
      </c>
      <c r="W679">
        <f t="shared" si="624"/>
        <v>0</v>
      </c>
      <c r="X679">
        <f t="shared" si="601"/>
        <v>1.1246901699851457</v>
      </c>
      <c r="Y679">
        <f t="shared" si="602"/>
        <v>7.8539816339744828</v>
      </c>
      <c r="Z679">
        <f t="shared" si="603"/>
        <v>-1.1246901699851457</v>
      </c>
      <c r="AA679">
        <f t="shared" si="625"/>
        <v>-0.53789613872631292</v>
      </c>
      <c r="AB679">
        <f t="shared" si="604"/>
        <v>7.3160854952481698</v>
      </c>
      <c r="AC679">
        <f t="shared" si="626"/>
        <v>-0.33407511202149165</v>
      </c>
      <c r="AD679">
        <f t="shared" si="605"/>
        <v>0.10299225623460653</v>
      </c>
      <c r="AE679" s="9">
        <f t="shared" si="627"/>
        <v>7.0850026394612842</v>
      </c>
      <c r="AF679">
        <f t="shared" si="628"/>
        <v>0</v>
      </c>
      <c r="AH679">
        <f t="shared" si="606"/>
        <v>7.8539816339744828</v>
      </c>
      <c r="AI679">
        <f t="shared" si="607"/>
        <v>-0.53789613872631281</v>
      </c>
      <c r="AJ679">
        <f t="shared" si="608"/>
        <v>-0.33407511202148754</v>
      </c>
      <c r="AK679">
        <f t="shared" si="609"/>
        <v>0.10299225623460653</v>
      </c>
      <c r="AL679" s="9">
        <f t="shared" si="629"/>
        <v>7.0850026394612886</v>
      </c>
      <c r="AM679" t="e">
        <f t="shared" si="610"/>
        <v>#N/A</v>
      </c>
      <c r="AN679" t="e">
        <f t="shared" si="630"/>
        <v>#N/A</v>
      </c>
      <c r="AO679">
        <f t="shared" si="611"/>
        <v>0</v>
      </c>
      <c r="AP679">
        <f t="shared" si="612"/>
        <v>0</v>
      </c>
      <c r="AQ679">
        <f t="shared" si="613"/>
        <v>4.1078251911130792E-15</v>
      </c>
      <c r="AR679">
        <f t="shared" si="631"/>
        <v>0</v>
      </c>
      <c r="AS679">
        <f t="shared" si="614"/>
        <v>0</v>
      </c>
      <c r="AT679">
        <f t="shared" si="632"/>
        <v>0</v>
      </c>
      <c r="AU679">
        <f t="shared" si="633"/>
        <v>0</v>
      </c>
      <c r="AV679">
        <f t="shared" si="615"/>
        <v>1.1246901699851456E-20</v>
      </c>
      <c r="AW679" t="b">
        <f t="shared" si="634"/>
        <v>1</v>
      </c>
      <c r="AX679">
        <f t="shared" si="616"/>
        <v>7.8539816339744828</v>
      </c>
      <c r="AY679">
        <f t="shared" si="617"/>
        <v>-0.53789613872631303</v>
      </c>
      <c r="AZ679">
        <f t="shared" si="618"/>
        <v>-0.33407511202149165</v>
      </c>
      <c r="BA679">
        <f t="shared" si="619"/>
        <v>0.10299225623460653</v>
      </c>
      <c r="BB679">
        <f t="shared" si="620"/>
        <v>-1.2337005501361696E-20</v>
      </c>
      <c r="BD679" s="15">
        <f t="shared" si="635"/>
        <v>7.0850026394612842</v>
      </c>
      <c r="BE679" s="10">
        <f t="shared" si="636"/>
        <v>0</v>
      </c>
      <c r="BF679">
        <f t="shared" si="637"/>
        <v>0</v>
      </c>
      <c r="BG679">
        <f t="shared" si="638"/>
        <v>0</v>
      </c>
      <c r="BH679">
        <f t="shared" si="639"/>
        <v>0</v>
      </c>
      <c r="BI679">
        <f t="shared" si="640"/>
        <v>0</v>
      </c>
    </row>
    <row r="680" spans="1:61" x14ac:dyDescent="0.3">
      <c r="A680">
        <f t="shared" si="645"/>
        <v>0.64300000000000002</v>
      </c>
      <c r="B680">
        <f t="shared" si="588"/>
        <v>2.020044076258237</v>
      </c>
      <c r="C680">
        <f t="shared" si="589"/>
        <v>1.1215485773315561</v>
      </c>
      <c r="D680">
        <f t="shared" si="590"/>
        <v>1.1215485773315561</v>
      </c>
      <c r="E680">
        <f t="shared" si="595"/>
        <v>0.90077405060539806</v>
      </c>
      <c r="F680">
        <f t="shared" si="596"/>
        <v>0.90077405060539806</v>
      </c>
      <c r="G680">
        <f t="shared" si="591"/>
        <v>2.020044076258237</v>
      </c>
      <c r="H680">
        <f t="shared" si="592"/>
        <v>0.90077405060539806</v>
      </c>
      <c r="I680">
        <f t="shared" si="593"/>
        <v>0.90077405060539806</v>
      </c>
      <c r="J680">
        <f t="shared" si="641"/>
        <v>7.0674746007582908E+19</v>
      </c>
      <c r="K680">
        <f t="shared" si="642"/>
        <v>7.0674746007582908E+19</v>
      </c>
      <c r="L680">
        <f t="shared" si="597"/>
        <v>1</v>
      </c>
      <c r="M680">
        <f t="shared" si="594"/>
        <v>1.1215485773315561E-20</v>
      </c>
      <c r="N680" s="9">
        <f t="shared" si="643"/>
        <v>1.1215485773315561E-20</v>
      </c>
      <c r="O680">
        <f t="shared" si="644"/>
        <v>1.1215485773315561E-20</v>
      </c>
      <c r="Q680">
        <f t="shared" si="598"/>
        <v>45.704619983657501</v>
      </c>
      <c r="R680">
        <f t="shared" si="599"/>
        <v>0</v>
      </c>
      <c r="S680">
        <f t="shared" si="621"/>
        <v>-45.936991471234009</v>
      </c>
      <c r="T680" s="9" t="e">
        <f t="shared" si="600"/>
        <v>#N/A</v>
      </c>
      <c r="U680">
        <f t="shared" si="622"/>
        <v>-1.0000000000000001E+300</v>
      </c>
      <c r="V680">
        <f t="shared" si="623"/>
        <v>0</v>
      </c>
      <c r="W680">
        <f t="shared" si="624"/>
        <v>0</v>
      </c>
      <c r="X680">
        <f t="shared" si="601"/>
        <v>1.1215485773315561</v>
      </c>
      <c r="Y680">
        <f t="shared" si="602"/>
        <v>7.8539816339744828</v>
      </c>
      <c r="Z680">
        <f t="shared" si="603"/>
        <v>-1.1215485773315561</v>
      </c>
      <c r="AA680">
        <f t="shared" si="625"/>
        <v>-0.54072954644477211</v>
      </c>
      <c r="AB680">
        <f t="shared" si="604"/>
        <v>7.3132520875297109</v>
      </c>
      <c r="AC680">
        <f t="shared" si="626"/>
        <v>-0.33687231664255274</v>
      </c>
      <c r="AD680">
        <f t="shared" si="605"/>
        <v>0.10450082906604052</v>
      </c>
      <c r="AE680" s="9">
        <f t="shared" si="627"/>
        <v>7.0808805999531987</v>
      </c>
      <c r="AF680">
        <f t="shared" si="628"/>
        <v>0</v>
      </c>
      <c r="AH680">
        <f t="shared" si="606"/>
        <v>7.8539816339744828</v>
      </c>
      <c r="AI680">
        <f t="shared" si="607"/>
        <v>-0.54072954644477211</v>
      </c>
      <c r="AJ680">
        <f t="shared" si="608"/>
        <v>-0.33687231664254824</v>
      </c>
      <c r="AK680">
        <f t="shared" si="609"/>
        <v>0.10450082906604052</v>
      </c>
      <c r="AL680" s="9">
        <f t="shared" si="629"/>
        <v>7.0808805999532032</v>
      </c>
      <c r="AM680" t="e">
        <f t="shared" si="610"/>
        <v>#N/A</v>
      </c>
      <c r="AN680" t="e">
        <f t="shared" si="630"/>
        <v>#N/A</v>
      </c>
      <c r="AO680">
        <f t="shared" si="611"/>
        <v>0</v>
      </c>
      <c r="AP680">
        <f t="shared" si="612"/>
        <v>0</v>
      </c>
      <c r="AQ680">
        <f t="shared" si="613"/>
        <v>4.496403249731884E-15</v>
      </c>
      <c r="AR680">
        <f t="shared" si="631"/>
        <v>0</v>
      </c>
      <c r="AS680">
        <f t="shared" si="614"/>
        <v>0</v>
      </c>
      <c r="AT680">
        <f t="shared" si="632"/>
        <v>0</v>
      </c>
      <c r="AU680">
        <f t="shared" si="633"/>
        <v>0</v>
      </c>
      <c r="AV680">
        <f t="shared" si="615"/>
        <v>1.1215485773315561E-20</v>
      </c>
      <c r="AW680" t="b">
        <f t="shared" si="634"/>
        <v>1</v>
      </c>
      <c r="AX680">
        <f t="shared" si="616"/>
        <v>7.8539816339744828</v>
      </c>
      <c r="AY680">
        <f t="shared" si="617"/>
        <v>-0.54072954644477222</v>
      </c>
      <c r="AZ680">
        <f t="shared" si="618"/>
        <v>-0.33687231664255274</v>
      </c>
      <c r="BA680">
        <f t="shared" si="619"/>
        <v>0.10450082906604052</v>
      </c>
      <c r="BB680">
        <f t="shared" si="620"/>
        <v>-1.2337005501361696E-20</v>
      </c>
      <c r="BD680" s="15">
        <f t="shared" si="635"/>
        <v>7.0808805999531987</v>
      </c>
      <c r="BE680" s="10">
        <f t="shared" si="636"/>
        <v>0</v>
      </c>
      <c r="BF680">
        <f t="shared" si="637"/>
        <v>0</v>
      </c>
      <c r="BG680">
        <f t="shared" si="638"/>
        <v>0</v>
      </c>
      <c r="BH680">
        <f t="shared" si="639"/>
        <v>0</v>
      </c>
      <c r="BI680">
        <f t="shared" si="640"/>
        <v>0</v>
      </c>
    </row>
    <row r="681" spans="1:61" x14ac:dyDescent="0.3">
      <c r="A681">
        <f t="shared" si="645"/>
        <v>0.64400000000000002</v>
      </c>
      <c r="B681">
        <f t="shared" si="588"/>
        <v>2.0231856689118266</v>
      </c>
      <c r="C681">
        <f t="shared" si="589"/>
        <v>1.1184069846779665</v>
      </c>
      <c r="D681">
        <f t="shared" si="590"/>
        <v>1.1184069846779665</v>
      </c>
      <c r="E681">
        <f t="shared" si="595"/>
        <v>0.89940525156637119</v>
      </c>
      <c r="F681">
        <f t="shared" si="596"/>
        <v>0.89940525156637108</v>
      </c>
      <c r="G681">
        <f t="shared" si="591"/>
        <v>2.0231856689118266</v>
      </c>
      <c r="H681">
        <f t="shared" si="592"/>
        <v>0.89940525156637119</v>
      </c>
      <c r="I681">
        <f t="shared" si="593"/>
        <v>0.89940525156637108</v>
      </c>
      <c r="J681">
        <f t="shared" si="641"/>
        <v>7.0782305446723576E+19</v>
      </c>
      <c r="K681">
        <f t="shared" si="642"/>
        <v>7.0782305446723576E+19</v>
      </c>
      <c r="L681">
        <f t="shared" si="597"/>
        <v>1</v>
      </c>
      <c r="M681">
        <f t="shared" si="594"/>
        <v>1.1184069846779664E-20</v>
      </c>
      <c r="N681" s="9">
        <f t="shared" si="643"/>
        <v>1.1184069846779664E-20</v>
      </c>
      <c r="O681">
        <f t="shared" si="644"/>
        <v>1.1184069846779664E-20</v>
      </c>
      <c r="Q681">
        <f t="shared" si="598"/>
        <v>45.706140720287642</v>
      </c>
      <c r="R681">
        <f t="shared" si="599"/>
        <v>-710542.73576010019</v>
      </c>
      <c r="S681">
        <f t="shared" si="621"/>
        <v>-45.939796522161622</v>
      </c>
      <c r="T681" s="9" t="e">
        <f t="shared" si="600"/>
        <v>#N/A</v>
      </c>
      <c r="U681">
        <f t="shared" si="622"/>
        <v>-1.0000000000000001E+300</v>
      </c>
      <c r="V681">
        <f t="shared" si="623"/>
        <v>0</v>
      </c>
      <c r="W681">
        <f t="shared" si="624"/>
        <v>0</v>
      </c>
      <c r="X681">
        <f t="shared" si="601"/>
        <v>1.1184069846779665</v>
      </c>
      <c r="Y681">
        <f t="shared" si="602"/>
        <v>7.8539816339744828</v>
      </c>
      <c r="Z681">
        <f t="shared" si="603"/>
        <v>-1.1184069846779665</v>
      </c>
      <c r="AA681">
        <f t="shared" si="625"/>
        <v>-0.54355178122861025</v>
      </c>
      <c r="AB681">
        <f t="shared" si="604"/>
        <v>7.3104298527458722</v>
      </c>
      <c r="AC681">
        <f t="shared" si="626"/>
        <v>-0.3396773675701612</v>
      </c>
      <c r="AD681">
        <f t="shared" si="605"/>
        <v>0.1060215656961867</v>
      </c>
      <c r="AE681" s="9">
        <f t="shared" si="627"/>
        <v>7.0767740508718981</v>
      </c>
      <c r="AF681">
        <f t="shared" si="628"/>
        <v>0</v>
      </c>
      <c r="AH681">
        <f t="shared" si="606"/>
        <v>7.8539816339744828</v>
      </c>
      <c r="AI681">
        <f t="shared" si="607"/>
        <v>-0.54355178122861003</v>
      </c>
      <c r="AJ681">
        <f t="shared" si="608"/>
        <v>-0.33967736757016098</v>
      </c>
      <c r="AK681">
        <f t="shared" si="609"/>
        <v>0.1060215656961867</v>
      </c>
      <c r="AL681" s="9">
        <f t="shared" si="629"/>
        <v>7.076774050871899</v>
      </c>
      <c r="AM681" t="e">
        <f t="shared" si="610"/>
        <v>#N/A</v>
      </c>
      <c r="AN681" t="e">
        <f t="shared" si="630"/>
        <v>#N/A</v>
      </c>
      <c r="AO681">
        <f t="shared" si="611"/>
        <v>0</v>
      </c>
      <c r="AP681">
        <f t="shared" si="612"/>
        <v>0</v>
      </c>
      <c r="AQ681">
        <f t="shared" si="613"/>
        <v>0</v>
      </c>
      <c r="AR681">
        <f t="shared" si="631"/>
        <v>0</v>
      </c>
      <c r="AS681">
        <f t="shared" si="614"/>
        <v>0</v>
      </c>
      <c r="AT681">
        <f t="shared" si="632"/>
        <v>0</v>
      </c>
      <c r="AU681">
        <f t="shared" si="633"/>
        <v>0</v>
      </c>
      <c r="AV681">
        <f t="shared" si="615"/>
        <v>1.1184069846779664E-20</v>
      </c>
      <c r="AW681" t="b">
        <f t="shared" si="634"/>
        <v>1</v>
      </c>
      <c r="AX681">
        <f t="shared" si="616"/>
        <v>7.8539816339744828</v>
      </c>
      <c r="AY681">
        <f t="shared" si="617"/>
        <v>-0.54355178122861025</v>
      </c>
      <c r="AZ681">
        <f t="shared" si="618"/>
        <v>-0.3396773675701612</v>
      </c>
      <c r="BA681">
        <f t="shared" si="619"/>
        <v>0.10602156569618683</v>
      </c>
      <c r="BB681">
        <f t="shared" si="620"/>
        <v>-1.2337005501361696E-20</v>
      </c>
      <c r="BD681" s="15">
        <f t="shared" si="635"/>
        <v>7.0767740508718981</v>
      </c>
      <c r="BE681" s="10">
        <f t="shared" si="636"/>
        <v>0</v>
      </c>
      <c r="BF681">
        <f t="shared" si="637"/>
        <v>0</v>
      </c>
      <c r="BG681">
        <f t="shared" si="638"/>
        <v>0</v>
      </c>
      <c r="BH681">
        <f t="shared" si="639"/>
        <v>0</v>
      </c>
      <c r="BI681">
        <f t="shared" si="640"/>
        <v>0</v>
      </c>
    </row>
    <row r="682" spans="1:61" x14ac:dyDescent="0.3">
      <c r="A682">
        <f t="shared" si="645"/>
        <v>0.64500000000000002</v>
      </c>
      <c r="B682">
        <f t="shared" si="588"/>
        <v>2.0263272615654166</v>
      </c>
      <c r="C682">
        <f t="shared" si="589"/>
        <v>1.1152653920243765</v>
      </c>
      <c r="D682">
        <f t="shared" si="590"/>
        <v>1.1152653920243765</v>
      </c>
      <c r="E682">
        <f t="shared" si="595"/>
        <v>0.89802757576061565</v>
      </c>
      <c r="F682">
        <f t="shared" si="596"/>
        <v>0.89802757576061554</v>
      </c>
      <c r="G682">
        <f t="shared" si="591"/>
        <v>2.0263272615654166</v>
      </c>
      <c r="H682">
        <f t="shared" si="592"/>
        <v>0.89802757576061565</v>
      </c>
      <c r="I682">
        <f t="shared" si="593"/>
        <v>0.89802757576061554</v>
      </c>
      <c r="J682">
        <f t="shared" si="641"/>
        <v>7.0890893503840813E+19</v>
      </c>
      <c r="K682">
        <f t="shared" si="642"/>
        <v>7.0890893503840813E+19</v>
      </c>
      <c r="L682">
        <f t="shared" si="597"/>
        <v>0</v>
      </c>
      <c r="M682">
        <f t="shared" si="594"/>
        <v>1.1152653920243764E-20</v>
      </c>
      <c r="N682" s="9">
        <f t="shared" si="643"/>
        <v>0</v>
      </c>
      <c r="O682">
        <f t="shared" si="644"/>
        <v>0</v>
      </c>
      <c r="Q682">
        <f t="shared" si="598"/>
        <v>45.707673657768915</v>
      </c>
      <c r="R682">
        <f t="shared" si="599"/>
        <v>-710542.73576010019</v>
      </c>
      <c r="S682">
        <f t="shared" si="621"/>
        <v>-45.942609463538233</v>
      </c>
      <c r="T682" s="9" t="e">
        <f t="shared" si="600"/>
        <v>#N/A</v>
      </c>
      <c r="U682">
        <f t="shared" si="622"/>
        <v>-1.0000000000000001E+300</v>
      </c>
      <c r="V682">
        <f t="shared" si="623"/>
        <v>0</v>
      </c>
      <c r="W682">
        <f t="shared" si="624"/>
        <v>0</v>
      </c>
      <c r="X682">
        <f t="shared" si="601"/>
        <v>1.1152653920243765</v>
      </c>
      <c r="Y682">
        <f t="shared" si="602"/>
        <v>7.8539816339744828</v>
      </c>
      <c r="Z682">
        <f t="shared" si="603"/>
        <v>-1.1152653920243765</v>
      </c>
      <c r="AA682">
        <f t="shared" si="625"/>
        <v>-0.54636287791125338</v>
      </c>
      <c r="AB682">
        <f t="shared" si="604"/>
        <v>7.3076187560632295</v>
      </c>
      <c r="AC682">
        <f t="shared" si="626"/>
        <v>-0.34249030894677601</v>
      </c>
      <c r="AD682">
        <f t="shared" si="605"/>
        <v>0.10755450317745811</v>
      </c>
      <c r="AE682" s="9">
        <f t="shared" si="627"/>
        <v>7.0726829502939115</v>
      </c>
      <c r="AF682">
        <f t="shared" si="628"/>
        <v>0</v>
      </c>
      <c r="AH682">
        <f t="shared" si="606"/>
        <v>7.8539816339744828</v>
      </c>
      <c r="AI682">
        <f t="shared" si="607"/>
        <v>-0.54636287791125326</v>
      </c>
      <c r="AJ682">
        <f t="shared" si="608"/>
        <v>-0.3424903089467719</v>
      </c>
      <c r="AK682">
        <f t="shared" si="609"/>
        <v>0.10755450317745811</v>
      </c>
      <c r="AL682" s="9">
        <f t="shared" si="629"/>
        <v>7.0726829502939159</v>
      </c>
      <c r="AM682" t="e">
        <f t="shared" si="610"/>
        <v>#N/A</v>
      </c>
      <c r="AN682" t="e">
        <f t="shared" si="630"/>
        <v>#N/A</v>
      </c>
      <c r="AO682">
        <f t="shared" si="611"/>
        <v>0</v>
      </c>
      <c r="AP682">
        <f t="shared" si="612"/>
        <v>0</v>
      </c>
      <c r="AQ682">
        <f t="shared" si="613"/>
        <v>4.1078251911130792E-15</v>
      </c>
      <c r="AR682">
        <f t="shared" si="631"/>
        <v>0</v>
      </c>
      <c r="AS682">
        <f t="shared" si="614"/>
        <v>0</v>
      </c>
      <c r="AT682">
        <f t="shared" si="632"/>
        <v>0</v>
      </c>
      <c r="AU682">
        <f t="shared" si="633"/>
        <v>0</v>
      </c>
      <c r="AV682">
        <f t="shared" si="615"/>
        <v>1.1152653920243764E-20</v>
      </c>
      <c r="AW682" t="b">
        <f t="shared" si="634"/>
        <v>1</v>
      </c>
      <c r="AX682">
        <f t="shared" si="616"/>
        <v>7.8539816339744828</v>
      </c>
      <c r="AY682">
        <f t="shared" si="617"/>
        <v>-0.54636287791125338</v>
      </c>
      <c r="AZ682">
        <f t="shared" si="618"/>
        <v>-0.34249030894677601</v>
      </c>
      <c r="BA682">
        <f t="shared" si="619"/>
        <v>0.10755450317745824</v>
      </c>
      <c r="BB682">
        <f t="shared" si="620"/>
        <v>-1.2337005501361696E-20</v>
      </c>
      <c r="BD682" s="15">
        <f t="shared" si="635"/>
        <v>7.0726829502939115</v>
      </c>
      <c r="BE682" s="10">
        <f t="shared" si="636"/>
        <v>0</v>
      </c>
      <c r="BF682">
        <f t="shared" si="637"/>
        <v>0</v>
      </c>
      <c r="BG682">
        <f t="shared" si="638"/>
        <v>0</v>
      </c>
      <c r="BH682">
        <f t="shared" si="639"/>
        <v>0</v>
      </c>
      <c r="BI682">
        <f t="shared" si="640"/>
        <v>0</v>
      </c>
    </row>
    <row r="683" spans="1:61" x14ac:dyDescent="0.3">
      <c r="A683">
        <f t="shared" si="645"/>
        <v>0.64600000000000002</v>
      </c>
      <c r="B683">
        <f t="shared" si="588"/>
        <v>2.0294688542190062</v>
      </c>
      <c r="C683">
        <f t="shared" si="589"/>
        <v>1.1121237993707869</v>
      </c>
      <c r="D683">
        <f t="shared" si="590"/>
        <v>1.1121237993707869</v>
      </c>
      <c r="E683">
        <f t="shared" si="595"/>
        <v>0.89664103678523599</v>
      </c>
      <c r="F683">
        <f t="shared" si="596"/>
        <v>0.89664103678523588</v>
      </c>
      <c r="G683">
        <f t="shared" si="591"/>
        <v>2.0294688542190062</v>
      </c>
      <c r="H683">
        <f t="shared" si="592"/>
        <v>0.89664103678523599</v>
      </c>
      <c r="I683">
        <f t="shared" si="593"/>
        <v>0.89664103678523588</v>
      </c>
      <c r="J683">
        <f t="shared" si="641"/>
        <v>7.1000517068690104E+19</v>
      </c>
      <c r="K683">
        <f t="shared" si="642"/>
        <v>7.1000517068690104E+19</v>
      </c>
      <c r="L683">
        <f t="shared" si="597"/>
        <v>1</v>
      </c>
      <c r="M683">
        <f t="shared" si="594"/>
        <v>1.1121237993707868E-20</v>
      </c>
      <c r="N683" s="9">
        <f t="shared" si="643"/>
        <v>1.1121237993707868E-20</v>
      </c>
      <c r="O683">
        <f t="shared" si="644"/>
        <v>1.1121237993707868E-20</v>
      </c>
      <c r="Q683">
        <f t="shared" si="598"/>
        <v>45.709218833565224</v>
      </c>
      <c r="R683">
        <f t="shared" si="599"/>
        <v>-710542.73576010019</v>
      </c>
      <c r="S683">
        <f t="shared" si="621"/>
        <v>-45.945430339879877</v>
      </c>
      <c r="T683" s="9" t="e">
        <f t="shared" si="600"/>
        <v>#N/A</v>
      </c>
      <c r="U683">
        <f t="shared" si="622"/>
        <v>-1.0000000000000001E+300</v>
      </c>
      <c r="V683">
        <f t="shared" si="623"/>
        <v>0</v>
      </c>
      <c r="W683">
        <f t="shared" si="624"/>
        <v>0</v>
      </c>
      <c r="X683">
        <f t="shared" si="601"/>
        <v>1.1121237993707869</v>
      </c>
      <c r="Y683">
        <f t="shared" si="602"/>
        <v>7.8539816339744828</v>
      </c>
      <c r="Z683">
        <f t="shared" si="603"/>
        <v>-1.1121237993707869</v>
      </c>
      <c r="AA683">
        <f t="shared" si="625"/>
        <v>-0.54916287109845063</v>
      </c>
      <c r="AB683">
        <f t="shared" si="604"/>
        <v>7.3048187628760317</v>
      </c>
      <c r="AC683">
        <f t="shared" si="626"/>
        <v>-0.3453111852884172</v>
      </c>
      <c r="AD683">
        <f t="shared" si="605"/>
        <v>0.10909967897376752</v>
      </c>
      <c r="AE683" s="9">
        <f t="shared" si="627"/>
        <v>7.068607256561382</v>
      </c>
      <c r="AF683">
        <f t="shared" si="628"/>
        <v>0</v>
      </c>
      <c r="AH683">
        <f t="shared" si="606"/>
        <v>7.8539816339744828</v>
      </c>
      <c r="AI683">
        <f t="shared" si="607"/>
        <v>-0.54916287109845041</v>
      </c>
      <c r="AJ683">
        <f t="shared" si="608"/>
        <v>-0.34531118528841631</v>
      </c>
      <c r="AK683">
        <f t="shared" si="609"/>
        <v>0.10909967897376752</v>
      </c>
      <c r="AL683" s="9">
        <f t="shared" si="629"/>
        <v>7.0686072565613838</v>
      </c>
      <c r="AM683" t="e">
        <f t="shared" si="610"/>
        <v>#N/A</v>
      </c>
      <c r="AN683" t="e">
        <f t="shared" si="630"/>
        <v>#N/A</v>
      </c>
      <c r="AO683">
        <f t="shared" si="611"/>
        <v>0</v>
      </c>
      <c r="AP683">
        <f t="shared" si="612"/>
        <v>0</v>
      </c>
      <c r="AQ683">
        <f t="shared" si="613"/>
        <v>8.8817841970012523E-16</v>
      </c>
      <c r="AR683">
        <f t="shared" si="631"/>
        <v>0</v>
      </c>
      <c r="AS683">
        <f t="shared" si="614"/>
        <v>0</v>
      </c>
      <c r="AT683">
        <f t="shared" si="632"/>
        <v>0</v>
      </c>
      <c r="AU683">
        <f t="shared" si="633"/>
        <v>0</v>
      </c>
      <c r="AV683">
        <f t="shared" si="615"/>
        <v>1.1121237993707868E-20</v>
      </c>
      <c r="AW683" t="b">
        <f t="shared" si="634"/>
        <v>1</v>
      </c>
      <c r="AX683">
        <f t="shared" si="616"/>
        <v>7.8539816339744828</v>
      </c>
      <c r="AY683">
        <f t="shared" si="617"/>
        <v>-0.54916287109845074</v>
      </c>
      <c r="AZ683">
        <f t="shared" si="618"/>
        <v>-0.3453111852884172</v>
      </c>
      <c r="BA683">
        <f t="shared" si="619"/>
        <v>0.10909967897376764</v>
      </c>
      <c r="BB683">
        <f t="shared" si="620"/>
        <v>-1.2337005501361696E-20</v>
      </c>
      <c r="BD683" s="15">
        <f t="shared" si="635"/>
        <v>7.068607256561382</v>
      </c>
      <c r="BE683" s="10">
        <f t="shared" si="636"/>
        <v>0</v>
      </c>
      <c r="BF683">
        <f t="shared" si="637"/>
        <v>0</v>
      </c>
      <c r="BG683">
        <f t="shared" si="638"/>
        <v>0</v>
      </c>
      <c r="BH683">
        <f t="shared" si="639"/>
        <v>0</v>
      </c>
      <c r="BI683">
        <f t="shared" si="640"/>
        <v>0</v>
      </c>
    </row>
    <row r="684" spans="1:61" x14ac:dyDescent="0.3">
      <c r="A684">
        <f t="shared" si="645"/>
        <v>0.64700000000000002</v>
      </c>
      <c r="B684">
        <f t="shared" si="588"/>
        <v>2.0326104468725963</v>
      </c>
      <c r="C684">
        <f t="shared" si="589"/>
        <v>1.1089822067171968</v>
      </c>
      <c r="D684">
        <f t="shared" si="590"/>
        <v>1.1089822067171968</v>
      </c>
      <c r="E684">
        <f t="shared" si="595"/>
        <v>0.89524564832481168</v>
      </c>
      <c r="F684">
        <f t="shared" si="596"/>
        <v>0.89524564832481157</v>
      </c>
      <c r="G684">
        <f t="shared" si="591"/>
        <v>2.0326104468725963</v>
      </c>
      <c r="H684">
        <f t="shared" si="592"/>
        <v>0.89524564832481168</v>
      </c>
      <c r="I684">
        <f t="shared" si="593"/>
        <v>0.89524564832481157</v>
      </c>
      <c r="J684">
        <f t="shared" si="641"/>
        <v>7.111118312150723E+19</v>
      </c>
      <c r="K684">
        <f t="shared" si="642"/>
        <v>7.111118312150723E+19</v>
      </c>
      <c r="L684">
        <f t="shared" si="597"/>
        <v>1</v>
      </c>
      <c r="M684">
        <f t="shared" si="594"/>
        <v>1.1089822067171968E-20</v>
      </c>
      <c r="N684" s="9">
        <f t="shared" si="643"/>
        <v>1.1089822067171968E-20</v>
      </c>
      <c r="O684">
        <f t="shared" si="644"/>
        <v>1.1089822067171968E-20</v>
      </c>
      <c r="Q684">
        <f t="shared" si="598"/>
        <v>45.710776285556001</v>
      </c>
      <c r="R684">
        <f t="shared" si="599"/>
        <v>-710542.73576010019</v>
      </c>
      <c r="S684">
        <f t="shared" si="621"/>
        <v>-45.948259196080357</v>
      </c>
      <c r="T684" s="9" t="e">
        <f t="shared" si="600"/>
        <v>#N/A</v>
      </c>
      <c r="U684">
        <f t="shared" si="622"/>
        <v>-1.0000000000000001E+300</v>
      </c>
      <c r="V684">
        <f t="shared" si="623"/>
        <v>0</v>
      </c>
      <c r="W684">
        <f t="shared" si="624"/>
        <v>0</v>
      </c>
      <c r="X684">
        <f t="shared" si="601"/>
        <v>1.1089822067171968</v>
      </c>
      <c r="Y684">
        <f t="shared" si="602"/>
        <v>7.8539816339744828</v>
      </c>
      <c r="Z684">
        <f t="shared" si="603"/>
        <v>-1.1089822067171968</v>
      </c>
      <c r="AA684">
        <f t="shared" si="625"/>
        <v>-0.55195179516994475</v>
      </c>
      <c r="AB684">
        <f t="shared" si="604"/>
        <v>7.3020298388045379</v>
      </c>
      <c r="AC684">
        <f t="shared" si="626"/>
        <v>-0.34814004148889505</v>
      </c>
      <c r="AD684">
        <f t="shared" si="605"/>
        <v>0.11065713096454417</v>
      </c>
      <c r="AE684" s="9">
        <f t="shared" si="627"/>
        <v>7.0645469282801869</v>
      </c>
      <c r="AF684">
        <f t="shared" si="628"/>
        <v>0</v>
      </c>
      <c r="AH684">
        <f t="shared" si="606"/>
        <v>7.8539816339744828</v>
      </c>
      <c r="AI684">
        <f t="shared" si="607"/>
        <v>-0.55195179516994475</v>
      </c>
      <c r="AJ684">
        <f t="shared" si="608"/>
        <v>-0.34814004148889666</v>
      </c>
      <c r="AK684">
        <f t="shared" si="609"/>
        <v>0.11065713096454417</v>
      </c>
      <c r="AL684" s="9">
        <f t="shared" si="629"/>
        <v>7.0645469282801852</v>
      </c>
      <c r="AM684" t="e">
        <f t="shared" si="610"/>
        <v>#N/A</v>
      </c>
      <c r="AN684" t="e">
        <f t="shared" si="630"/>
        <v>#N/A</v>
      </c>
      <c r="AO684">
        <f t="shared" si="611"/>
        <v>0</v>
      </c>
      <c r="AP684">
        <f t="shared" si="612"/>
        <v>0</v>
      </c>
      <c r="AQ684">
        <f t="shared" si="613"/>
        <v>-1.609823385706477E-15</v>
      </c>
      <c r="AR684">
        <f t="shared" si="631"/>
        <v>0</v>
      </c>
      <c r="AS684">
        <f t="shared" si="614"/>
        <v>0</v>
      </c>
      <c r="AT684">
        <f t="shared" si="632"/>
        <v>0</v>
      </c>
      <c r="AU684">
        <f t="shared" si="633"/>
        <v>0</v>
      </c>
      <c r="AV684">
        <f t="shared" si="615"/>
        <v>1.1089822067171968E-20</v>
      </c>
      <c r="AW684" t="b">
        <f t="shared" si="634"/>
        <v>1</v>
      </c>
      <c r="AX684">
        <f t="shared" si="616"/>
        <v>7.8539816339744828</v>
      </c>
      <c r="AY684">
        <f t="shared" si="617"/>
        <v>-0.55195179516994497</v>
      </c>
      <c r="AZ684">
        <f t="shared" si="618"/>
        <v>-0.34814004148889505</v>
      </c>
      <c r="BA684">
        <f t="shared" si="619"/>
        <v>0.1106571309645443</v>
      </c>
      <c r="BB684">
        <f t="shared" si="620"/>
        <v>-1.2337005501361696E-20</v>
      </c>
      <c r="BD684" s="15">
        <f t="shared" si="635"/>
        <v>7.0645469282801869</v>
      </c>
      <c r="BE684" s="10">
        <f t="shared" si="636"/>
        <v>0</v>
      </c>
      <c r="BF684">
        <f t="shared" si="637"/>
        <v>0</v>
      </c>
      <c r="BG684">
        <f t="shared" si="638"/>
        <v>0</v>
      </c>
      <c r="BH684">
        <f t="shared" si="639"/>
        <v>0</v>
      </c>
      <c r="BI684">
        <f t="shared" si="640"/>
        <v>0</v>
      </c>
    </row>
    <row r="685" spans="1:61" x14ac:dyDescent="0.3">
      <c r="A685">
        <f t="shared" si="645"/>
        <v>0.64800000000000002</v>
      </c>
      <c r="B685">
        <f t="shared" si="588"/>
        <v>2.0357520395261859</v>
      </c>
      <c r="C685">
        <f t="shared" si="589"/>
        <v>1.1058406140636072</v>
      </c>
      <c r="D685">
        <f t="shared" si="590"/>
        <v>1.1058406140636072</v>
      </c>
      <c r="E685">
        <f t="shared" si="595"/>
        <v>0.89384142415126389</v>
      </c>
      <c r="F685">
        <f t="shared" si="596"/>
        <v>0.89384142415126377</v>
      </c>
      <c r="G685">
        <f t="shared" si="591"/>
        <v>2.0357520395261859</v>
      </c>
      <c r="H685">
        <f t="shared" si="592"/>
        <v>0.89384142415126389</v>
      </c>
      <c r="I685">
        <f t="shared" si="593"/>
        <v>0.89384142415126377</v>
      </c>
      <c r="J685">
        <f t="shared" si="641"/>
        <v>7.1222898734199513E+19</v>
      </c>
      <c r="K685">
        <f t="shared" si="642"/>
        <v>7.1222898734199513E+19</v>
      </c>
      <c r="L685">
        <f t="shared" si="597"/>
        <v>1</v>
      </c>
      <c r="M685">
        <f t="shared" si="594"/>
        <v>1.1058406140636072E-20</v>
      </c>
      <c r="N685" s="9">
        <f t="shared" si="643"/>
        <v>1.1058406140636072E-20</v>
      </c>
      <c r="O685">
        <f t="shared" si="644"/>
        <v>1.1058406140636072E-20</v>
      </c>
      <c r="Q685">
        <f t="shared" si="598"/>
        <v>45.712346052040267</v>
      </c>
      <c r="R685">
        <f t="shared" si="599"/>
        <v>0</v>
      </c>
      <c r="S685">
        <f t="shared" si="621"/>
        <v>-45.951096077415556</v>
      </c>
      <c r="T685" s="9" t="e">
        <f t="shared" si="600"/>
        <v>#N/A</v>
      </c>
      <c r="U685">
        <f t="shared" si="622"/>
        <v>-1.0000000000000001E+300</v>
      </c>
      <c r="V685">
        <f t="shared" si="623"/>
        <v>0</v>
      </c>
      <c r="W685">
        <f t="shared" si="624"/>
        <v>0</v>
      </c>
      <c r="X685">
        <f t="shared" si="601"/>
        <v>1.1058406140636072</v>
      </c>
      <c r="Y685">
        <f t="shared" si="602"/>
        <v>7.8539816339744828</v>
      </c>
      <c r="Z685">
        <f t="shared" si="603"/>
        <v>-1.1058406140636072</v>
      </c>
      <c r="AA685">
        <f t="shared" si="625"/>
        <v>-0.55472968428111891</v>
      </c>
      <c r="AB685">
        <f t="shared" si="604"/>
        <v>7.2992519496933639</v>
      </c>
      <c r="AC685">
        <f t="shared" si="626"/>
        <v>-0.35097692282409454</v>
      </c>
      <c r="AD685">
        <f t="shared" si="605"/>
        <v>0.11222689744880801</v>
      </c>
      <c r="AE685" s="9">
        <f t="shared" si="627"/>
        <v>7.0605019243180775</v>
      </c>
      <c r="AF685">
        <f t="shared" si="628"/>
        <v>0</v>
      </c>
      <c r="AH685">
        <f t="shared" si="606"/>
        <v>7.8539816339744828</v>
      </c>
      <c r="AI685">
        <f t="shared" si="607"/>
        <v>-0.55472968428111868</v>
      </c>
      <c r="AJ685">
        <f t="shared" si="608"/>
        <v>-0.35097692282409554</v>
      </c>
      <c r="AK685">
        <f t="shared" si="609"/>
        <v>0.11222689744880801</v>
      </c>
      <c r="AL685" s="9">
        <f t="shared" si="629"/>
        <v>7.0605019243180767</v>
      </c>
      <c r="AM685" t="e">
        <f t="shared" si="610"/>
        <v>#N/A</v>
      </c>
      <c r="AN685" t="e">
        <f t="shared" si="630"/>
        <v>#N/A</v>
      </c>
      <c r="AO685">
        <f t="shared" si="611"/>
        <v>0</v>
      </c>
      <c r="AP685">
        <f t="shared" si="612"/>
        <v>0</v>
      </c>
      <c r="AQ685">
        <f t="shared" si="613"/>
        <v>-9.9920072216264089E-16</v>
      </c>
      <c r="AR685">
        <f t="shared" si="631"/>
        <v>0</v>
      </c>
      <c r="AS685">
        <f t="shared" si="614"/>
        <v>0</v>
      </c>
      <c r="AT685">
        <f t="shared" si="632"/>
        <v>0</v>
      </c>
      <c r="AU685">
        <f t="shared" si="633"/>
        <v>0</v>
      </c>
      <c r="AV685">
        <f t="shared" si="615"/>
        <v>1.1058406140636072E-20</v>
      </c>
      <c r="AW685" t="b">
        <f t="shared" si="634"/>
        <v>1</v>
      </c>
      <c r="AX685">
        <f t="shared" si="616"/>
        <v>7.8539816339744828</v>
      </c>
      <c r="AY685">
        <f t="shared" si="617"/>
        <v>-0.55472968428111902</v>
      </c>
      <c r="AZ685">
        <f t="shared" si="618"/>
        <v>-0.35097692282409454</v>
      </c>
      <c r="BA685">
        <f t="shared" si="619"/>
        <v>0.11222689744880814</v>
      </c>
      <c r="BB685">
        <f t="shared" si="620"/>
        <v>-1.2337005501361696E-20</v>
      </c>
      <c r="BD685" s="15">
        <f t="shared" si="635"/>
        <v>7.0605019243180775</v>
      </c>
      <c r="BE685" s="10">
        <f t="shared" si="636"/>
        <v>0</v>
      </c>
      <c r="BF685">
        <f t="shared" si="637"/>
        <v>0</v>
      </c>
      <c r="BG685">
        <f t="shared" si="638"/>
        <v>0</v>
      </c>
      <c r="BH685">
        <f t="shared" si="639"/>
        <v>0</v>
      </c>
      <c r="BI685">
        <f t="shared" si="640"/>
        <v>0</v>
      </c>
    </row>
    <row r="686" spans="1:61" x14ac:dyDescent="0.3">
      <c r="A686">
        <f t="shared" si="645"/>
        <v>0.64900000000000002</v>
      </c>
      <c r="B686">
        <f t="shared" si="588"/>
        <v>2.0388936321797759</v>
      </c>
      <c r="C686">
        <f t="shared" si="589"/>
        <v>1.1026990214100172</v>
      </c>
      <c r="D686">
        <f t="shared" si="590"/>
        <v>1.1026990214100172</v>
      </c>
      <c r="E686">
        <f t="shared" si="595"/>
        <v>0.89242837812371789</v>
      </c>
      <c r="F686">
        <f t="shared" si="596"/>
        <v>0.89242837812371778</v>
      </c>
      <c r="G686">
        <f t="shared" si="591"/>
        <v>2.0388936321797759</v>
      </c>
      <c r="H686">
        <f t="shared" si="592"/>
        <v>0.89242837812371789</v>
      </c>
      <c r="I686">
        <f t="shared" si="593"/>
        <v>0.89242837812371778</v>
      </c>
      <c r="J686">
        <f t="shared" si="641"/>
        <v>7.1335671071558689E+19</v>
      </c>
      <c r="K686">
        <f t="shared" si="642"/>
        <v>7.1335671071558689E+19</v>
      </c>
      <c r="L686">
        <f t="shared" si="597"/>
        <v>1</v>
      </c>
      <c r="M686">
        <f t="shared" si="594"/>
        <v>1.1026990214100172E-20</v>
      </c>
      <c r="N686" s="9">
        <f t="shared" si="643"/>
        <v>1.1026990214100172E-20</v>
      </c>
      <c r="O686">
        <f t="shared" si="644"/>
        <v>1.1026990214100172E-20</v>
      </c>
      <c r="Q686">
        <f t="shared" si="598"/>
        <v>45.713928171740768</v>
      </c>
      <c r="R686">
        <f t="shared" si="599"/>
        <v>0</v>
      </c>
      <c r="S686">
        <f t="shared" si="621"/>
        <v>-45.953941029547785</v>
      </c>
      <c r="T686" s="9" t="e">
        <f t="shared" si="600"/>
        <v>#N/A</v>
      </c>
      <c r="U686">
        <f t="shared" si="622"/>
        <v>-1.0000000000000001E+300</v>
      </c>
      <c r="V686">
        <f t="shared" si="623"/>
        <v>0</v>
      </c>
      <c r="W686">
        <f t="shared" si="624"/>
        <v>0</v>
      </c>
      <c r="X686">
        <f t="shared" si="601"/>
        <v>1.1026990214100172</v>
      </c>
      <c r="Y686">
        <f t="shared" si="602"/>
        <v>7.8539816339744828</v>
      </c>
      <c r="Z686">
        <f t="shared" si="603"/>
        <v>-1.1026990214100172</v>
      </c>
      <c r="AA686">
        <f t="shared" si="625"/>
        <v>-0.55749657236463634</v>
      </c>
      <c r="AB686">
        <f t="shared" si="604"/>
        <v>7.2964850616098467</v>
      </c>
      <c r="AC686">
        <f t="shared" si="626"/>
        <v>-0.35382187495632617</v>
      </c>
      <c r="AD686">
        <f t="shared" si="605"/>
        <v>0.11380901714931047</v>
      </c>
      <c r="AE686" s="9">
        <f t="shared" si="627"/>
        <v>7.0564722038028309</v>
      </c>
      <c r="AF686">
        <f t="shared" si="628"/>
        <v>0</v>
      </c>
      <c r="AH686">
        <f t="shared" si="606"/>
        <v>7.8539816339744828</v>
      </c>
      <c r="AI686">
        <f t="shared" si="607"/>
        <v>-0.55749657236463623</v>
      </c>
      <c r="AJ686">
        <f t="shared" si="608"/>
        <v>-0.35382187495632422</v>
      </c>
      <c r="AK686">
        <f t="shared" si="609"/>
        <v>0.11380901714931047</v>
      </c>
      <c r="AL686" s="9">
        <f t="shared" si="629"/>
        <v>7.0564722038028327</v>
      </c>
      <c r="AM686" t="e">
        <f t="shared" si="610"/>
        <v>#N/A</v>
      </c>
      <c r="AN686" t="e">
        <f t="shared" si="630"/>
        <v>#N/A</v>
      </c>
      <c r="AO686">
        <f t="shared" si="611"/>
        <v>0</v>
      </c>
      <c r="AP686">
        <f t="shared" si="612"/>
        <v>0</v>
      </c>
      <c r="AQ686">
        <f t="shared" si="613"/>
        <v>1.9428902930940239E-15</v>
      </c>
      <c r="AR686">
        <f t="shared" si="631"/>
        <v>0</v>
      </c>
      <c r="AS686">
        <f t="shared" si="614"/>
        <v>0</v>
      </c>
      <c r="AT686">
        <f t="shared" si="632"/>
        <v>0</v>
      </c>
      <c r="AU686">
        <f t="shared" si="633"/>
        <v>0</v>
      </c>
      <c r="AV686">
        <f t="shared" si="615"/>
        <v>1.1026990214100172E-20</v>
      </c>
      <c r="AW686" t="b">
        <f t="shared" si="634"/>
        <v>1</v>
      </c>
      <c r="AX686">
        <f t="shared" si="616"/>
        <v>7.8539816339744828</v>
      </c>
      <c r="AY686">
        <f t="shared" si="617"/>
        <v>-0.55749657236463634</v>
      </c>
      <c r="AZ686">
        <f t="shared" si="618"/>
        <v>-0.353821874956326</v>
      </c>
      <c r="BA686">
        <f t="shared" si="619"/>
        <v>0.11380901714931059</v>
      </c>
      <c r="BB686">
        <f t="shared" si="620"/>
        <v>-1.2337005501361696E-20</v>
      </c>
      <c r="BD686" s="15">
        <f t="shared" si="635"/>
        <v>7.0564722038028309</v>
      </c>
      <c r="BE686" s="10">
        <f t="shared" si="636"/>
        <v>0</v>
      </c>
      <c r="BF686">
        <f t="shared" si="637"/>
        <v>0</v>
      </c>
      <c r="BG686">
        <f t="shared" si="638"/>
        <v>0</v>
      </c>
      <c r="BH686">
        <f t="shared" si="639"/>
        <v>0</v>
      </c>
      <c r="BI686">
        <f t="shared" si="640"/>
        <v>0</v>
      </c>
    </row>
    <row r="687" spans="1:61" x14ac:dyDescent="0.3">
      <c r="A687">
        <f t="shared" si="645"/>
        <v>0.65</v>
      </c>
      <c r="B687">
        <f t="shared" si="588"/>
        <v>2.0420352248333655</v>
      </c>
      <c r="C687">
        <f t="shared" si="589"/>
        <v>1.0995574287564276</v>
      </c>
      <c r="D687">
        <f t="shared" si="590"/>
        <v>1.0995574287564276</v>
      </c>
      <c r="E687">
        <f t="shared" si="595"/>
        <v>0.8910065241883679</v>
      </c>
      <c r="F687">
        <f t="shared" si="596"/>
        <v>0.89100652418836779</v>
      </c>
      <c r="G687">
        <f t="shared" si="591"/>
        <v>2.0420352248333655</v>
      </c>
      <c r="H687">
        <f t="shared" si="592"/>
        <v>0.8910065241883679</v>
      </c>
      <c r="I687">
        <f t="shared" si="593"/>
        <v>0.89100652418836779</v>
      </c>
      <c r="J687">
        <f t="shared" si="641"/>
        <v>7.1449507392495084E+19</v>
      </c>
      <c r="K687">
        <f t="shared" si="642"/>
        <v>7.1449507392495084E+19</v>
      </c>
      <c r="L687">
        <f t="shared" si="597"/>
        <v>1</v>
      </c>
      <c r="M687">
        <f t="shared" si="594"/>
        <v>1.0995574287564275E-20</v>
      </c>
      <c r="N687" s="9">
        <f t="shared" si="643"/>
        <v>1.0995574287564275E-20</v>
      </c>
      <c r="O687">
        <f t="shared" si="644"/>
        <v>1.0995574287564275E-20</v>
      </c>
      <c r="Q687">
        <f t="shared" si="598"/>
        <v>45.715522683808196</v>
      </c>
      <c r="R687">
        <f t="shared" si="599"/>
        <v>0</v>
      </c>
      <c r="S687">
        <f t="shared" si="621"/>
        <v>-45.956794098530189</v>
      </c>
      <c r="T687" s="9" t="e">
        <f t="shared" si="600"/>
        <v>#N/A</v>
      </c>
      <c r="U687">
        <f t="shared" si="622"/>
        <v>-1.0000000000000001E+300</v>
      </c>
      <c r="V687">
        <f t="shared" si="623"/>
        <v>0</v>
      </c>
      <c r="W687">
        <f t="shared" si="624"/>
        <v>0</v>
      </c>
      <c r="X687">
        <f t="shared" si="601"/>
        <v>1.0995574287564276</v>
      </c>
      <c r="Y687">
        <f t="shared" si="602"/>
        <v>7.8539816339744828</v>
      </c>
      <c r="Z687">
        <f t="shared" si="603"/>
        <v>-1.0995574287564276</v>
      </c>
      <c r="AA687">
        <f t="shared" si="625"/>
        <v>-0.56025249313205716</v>
      </c>
      <c r="AB687">
        <f t="shared" si="604"/>
        <v>7.2937291408424256</v>
      </c>
      <c r="AC687">
        <f t="shared" si="626"/>
        <v>-0.35667494393873245</v>
      </c>
      <c r="AD687">
        <f t="shared" si="605"/>
        <v>0.11540352921673525</v>
      </c>
      <c r="AE687" s="9">
        <f t="shared" si="627"/>
        <v>7.0524577261204282</v>
      </c>
      <c r="AF687">
        <f t="shared" si="628"/>
        <v>0</v>
      </c>
      <c r="AH687">
        <f t="shared" si="606"/>
        <v>7.8539816339744828</v>
      </c>
      <c r="AI687">
        <f t="shared" si="607"/>
        <v>-0.56025249313205705</v>
      </c>
      <c r="AJ687">
        <f t="shared" si="608"/>
        <v>-0.35667494393872801</v>
      </c>
      <c r="AK687">
        <f t="shared" si="609"/>
        <v>0.11540352921673525</v>
      </c>
      <c r="AL687" s="9">
        <f t="shared" si="629"/>
        <v>7.0524577261204326</v>
      </c>
      <c r="AM687" t="e">
        <f t="shared" si="610"/>
        <v>#N/A</v>
      </c>
      <c r="AN687" t="e">
        <f t="shared" si="630"/>
        <v>#N/A</v>
      </c>
      <c r="AO687">
        <f t="shared" si="611"/>
        <v>0</v>
      </c>
      <c r="AP687">
        <f t="shared" si="612"/>
        <v>0</v>
      </c>
      <c r="AQ687">
        <f t="shared" si="613"/>
        <v>4.4408920985006262E-15</v>
      </c>
      <c r="AR687">
        <f t="shared" si="631"/>
        <v>0</v>
      </c>
      <c r="AS687">
        <f t="shared" si="614"/>
        <v>0</v>
      </c>
      <c r="AT687">
        <f t="shared" si="632"/>
        <v>0</v>
      </c>
      <c r="AU687">
        <f t="shared" si="633"/>
        <v>0</v>
      </c>
      <c r="AV687">
        <f t="shared" si="615"/>
        <v>1.0995574287564275E-20</v>
      </c>
      <c r="AW687" t="b">
        <f t="shared" si="634"/>
        <v>1</v>
      </c>
      <c r="AX687">
        <f t="shared" si="616"/>
        <v>7.8539816339744828</v>
      </c>
      <c r="AY687">
        <f t="shared" si="617"/>
        <v>-0.56025249313205727</v>
      </c>
      <c r="AZ687">
        <f t="shared" si="618"/>
        <v>-0.35667494393873228</v>
      </c>
      <c r="BA687">
        <f t="shared" si="619"/>
        <v>0.11540352921673537</v>
      </c>
      <c r="BB687">
        <f t="shared" si="620"/>
        <v>-1.2337005501361696E-20</v>
      </c>
      <c r="BD687" s="15">
        <f t="shared" si="635"/>
        <v>7.0524577261204282</v>
      </c>
      <c r="BE687" s="10">
        <f t="shared" si="636"/>
        <v>0</v>
      </c>
      <c r="BF687">
        <f t="shared" si="637"/>
        <v>0</v>
      </c>
      <c r="BG687">
        <f t="shared" si="638"/>
        <v>0</v>
      </c>
      <c r="BH687">
        <f t="shared" si="639"/>
        <v>0</v>
      </c>
      <c r="BI687">
        <f t="shared" si="640"/>
        <v>0</v>
      </c>
    </row>
    <row r="688" spans="1:61" x14ac:dyDescent="0.3">
      <c r="A688">
        <f t="shared" si="645"/>
        <v>0.65100000000000002</v>
      </c>
      <c r="B688">
        <f t="shared" si="588"/>
        <v>2.0451768174869556</v>
      </c>
      <c r="C688">
        <f t="shared" si="589"/>
        <v>1.0964158361028375</v>
      </c>
      <c r="D688">
        <f t="shared" si="590"/>
        <v>1.0964158361028375</v>
      </c>
      <c r="E688">
        <f t="shared" si="595"/>
        <v>0.8895758763783379</v>
      </c>
      <c r="F688">
        <f t="shared" si="596"/>
        <v>0.88957587637833779</v>
      </c>
      <c r="G688">
        <f t="shared" si="591"/>
        <v>2.0451768174869556</v>
      </c>
      <c r="H688">
        <f t="shared" si="592"/>
        <v>0.8895758763783379</v>
      </c>
      <c r="I688">
        <f t="shared" si="593"/>
        <v>0.88957587637833779</v>
      </c>
      <c r="J688">
        <f t="shared" si="641"/>
        <v>7.1564415051294188E+19</v>
      </c>
      <c r="K688">
        <f t="shared" si="642"/>
        <v>7.1564415051294188E+19</v>
      </c>
      <c r="L688" t="e">
        <f t="shared" si="597"/>
        <v>#NUM!</v>
      </c>
      <c r="M688">
        <f t="shared" si="594"/>
        <v>1.0964158361028376E-20</v>
      </c>
      <c r="N688" s="9" t="e">
        <f t="shared" si="643"/>
        <v>#NUM!</v>
      </c>
      <c r="O688" t="e">
        <f t="shared" si="644"/>
        <v>#NUM!</v>
      </c>
      <c r="Q688">
        <f t="shared" si="598"/>
        <v>45.717129627825429</v>
      </c>
      <c r="R688">
        <f t="shared" si="599"/>
        <v>0</v>
      </c>
      <c r="S688">
        <f t="shared" si="621"/>
        <v>-45.959655330811223</v>
      </c>
      <c r="T688" s="9" t="e">
        <f t="shared" si="600"/>
        <v>#N/A</v>
      </c>
      <c r="U688">
        <f t="shared" si="622"/>
        <v>-1.0000000000000001E+300</v>
      </c>
      <c r="V688">
        <f t="shared" si="623"/>
        <v>0</v>
      </c>
      <c r="W688">
        <f t="shared" si="624"/>
        <v>0</v>
      </c>
      <c r="X688">
        <f t="shared" si="601"/>
        <v>1.0964158361028375</v>
      </c>
      <c r="Y688">
        <f t="shared" si="602"/>
        <v>7.8539816339744828</v>
      </c>
      <c r="Z688">
        <f t="shared" si="603"/>
        <v>-1.0964158361028375</v>
      </c>
      <c r="AA688">
        <f t="shared" si="625"/>
        <v>-0.56299748007544659</v>
      </c>
      <c r="AB688">
        <f t="shared" si="604"/>
        <v>7.2909841538990365</v>
      </c>
      <c r="AC688">
        <f t="shared" si="626"/>
        <v>-0.3595361762197648</v>
      </c>
      <c r="AD688">
        <f t="shared" si="605"/>
        <v>0.11701047323396742</v>
      </c>
      <c r="AE688" s="9">
        <f t="shared" si="627"/>
        <v>7.0484584509132393</v>
      </c>
      <c r="AF688">
        <f t="shared" si="628"/>
        <v>0</v>
      </c>
      <c r="AH688">
        <f t="shared" si="606"/>
        <v>7.8539816339744828</v>
      </c>
      <c r="AI688">
        <f t="shared" si="607"/>
        <v>-0.56299748007544648</v>
      </c>
      <c r="AJ688">
        <f t="shared" si="608"/>
        <v>-0.35953617621976264</v>
      </c>
      <c r="AK688">
        <f t="shared" si="609"/>
        <v>0.11701047323396742</v>
      </c>
      <c r="AL688" s="9">
        <f t="shared" si="629"/>
        <v>7.0484584509132411</v>
      </c>
      <c r="AM688" t="e">
        <f t="shared" si="610"/>
        <v>#N/A</v>
      </c>
      <c r="AN688" t="e">
        <f t="shared" si="630"/>
        <v>#N/A</v>
      </c>
      <c r="AO688">
        <f t="shared" si="611"/>
        <v>0</v>
      </c>
      <c r="AP688">
        <f t="shared" si="612"/>
        <v>0</v>
      </c>
      <c r="AQ688">
        <f t="shared" si="613"/>
        <v>2.1649348980190553E-15</v>
      </c>
      <c r="AR688">
        <f t="shared" si="631"/>
        <v>0</v>
      </c>
      <c r="AS688">
        <f t="shared" si="614"/>
        <v>0</v>
      </c>
      <c r="AT688">
        <f t="shared" si="632"/>
        <v>0</v>
      </c>
      <c r="AU688">
        <f t="shared" si="633"/>
        <v>0</v>
      </c>
      <c r="AV688">
        <f t="shared" si="615"/>
        <v>1.0964158361028374E-20</v>
      </c>
      <c r="AW688" t="b">
        <f t="shared" si="634"/>
        <v>1</v>
      </c>
      <c r="AX688">
        <f t="shared" si="616"/>
        <v>7.8539816339744828</v>
      </c>
      <c r="AY688">
        <f t="shared" si="617"/>
        <v>-0.56299748007544648</v>
      </c>
      <c r="AZ688">
        <f t="shared" si="618"/>
        <v>-0.3595361762197648</v>
      </c>
      <c r="BA688">
        <f t="shared" si="619"/>
        <v>0.11701047323396754</v>
      </c>
      <c r="BB688">
        <f t="shared" si="620"/>
        <v>-1.2337005501361696E-20</v>
      </c>
      <c r="BD688" s="15">
        <f t="shared" si="635"/>
        <v>7.0484584509132393</v>
      </c>
      <c r="BE688" s="10">
        <f t="shared" si="636"/>
        <v>0</v>
      </c>
      <c r="BF688">
        <f t="shared" si="637"/>
        <v>0</v>
      </c>
      <c r="BG688">
        <f t="shared" si="638"/>
        <v>0</v>
      </c>
      <c r="BH688">
        <f t="shared" si="639"/>
        <v>0</v>
      </c>
      <c r="BI688">
        <f t="shared" si="640"/>
        <v>0</v>
      </c>
    </row>
    <row r="689" spans="1:61" x14ac:dyDescent="0.3">
      <c r="A689">
        <f t="shared" si="645"/>
        <v>0.65200000000000002</v>
      </c>
      <c r="B689">
        <f t="shared" si="588"/>
        <v>2.0483184101405452</v>
      </c>
      <c r="C689">
        <f t="shared" si="589"/>
        <v>1.093274243449248</v>
      </c>
      <c r="D689">
        <f t="shared" si="590"/>
        <v>1.093274243449248</v>
      </c>
      <c r="E689">
        <f t="shared" si="595"/>
        <v>0.88813644881354459</v>
      </c>
      <c r="F689">
        <f t="shared" si="596"/>
        <v>0.88813644881354448</v>
      </c>
      <c r="G689">
        <f t="shared" si="591"/>
        <v>2.0483184101405452</v>
      </c>
      <c r="H689">
        <f t="shared" si="592"/>
        <v>0.88813644881354459</v>
      </c>
      <c r="I689">
        <f t="shared" si="593"/>
        <v>0.88813644881354448</v>
      </c>
      <c r="J689">
        <f t="shared" si="641"/>
        <v>7.1680401498895516E+19</v>
      </c>
      <c r="K689">
        <f t="shared" si="642"/>
        <v>7.1680401498895516E+19</v>
      </c>
      <c r="L689">
        <f t="shared" si="597"/>
        <v>0</v>
      </c>
      <c r="M689">
        <f t="shared" si="594"/>
        <v>1.0932742434492479E-20</v>
      </c>
      <c r="N689" s="9">
        <f t="shared" si="643"/>
        <v>0</v>
      </c>
      <c r="O689">
        <f t="shared" si="644"/>
        <v>0</v>
      </c>
      <c r="Q689">
        <f t="shared" si="598"/>
        <v>45.718749043811883</v>
      </c>
      <c r="R689">
        <f t="shared" si="599"/>
        <v>0</v>
      </c>
      <c r="S689">
        <f t="shared" si="621"/>
        <v>-45.962524773239174</v>
      </c>
      <c r="T689" s="9" t="e">
        <f t="shared" si="600"/>
        <v>#N/A</v>
      </c>
      <c r="U689">
        <f t="shared" si="622"/>
        <v>-1.0000000000000001E+300</v>
      </c>
      <c r="V689">
        <f t="shared" si="623"/>
        <v>0</v>
      </c>
      <c r="W689">
        <f t="shared" si="624"/>
        <v>0</v>
      </c>
      <c r="X689">
        <f t="shared" si="601"/>
        <v>1.093274243449248</v>
      </c>
      <c r="Y689">
        <f t="shared" si="602"/>
        <v>7.8539816339744828</v>
      </c>
      <c r="Z689">
        <f t="shared" si="603"/>
        <v>-1.093274243449248</v>
      </c>
      <c r="AA689">
        <f t="shared" si="625"/>
        <v>-0.56573156646896239</v>
      </c>
      <c r="AB689">
        <f t="shared" si="604"/>
        <v>7.2882500675055208</v>
      </c>
      <c r="AC689">
        <f t="shared" si="626"/>
        <v>-0.36240561864771748</v>
      </c>
      <c r="AD689">
        <f t="shared" si="605"/>
        <v>0.11862988922042497</v>
      </c>
      <c r="AE689" s="9">
        <f t="shared" si="627"/>
        <v>7.0444743380782278</v>
      </c>
      <c r="AF689">
        <f t="shared" si="628"/>
        <v>0</v>
      </c>
      <c r="AH689">
        <f t="shared" si="606"/>
        <v>7.8539816339744828</v>
      </c>
      <c r="AI689">
        <f t="shared" si="607"/>
        <v>-0.56573156646896228</v>
      </c>
      <c r="AJ689">
        <f t="shared" si="608"/>
        <v>-0.36240561864771337</v>
      </c>
      <c r="AK689">
        <f t="shared" si="609"/>
        <v>0.11862988922042497</v>
      </c>
      <c r="AL689" s="9">
        <f t="shared" si="629"/>
        <v>7.0444743380782322</v>
      </c>
      <c r="AM689" t="e">
        <f t="shared" si="610"/>
        <v>#N/A</v>
      </c>
      <c r="AN689" t="e">
        <f t="shared" si="630"/>
        <v>#N/A</v>
      </c>
      <c r="AO689">
        <f t="shared" si="611"/>
        <v>0</v>
      </c>
      <c r="AP689">
        <f t="shared" si="612"/>
        <v>0</v>
      </c>
      <c r="AQ689">
        <f t="shared" si="613"/>
        <v>4.1078251911130792E-15</v>
      </c>
      <c r="AR689">
        <f t="shared" si="631"/>
        <v>0</v>
      </c>
      <c r="AS689">
        <f t="shared" si="614"/>
        <v>0</v>
      </c>
      <c r="AT689">
        <f t="shared" si="632"/>
        <v>0</v>
      </c>
      <c r="AU689">
        <f t="shared" si="633"/>
        <v>0</v>
      </c>
      <c r="AV689">
        <f t="shared" si="615"/>
        <v>1.0932742434492479E-20</v>
      </c>
      <c r="AW689" t="b">
        <f t="shared" si="634"/>
        <v>1</v>
      </c>
      <c r="AX689">
        <f t="shared" si="616"/>
        <v>7.8539816339744828</v>
      </c>
      <c r="AY689">
        <f t="shared" si="617"/>
        <v>-0.5657315664689625</v>
      </c>
      <c r="AZ689">
        <f t="shared" si="618"/>
        <v>-0.36240561864771731</v>
      </c>
      <c r="BA689">
        <f t="shared" si="619"/>
        <v>0.1186298892204251</v>
      </c>
      <c r="BB689">
        <f t="shared" si="620"/>
        <v>-1.2337005501361696E-20</v>
      </c>
      <c r="BD689" s="15">
        <f t="shared" si="635"/>
        <v>7.0444743380782278</v>
      </c>
      <c r="BE689" s="10">
        <f t="shared" si="636"/>
        <v>0</v>
      </c>
      <c r="BF689">
        <f t="shared" si="637"/>
        <v>0</v>
      </c>
      <c r="BG689">
        <f t="shared" si="638"/>
        <v>0</v>
      </c>
      <c r="BH689">
        <f t="shared" si="639"/>
        <v>0</v>
      </c>
      <c r="BI689">
        <f t="shared" si="640"/>
        <v>0</v>
      </c>
    </row>
    <row r="690" spans="1:61" x14ac:dyDescent="0.3">
      <c r="A690">
        <f t="shared" si="645"/>
        <v>0.65300000000000002</v>
      </c>
      <c r="B690">
        <f t="shared" si="588"/>
        <v>2.0514600027941348</v>
      </c>
      <c r="C690">
        <f t="shared" si="589"/>
        <v>1.0901326507956584</v>
      </c>
      <c r="D690">
        <f t="shared" si="590"/>
        <v>1.0901326507956584</v>
      </c>
      <c r="E690">
        <f t="shared" si="595"/>
        <v>0.88668825570055654</v>
      </c>
      <c r="F690">
        <f t="shared" si="596"/>
        <v>0.88668825570055654</v>
      </c>
      <c r="G690">
        <f t="shared" si="591"/>
        <v>2.0514600027941348</v>
      </c>
      <c r="H690">
        <f t="shared" si="592"/>
        <v>0.88668825570055654</v>
      </c>
      <c r="I690">
        <f t="shared" si="593"/>
        <v>0.88668825570055654</v>
      </c>
      <c r="J690">
        <f t="shared" si="641"/>
        <v>7.1797474284194677E+19</v>
      </c>
      <c r="K690">
        <f t="shared" si="642"/>
        <v>7.1797474284194677E+19</v>
      </c>
      <c r="L690">
        <f t="shared" si="597"/>
        <v>0</v>
      </c>
      <c r="M690">
        <f t="shared" si="594"/>
        <v>1.0901326507956583E-20</v>
      </c>
      <c r="N690" s="9">
        <f t="shared" si="643"/>
        <v>0</v>
      </c>
      <c r="O690">
        <f t="shared" si="644"/>
        <v>0</v>
      </c>
      <c r="Q690">
        <f t="shared" si="598"/>
        <v>45.720380972227922</v>
      </c>
      <c r="R690">
        <f t="shared" si="599"/>
        <v>0</v>
      </c>
      <c r="S690">
        <f t="shared" si="621"/>
        <v>-45.965402473066789</v>
      </c>
      <c r="T690" s="9" t="e">
        <f t="shared" si="600"/>
        <v>#N/A</v>
      </c>
      <c r="U690">
        <f t="shared" si="622"/>
        <v>-1.0000000000000001E+300</v>
      </c>
      <c r="V690">
        <f t="shared" si="623"/>
        <v>0</v>
      </c>
      <c r="W690">
        <f t="shared" si="624"/>
        <v>0</v>
      </c>
      <c r="X690">
        <f t="shared" si="601"/>
        <v>1.0901326507956584</v>
      </c>
      <c r="Y690">
        <f t="shared" si="602"/>
        <v>7.8539816339744828</v>
      </c>
      <c r="Z690">
        <f t="shared" si="603"/>
        <v>-1.0901326507956584</v>
      </c>
      <c r="AA690">
        <f t="shared" si="625"/>
        <v>-0.5684547853704327</v>
      </c>
      <c r="AB690">
        <f t="shared" si="604"/>
        <v>7.2855268486040501</v>
      </c>
      <c r="AC690">
        <f t="shared" si="626"/>
        <v>-0.36528331847533246</v>
      </c>
      <c r="AD690">
        <f t="shared" si="605"/>
        <v>0.12026181763646047</v>
      </c>
      <c r="AE690" s="9">
        <f t="shared" si="627"/>
        <v>7.040505347765178</v>
      </c>
      <c r="AF690">
        <f t="shared" si="628"/>
        <v>0</v>
      </c>
      <c r="AH690">
        <f t="shared" si="606"/>
        <v>7.8539816339744828</v>
      </c>
      <c r="AI690">
        <f t="shared" si="607"/>
        <v>-0.56845478537043259</v>
      </c>
      <c r="AJ690">
        <f t="shared" si="608"/>
        <v>-0.36528331847532769</v>
      </c>
      <c r="AK690">
        <f t="shared" si="609"/>
        <v>0.12026181763646047</v>
      </c>
      <c r="AL690" s="9">
        <f t="shared" si="629"/>
        <v>7.0405053477651824</v>
      </c>
      <c r="AM690" t="e">
        <f t="shared" si="610"/>
        <v>#N/A</v>
      </c>
      <c r="AN690" t="e">
        <f t="shared" si="630"/>
        <v>#N/A</v>
      </c>
      <c r="AO690">
        <f t="shared" si="611"/>
        <v>0</v>
      </c>
      <c r="AP690">
        <f t="shared" si="612"/>
        <v>0</v>
      </c>
      <c r="AQ690">
        <f t="shared" si="613"/>
        <v>4.7739590058881731E-15</v>
      </c>
      <c r="AR690">
        <f t="shared" si="631"/>
        <v>0</v>
      </c>
      <c r="AS690">
        <f t="shared" si="614"/>
        <v>0</v>
      </c>
      <c r="AT690">
        <f t="shared" si="632"/>
        <v>0</v>
      </c>
      <c r="AU690">
        <f t="shared" si="633"/>
        <v>0</v>
      </c>
      <c r="AV690">
        <f t="shared" si="615"/>
        <v>1.0901326507956583E-20</v>
      </c>
      <c r="AW690" t="b">
        <f t="shared" si="634"/>
        <v>1</v>
      </c>
      <c r="AX690">
        <f t="shared" si="616"/>
        <v>7.8539816339744828</v>
      </c>
      <c r="AY690">
        <f t="shared" si="617"/>
        <v>-0.56845478537043281</v>
      </c>
      <c r="AZ690">
        <f t="shared" si="618"/>
        <v>-0.36528331847533246</v>
      </c>
      <c r="BA690">
        <f t="shared" si="619"/>
        <v>0.12026181763646047</v>
      </c>
      <c r="BB690">
        <f t="shared" si="620"/>
        <v>-1.2337005501361696E-20</v>
      </c>
      <c r="BD690" s="15">
        <f t="shared" si="635"/>
        <v>7.040505347765178</v>
      </c>
      <c r="BE690" s="10">
        <f t="shared" si="636"/>
        <v>0</v>
      </c>
      <c r="BF690">
        <f t="shared" si="637"/>
        <v>0</v>
      </c>
      <c r="BG690">
        <f t="shared" si="638"/>
        <v>0</v>
      </c>
      <c r="BH690">
        <f t="shared" si="639"/>
        <v>0</v>
      </c>
      <c r="BI690">
        <f t="shared" si="640"/>
        <v>0</v>
      </c>
    </row>
    <row r="691" spans="1:61" x14ac:dyDescent="0.3">
      <c r="A691">
        <f t="shared" si="645"/>
        <v>0.65400000000000003</v>
      </c>
      <c r="B691">
        <f t="shared" si="588"/>
        <v>2.0546015954477248</v>
      </c>
      <c r="C691">
        <f t="shared" si="589"/>
        <v>1.0869910581420683</v>
      </c>
      <c r="D691">
        <f t="shared" si="590"/>
        <v>1.0869910581420683</v>
      </c>
      <c r="E691">
        <f t="shared" si="595"/>
        <v>0.88523131133245525</v>
      </c>
      <c r="F691">
        <f t="shared" si="596"/>
        <v>0.88523131133245514</v>
      </c>
      <c r="G691">
        <f t="shared" si="591"/>
        <v>2.0546015954477248</v>
      </c>
      <c r="H691">
        <f t="shared" si="592"/>
        <v>0.88523131133245525</v>
      </c>
      <c r="I691">
        <f t="shared" si="593"/>
        <v>0.88523131133245514</v>
      </c>
      <c r="J691">
        <f t="shared" si="641"/>
        <v>7.1915641055368643E+19</v>
      </c>
      <c r="K691">
        <f t="shared" si="642"/>
        <v>7.1915641055368643E+19</v>
      </c>
      <c r="L691">
        <f t="shared" si="597"/>
        <v>0</v>
      </c>
      <c r="M691">
        <f t="shared" si="594"/>
        <v>1.0869910581420683E-20</v>
      </c>
      <c r="N691" s="9">
        <f t="shared" si="643"/>
        <v>0</v>
      </c>
      <c r="O691">
        <f t="shared" si="644"/>
        <v>0</v>
      </c>
      <c r="Q691">
        <f t="shared" si="598"/>
        <v>45.722025453979285</v>
      </c>
      <c r="R691">
        <f t="shared" si="599"/>
        <v>-710542.73576010019</v>
      </c>
      <c r="S691">
        <f t="shared" si="621"/>
        <v>-45.968288477955923</v>
      </c>
      <c r="T691" s="9" t="e">
        <f t="shared" si="600"/>
        <v>#N/A</v>
      </c>
      <c r="U691">
        <f t="shared" si="622"/>
        <v>-1.0000000000000001E+300</v>
      </c>
      <c r="V691">
        <f t="shared" si="623"/>
        <v>0</v>
      </c>
      <c r="W691">
        <f t="shared" si="624"/>
        <v>0</v>
      </c>
      <c r="X691">
        <f t="shared" si="601"/>
        <v>1.0869910581420683</v>
      </c>
      <c r="Y691">
        <f t="shared" si="602"/>
        <v>7.8539816339744828</v>
      </c>
      <c r="Z691">
        <f t="shared" si="603"/>
        <v>-1.0869910581420683</v>
      </c>
      <c r="AA691">
        <f t="shared" si="625"/>
        <v>-0.57116716962291558</v>
      </c>
      <c r="AB691">
        <f t="shared" si="604"/>
        <v>7.2828144643515671</v>
      </c>
      <c r="AC691">
        <f t="shared" si="626"/>
        <v>-0.36816932336446756</v>
      </c>
      <c r="AD691">
        <f t="shared" si="605"/>
        <v>0.12190629938782785</v>
      </c>
      <c r="AE691" s="9">
        <f t="shared" si="627"/>
        <v>7.036551440374927</v>
      </c>
      <c r="AF691">
        <f t="shared" si="628"/>
        <v>0</v>
      </c>
      <c r="AH691">
        <f t="shared" si="606"/>
        <v>7.8539816339744828</v>
      </c>
      <c r="AI691">
        <f t="shared" si="607"/>
        <v>-0.57116716962291558</v>
      </c>
      <c r="AJ691">
        <f t="shared" si="608"/>
        <v>-0.36816932336446229</v>
      </c>
      <c r="AK691">
        <f t="shared" si="609"/>
        <v>0.12190629938782785</v>
      </c>
      <c r="AL691" s="9">
        <f t="shared" si="629"/>
        <v>7.0365514403749323</v>
      </c>
      <c r="AM691" t="e">
        <f t="shared" si="610"/>
        <v>#N/A</v>
      </c>
      <c r="AN691" t="e">
        <f t="shared" si="630"/>
        <v>#N/A</v>
      </c>
      <c r="AO691">
        <f t="shared" si="611"/>
        <v>0</v>
      </c>
      <c r="AP691">
        <f t="shared" si="612"/>
        <v>0</v>
      </c>
      <c r="AQ691">
        <f t="shared" si="613"/>
        <v>5.2735593669694936E-15</v>
      </c>
      <c r="AR691">
        <f t="shared" si="631"/>
        <v>0</v>
      </c>
      <c r="AS691">
        <f t="shared" si="614"/>
        <v>0</v>
      </c>
      <c r="AT691">
        <f t="shared" si="632"/>
        <v>0</v>
      </c>
      <c r="AU691">
        <f t="shared" si="633"/>
        <v>0</v>
      </c>
      <c r="AV691">
        <f t="shared" si="615"/>
        <v>1.0869910581420683E-20</v>
      </c>
      <c r="AW691" t="b">
        <f t="shared" si="634"/>
        <v>1</v>
      </c>
      <c r="AX691">
        <f t="shared" si="616"/>
        <v>7.8539816339744828</v>
      </c>
      <c r="AY691">
        <f t="shared" si="617"/>
        <v>-0.57116716962291558</v>
      </c>
      <c r="AZ691">
        <f t="shared" si="618"/>
        <v>-0.36816932336446756</v>
      </c>
      <c r="BA691">
        <f t="shared" si="619"/>
        <v>0.12190629938782797</v>
      </c>
      <c r="BB691">
        <f t="shared" si="620"/>
        <v>-1.2337005501361696E-20</v>
      </c>
      <c r="BD691" s="15">
        <f t="shared" si="635"/>
        <v>7.0365514403749279</v>
      </c>
      <c r="BE691" s="10">
        <f t="shared" si="636"/>
        <v>0</v>
      </c>
      <c r="BF691">
        <f t="shared" si="637"/>
        <v>0</v>
      </c>
      <c r="BG691">
        <f t="shared" si="638"/>
        <v>0</v>
      </c>
      <c r="BH691">
        <f t="shared" si="639"/>
        <v>0</v>
      </c>
      <c r="BI691">
        <f t="shared" si="640"/>
        <v>0</v>
      </c>
    </row>
    <row r="692" spans="1:61" x14ac:dyDescent="0.3">
      <c r="A692">
        <f t="shared" si="645"/>
        <v>0.65500000000000003</v>
      </c>
      <c r="B692">
        <f t="shared" si="588"/>
        <v>2.0577431881013144</v>
      </c>
      <c r="C692">
        <f t="shared" si="589"/>
        <v>1.0838494654884787</v>
      </c>
      <c r="D692">
        <f t="shared" si="590"/>
        <v>1.0838494654884787</v>
      </c>
      <c r="E692">
        <f t="shared" si="595"/>
        <v>0.88376563008869347</v>
      </c>
      <c r="F692">
        <f t="shared" si="596"/>
        <v>0.88376563008869347</v>
      </c>
      <c r="G692">
        <f t="shared" si="591"/>
        <v>2.0577431881013144</v>
      </c>
      <c r="H692">
        <f t="shared" si="592"/>
        <v>0.88376563008869347</v>
      </c>
      <c r="I692">
        <f t="shared" si="593"/>
        <v>0.88376563008869347</v>
      </c>
      <c r="J692">
        <f t="shared" si="641"/>
        <v>7.2034909561225093E+19</v>
      </c>
      <c r="K692">
        <f t="shared" si="642"/>
        <v>7.2034909561225093E+19</v>
      </c>
      <c r="L692">
        <f t="shared" si="597"/>
        <v>1</v>
      </c>
      <c r="M692">
        <f t="shared" si="594"/>
        <v>1.0838494654884786E-20</v>
      </c>
      <c r="N692" s="9">
        <f t="shared" si="643"/>
        <v>1.0838494654884786E-20</v>
      </c>
      <c r="O692">
        <f t="shared" si="644"/>
        <v>1.0838494654884786E-20</v>
      </c>
      <c r="Q692">
        <f t="shared" si="598"/>
        <v>45.723682530421677</v>
      </c>
      <c r="R692">
        <f t="shared" si="599"/>
        <v>-710542.73576010019</v>
      </c>
      <c r="S692">
        <f t="shared" si="621"/>
        <v>-45.97118283598229</v>
      </c>
      <c r="T692" s="9" t="e">
        <f t="shared" si="600"/>
        <v>#N/A</v>
      </c>
      <c r="U692">
        <f t="shared" si="622"/>
        <v>-1.0000000000000001E+300</v>
      </c>
      <c r="V692">
        <f t="shared" si="623"/>
        <v>0</v>
      </c>
      <c r="W692">
        <f t="shared" si="624"/>
        <v>0</v>
      </c>
      <c r="X692">
        <f t="shared" si="601"/>
        <v>1.0838494654884787</v>
      </c>
      <c r="Y692">
        <f t="shared" si="602"/>
        <v>7.8539816339744828</v>
      </c>
      <c r="Z692">
        <f t="shared" si="603"/>
        <v>-1.0838494654884787</v>
      </c>
      <c r="AA692">
        <f t="shared" si="625"/>
        <v>-0.57386875185624386</v>
      </c>
      <c r="AB692">
        <f t="shared" si="604"/>
        <v>7.2801128821182388</v>
      </c>
      <c r="AC692">
        <f t="shared" si="626"/>
        <v>-0.3710636813908319</v>
      </c>
      <c r="AD692">
        <f t="shared" si="605"/>
        <v>0.12356337583022022</v>
      </c>
      <c r="AE692" s="9">
        <f t="shared" si="627"/>
        <v>7.0326125765576268</v>
      </c>
      <c r="AF692">
        <f t="shared" si="628"/>
        <v>0</v>
      </c>
      <c r="AH692">
        <f t="shared" si="606"/>
        <v>7.8539816339744828</v>
      </c>
      <c r="AI692">
        <f t="shared" si="607"/>
        <v>-0.57386875185624386</v>
      </c>
      <c r="AJ692">
        <f t="shared" si="608"/>
        <v>-0.37106368139082946</v>
      </c>
      <c r="AK692">
        <f t="shared" si="609"/>
        <v>0.12356337583022022</v>
      </c>
      <c r="AL692" s="9">
        <f t="shared" si="629"/>
        <v>7.0326125765576295</v>
      </c>
      <c r="AM692" t="e">
        <f t="shared" si="610"/>
        <v>#N/A</v>
      </c>
      <c r="AN692" t="e">
        <f t="shared" si="630"/>
        <v>#N/A</v>
      </c>
      <c r="AO692">
        <f t="shared" si="611"/>
        <v>0</v>
      </c>
      <c r="AP692">
        <f t="shared" si="612"/>
        <v>0</v>
      </c>
      <c r="AQ692">
        <f t="shared" si="613"/>
        <v>2.4424906541753444E-15</v>
      </c>
      <c r="AR692">
        <f t="shared" si="631"/>
        <v>0</v>
      </c>
      <c r="AS692">
        <f t="shared" si="614"/>
        <v>0</v>
      </c>
      <c r="AT692">
        <f t="shared" si="632"/>
        <v>0</v>
      </c>
      <c r="AU692">
        <f t="shared" si="633"/>
        <v>0</v>
      </c>
      <c r="AV692">
        <f t="shared" si="615"/>
        <v>1.0838494654884786E-20</v>
      </c>
      <c r="AW692" t="b">
        <f t="shared" si="634"/>
        <v>1</v>
      </c>
      <c r="AX692">
        <f t="shared" si="616"/>
        <v>7.8539816339744828</v>
      </c>
      <c r="AY692">
        <f t="shared" si="617"/>
        <v>-0.57386875185624397</v>
      </c>
      <c r="AZ692">
        <f t="shared" si="618"/>
        <v>-0.3710636813908319</v>
      </c>
      <c r="BA692">
        <f t="shared" si="619"/>
        <v>0.12356337583022022</v>
      </c>
      <c r="BB692">
        <f t="shared" si="620"/>
        <v>-1.2337005501361696E-20</v>
      </c>
      <c r="BD692" s="15">
        <f t="shared" si="635"/>
        <v>7.0326125765576268</v>
      </c>
      <c r="BE692" s="10">
        <f t="shared" si="636"/>
        <v>0</v>
      </c>
      <c r="BF692">
        <f t="shared" si="637"/>
        <v>0</v>
      </c>
      <c r="BG692">
        <f t="shared" si="638"/>
        <v>0</v>
      </c>
      <c r="BH692">
        <f t="shared" si="639"/>
        <v>0</v>
      </c>
      <c r="BI692">
        <f t="shared" si="640"/>
        <v>0</v>
      </c>
    </row>
    <row r="693" spans="1:61" x14ac:dyDescent="0.3">
      <c r="A693">
        <f t="shared" si="645"/>
        <v>0.65600000000000003</v>
      </c>
      <c r="B693">
        <f t="shared" si="588"/>
        <v>2.0608847807549044</v>
      </c>
      <c r="C693">
        <f t="shared" si="589"/>
        <v>1.0807078728348887</v>
      </c>
      <c r="D693">
        <f t="shared" si="590"/>
        <v>1.0807078728348887</v>
      </c>
      <c r="E693">
        <f t="shared" si="595"/>
        <v>0.88229122643495328</v>
      </c>
      <c r="F693">
        <f t="shared" si="596"/>
        <v>0.88229122643495317</v>
      </c>
      <c r="G693">
        <f t="shared" si="591"/>
        <v>2.0608847807549044</v>
      </c>
      <c r="H693">
        <f t="shared" si="592"/>
        <v>0.88229122643495328</v>
      </c>
      <c r="I693">
        <f t="shared" si="593"/>
        <v>0.88229122643495317</v>
      </c>
      <c r="J693">
        <f t="shared" si="641"/>
        <v>7.2155287652576027E+19</v>
      </c>
      <c r="K693">
        <f t="shared" si="642"/>
        <v>7.2155287652576027E+19</v>
      </c>
      <c r="L693">
        <f t="shared" si="597"/>
        <v>1</v>
      </c>
      <c r="M693">
        <f t="shared" si="594"/>
        <v>1.0807078728348887E-20</v>
      </c>
      <c r="N693" s="9">
        <f t="shared" si="643"/>
        <v>1.0807078728348887E-20</v>
      </c>
      <c r="O693">
        <f t="shared" si="644"/>
        <v>1.0807078728348887E-20</v>
      </c>
      <c r="Q693">
        <f t="shared" si="598"/>
        <v>45.725352243365336</v>
      </c>
      <c r="R693">
        <f t="shared" si="599"/>
        <v>0</v>
      </c>
      <c r="S693">
        <f t="shared" si="621"/>
        <v>-45.974085595640254</v>
      </c>
      <c r="T693" s="9" t="e">
        <f t="shared" si="600"/>
        <v>#N/A</v>
      </c>
      <c r="U693">
        <f t="shared" si="622"/>
        <v>-1.0000000000000001E+300</v>
      </c>
      <c r="V693">
        <f t="shared" si="623"/>
        <v>0</v>
      </c>
      <c r="W693">
        <f t="shared" si="624"/>
        <v>0</v>
      </c>
      <c r="X693">
        <f t="shared" si="601"/>
        <v>1.0807078728348887</v>
      </c>
      <c r="Y693">
        <f t="shared" si="602"/>
        <v>7.8539816339744828</v>
      </c>
      <c r="Z693">
        <f t="shared" si="603"/>
        <v>-1.0807078728348887</v>
      </c>
      <c r="AA693">
        <f t="shared" si="625"/>
        <v>-0.57655956448856038</v>
      </c>
      <c r="AB693">
        <f t="shared" si="604"/>
        <v>7.2774220694859224</v>
      </c>
      <c r="AC693">
        <f t="shared" si="626"/>
        <v>-0.37396644104879345</v>
      </c>
      <c r="AD693">
        <f t="shared" si="605"/>
        <v>0.12523308877387745</v>
      </c>
      <c r="AE693" s="9">
        <f t="shared" si="627"/>
        <v>7.0286887172110069</v>
      </c>
      <c r="AF693">
        <f t="shared" si="628"/>
        <v>0</v>
      </c>
      <c r="AH693">
        <f t="shared" si="606"/>
        <v>7.8539816339744828</v>
      </c>
      <c r="AI693">
        <f t="shared" si="607"/>
        <v>-0.57655956448856038</v>
      </c>
      <c r="AJ693">
        <f t="shared" si="608"/>
        <v>-0.37396644104879329</v>
      </c>
      <c r="AK693">
        <f t="shared" si="609"/>
        <v>0.12523308877387745</v>
      </c>
      <c r="AL693" s="9">
        <f t="shared" si="629"/>
        <v>7.0286887172110069</v>
      </c>
      <c r="AM693" t="e">
        <f t="shared" si="610"/>
        <v>#N/A</v>
      </c>
      <c r="AN693" t="e">
        <f t="shared" si="630"/>
        <v>#N/A</v>
      </c>
      <c r="AO693">
        <f t="shared" si="611"/>
        <v>0</v>
      </c>
      <c r="AP693">
        <f t="shared" si="612"/>
        <v>0</v>
      </c>
      <c r="AQ693">
        <f t="shared" si="613"/>
        <v>0</v>
      </c>
      <c r="AR693">
        <f t="shared" si="631"/>
        <v>0</v>
      </c>
      <c r="AS693">
        <f t="shared" si="614"/>
        <v>0</v>
      </c>
      <c r="AT693">
        <f t="shared" si="632"/>
        <v>0</v>
      </c>
      <c r="AU693">
        <f t="shared" si="633"/>
        <v>0</v>
      </c>
      <c r="AV693">
        <f t="shared" si="615"/>
        <v>1.0807078728348887E-20</v>
      </c>
      <c r="AW693" t="b">
        <f t="shared" si="634"/>
        <v>1</v>
      </c>
      <c r="AX693">
        <f t="shared" si="616"/>
        <v>7.8539816339744828</v>
      </c>
      <c r="AY693">
        <f t="shared" si="617"/>
        <v>-0.57655956448856049</v>
      </c>
      <c r="AZ693">
        <f t="shared" si="618"/>
        <v>-0.37396644104879345</v>
      </c>
      <c r="BA693">
        <f t="shared" si="619"/>
        <v>0.12523308877387759</v>
      </c>
      <c r="BB693">
        <f t="shared" si="620"/>
        <v>-1.2337005501361696E-20</v>
      </c>
      <c r="BD693" s="15">
        <f t="shared" si="635"/>
        <v>7.0286887172110069</v>
      </c>
      <c r="BE693" s="10">
        <f t="shared" si="636"/>
        <v>0</v>
      </c>
      <c r="BF693">
        <f t="shared" si="637"/>
        <v>0</v>
      </c>
      <c r="BG693">
        <f t="shared" si="638"/>
        <v>0</v>
      </c>
      <c r="BH693">
        <f t="shared" si="639"/>
        <v>0</v>
      </c>
      <c r="BI693">
        <f t="shared" si="640"/>
        <v>0</v>
      </c>
    </row>
    <row r="694" spans="1:61" x14ac:dyDescent="0.3">
      <c r="A694">
        <f t="shared" si="645"/>
        <v>0.65700000000000003</v>
      </c>
      <c r="B694">
        <f t="shared" si="588"/>
        <v>2.064026373408494</v>
      </c>
      <c r="C694">
        <f t="shared" si="589"/>
        <v>1.0775662801812991</v>
      </c>
      <c r="D694">
        <f t="shared" si="590"/>
        <v>1.0775662801812991</v>
      </c>
      <c r="E694">
        <f t="shared" si="595"/>
        <v>0.8808081149230037</v>
      </c>
      <c r="F694">
        <f t="shared" si="596"/>
        <v>0.88080811492300359</v>
      </c>
      <c r="G694">
        <f t="shared" si="591"/>
        <v>2.064026373408494</v>
      </c>
      <c r="H694">
        <f t="shared" si="592"/>
        <v>0.8808081149230037</v>
      </c>
      <c r="I694">
        <f t="shared" si="593"/>
        <v>0.88080811492300359</v>
      </c>
      <c r="J694">
        <f t="shared" si="641"/>
        <v>7.227678328363629E+19</v>
      </c>
      <c r="K694">
        <f t="shared" si="642"/>
        <v>7.227678328363629E+19</v>
      </c>
      <c r="L694">
        <f t="shared" si="597"/>
        <v>1</v>
      </c>
      <c r="M694">
        <f t="shared" si="594"/>
        <v>1.077566280181299E-20</v>
      </c>
      <c r="N694" s="9">
        <f t="shared" si="643"/>
        <v>1.077566280181299E-20</v>
      </c>
      <c r="O694">
        <f t="shared" si="644"/>
        <v>1.077566280181299E-20</v>
      </c>
      <c r="Q694">
        <f t="shared" si="598"/>
        <v>45.727034635079725</v>
      </c>
      <c r="R694">
        <f t="shared" si="599"/>
        <v>0</v>
      </c>
      <c r="S694">
        <f t="shared" si="621"/>
        <v>-45.976996805847712</v>
      </c>
      <c r="T694" s="9" t="e">
        <f t="shared" si="600"/>
        <v>#N/A</v>
      </c>
      <c r="U694">
        <f t="shared" si="622"/>
        <v>-1.0000000000000001E+300</v>
      </c>
      <c r="V694">
        <f t="shared" si="623"/>
        <v>0</v>
      </c>
      <c r="W694">
        <f t="shared" si="624"/>
        <v>0</v>
      </c>
      <c r="X694">
        <f t="shared" si="601"/>
        <v>1.0775662801812991</v>
      </c>
      <c r="Y694">
        <f t="shared" si="602"/>
        <v>7.8539816339744828</v>
      </c>
      <c r="Z694">
        <f t="shared" si="603"/>
        <v>-1.0775662801812991</v>
      </c>
      <c r="AA694">
        <f t="shared" si="625"/>
        <v>-0.57923963972783155</v>
      </c>
      <c r="AB694">
        <f t="shared" si="604"/>
        <v>7.2747419942466509</v>
      </c>
      <c r="AC694">
        <f t="shared" si="626"/>
        <v>-0.37687765125625172</v>
      </c>
      <c r="AD694">
        <f t="shared" si="605"/>
        <v>0.12691548048826493</v>
      </c>
      <c r="AE694" s="9">
        <f t="shared" si="627"/>
        <v>7.0247798234786636</v>
      </c>
      <c r="AF694">
        <f t="shared" si="628"/>
        <v>0</v>
      </c>
      <c r="AH694">
        <f t="shared" si="606"/>
        <v>7.8539816339744828</v>
      </c>
      <c r="AI694">
        <f t="shared" si="607"/>
        <v>-0.57923963972783121</v>
      </c>
      <c r="AJ694">
        <f t="shared" si="608"/>
        <v>-0.37687765125625106</v>
      </c>
      <c r="AK694">
        <f t="shared" si="609"/>
        <v>0.12691548048826493</v>
      </c>
      <c r="AL694" s="9">
        <f t="shared" si="629"/>
        <v>7.0247798234786654</v>
      </c>
      <c r="AM694" t="e">
        <f t="shared" si="610"/>
        <v>#N/A</v>
      </c>
      <c r="AN694" t="e">
        <f t="shared" si="630"/>
        <v>#N/A</v>
      </c>
      <c r="AO694">
        <f t="shared" si="611"/>
        <v>0</v>
      </c>
      <c r="AP694">
        <f t="shared" si="612"/>
        <v>0</v>
      </c>
      <c r="AQ694">
        <f t="shared" si="613"/>
        <v>6.6613381477509392E-16</v>
      </c>
      <c r="AR694">
        <f t="shared" si="631"/>
        <v>0</v>
      </c>
      <c r="AS694">
        <f t="shared" si="614"/>
        <v>0</v>
      </c>
      <c r="AT694">
        <f t="shared" si="632"/>
        <v>0</v>
      </c>
      <c r="AU694">
        <f t="shared" si="633"/>
        <v>0</v>
      </c>
      <c r="AV694">
        <f t="shared" si="615"/>
        <v>1.077566280181299E-20</v>
      </c>
      <c r="AW694" t="b">
        <f t="shared" si="634"/>
        <v>1</v>
      </c>
      <c r="AX694">
        <f t="shared" si="616"/>
        <v>7.8539816339744828</v>
      </c>
      <c r="AY694">
        <f t="shared" si="617"/>
        <v>-0.57923963972783155</v>
      </c>
      <c r="AZ694">
        <f t="shared" si="618"/>
        <v>-0.37687765125625172</v>
      </c>
      <c r="BA694">
        <f t="shared" si="619"/>
        <v>0.12691548048826504</v>
      </c>
      <c r="BB694">
        <f t="shared" si="620"/>
        <v>-1.2337005501361696E-20</v>
      </c>
      <c r="BD694" s="15">
        <f t="shared" si="635"/>
        <v>7.0247798234786636</v>
      </c>
      <c r="BE694" s="10">
        <f t="shared" si="636"/>
        <v>0</v>
      </c>
      <c r="BF694">
        <f t="shared" si="637"/>
        <v>0</v>
      </c>
      <c r="BG694">
        <f t="shared" si="638"/>
        <v>0</v>
      </c>
      <c r="BH694">
        <f t="shared" si="639"/>
        <v>0</v>
      </c>
      <c r="BI694">
        <f t="shared" si="640"/>
        <v>0</v>
      </c>
    </row>
    <row r="695" spans="1:61" x14ac:dyDescent="0.3">
      <c r="A695">
        <f t="shared" si="645"/>
        <v>0.65800000000000003</v>
      </c>
      <c r="B695">
        <f t="shared" si="588"/>
        <v>2.0671679660620841</v>
      </c>
      <c r="C695">
        <f t="shared" si="589"/>
        <v>1.074424687527709</v>
      </c>
      <c r="D695">
        <f t="shared" si="590"/>
        <v>1.074424687527709</v>
      </c>
      <c r="E695">
        <f t="shared" si="595"/>
        <v>0.87931631019055623</v>
      </c>
      <c r="F695">
        <f t="shared" si="596"/>
        <v>0.87931631019055612</v>
      </c>
      <c r="G695">
        <f t="shared" si="591"/>
        <v>2.0671679660620841</v>
      </c>
      <c r="H695">
        <f t="shared" si="592"/>
        <v>0.87931631019055623</v>
      </c>
      <c r="I695">
        <f t="shared" si="593"/>
        <v>0.87931631019055612</v>
      </c>
      <c r="J695">
        <f t="shared" si="641"/>
        <v>7.2399404513447485E+19</v>
      </c>
      <c r="K695">
        <f t="shared" si="642"/>
        <v>7.2399404513447485E+19</v>
      </c>
      <c r="L695">
        <f t="shared" si="597"/>
        <v>1</v>
      </c>
      <c r="M695">
        <f t="shared" si="594"/>
        <v>1.0744246875277091E-20</v>
      </c>
      <c r="N695" s="9">
        <f t="shared" si="643"/>
        <v>1.0744246875277091E-20</v>
      </c>
      <c r="O695">
        <f t="shared" si="644"/>
        <v>1.0744246875277091E-20</v>
      </c>
      <c r="Q695">
        <f t="shared" si="598"/>
        <v>45.728729748298285</v>
      </c>
      <c r="R695">
        <f t="shared" si="599"/>
        <v>0</v>
      </c>
      <c r="S695">
        <f t="shared" si="621"/>
        <v>-45.979916515951047</v>
      </c>
      <c r="T695" s="9" t="e">
        <f t="shared" si="600"/>
        <v>#N/A</v>
      </c>
      <c r="U695">
        <f t="shared" si="622"/>
        <v>-1.0000000000000001E+300</v>
      </c>
      <c r="V695">
        <f t="shared" si="623"/>
        <v>0</v>
      </c>
      <c r="W695">
        <f t="shared" si="624"/>
        <v>0</v>
      </c>
      <c r="X695">
        <f t="shared" si="601"/>
        <v>1.074424687527709</v>
      </c>
      <c r="Y695">
        <f t="shared" si="602"/>
        <v>7.8539816339744828</v>
      </c>
      <c r="Z695">
        <f t="shared" si="603"/>
        <v>-1.074424687527709</v>
      </c>
      <c r="AA695">
        <f t="shared" si="625"/>
        <v>-0.58190900957335456</v>
      </c>
      <c r="AB695">
        <f t="shared" si="604"/>
        <v>7.2720726244011278</v>
      </c>
      <c r="AC695">
        <f t="shared" si="626"/>
        <v>-0.37979736135958686</v>
      </c>
      <c r="AD695">
        <f t="shared" si="605"/>
        <v>0.12861059370682609</v>
      </c>
      <c r="AE695" s="9">
        <f t="shared" si="627"/>
        <v>7.0208858567483672</v>
      </c>
      <c r="AF695">
        <f t="shared" si="628"/>
        <v>0</v>
      </c>
      <c r="AH695">
        <f t="shared" si="606"/>
        <v>7.8539816339744828</v>
      </c>
      <c r="AI695">
        <f t="shared" si="607"/>
        <v>-0.58190900957335434</v>
      </c>
      <c r="AJ695">
        <f t="shared" si="608"/>
        <v>-0.37979736135958575</v>
      </c>
      <c r="AK695">
        <f t="shared" si="609"/>
        <v>0.12861059370682609</v>
      </c>
      <c r="AL695" s="9">
        <f t="shared" si="629"/>
        <v>7.020885856748369</v>
      </c>
      <c r="AM695" t="e">
        <f t="shared" si="610"/>
        <v>#N/A</v>
      </c>
      <c r="AN695" t="e">
        <f t="shared" si="630"/>
        <v>#N/A</v>
      </c>
      <c r="AO695">
        <f t="shared" si="611"/>
        <v>0</v>
      </c>
      <c r="AP695">
        <f t="shared" si="612"/>
        <v>0</v>
      </c>
      <c r="AQ695">
        <f t="shared" si="613"/>
        <v>1.1102230246251565E-15</v>
      </c>
      <c r="AR695">
        <f t="shared" si="631"/>
        <v>0</v>
      </c>
      <c r="AS695">
        <f t="shared" si="614"/>
        <v>0</v>
      </c>
      <c r="AT695">
        <f t="shared" si="632"/>
        <v>0</v>
      </c>
      <c r="AU695">
        <f t="shared" si="633"/>
        <v>0</v>
      </c>
      <c r="AV695">
        <f t="shared" si="615"/>
        <v>1.0744246875277089E-20</v>
      </c>
      <c r="AW695" t="b">
        <f t="shared" si="634"/>
        <v>1</v>
      </c>
      <c r="AX695">
        <f t="shared" si="616"/>
        <v>7.8539816339744828</v>
      </c>
      <c r="AY695">
        <f t="shared" si="617"/>
        <v>-0.58190900957335456</v>
      </c>
      <c r="AZ695">
        <f t="shared" si="618"/>
        <v>-0.37979736135958686</v>
      </c>
      <c r="BA695">
        <f t="shared" si="619"/>
        <v>0.12861059370682623</v>
      </c>
      <c r="BB695">
        <f t="shared" si="620"/>
        <v>-1.2337005501361696E-20</v>
      </c>
      <c r="BD695" s="15">
        <f t="shared" si="635"/>
        <v>7.0208858567483672</v>
      </c>
      <c r="BE695" s="10">
        <f t="shared" si="636"/>
        <v>0</v>
      </c>
      <c r="BF695">
        <f t="shared" si="637"/>
        <v>0</v>
      </c>
      <c r="BG695">
        <f t="shared" si="638"/>
        <v>0</v>
      </c>
      <c r="BH695">
        <f t="shared" si="639"/>
        <v>0</v>
      </c>
      <c r="BI695">
        <f t="shared" si="640"/>
        <v>0</v>
      </c>
    </row>
    <row r="696" spans="1:61" x14ac:dyDescent="0.3">
      <c r="A696">
        <f t="shared" si="645"/>
        <v>0.65900000000000003</v>
      </c>
      <c r="B696">
        <f t="shared" si="588"/>
        <v>2.0703095587156737</v>
      </c>
      <c r="C696">
        <f t="shared" si="589"/>
        <v>1.0712830948741194</v>
      </c>
      <c r="D696">
        <f t="shared" si="590"/>
        <v>1.0712830948741194</v>
      </c>
      <c r="E696">
        <f t="shared" si="595"/>
        <v>0.8778158269611217</v>
      </c>
      <c r="F696">
        <f t="shared" si="596"/>
        <v>0.8778158269611217</v>
      </c>
      <c r="G696">
        <f t="shared" si="591"/>
        <v>2.0703095587156737</v>
      </c>
      <c r="H696">
        <f t="shared" si="592"/>
        <v>0.8778158269611217</v>
      </c>
      <c r="I696">
        <f t="shared" si="593"/>
        <v>0.8778158269611217</v>
      </c>
      <c r="J696">
        <f t="shared" si="641"/>
        <v>7.2523159507327631E+19</v>
      </c>
      <c r="K696">
        <f t="shared" si="642"/>
        <v>7.2523159507327631E+19</v>
      </c>
      <c r="L696">
        <f t="shared" si="597"/>
        <v>1</v>
      </c>
      <c r="M696">
        <f t="shared" si="594"/>
        <v>1.0712830948741194E-20</v>
      </c>
      <c r="N696" s="9">
        <f t="shared" si="643"/>
        <v>1.0712830948741194E-20</v>
      </c>
      <c r="O696">
        <f t="shared" si="644"/>
        <v>1.0712830948741194E-20</v>
      </c>
      <c r="Q696">
        <f t="shared" si="598"/>
        <v>45.730437626223264</v>
      </c>
      <c r="R696">
        <f t="shared" si="599"/>
        <v>-710542.73576010019</v>
      </c>
      <c r="S696">
        <f t="shared" si="621"/>
        <v>-45.982844775730136</v>
      </c>
      <c r="T696" s="9" t="e">
        <f t="shared" si="600"/>
        <v>#N/A</v>
      </c>
      <c r="U696">
        <f t="shared" si="622"/>
        <v>-1.0000000000000001E+300</v>
      </c>
      <c r="V696">
        <f t="shared" si="623"/>
        <v>0</v>
      </c>
      <c r="W696">
        <f t="shared" si="624"/>
        <v>0</v>
      </c>
      <c r="X696">
        <f t="shared" si="601"/>
        <v>1.0712830948741194</v>
      </c>
      <c r="Y696">
        <f t="shared" si="602"/>
        <v>7.8539816339744828</v>
      </c>
      <c r="Z696">
        <f t="shared" si="603"/>
        <v>-1.0712830948741194</v>
      </c>
      <c r="AA696">
        <f t="shared" si="625"/>
        <v>-0.58456770581724393</v>
      </c>
      <c r="AB696">
        <f t="shared" si="604"/>
        <v>7.2694139281572392</v>
      </c>
      <c r="AC696">
        <f t="shared" si="626"/>
        <v>-0.38272562113867503</v>
      </c>
      <c r="AD696">
        <f t="shared" si="605"/>
        <v>0.1303184716318069</v>
      </c>
      <c r="AE696" s="9">
        <f t="shared" si="627"/>
        <v>7.0170067786503711</v>
      </c>
      <c r="AF696">
        <f t="shared" si="628"/>
        <v>0</v>
      </c>
      <c r="AH696">
        <f t="shared" si="606"/>
        <v>7.8539816339744828</v>
      </c>
      <c r="AI696">
        <f t="shared" si="607"/>
        <v>-0.58456770581724393</v>
      </c>
      <c r="AJ696">
        <f t="shared" si="608"/>
        <v>-0.38272562113867536</v>
      </c>
      <c r="AK696">
        <f t="shared" si="609"/>
        <v>0.1303184716318069</v>
      </c>
      <c r="AL696" s="9">
        <f t="shared" si="629"/>
        <v>7.0170067786503711</v>
      </c>
      <c r="AM696" t="e">
        <f t="shared" si="610"/>
        <v>#N/A</v>
      </c>
      <c r="AN696" t="e">
        <f t="shared" si="630"/>
        <v>#N/A</v>
      </c>
      <c r="AO696">
        <f t="shared" si="611"/>
        <v>0</v>
      </c>
      <c r="AP696">
        <f t="shared" si="612"/>
        <v>0</v>
      </c>
      <c r="AQ696">
        <f t="shared" si="613"/>
        <v>0</v>
      </c>
      <c r="AR696">
        <f t="shared" si="631"/>
        <v>0</v>
      </c>
      <c r="AS696">
        <f t="shared" si="614"/>
        <v>0</v>
      </c>
      <c r="AT696">
        <f t="shared" si="632"/>
        <v>0</v>
      </c>
      <c r="AU696">
        <f t="shared" si="633"/>
        <v>0</v>
      </c>
      <c r="AV696">
        <f t="shared" si="615"/>
        <v>1.0712830948741194E-20</v>
      </c>
      <c r="AW696" t="b">
        <f t="shared" si="634"/>
        <v>1</v>
      </c>
      <c r="AX696">
        <f t="shared" si="616"/>
        <v>7.8539816339744828</v>
      </c>
      <c r="AY696">
        <f t="shared" si="617"/>
        <v>-0.58456770581724393</v>
      </c>
      <c r="AZ696">
        <f t="shared" si="618"/>
        <v>-0.38272562113867487</v>
      </c>
      <c r="BA696">
        <f t="shared" si="619"/>
        <v>0.1303184716318069</v>
      </c>
      <c r="BB696">
        <f t="shared" si="620"/>
        <v>-1.2337005501361696E-20</v>
      </c>
      <c r="BD696" s="15">
        <f t="shared" si="635"/>
        <v>7.017006778650372</v>
      </c>
      <c r="BE696" s="10">
        <f t="shared" si="636"/>
        <v>0</v>
      </c>
      <c r="BF696">
        <f t="shared" si="637"/>
        <v>0</v>
      </c>
      <c r="BG696">
        <f t="shared" si="638"/>
        <v>0</v>
      </c>
      <c r="BH696">
        <f t="shared" si="639"/>
        <v>0</v>
      </c>
      <c r="BI696">
        <f t="shared" si="640"/>
        <v>0</v>
      </c>
    </row>
    <row r="697" spans="1:61" x14ac:dyDescent="0.3">
      <c r="A697">
        <f t="shared" si="645"/>
        <v>0.66</v>
      </c>
      <c r="B697">
        <f t="shared" si="588"/>
        <v>2.0734511513692637</v>
      </c>
      <c r="C697">
        <f t="shared" si="589"/>
        <v>1.0681415022205294</v>
      </c>
      <c r="D697">
        <f t="shared" si="590"/>
        <v>1.0681415022205294</v>
      </c>
      <c r="E697">
        <f t="shared" si="595"/>
        <v>0.87630668004386347</v>
      </c>
      <c r="F697">
        <f t="shared" si="596"/>
        <v>0.87630668004386347</v>
      </c>
      <c r="G697">
        <f t="shared" si="591"/>
        <v>2.0734511513692637</v>
      </c>
      <c r="H697">
        <f t="shared" si="592"/>
        <v>0.87630668004386347</v>
      </c>
      <c r="I697">
        <f t="shared" si="593"/>
        <v>0.87630668004386347</v>
      </c>
      <c r="J697">
        <f t="shared" si="641"/>
        <v>7.2648056538347446E+19</v>
      </c>
      <c r="K697">
        <f t="shared" si="642"/>
        <v>7.2648056538347446E+19</v>
      </c>
      <c r="L697">
        <f t="shared" si="597"/>
        <v>0</v>
      </c>
      <c r="M697">
        <f t="shared" si="594"/>
        <v>1.0681415022205294E-20</v>
      </c>
      <c r="N697" s="9">
        <f t="shared" si="643"/>
        <v>0</v>
      </c>
      <c r="O697">
        <f t="shared" si="644"/>
        <v>0</v>
      </c>
      <c r="Q697">
        <f t="shared" si="598"/>
        <v>45.732158312530615</v>
      </c>
      <c r="R697">
        <f t="shared" si="599"/>
        <v>-710542.73576010019</v>
      </c>
      <c r="S697">
        <f t="shared" si="621"/>
        <v>-45.985781635403441</v>
      </c>
      <c r="T697" s="9" t="e">
        <f t="shared" si="600"/>
        <v>#N/A</v>
      </c>
      <c r="U697">
        <f t="shared" si="622"/>
        <v>-1.0000000000000001E+300</v>
      </c>
      <c r="V697">
        <f t="shared" si="623"/>
        <v>0</v>
      </c>
      <c r="W697">
        <f t="shared" si="624"/>
        <v>0</v>
      </c>
      <c r="X697">
        <f t="shared" si="601"/>
        <v>1.0681415022205294</v>
      </c>
      <c r="Y697">
        <f t="shared" si="602"/>
        <v>7.8539816339744828</v>
      </c>
      <c r="Z697">
        <f t="shared" si="603"/>
        <v>-1.0681415022205294</v>
      </c>
      <c r="AA697">
        <f t="shared" si="625"/>
        <v>-0.58721576004591047</v>
      </c>
      <c r="AB697">
        <f t="shared" si="604"/>
        <v>7.2667658739285725</v>
      </c>
      <c r="AC697">
        <f t="shared" si="626"/>
        <v>-0.3856624808119849</v>
      </c>
      <c r="AD697">
        <f t="shared" si="605"/>
        <v>0.1320391579391583</v>
      </c>
      <c r="AE697" s="9">
        <f t="shared" si="627"/>
        <v>7.0131425510557461</v>
      </c>
      <c r="AF697">
        <f t="shared" si="628"/>
        <v>0</v>
      </c>
      <c r="AH697">
        <f t="shared" si="606"/>
        <v>7.8539816339744828</v>
      </c>
      <c r="AI697">
        <f t="shared" si="607"/>
        <v>-0.58721576004591025</v>
      </c>
      <c r="AJ697">
        <f t="shared" si="608"/>
        <v>-0.3856624808119804</v>
      </c>
      <c r="AK697">
        <f t="shared" si="609"/>
        <v>0.1320391579391583</v>
      </c>
      <c r="AL697" s="9">
        <f t="shared" si="629"/>
        <v>7.0131425510557506</v>
      </c>
      <c r="AM697" t="e">
        <f t="shared" si="610"/>
        <v>#N/A</v>
      </c>
      <c r="AN697" t="e">
        <f t="shared" si="630"/>
        <v>#N/A</v>
      </c>
      <c r="AO697">
        <f t="shared" si="611"/>
        <v>0</v>
      </c>
      <c r="AP697">
        <f t="shared" si="612"/>
        <v>0</v>
      </c>
      <c r="AQ697">
        <f t="shared" si="613"/>
        <v>4.496403249731884E-15</v>
      </c>
      <c r="AR697">
        <f t="shared" si="631"/>
        <v>0</v>
      </c>
      <c r="AS697">
        <f t="shared" si="614"/>
        <v>0</v>
      </c>
      <c r="AT697">
        <f t="shared" si="632"/>
        <v>0</v>
      </c>
      <c r="AU697">
        <f t="shared" si="633"/>
        <v>0</v>
      </c>
      <c r="AV697">
        <f t="shared" si="615"/>
        <v>1.0681415022205293E-20</v>
      </c>
      <c r="AW697" t="b">
        <f t="shared" si="634"/>
        <v>1</v>
      </c>
      <c r="AX697">
        <f t="shared" si="616"/>
        <v>7.8539816339744828</v>
      </c>
      <c r="AY697">
        <f t="shared" si="617"/>
        <v>-0.58721576004591036</v>
      </c>
      <c r="AZ697">
        <f t="shared" si="618"/>
        <v>-0.3856624808119849</v>
      </c>
      <c r="BA697">
        <f t="shared" si="619"/>
        <v>0.1320391579391583</v>
      </c>
      <c r="BB697">
        <f t="shared" si="620"/>
        <v>-1.2337005501361696E-20</v>
      </c>
      <c r="BD697" s="15">
        <f t="shared" si="635"/>
        <v>7.0131425510557461</v>
      </c>
      <c r="BE697" s="10">
        <f t="shared" si="636"/>
        <v>0</v>
      </c>
      <c r="BF697">
        <f t="shared" si="637"/>
        <v>0</v>
      </c>
      <c r="BG697">
        <f t="shared" si="638"/>
        <v>0</v>
      </c>
      <c r="BH697">
        <f t="shared" si="639"/>
        <v>0</v>
      </c>
      <c r="BI697">
        <f t="shared" si="640"/>
        <v>0</v>
      </c>
    </row>
    <row r="698" spans="1:61" x14ac:dyDescent="0.3">
      <c r="A698">
        <f t="shared" si="645"/>
        <v>0.66100000000000003</v>
      </c>
      <c r="B698">
        <f t="shared" si="588"/>
        <v>2.0765927440228533</v>
      </c>
      <c r="C698">
        <f t="shared" si="589"/>
        <v>1.0649999095669398</v>
      </c>
      <c r="D698">
        <f t="shared" si="590"/>
        <v>1.0649999095669398</v>
      </c>
      <c r="E698">
        <f t="shared" si="595"/>
        <v>0.87478888433345281</v>
      </c>
      <c r="F698">
        <f t="shared" si="596"/>
        <v>0.8747888843334527</v>
      </c>
      <c r="G698">
        <f t="shared" si="591"/>
        <v>2.0765927440228533</v>
      </c>
      <c r="H698">
        <f t="shared" si="592"/>
        <v>0.87478888433345281</v>
      </c>
      <c r="I698">
        <f t="shared" si="593"/>
        <v>0.8747888843334527</v>
      </c>
      <c r="J698">
        <f t="shared" si="641"/>
        <v>7.277410398883328E+19</v>
      </c>
      <c r="K698">
        <f t="shared" si="642"/>
        <v>7.277410398883328E+19</v>
      </c>
      <c r="L698">
        <f t="shared" si="597"/>
        <v>1</v>
      </c>
      <c r="M698">
        <f t="shared" si="594"/>
        <v>1.0649999095669398E-20</v>
      </c>
      <c r="N698" s="9">
        <f t="shared" si="643"/>
        <v>1.0649999095669398E-20</v>
      </c>
      <c r="O698">
        <f t="shared" si="644"/>
        <v>1.0649999095669398E-20</v>
      </c>
      <c r="Q698">
        <f t="shared" si="598"/>
        <v>45.73389185137497</v>
      </c>
      <c r="R698">
        <f t="shared" si="599"/>
        <v>0</v>
      </c>
      <c r="S698">
        <f t="shared" si="621"/>
        <v>-45.988727145633199</v>
      </c>
      <c r="T698" s="9" t="e">
        <f t="shared" si="600"/>
        <v>#N/A</v>
      </c>
      <c r="U698">
        <f t="shared" si="622"/>
        <v>-1.0000000000000001E+300</v>
      </c>
      <c r="V698">
        <f t="shared" si="623"/>
        <v>0</v>
      </c>
      <c r="W698">
        <f t="shared" si="624"/>
        <v>0</v>
      </c>
      <c r="X698">
        <f t="shared" si="601"/>
        <v>1.0649999095669398</v>
      </c>
      <c r="Y698">
        <f t="shared" si="602"/>
        <v>7.8539816339744828</v>
      </c>
      <c r="Z698">
        <f t="shared" si="603"/>
        <v>-1.0649999095669398</v>
      </c>
      <c r="AA698">
        <f t="shared" si="625"/>
        <v>-0.58985320364151994</v>
      </c>
      <c r="AB698">
        <f t="shared" si="604"/>
        <v>7.2641284303329625</v>
      </c>
      <c r="AC698">
        <f t="shared" si="626"/>
        <v>-0.3886079910417416</v>
      </c>
      <c r="AD698">
        <f t="shared" si="605"/>
        <v>0.13377269678351209</v>
      </c>
      <c r="AE698" s="9">
        <f t="shared" si="627"/>
        <v>7.0092931360747333</v>
      </c>
      <c r="AF698">
        <f t="shared" si="628"/>
        <v>0</v>
      </c>
      <c r="AH698">
        <f t="shared" si="606"/>
        <v>7.8539816339744828</v>
      </c>
      <c r="AI698">
        <f t="shared" si="607"/>
        <v>-0.58985320364151994</v>
      </c>
      <c r="AJ698">
        <f t="shared" si="608"/>
        <v>-0.38860799104173793</v>
      </c>
      <c r="AK698">
        <f t="shared" si="609"/>
        <v>0.13377269678351209</v>
      </c>
      <c r="AL698" s="9">
        <f t="shared" si="629"/>
        <v>7.0092931360747368</v>
      </c>
      <c r="AM698" t="e">
        <f t="shared" si="610"/>
        <v>#N/A</v>
      </c>
      <c r="AN698" t="e">
        <f t="shared" si="630"/>
        <v>#N/A</v>
      </c>
      <c r="AO698">
        <f t="shared" si="611"/>
        <v>0</v>
      </c>
      <c r="AP698">
        <f t="shared" si="612"/>
        <v>0</v>
      </c>
      <c r="AQ698">
        <f t="shared" si="613"/>
        <v>3.6637359812630166E-15</v>
      </c>
      <c r="AR698">
        <f t="shared" si="631"/>
        <v>0</v>
      </c>
      <c r="AS698">
        <f t="shared" si="614"/>
        <v>0</v>
      </c>
      <c r="AT698">
        <f t="shared" si="632"/>
        <v>0</v>
      </c>
      <c r="AU698">
        <f t="shared" si="633"/>
        <v>0</v>
      </c>
      <c r="AV698">
        <f t="shared" si="615"/>
        <v>1.0649999095669398E-20</v>
      </c>
      <c r="AW698" t="b">
        <f t="shared" si="634"/>
        <v>1</v>
      </c>
      <c r="AX698">
        <f t="shared" si="616"/>
        <v>7.8539816339744828</v>
      </c>
      <c r="AY698">
        <f t="shared" si="617"/>
        <v>-0.58985320364152005</v>
      </c>
      <c r="AZ698">
        <f t="shared" si="618"/>
        <v>-0.38860799104174143</v>
      </c>
      <c r="BA698">
        <f t="shared" si="619"/>
        <v>0.1337726967835122</v>
      </c>
      <c r="BB698">
        <f t="shared" si="620"/>
        <v>-1.2337005501361696E-20</v>
      </c>
      <c r="BD698" s="15">
        <f t="shared" si="635"/>
        <v>7.0092931360747333</v>
      </c>
      <c r="BE698" s="10">
        <f t="shared" si="636"/>
        <v>0</v>
      </c>
      <c r="BF698">
        <f t="shared" si="637"/>
        <v>0</v>
      </c>
      <c r="BG698">
        <f t="shared" si="638"/>
        <v>0</v>
      </c>
      <c r="BH698">
        <f t="shared" si="639"/>
        <v>0</v>
      </c>
      <c r="BI698">
        <f t="shared" si="640"/>
        <v>0</v>
      </c>
    </row>
    <row r="699" spans="1:61" x14ac:dyDescent="0.3">
      <c r="A699">
        <f t="shared" si="645"/>
        <v>0.66200000000000003</v>
      </c>
      <c r="B699">
        <f t="shared" si="588"/>
        <v>2.0797343366764434</v>
      </c>
      <c r="C699">
        <f t="shared" si="589"/>
        <v>1.0618583169133498</v>
      </c>
      <c r="D699">
        <f t="shared" si="590"/>
        <v>1.0618583169133498</v>
      </c>
      <c r="E699">
        <f t="shared" si="595"/>
        <v>0.87326245480992004</v>
      </c>
      <c r="F699">
        <f t="shared" si="596"/>
        <v>0.87326245480991993</v>
      </c>
      <c r="G699">
        <f t="shared" si="591"/>
        <v>2.0797343366764434</v>
      </c>
      <c r="H699">
        <f t="shared" si="592"/>
        <v>0.87326245480992004</v>
      </c>
      <c r="I699">
        <f t="shared" si="593"/>
        <v>0.87326245480991993</v>
      </c>
      <c r="J699">
        <f t="shared" si="641"/>
        <v>7.2901310351897838E+19</v>
      </c>
      <c r="K699">
        <f t="shared" si="642"/>
        <v>7.2901310351897838E+19</v>
      </c>
      <c r="L699">
        <f t="shared" si="597"/>
        <v>1</v>
      </c>
      <c r="M699">
        <f t="shared" si="594"/>
        <v>1.0618583169133498E-20</v>
      </c>
      <c r="N699" s="9">
        <f t="shared" si="643"/>
        <v>1.0618583169133498E-20</v>
      </c>
      <c r="O699">
        <f t="shared" si="644"/>
        <v>1.0618583169133498E-20</v>
      </c>
      <c r="Q699">
        <f t="shared" si="598"/>
        <v>45.7356382873947</v>
      </c>
      <c r="R699">
        <f t="shared" si="599"/>
        <v>0</v>
      </c>
      <c r="S699">
        <f t="shared" si="621"/>
        <v>-45.991681357530631</v>
      </c>
      <c r="T699" s="9" t="e">
        <f t="shared" si="600"/>
        <v>#N/A</v>
      </c>
      <c r="U699">
        <f t="shared" si="622"/>
        <v>-1.0000000000000001E+300</v>
      </c>
      <c r="V699">
        <f t="shared" si="623"/>
        <v>0</v>
      </c>
      <c r="W699">
        <f t="shared" si="624"/>
        <v>0</v>
      </c>
      <c r="X699">
        <f t="shared" si="601"/>
        <v>1.0618583169133498</v>
      </c>
      <c r="Y699">
        <f t="shared" si="602"/>
        <v>7.8539816339744828</v>
      </c>
      <c r="Z699">
        <f t="shared" si="603"/>
        <v>-1.0618583169133498</v>
      </c>
      <c r="AA699">
        <f t="shared" si="625"/>
        <v>-0.59248006778344586</v>
      </c>
      <c r="AB699">
        <f t="shared" si="604"/>
        <v>7.2615015661910371</v>
      </c>
      <c r="AC699">
        <f t="shared" si="626"/>
        <v>-0.39156220293917321</v>
      </c>
      <c r="AD699">
        <f t="shared" si="605"/>
        <v>0.13551913280323813</v>
      </c>
      <c r="AE699" s="9">
        <f t="shared" si="627"/>
        <v>7.0054584960551018</v>
      </c>
      <c r="AF699">
        <f t="shared" si="628"/>
        <v>0</v>
      </c>
      <c r="AH699">
        <f t="shared" si="606"/>
        <v>7.8539816339744828</v>
      </c>
      <c r="AI699">
        <f t="shared" si="607"/>
        <v>-0.59248006778344586</v>
      </c>
      <c r="AJ699">
        <f t="shared" si="608"/>
        <v>-0.39156220293916988</v>
      </c>
      <c r="AK699">
        <f t="shared" si="609"/>
        <v>0.13551913280323813</v>
      </c>
      <c r="AL699" s="9">
        <f t="shared" si="629"/>
        <v>7.0054584960551054</v>
      </c>
      <c r="AM699" t="e">
        <f t="shared" si="610"/>
        <v>#N/A</v>
      </c>
      <c r="AN699" t="e">
        <f t="shared" si="630"/>
        <v>#N/A</v>
      </c>
      <c r="AO699">
        <f t="shared" si="611"/>
        <v>0</v>
      </c>
      <c r="AP699">
        <f t="shared" si="612"/>
        <v>0</v>
      </c>
      <c r="AQ699">
        <f t="shared" si="613"/>
        <v>3.3306690738754696E-15</v>
      </c>
      <c r="AR699">
        <f t="shared" si="631"/>
        <v>0</v>
      </c>
      <c r="AS699">
        <f t="shared" si="614"/>
        <v>0</v>
      </c>
      <c r="AT699">
        <f t="shared" si="632"/>
        <v>0</v>
      </c>
      <c r="AU699">
        <f t="shared" si="633"/>
        <v>0</v>
      </c>
      <c r="AV699">
        <f t="shared" si="615"/>
        <v>1.0618583169133497E-20</v>
      </c>
      <c r="AW699" t="b">
        <f t="shared" si="634"/>
        <v>1</v>
      </c>
      <c r="AX699">
        <f t="shared" si="616"/>
        <v>7.8539816339744828</v>
      </c>
      <c r="AY699">
        <f t="shared" si="617"/>
        <v>-0.59248006778344586</v>
      </c>
      <c r="AZ699">
        <f t="shared" si="618"/>
        <v>-0.39156220293917321</v>
      </c>
      <c r="BA699">
        <f t="shared" si="619"/>
        <v>0.13551913280323827</v>
      </c>
      <c r="BB699">
        <f t="shared" si="620"/>
        <v>-1.2337005501361696E-20</v>
      </c>
      <c r="BD699" s="15">
        <f t="shared" si="635"/>
        <v>7.0054584960551018</v>
      </c>
      <c r="BE699" s="10">
        <f t="shared" si="636"/>
        <v>0</v>
      </c>
      <c r="BF699">
        <f t="shared" si="637"/>
        <v>0</v>
      </c>
      <c r="BG699">
        <f t="shared" si="638"/>
        <v>0</v>
      </c>
      <c r="BH699">
        <f t="shared" si="639"/>
        <v>0</v>
      </c>
      <c r="BI699">
        <f t="shared" si="640"/>
        <v>0</v>
      </c>
    </row>
    <row r="700" spans="1:61" x14ac:dyDescent="0.3">
      <c r="A700">
        <f t="shared" si="645"/>
        <v>0.66300000000000003</v>
      </c>
      <c r="B700">
        <f t="shared" si="588"/>
        <v>2.082875929330033</v>
      </c>
      <c r="C700">
        <f t="shared" si="589"/>
        <v>1.0587167242597602</v>
      </c>
      <c r="D700">
        <f t="shared" si="590"/>
        <v>1.0587167242597602</v>
      </c>
      <c r="E700">
        <f t="shared" si="595"/>
        <v>0.87172740653850889</v>
      </c>
      <c r="F700">
        <f t="shared" si="596"/>
        <v>0.87172740653850878</v>
      </c>
      <c r="G700">
        <f t="shared" si="591"/>
        <v>2.082875929330033</v>
      </c>
      <c r="H700">
        <f t="shared" si="592"/>
        <v>0.87172740653850889</v>
      </c>
      <c r="I700">
        <f t="shared" si="593"/>
        <v>0.87172740653850878</v>
      </c>
      <c r="J700">
        <f t="shared" si="641"/>
        <v>7.3029684232998642E+19</v>
      </c>
      <c r="K700">
        <f t="shared" si="642"/>
        <v>7.3029684232998642E+19</v>
      </c>
      <c r="L700">
        <f t="shared" si="597"/>
        <v>1</v>
      </c>
      <c r="M700">
        <f t="shared" si="594"/>
        <v>1.0587167242597601E-20</v>
      </c>
      <c r="N700" s="9">
        <f t="shared" si="643"/>
        <v>1.0587167242597601E-20</v>
      </c>
      <c r="O700">
        <f t="shared" si="644"/>
        <v>1.0587167242597601E-20</v>
      </c>
      <c r="Q700">
        <f t="shared" si="598"/>
        <v>45.737397665717033</v>
      </c>
      <c r="R700">
        <f t="shared" si="599"/>
        <v>-710542.73576010019</v>
      </c>
      <c r="S700">
        <f t="shared" si="621"/>
        <v>-45.994644322661287</v>
      </c>
      <c r="T700" s="9" t="e">
        <f t="shared" si="600"/>
        <v>#N/A</v>
      </c>
      <c r="U700">
        <f t="shared" si="622"/>
        <v>-1.0000000000000001E+300</v>
      </c>
      <c r="V700">
        <f t="shared" si="623"/>
        <v>0</v>
      </c>
      <c r="W700">
        <f t="shared" si="624"/>
        <v>0</v>
      </c>
      <c r="X700">
        <f t="shared" si="601"/>
        <v>1.0587167242597602</v>
      </c>
      <c r="Y700">
        <f t="shared" si="602"/>
        <v>7.8539816339744828</v>
      </c>
      <c r="Z700">
        <f t="shared" si="603"/>
        <v>-1.0587167242597602</v>
      </c>
      <c r="AA700">
        <f t="shared" si="625"/>
        <v>-0.59509638344970084</v>
      </c>
      <c r="AB700">
        <f t="shared" si="604"/>
        <v>7.2588852505247816</v>
      </c>
      <c r="AC700">
        <f t="shared" si="626"/>
        <v>-0.39452516806983012</v>
      </c>
      <c r="AD700">
        <f t="shared" si="605"/>
        <v>0.13727851112557657</v>
      </c>
      <c r="AE700" s="9">
        <f t="shared" si="627"/>
        <v>7.0016385935805285</v>
      </c>
      <c r="AF700">
        <f t="shared" si="628"/>
        <v>0</v>
      </c>
      <c r="AH700">
        <f t="shared" si="606"/>
        <v>7.8539816339744828</v>
      </c>
      <c r="AI700">
        <f t="shared" si="607"/>
        <v>-0.59509638344970062</v>
      </c>
      <c r="AJ700">
        <f t="shared" si="608"/>
        <v>-0.39452516806982629</v>
      </c>
      <c r="AK700">
        <f t="shared" si="609"/>
        <v>0.13727851112557657</v>
      </c>
      <c r="AL700" s="9">
        <f t="shared" si="629"/>
        <v>7.001638593580533</v>
      </c>
      <c r="AM700" t="e">
        <f t="shared" si="610"/>
        <v>#N/A</v>
      </c>
      <c r="AN700" t="e">
        <f t="shared" si="630"/>
        <v>#N/A</v>
      </c>
      <c r="AO700">
        <f t="shared" si="611"/>
        <v>0</v>
      </c>
      <c r="AP700">
        <f t="shared" si="612"/>
        <v>0</v>
      </c>
      <c r="AQ700">
        <f t="shared" si="613"/>
        <v>3.8302694349567901E-15</v>
      </c>
      <c r="AR700">
        <f t="shared" si="631"/>
        <v>0</v>
      </c>
      <c r="AS700">
        <f t="shared" si="614"/>
        <v>0</v>
      </c>
      <c r="AT700">
        <f t="shared" si="632"/>
        <v>0</v>
      </c>
      <c r="AU700">
        <f t="shared" si="633"/>
        <v>0</v>
      </c>
      <c r="AV700">
        <f t="shared" si="615"/>
        <v>1.0587167242597601E-20</v>
      </c>
      <c r="AW700" t="b">
        <f t="shared" si="634"/>
        <v>1</v>
      </c>
      <c r="AX700">
        <f t="shared" si="616"/>
        <v>7.8539816339744828</v>
      </c>
      <c r="AY700">
        <f t="shared" si="617"/>
        <v>-0.59509638344970084</v>
      </c>
      <c r="AZ700">
        <f t="shared" si="618"/>
        <v>-0.39452516806983012</v>
      </c>
      <c r="BA700">
        <f t="shared" si="619"/>
        <v>0.13727851112557671</v>
      </c>
      <c r="BB700">
        <f t="shared" si="620"/>
        <v>-1.2337005501361696E-20</v>
      </c>
      <c r="BD700" s="15">
        <f t="shared" si="635"/>
        <v>7.0016385935805285</v>
      </c>
      <c r="BE700" s="10">
        <f t="shared" si="636"/>
        <v>0</v>
      </c>
      <c r="BF700">
        <f t="shared" si="637"/>
        <v>0</v>
      </c>
      <c r="BG700">
        <f t="shared" si="638"/>
        <v>0</v>
      </c>
      <c r="BH700">
        <f t="shared" si="639"/>
        <v>0</v>
      </c>
      <c r="BI700">
        <f t="shared" si="640"/>
        <v>0</v>
      </c>
    </row>
    <row r="701" spans="1:61" x14ac:dyDescent="0.3">
      <c r="A701">
        <f t="shared" si="645"/>
        <v>0.66400000000000003</v>
      </c>
      <c r="B701">
        <f t="shared" si="588"/>
        <v>2.0860175219836226</v>
      </c>
      <c r="C701">
        <f t="shared" si="589"/>
        <v>1.0555751316061706</v>
      </c>
      <c r="D701">
        <f t="shared" si="590"/>
        <v>1.0555751316061706</v>
      </c>
      <c r="E701">
        <f t="shared" si="595"/>
        <v>0.87018375466952569</v>
      </c>
      <c r="F701">
        <f t="shared" si="596"/>
        <v>0.87018375466952569</v>
      </c>
      <c r="G701">
        <f t="shared" si="591"/>
        <v>2.0860175219836226</v>
      </c>
      <c r="H701">
        <f t="shared" si="592"/>
        <v>0.87018375466952569</v>
      </c>
      <c r="I701">
        <f t="shared" si="593"/>
        <v>0.87018375466952569</v>
      </c>
      <c r="J701">
        <f t="shared" si="641"/>
        <v>7.3159234351525429E+19</v>
      </c>
      <c r="K701">
        <f t="shared" si="642"/>
        <v>7.3159234351525429E+19</v>
      </c>
      <c r="L701">
        <f t="shared" si="597"/>
        <v>1</v>
      </c>
      <c r="M701">
        <f t="shared" si="594"/>
        <v>1.0555751316061705E-20</v>
      </c>
      <c r="N701" s="9">
        <f t="shared" si="643"/>
        <v>1.0555751316061705E-20</v>
      </c>
      <c r="O701">
        <f t="shared" si="644"/>
        <v>1.0555751316061705E-20</v>
      </c>
      <c r="Q701">
        <f t="shared" si="598"/>
        <v>45.739170031963312</v>
      </c>
      <c r="R701">
        <f t="shared" si="599"/>
        <v>-710542.73576010019</v>
      </c>
      <c r="S701">
        <f t="shared" si="621"/>
        <v>-45.997616093050446</v>
      </c>
      <c r="T701" s="9" t="e">
        <f t="shared" si="600"/>
        <v>#N/A</v>
      </c>
      <c r="U701">
        <f t="shared" si="622"/>
        <v>-1.0000000000000001E+300</v>
      </c>
      <c r="V701">
        <f t="shared" si="623"/>
        <v>0</v>
      </c>
      <c r="W701">
        <f t="shared" si="624"/>
        <v>0</v>
      </c>
      <c r="X701">
        <f t="shared" si="601"/>
        <v>1.0555751316061706</v>
      </c>
      <c r="Y701">
        <f t="shared" si="602"/>
        <v>7.8539816339744828</v>
      </c>
      <c r="Z701">
        <f t="shared" si="603"/>
        <v>-1.0555751316061706</v>
      </c>
      <c r="AA701">
        <f t="shared" si="625"/>
        <v>-0.59770218141836207</v>
      </c>
      <c r="AB701">
        <f t="shared" si="604"/>
        <v>7.2562794525561207</v>
      </c>
      <c r="AC701">
        <f t="shared" si="626"/>
        <v>-0.39749693845898743</v>
      </c>
      <c r="AD701">
        <f t="shared" si="605"/>
        <v>0.13905087737185495</v>
      </c>
      <c r="AE701" s="9">
        <f t="shared" si="627"/>
        <v>6.9978333914689888</v>
      </c>
      <c r="AF701">
        <f t="shared" si="628"/>
        <v>0</v>
      </c>
      <c r="AH701">
        <f t="shared" si="606"/>
        <v>7.8539816339744828</v>
      </c>
      <c r="AI701">
        <f t="shared" si="607"/>
        <v>-0.59770218141836196</v>
      </c>
      <c r="AJ701">
        <f t="shared" si="608"/>
        <v>-0.39749693845898548</v>
      </c>
      <c r="AK701">
        <f t="shared" si="609"/>
        <v>0.13905087737185495</v>
      </c>
      <c r="AL701" s="9">
        <f t="shared" si="629"/>
        <v>6.9978333914689905</v>
      </c>
      <c r="AM701" t="e">
        <f t="shared" si="610"/>
        <v>#N/A</v>
      </c>
      <c r="AN701" t="e">
        <f t="shared" si="630"/>
        <v>#N/A</v>
      </c>
      <c r="AO701">
        <f t="shared" si="611"/>
        <v>0</v>
      </c>
      <c r="AP701">
        <f t="shared" si="612"/>
        <v>0</v>
      </c>
      <c r="AQ701">
        <f t="shared" si="613"/>
        <v>1.9428902930940239E-15</v>
      </c>
      <c r="AR701">
        <f t="shared" si="631"/>
        <v>0</v>
      </c>
      <c r="AS701">
        <f t="shared" si="614"/>
        <v>0</v>
      </c>
      <c r="AT701">
        <f t="shared" si="632"/>
        <v>0</v>
      </c>
      <c r="AU701">
        <f t="shared" si="633"/>
        <v>0</v>
      </c>
      <c r="AV701">
        <f t="shared" si="615"/>
        <v>1.0555751316061705E-20</v>
      </c>
      <c r="AW701" t="b">
        <f t="shared" si="634"/>
        <v>1</v>
      </c>
      <c r="AX701">
        <f t="shared" si="616"/>
        <v>7.8539816339744828</v>
      </c>
      <c r="AY701">
        <f t="shared" si="617"/>
        <v>-0.59770218141836218</v>
      </c>
      <c r="AZ701">
        <f t="shared" si="618"/>
        <v>-0.39749693845898743</v>
      </c>
      <c r="BA701">
        <f t="shared" si="619"/>
        <v>0.13905087737185495</v>
      </c>
      <c r="BB701">
        <f t="shared" si="620"/>
        <v>-1.2337005501361696E-20</v>
      </c>
      <c r="BD701" s="15">
        <f t="shared" si="635"/>
        <v>6.9978333914689888</v>
      </c>
      <c r="BE701" s="10">
        <f t="shared" si="636"/>
        <v>0</v>
      </c>
      <c r="BF701">
        <f t="shared" si="637"/>
        <v>0</v>
      </c>
      <c r="BG701">
        <f t="shared" si="638"/>
        <v>0</v>
      </c>
      <c r="BH701">
        <f t="shared" si="639"/>
        <v>0</v>
      </c>
      <c r="BI701">
        <f t="shared" si="640"/>
        <v>0</v>
      </c>
    </row>
    <row r="702" spans="1:61" x14ac:dyDescent="0.3">
      <c r="A702">
        <f t="shared" si="645"/>
        <v>0.66500000000000004</v>
      </c>
      <c r="B702">
        <f t="shared" si="588"/>
        <v>2.0891591146372126</v>
      </c>
      <c r="C702">
        <f t="shared" si="589"/>
        <v>1.0524335389525805</v>
      </c>
      <c r="D702">
        <f t="shared" si="590"/>
        <v>1.0524335389525805</v>
      </c>
      <c r="E702">
        <f t="shared" si="595"/>
        <v>0.8686315144381912</v>
      </c>
      <c r="F702">
        <f t="shared" si="596"/>
        <v>0.86863151443819109</v>
      </c>
      <c r="G702">
        <f t="shared" si="591"/>
        <v>2.0891591146372126</v>
      </c>
      <c r="H702">
        <f t="shared" si="592"/>
        <v>0.8686315144381912</v>
      </c>
      <c r="I702">
        <f t="shared" si="593"/>
        <v>0.86863151443819109</v>
      </c>
      <c r="J702">
        <f t="shared" si="641"/>
        <v>7.328996954241649E+19</v>
      </c>
      <c r="K702">
        <f t="shared" si="642"/>
        <v>7.328996954241649E+19</v>
      </c>
      <c r="L702" t="e">
        <f t="shared" si="597"/>
        <v>#NUM!</v>
      </c>
      <c r="M702">
        <f t="shared" si="594"/>
        <v>1.0524335389525805E-20</v>
      </c>
      <c r="N702" s="9" t="e">
        <f t="shared" si="643"/>
        <v>#NUM!</v>
      </c>
      <c r="O702" t="e">
        <f t="shared" si="644"/>
        <v>#NUM!</v>
      </c>
      <c r="Q702">
        <f t="shared" si="598"/>
        <v>45.740955432254246</v>
      </c>
      <c r="R702">
        <f t="shared" si="599"/>
        <v>0</v>
      </c>
      <c r="S702">
        <f t="shared" si="621"/>
        <v>-46.000596721188586</v>
      </c>
      <c r="T702" s="9" t="e">
        <f t="shared" si="600"/>
        <v>#N/A</v>
      </c>
      <c r="U702">
        <f t="shared" si="622"/>
        <v>-1.0000000000000001E+300</v>
      </c>
      <c r="V702">
        <f t="shared" si="623"/>
        <v>0</v>
      </c>
      <c r="W702">
        <f t="shared" si="624"/>
        <v>0</v>
      </c>
      <c r="X702">
        <f t="shared" si="601"/>
        <v>1.0524335389525805</v>
      </c>
      <c r="Y702">
        <f t="shared" si="602"/>
        <v>7.8539816339744828</v>
      </c>
      <c r="Z702">
        <f t="shared" si="603"/>
        <v>-1.0524335389525805</v>
      </c>
      <c r="AA702">
        <f t="shared" si="625"/>
        <v>-0.60029749226897944</v>
      </c>
      <c r="AB702">
        <f t="shared" si="604"/>
        <v>7.2536841417055031</v>
      </c>
      <c r="AC702">
        <f t="shared" si="626"/>
        <v>-0.40047756659712541</v>
      </c>
      <c r="AD702">
        <f t="shared" si="605"/>
        <v>0.14083627766278378</v>
      </c>
      <c r="AE702" s="9">
        <f t="shared" si="627"/>
        <v>6.9940428527711616</v>
      </c>
      <c r="AF702">
        <f t="shared" si="628"/>
        <v>0</v>
      </c>
      <c r="AH702">
        <f t="shared" si="606"/>
        <v>7.8539816339744828</v>
      </c>
      <c r="AI702">
        <f t="shared" si="607"/>
        <v>-0.60029749226897944</v>
      </c>
      <c r="AJ702">
        <f t="shared" si="608"/>
        <v>-0.40047756659712519</v>
      </c>
      <c r="AK702">
        <f t="shared" si="609"/>
        <v>0.14083627766278378</v>
      </c>
      <c r="AL702" s="9">
        <f t="shared" si="629"/>
        <v>6.9940428527711616</v>
      </c>
      <c r="AM702" t="e">
        <f t="shared" si="610"/>
        <v>#N/A</v>
      </c>
      <c r="AN702" t="e">
        <f t="shared" si="630"/>
        <v>#N/A</v>
      </c>
      <c r="AO702">
        <f t="shared" si="611"/>
        <v>0</v>
      </c>
      <c r="AP702">
        <f t="shared" si="612"/>
        <v>0</v>
      </c>
      <c r="AQ702">
        <f t="shared" si="613"/>
        <v>0</v>
      </c>
      <c r="AR702">
        <f t="shared" si="631"/>
        <v>0</v>
      </c>
      <c r="AS702">
        <f t="shared" si="614"/>
        <v>0</v>
      </c>
      <c r="AT702">
        <f t="shared" si="632"/>
        <v>0</v>
      </c>
      <c r="AU702">
        <f t="shared" si="633"/>
        <v>0</v>
      </c>
      <c r="AV702">
        <f t="shared" si="615"/>
        <v>1.0524335389525805E-20</v>
      </c>
      <c r="AW702" t="b">
        <f t="shared" si="634"/>
        <v>1</v>
      </c>
      <c r="AX702">
        <f t="shared" si="616"/>
        <v>7.8539816339744828</v>
      </c>
      <c r="AY702">
        <f t="shared" si="617"/>
        <v>-0.60029749226897955</v>
      </c>
      <c r="AZ702">
        <f t="shared" si="618"/>
        <v>-0.40047756659712541</v>
      </c>
      <c r="BA702">
        <f t="shared" si="619"/>
        <v>0.14083627766278392</v>
      </c>
      <c r="BB702">
        <f t="shared" si="620"/>
        <v>-1.2337005501361696E-20</v>
      </c>
      <c r="BD702" s="15">
        <f t="shared" si="635"/>
        <v>6.9940428527711616</v>
      </c>
      <c r="BE702" s="10">
        <f t="shared" si="636"/>
        <v>0</v>
      </c>
      <c r="BF702">
        <f t="shared" si="637"/>
        <v>0</v>
      </c>
      <c r="BG702">
        <f t="shared" si="638"/>
        <v>0</v>
      </c>
      <c r="BH702">
        <f t="shared" si="639"/>
        <v>0</v>
      </c>
      <c r="BI702">
        <f t="shared" si="640"/>
        <v>0</v>
      </c>
    </row>
    <row r="703" spans="1:61" x14ac:dyDescent="0.3">
      <c r="A703">
        <f t="shared" si="645"/>
        <v>0.66600000000000004</v>
      </c>
      <c r="B703">
        <f t="shared" si="588"/>
        <v>2.0923007072908022</v>
      </c>
      <c r="C703">
        <f t="shared" si="589"/>
        <v>1.0492919462989909</v>
      </c>
      <c r="D703">
        <f t="shared" si="590"/>
        <v>1.0492919462989909</v>
      </c>
      <c r="E703">
        <f t="shared" si="595"/>
        <v>0.86707070116449014</v>
      </c>
      <c r="F703">
        <f t="shared" si="596"/>
        <v>0.86707070116449003</v>
      </c>
      <c r="G703">
        <f t="shared" si="591"/>
        <v>2.0923007072908022</v>
      </c>
      <c r="H703">
        <f t="shared" si="592"/>
        <v>0.86707070116449014</v>
      </c>
      <c r="I703">
        <f t="shared" si="593"/>
        <v>0.86707070116449003</v>
      </c>
      <c r="J703">
        <f t="shared" si="641"/>
        <v>7.342189875780495E+19</v>
      </c>
      <c r="K703">
        <f t="shared" si="642"/>
        <v>7.342189875780495E+19</v>
      </c>
      <c r="L703">
        <f t="shared" si="597"/>
        <v>1</v>
      </c>
      <c r="M703">
        <f t="shared" si="594"/>
        <v>1.0492919462989909E-20</v>
      </c>
      <c r="N703" s="9">
        <f t="shared" si="643"/>
        <v>1.0492919462989909E-20</v>
      </c>
      <c r="O703">
        <f t="shared" si="644"/>
        <v>1.0492919462989909E-20</v>
      </c>
      <c r="Q703">
        <f t="shared" si="598"/>
        <v>45.742753913215296</v>
      </c>
      <c r="R703">
        <f t="shared" si="599"/>
        <v>0</v>
      </c>
      <c r="S703">
        <f t="shared" si="621"/>
        <v>-46.003586260036947</v>
      </c>
      <c r="T703" s="9" t="e">
        <f t="shared" si="600"/>
        <v>#N/A</v>
      </c>
      <c r="U703">
        <f t="shared" si="622"/>
        <v>-1.0000000000000001E+300</v>
      </c>
      <c r="V703">
        <f t="shared" si="623"/>
        <v>0</v>
      </c>
      <c r="W703">
        <f t="shared" si="624"/>
        <v>0</v>
      </c>
      <c r="X703">
        <f t="shared" si="601"/>
        <v>1.0492919462989909</v>
      </c>
      <c r="Y703">
        <f t="shared" si="602"/>
        <v>7.8539816339744828</v>
      </c>
      <c r="Z703">
        <f t="shared" si="603"/>
        <v>-1.0492919462989909</v>
      </c>
      <c r="AA703">
        <f t="shared" si="625"/>
        <v>-0.60288234638397031</v>
      </c>
      <c r="AB703">
        <f t="shared" si="604"/>
        <v>7.2510992875905123</v>
      </c>
      <c r="AC703">
        <f t="shared" si="626"/>
        <v>-0.40346710544549125</v>
      </c>
      <c r="AD703">
        <f t="shared" si="605"/>
        <v>0.14263475862383698</v>
      </c>
      <c r="AE703" s="9">
        <f t="shared" si="627"/>
        <v>6.9902669407688576</v>
      </c>
      <c r="AF703">
        <f t="shared" si="628"/>
        <v>0</v>
      </c>
      <c r="AH703">
        <f t="shared" si="606"/>
        <v>7.8539816339744828</v>
      </c>
      <c r="AI703">
        <f t="shared" si="607"/>
        <v>-0.6028823463839702</v>
      </c>
      <c r="AJ703">
        <f t="shared" si="608"/>
        <v>-0.40346710544548614</v>
      </c>
      <c r="AK703">
        <f t="shared" si="609"/>
        <v>0.14263475862383698</v>
      </c>
      <c r="AL703" s="9">
        <f t="shared" si="629"/>
        <v>6.9902669407688629</v>
      </c>
      <c r="AM703" t="e">
        <f t="shared" si="610"/>
        <v>#N/A</v>
      </c>
      <c r="AN703" t="e">
        <f t="shared" si="630"/>
        <v>#N/A</v>
      </c>
      <c r="AO703">
        <f t="shared" si="611"/>
        <v>0</v>
      </c>
      <c r="AP703">
        <f t="shared" si="612"/>
        <v>0</v>
      </c>
      <c r="AQ703">
        <f t="shared" si="613"/>
        <v>5.1070259132757201E-15</v>
      </c>
      <c r="AR703">
        <f t="shared" si="631"/>
        <v>0</v>
      </c>
      <c r="AS703">
        <f t="shared" si="614"/>
        <v>0</v>
      </c>
      <c r="AT703">
        <f t="shared" si="632"/>
        <v>0</v>
      </c>
      <c r="AU703">
        <f t="shared" si="633"/>
        <v>0</v>
      </c>
      <c r="AV703">
        <f t="shared" si="615"/>
        <v>1.0492919462989909E-20</v>
      </c>
      <c r="AW703" t="b">
        <f t="shared" si="634"/>
        <v>1</v>
      </c>
      <c r="AX703">
        <f t="shared" si="616"/>
        <v>7.8539816339744828</v>
      </c>
      <c r="AY703">
        <f t="shared" si="617"/>
        <v>-0.60288234638397042</v>
      </c>
      <c r="AZ703">
        <f t="shared" si="618"/>
        <v>-0.40346710544549125</v>
      </c>
      <c r="BA703">
        <f t="shared" si="619"/>
        <v>0.14263475862383712</v>
      </c>
      <c r="BB703">
        <f t="shared" si="620"/>
        <v>-1.2337005501361696E-20</v>
      </c>
      <c r="BD703" s="15">
        <f t="shared" si="635"/>
        <v>6.9902669407688576</v>
      </c>
      <c r="BE703" s="10">
        <f t="shared" si="636"/>
        <v>0</v>
      </c>
      <c r="BF703">
        <f t="shared" si="637"/>
        <v>0</v>
      </c>
      <c r="BG703">
        <f t="shared" si="638"/>
        <v>0</v>
      </c>
      <c r="BH703">
        <f t="shared" si="639"/>
        <v>0</v>
      </c>
      <c r="BI703">
        <f t="shared" si="640"/>
        <v>0</v>
      </c>
    </row>
    <row r="704" spans="1:61" x14ac:dyDescent="0.3">
      <c r="A704">
        <f t="shared" si="645"/>
        <v>0.66700000000000004</v>
      </c>
      <c r="B704">
        <f t="shared" si="588"/>
        <v>2.0954422999443922</v>
      </c>
      <c r="C704">
        <f t="shared" si="589"/>
        <v>1.0461503536454009</v>
      </c>
      <c r="D704">
        <f t="shared" si="590"/>
        <v>1.0461503536454009</v>
      </c>
      <c r="E704">
        <f t="shared" si="595"/>
        <v>0.8655013302530189</v>
      </c>
      <c r="F704">
        <f t="shared" si="596"/>
        <v>0.86550133025301879</v>
      </c>
      <c r="G704">
        <f t="shared" si="591"/>
        <v>2.0954422999443922</v>
      </c>
      <c r="H704">
        <f t="shared" si="592"/>
        <v>0.8655013302530189</v>
      </c>
      <c r="I704">
        <f t="shared" si="593"/>
        <v>0.86550133025301879</v>
      </c>
      <c r="J704">
        <f t="shared" si="641"/>
        <v>7.355503106869556E+19</v>
      </c>
      <c r="K704">
        <f t="shared" si="642"/>
        <v>7.355503106869556E+19</v>
      </c>
      <c r="L704">
        <f t="shared" si="597"/>
        <v>0</v>
      </c>
      <c r="M704">
        <f t="shared" si="594"/>
        <v>1.0461503536454009E-20</v>
      </c>
      <c r="N704" s="9">
        <f t="shared" si="643"/>
        <v>0</v>
      </c>
      <c r="O704">
        <f t="shared" si="644"/>
        <v>0</v>
      </c>
      <c r="Q704">
        <f t="shared" si="598"/>
        <v>45.744565521982175</v>
      </c>
      <c r="R704">
        <f t="shared" si="599"/>
        <v>-710542.73576010019</v>
      </c>
      <c r="S704">
        <f t="shared" si="621"/>
        <v>-46.00658476303321</v>
      </c>
      <c r="T704" s="9" t="e">
        <f t="shared" si="600"/>
        <v>#N/A</v>
      </c>
      <c r="U704">
        <f t="shared" si="622"/>
        <v>-1.0000000000000001E+300</v>
      </c>
      <c r="V704">
        <f t="shared" si="623"/>
        <v>0</v>
      </c>
      <c r="W704">
        <f t="shared" si="624"/>
        <v>0</v>
      </c>
      <c r="X704">
        <f t="shared" si="601"/>
        <v>1.0461503536454009</v>
      </c>
      <c r="Y704">
        <f t="shared" si="602"/>
        <v>7.8539816339744828</v>
      </c>
      <c r="Z704">
        <f t="shared" si="603"/>
        <v>-1.0461503536454009</v>
      </c>
      <c r="AA704">
        <f t="shared" si="625"/>
        <v>-0.60545677395000563</v>
      </c>
      <c r="AB704">
        <f t="shared" si="604"/>
        <v>7.2485248600244772</v>
      </c>
      <c r="AC704">
        <f t="shared" si="626"/>
        <v>-0.40646560844174817</v>
      </c>
      <c r="AD704">
        <f t="shared" si="605"/>
        <v>0.14444636739071814</v>
      </c>
      <c r="AE704" s="9">
        <f t="shared" si="627"/>
        <v>6.9865056189734469</v>
      </c>
      <c r="AF704">
        <f t="shared" si="628"/>
        <v>0</v>
      </c>
      <c r="AH704">
        <f t="shared" si="606"/>
        <v>7.8539816339744828</v>
      </c>
      <c r="AI704">
        <f t="shared" si="607"/>
        <v>-0.60545677395000563</v>
      </c>
      <c r="AJ704">
        <f t="shared" si="608"/>
        <v>-0.40646560844174928</v>
      </c>
      <c r="AK704">
        <f t="shared" si="609"/>
        <v>0.14444636739071814</v>
      </c>
      <c r="AL704" s="9">
        <f t="shared" si="629"/>
        <v>6.986505618973446</v>
      </c>
      <c r="AM704" t="e">
        <f t="shared" si="610"/>
        <v>#N/A</v>
      </c>
      <c r="AN704" t="e">
        <f t="shared" si="630"/>
        <v>#N/A</v>
      </c>
      <c r="AO704">
        <f t="shared" si="611"/>
        <v>0</v>
      </c>
      <c r="AP704">
        <f t="shared" si="612"/>
        <v>0</v>
      </c>
      <c r="AQ704">
        <f t="shared" si="613"/>
        <v>-1.1102230246251565E-15</v>
      </c>
      <c r="AR704">
        <f t="shared" si="631"/>
        <v>0</v>
      </c>
      <c r="AS704">
        <f t="shared" si="614"/>
        <v>0</v>
      </c>
      <c r="AT704">
        <f t="shared" si="632"/>
        <v>0</v>
      </c>
      <c r="AU704">
        <f t="shared" si="633"/>
        <v>0</v>
      </c>
      <c r="AV704">
        <f t="shared" si="615"/>
        <v>1.0461503536454008E-20</v>
      </c>
      <c r="AW704" t="b">
        <f t="shared" si="634"/>
        <v>1</v>
      </c>
      <c r="AX704">
        <f t="shared" si="616"/>
        <v>7.8539816339744828</v>
      </c>
      <c r="AY704">
        <f t="shared" si="617"/>
        <v>-0.60545677395000563</v>
      </c>
      <c r="AZ704">
        <f t="shared" si="618"/>
        <v>-0.40646560844174817</v>
      </c>
      <c r="BA704">
        <f t="shared" si="619"/>
        <v>0.14444636739071828</v>
      </c>
      <c r="BB704">
        <f t="shared" si="620"/>
        <v>-1.2337005501361696E-20</v>
      </c>
      <c r="BD704" s="15">
        <f t="shared" si="635"/>
        <v>6.9865056189734469</v>
      </c>
      <c r="BE704" s="10">
        <f t="shared" si="636"/>
        <v>0</v>
      </c>
      <c r="BF704">
        <f t="shared" si="637"/>
        <v>0</v>
      </c>
      <c r="BG704">
        <f t="shared" si="638"/>
        <v>0</v>
      </c>
      <c r="BH704">
        <f t="shared" si="639"/>
        <v>0</v>
      </c>
      <c r="BI704">
        <f t="shared" si="640"/>
        <v>0</v>
      </c>
    </row>
    <row r="705" spans="1:61" x14ac:dyDescent="0.3">
      <c r="A705">
        <f t="shared" si="645"/>
        <v>0.66800000000000004</v>
      </c>
      <c r="B705">
        <f t="shared" si="588"/>
        <v>2.0985838925979818</v>
      </c>
      <c r="C705">
        <f t="shared" si="589"/>
        <v>1.0430087609918113</v>
      </c>
      <c r="D705">
        <f t="shared" si="590"/>
        <v>1.0430087609918113</v>
      </c>
      <c r="E705">
        <f t="shared" si="595"/>
        <v>0.86392341719283539</v>
      </c>
      <c r="F705">
        <f t="shared" si="596"/>
        <v>0.86392341719283527</v>
      </c>
      <c r="G705">
        <f t="shared" si="591"/>
        <v>2.0985838925979818</v>
      </c>
      <c r="H705">
        <f t="shared" si="592"/>
        <v>0.86392341719283539</v>
      </c>
      <c r="I705">
        <f t="shared" si="593"/>
        <v>0.86392341719283527</v>
      </c>
      <c r="J705">
        <f t="shared" si="641"/>
        <v>7.3689375666672345E+19</v>
      </c>
      <c r="K705">
        <f t="shared" si="642"/>
        <v>7.3689375666672345E+19</v>
      </c>
      <c r="L705" t="e">
        <f t="shared" si="597"/>
        <v>#NUM!</v>
      </c>
      <c r="M705">
        <f t="shared" si="594"/>
        <v>1.0430087609918112E-20</v>
      </c>
      <c r="N705" s="9" t="e">
        <f t="shared" si="643"/>
        <v>#NUM!</v>
      </c>
      <c r="O705" t="e">
        <f t="shared" si="644"/>
        <v>#NUM!</v>
      </c>
      <c r="Q705">
        <f t="shared" si="598"/>
        <v>45.746390306206372</v>
      </c>
      <c r="R705">
        <f t="shared" si="599"/>
        <v>0</v>
      </c>
      <c r="S705">
        <f t="shared" si="621"/>
        <v>-46.00959228409716</v>
      </c>
      <c r="T705" s="9" t="e">
        <f t="shared" si="600"/>
        <v>#N/A</v>
      </c>
      <c r="U705">
        <f t="shared" si="622"/>
        <v>-1.0000000000000001E+300</v>
      </c>
      <c r="V705">
        <f t="shared" si="623"/>
        <v>0</v>
      </c>
      <c r="W705">
        <f t="shared" si="624"/>
        <v>0</v>
      </c>
      <c r="X705">
        <f t="shared" si="601"/>
        <v>1.0430087609918113</v>
      </c>
      <c r="Y705">
        <f t="shared" si="602"/>
        <v>7.8539816339744828</v>
      </c>
      <c r="Z705">
        <f t="shared" si="603"/>
        <v>-1.0430087609918113</v>
      </c>
      <c r="AA705">
        <f t="shared" si="625"/>
        <v>-0.60802080495937771</v>
      </c>
      <c r="AB705">
        <f t="shared" si="604"/>
        <v>7.2459608290151047</v>
      </c>
      <c r="AC705">
        <f t="shared" si="626"/>
        <v>-0.4094731295057033</v>
      </c>
      <c r="AD705">
        <f t="shared" si="605"/>
        <v>0.14627115161490989</v>
      </c>
      <c r="AE705" s="9">
        <f t="shared" si="627"/>
        <v>6.9827588511243111</v>
      </c>
      <c r="AF705">
        <f t="shared" si="628"/>
        <v>0</v>
      </c>
      <c r="AH705">
        <f t="shared" si="606"/>
        <v>7.8539816339744828</v>
      </c>
      <c r="AI705">
        <f t="shared" si="607"/>
        <v>-0.6080208049593776</v>
      </c>
      <c r="AJ705">
        <f t="shared" si="608"/>
        <v>-0.40947312950569881</v>
      </c>
      <c r="AK705">
        <f t="shared" si="609"/>
        <v>0.14627115161490989</v>
      </c>
      <c r="AL705" s="9">
        <f t="shared" si="629"/>
        <v>6.9827588511243164</v>
      </c>
      <c r="AM705" t="e">
        <f t="shared" si="610"/>
        <v>#N/A</v>
      </c>
      <c r="AN705" t="e">
        <f t="shared" si="630"/>
        <v>#N/A</v>
      </c>
      <c r="AO705">
        <f t="shared" si="611"/>
        <v>0</v>
      </c>
      <c r="AP705">
        <f t="shared" si="612"/>
        <v>0</v>
      </c>
      <c r="AQ705">
        <f t="shared" si="613"/>
        <v>4.496403249731884E-15</v>
      </c>
      <c r="AR705">
        <f t="shared" si="631"/>
        <v>0</v>
      </c>
      <c r="AS705">
        <f t="shared" si="614"/>
        <v>0</v>
      </c>
      <c r="AT705">
        <f t="shared" si="632"/>
        <v>0</v>
      </c>
      <c r="AU705">
        <f t="shared" si="633"/>
        <v>0</v>
      </c>
      <c r="AV705">
        <f t="shared" si="615"/>
        <v>1.0430087609918112E-20</v>
      </c>
      <c r="AW705" t="b">
        <f t="shared" si="634"/>
        <v>1</v>
      </c>
      <c r="AX705">
        <f t="shared" si="616"/>
        <v>7.8539816339744828</v>
      </c>
      <c r="AY705">
        <f t="shared" si="617"/>
        <v>-0.60802080495937783</v>
      </c>
      <c r="AZ705">
        <f t="shared" si="618"/>
        <v>-0.40947312950570314</v>
      </c>
      <c r="BA705">
        <f t="shared" si="619"/>
        <v>0.14627115161491003</v>
      </c>
      <c r="BB705">
        <f t="shared" si="620"/>
        <v>-1.2337005501361696E-20</v>
      </c>
      <c r="BD705" s="15">
        <f t="shared" si="635"/>
        <v>6.9827588511243119</v>
      </c>
      <c r="BE705" s="10">
        <f t="shared" si="636"/>
        <v>0</v>
      </c>
      <c r="BF705">
        <f t="shared" si="637"/>
        <v>0</v>
      </c>
      <c r="BG705">
        <f t="shared" si="638"/>
        <v>0</v>
      </c>
      <c r="BH705">
        <f t="shared" si="639"/>
        <v>0</v>
      </c>
      <c r="BI705">
        <f t="shared" si="640"/>
        <v>0</v>
      </c>
    </row>
    <row r="706" spans="1:61" x14ac:dyDescent="0.3">
      <c r="A706">
        <f t="shared" si="645"/>
        <v>0.66900000000000004</v>
      </c>
      <c r="B706">
        <f t="shared" si="588"/>
        <v>2.1017254852515719</v>
      </c>
      <c r="C706">
        <f t="shared" si="589"/>
        <v>1.0398671683382212</v>
      </c>
      <c r="D706">
        <f t="shared" si="590"/>
        <v>1.0398671683382212</v>
      </c>
      <c r="E706">
        <f t="shared" si="595"/>
        <v>0.86233697755730387</v>
      </c>
      <c r="F706">
        <f t="shared" si="596"/>
        <v>0.86233697755730376</v>
      </c>
      <c r="G706">
        <f t="shared" si="591"/>
        <v>2.1017254852515719</v>
      </c>
      <c r="H706">
        <f t="shared" si="592"/>
        <v>0.86233697755730387</v>
      </c>
      <c r="I706">
        <f t="shared" si="593"/>
        <v>0.86233697755730376</v>
      </c>
      <c r="J706">
        <f t="shared" si="641"/>
        <v>7.3824941865638232E+19</v>
      </c>
      <c r="K706">
        <f t="shared" si="642"/>
        <v>7.3824941865638232E+19</v>
      </c>
      <c r="L706">
        <f t="shared" si="597"/>
        <v>1</v>
      </c>
      <c r="M706">
        <f t="shared" si="594"/>
        <v>1.0398671683382213E-20</v>
      </c>
      <c r="N706" s="9">
        <f t="shared" si="643"/>
        <v>1.0398671683382213E-20</v>
      </c>
      <c r="O706">
        <f t="shared" si="644"/>
        <v>1.0398671683382213E-20</v>
      </c>
      <c r="Q706">
        <f t="shared" si="598"/>
        <v>45.748228314060775</v>
      </c>
      <c r="R706">
        <f t="shared" si="599"/>
        <v>0</v>
      </c>
      <c r="S706">
        <f t="shared" si="621"/>
        <v>-46.012608877636588</v>
      </c>
      <c r="T706" s="9" t="e">
        <f t="shared" si="600"/>
        <v>#N/A</v>
      </c>
      <c r="U706">
        <f t="shared" si="622"/>
        <v>-1.0000000000000001E+300</v>
      </c>
      <c r="V706">
        <f t="shared" si="623"/>
        <v>0</v>
      </c>
      <c r="W706">
        <f t="shared" si="624"/>
        <v>0</v>
      </c>
      <c r="X706">
        <f t="shared" si="601"/>
        <v>1.0398671683382212</v>
      </c>
      <c r="Y706">
        <f t="shared" si="602"/>
        <v>7.8539816339744828</v>
      </c>
      <c r="Z706">
        <f t="shared" si="603"/>
        <v>-1.0398671683382212</v>
      </c>
      <c r="AA706">
        <f t="shared" si="625"/>
        <v>-0.61057446921136194</v>
      </c>
      <c r="AB706">
        <f t="shared" si="604"/>
        <v>7.2434071647631209</v>
      </c>
      <c r="AC706">
        <f t="shared" si="626"/>
        <v>-0.41248972304512915</v>
      </c>
      <c r="AD706">
        <f t="shared" si="605"/>
        <v>0.14810915946931583</v>
      </c>
      <c r="AE706" s="9">
        <f t="shared" si="627"/>
        <v>6.9790266011873072</v>
      </c>
      <c r="AF706">
        <f t="shared" si="628"/>
        <v>0</v>
      </c>
      <c r="AH706">
        <f t="shared" si="606"/>
        <v>7.8539816339744828</v>
      </c>
      <c r="AI706">
        <f t="shared" si="607"/>
        <v>-0.61057446921136194</v>
      </c>
      <c r="AJ706">
        <f t="shared" si="608"/>
        <v>-0.41248972304512677</v>
      </c>
      <c r="AK706">
        <f t="shared" si="609"/>
        <v>0.14810915946931583</v>
      </c>
      <c r="AL706" s="9">
        <f t="shared" si="629"/>
        <v>6.9790266011873099</v>
      </c>
      <c r="AM706" t="e">
        <f t="shared" si="610"/>
        <v>#N/A</v>
      </c>
      <c r="AN706" t="e">
        <f t="shared" si="630"/>
        <v>#N/A</v>
      </c>
      <c r="AO706">
        <f t="shared" si="611"/>
        <v>0</v>
      </c>
      <c r="AP706">
        <f t="shared" si="612"/>
        <v>0</v>
      </c>
      <c r="AQ706">
        <f t="shared" si="613"/>
        <v>2.3869795029440866E-15</v>
      </c>
      <c r="AR706">
        <f t="shared" si="631"/>
        <v>0</v>
      </c>
      <c r="AS706">
        <f t="shared" si="614"/>
        <v>0</v>
      </c>
      <c r="AT706">
        <f t="shared" si="632"/>
        <v>0</v>
      </c>
      <c r="AU706">
        <f t="shared" si="633"/>
        <v>0</v>
      </c>
      <c r="AV706">
        <f t="shared" si="615"/>
        <v>1.0398671683382211E-20</v>
      </c>
      <c r="AW706" t="b">
        <f t="shared" si="634"/>
        <v>1</v>
      </c>
      <c r="AX706">
        <f t="shared" si="616"/>
        <v>7.8539816339744828</v>
      </c>
      <c r="AY706">
        <f t="shared" si="617"/>
        <v>-0.61057446921136194</v>
      </c>
      <c r="AZ706">
        <f t="shared" si="618"/>
        <v>-0.41248972304512915</v>
      </c>
      <c r="BA706">
        <f t="shared" si="619"/>
        <v>0.14810915946931594</v>
      </c>
      <c r="BB706">
        <f t="shared" si="620"/>
        <v>-1.2337005501361696E-20</v>
      </c>
      <c r="BD706" s="15">
        <f t="shared" si="635"/>
        <v>6.9790266011873072</v>
      </c>
      <c r="BE706" s="10">
        <f t="shared" si="636"/>
        <v>0</v>
      </c>
      <c r="BF706">
        <f t="shared" si="637"/>
        <v>0</v>
      </c>
      <c r="BG706">
        <f t="shared" si="638"/>
        <v>0</v>
      </c>
      <c r="BH706">
        <f t="shared" si="639"/>
        <v>0</v>
      </c>
      <c r="BI706">
        <f t="shared" si="640"/>
        <v>0</v>
      </c>
    </row>
    <row r="707" spans="1:61" x14ac:dyDescent="0.3">
      <c r="A707">
        <f t="shared" si="645"/>
        <v>0.67</v>
      </c>
      <c r="B707">
        <f t="shared" si="588"/>
        <v>2.1048670779051615</v>
      </c>
      <c r="C707">
        <f t="shared" si="589"/>
        <v>1.0367255756846316</v>
      </c>
      <c r="D707">
        <f t="shared" si="590"/>
        <v>1.0367255756846316</v>
      </c>
      <c r="E707">
        <f t="shared" si="595"/>
        <v>0.86074202700394364</v>
      </c>
      <c r="F707">
        <f t="shared" si="596"/>
        <v>0.86074202700394353</v>
      </c>
      <c r="G707">
        <f t="shared" si="591"/>
        <v>2.1048670779051615</v>
      </c>
      <c r="H707">
        <f t="shared" si="592"/>
        <v>0.86074202700394364</v>
      </c>
      <c r="I707">
        <f t="shared" si="593"/>
        <v>0.86074202700394353</v>
      </c>
      <c r="J707">
        <f t="shared" si="641"/>
        <v>7.3961739103586796E+19</v>
      </c>
      <c r="K707">
        <f t="shared" si="642"/>
        <v>7.3961739103586796E+19</v>
      </c>
      <c r="L707">
        <f t="shared" si="597"/>
        <v>1</v>
      </c>
      <c r="M707">
        <f t="shared" si="594"/>
        <v>1.0367255756846316E-20</v>
      </c>
      <c r="N707" s="9">
        <f t="shared" si="643"/>
        <v>1.0367255756846316E-20</v>
      </c>
      <c r="O707">
        <f t="shared" si="644"/>
        <v>1.0367255756846316E-20</v>
      </c>
      <c r="Q707">
        <f t="shared" si="598"/>
        <v>45.750079594245449</v>
      </c>
      <c r="R707">
        <f t="shared" si="599"/>
        <v>0</v>
      </c>
      <c r="S707">
        <f t="shared" si="621"/>
        <v>-46.015634598553127</v>
      </c>
      <c r="T707" s="9" t="e">
        <f t="shared" si="600"/>
        <v>#N/A</v>
      </c>
      <c r="U707">
        <f t="shared" si="622"/>
        <v>-1.0000000000000001E+300</v>
      </c>
      <c r="V707">
        <f t="shared" si="623"/>
        <v>0</v>
      </c>
      <c r="W707">
        <f t="shared" si="624"/>
        <v>0</v>
      </c>
      <c r="X707">
        <f t="shared" si="601"/>
        <v>1.0367255756846316</v>
      </c>
      <c r="Y707">
        <f t="shared" si="602"/>
        <v>7.8539816339744828</v>
      </c>
      <c r="Z707">
        <f t="shared" si="603"/>
        <v>-1.0367255756846316</v>
      </c>
      <c r="AA707">
        <f t="shared" si="625"/>
        <v>-0.61311779631355878</v>
      </c>
      <c r="AB707">
        <f t="shared" si="604"/>
        <v>7.2408638376609238</v>
      </c>
      <c r="AC707">
        <f t="shared" si="626"/>
        <v>-0.41551544396166595</v>
      </c>
      <c r="AD707">
        <f t="shared" si="605"/>
        <v>0.14996043965398653</v>
      </c>
      <c r="AE707" s="9">
        <f t="shared" si="627"/>
        <v>6.9753088333532443</v>
      </c>
      <c r="AF707">
        <f t="shared" si="628"/>
        <v>0</v>
      </c>
      <c r="AH707">
        <f t="shared" si="606"/>
        <v>7.8539816339744828</v>
      </c>
      <c r="AI707">
        <f t="shared" si="607"/>
        <v>-0.61311779631355889</v>
      </c>
      <c r="AJ707">
        <f t="shared" si="608"/>
        <v>-0.41551544396166662</v>
      </c>
      <c r="AK707">
        <f t="shared" si="609"/>
        <v>0.14996043965398653</v>
      </c>
      <c r="AL707" s="9">
        <f t="shared" si="629"/>
        <v>6.9753088333532434</v>
      </c>
      <c r="AM707" t="e">
        <f t="shared" si="610"/>
        <v>#N/A</v>
      </c>
      <c r="AN707" t="e">
        <f t="shared" si="630"/>
        <v>#N/A</v>
      </c>
      <c r="AO707">
        <f t="shared" si="611"/>
        <v>0</v>
      </c>
      <c r="AP707">
        <f t="shared" si="612"/>
        <v>0</v>
      </c>
      <c r="AQ707">
        <f t="shared" si="613"/>
        <v>-6.6613381477509392E-16</v>
      </c>
      <c r="AR707">
        <f t="shared" si="631"/>
        <v>0</v>
      </c>
      <c r="AS707">
        <f t="shared" si="614"/>
        <v>0</v>
      </c>
      <c r="AT707">
        <f t="shared" si="632"/>
        <v>0</v>
      </c>
      <c r="AU707">
        <f t="shared" si="633"/>
        <v>0</v>
      </c>
      <c r="AV707">
        <f t="shared" si="615"/>
        <v>1.0367255756846316E-20</v>
      </c>
      <c r="AW707" t="b">
        <f t="shared" si="634"/>
        <v>1</v>
      </c>
      <c r="AX707">
        <f t="shared" si="616"/>
        <v>7.8539816339744828</v>
      </c>
      <c r="AY707">
        <f t="shared" si="617"/>
        <v>-0.61311779631355889</v>
      </c>
      <c r="AZ707">
        <f t="shared" si="618"/>
        <v>-0.41551544396166579</v>
      </c>
      <c r="BA707">
        <f t="shared" si="619"/>
        <v>0.14996043965398664</v>
      </c>
      <c r="BB707">
        <f t="shared" si="620"/>
        <v>-1.2337005501361696E-20</v>
      </c>
      <c r="BD707" s="15">
        <f t="shared" si="635"/>
        <v>6.9753088333532443</v>
      </c>
      <c r="BE707" s="10">
        <f t="shared" si="636"/>
        <v>0</v>
      </c>
      <c r="BF707">
        <f t="shared" si="637"/>
        <v>0</v>
      </c>
      <c r="BG707">
        <f t="shared" si="638"/>
        <v>0</v>
      </c>
      <c r="BH707">
        <f t="shared" si="639"/>
        <v>0</v>
      </c>
      <c r="BI707">
        <f t="shared" si="640"/>
        <v>0</v>
      </c>
    </row>
    <row r="708" spans="1:61" x14ac:dyDescent="0.3">
      <c r="A708">
        <f t="shared" si="645"/>
        <v>0.67100000000000004</v>
      </c>
      <c r="B708">
        <f t="shared" si="588"/>
        <v>2.1080086705587515</v>
      </c>
      <c r="C708">
        <f t="shared" si="589"/>
        <v>1.0335839830310416</v>
      </c>
      <c r="D708">
        <f t="shared" si="590"/>
        <v>1.0335839830310416</v>
      </c>
      <c r="E708">
        <f t="shared" si="595"/>
        <v>0.85913858127427223</v>
      </c>
      <c r="F708">
        <f t="shared" si="596"/>
        <v>0.85913858127427223</v>
      </c>
      <c r="G708">
        <f t="shared" si="591"/>
        <v>2.1080086705587515</v>
      </c>
      <c r="H708">
        <f t="shared" si="592"/>
        <v>0.85913858127427223</v>
      </c>
      <c r="I708">
        <f t="shared" si="593"/>
        <v>0.85913858127427223</v>
      </c>
      <c r="J708">
        <f t="shared" si="641"/>
        <v>7.4099776944407331E+19</v>
      </c>
      <c r="K708">
        <f t="shared" si="642"/>
        <v>7.4099776944407331E+19</v>
      </c>
      <c r="L708">
        <f t="shared" si="597"/>
        <v>1</v>
      </c>
      <c r="M708">
        <f t="shared" si="594"/>
        <v>1.0335839830310417E-20</v>
      </c>
      <c r="N708" s="9">
        <f t="shared" si="643"/>
        <v>1.0335839830310417E-20</v>
      </c>
      <c r="O708">
        <f t="shared" si="644"/>
        <v>1.0335839830310417E-20</v>
      </c>
      <c r="Q708">
        <f t="shared" si="598"/>
        <v>45.751944195993403</v>
      </c>
      <c r="R708">
        <f t="shared" si="599"/>
        <v>0</v>
      </c>
      <c r="S708">
        <f t="shared" si="621"/>
        <v>-46.018669502248279</v>
      </c>
      <c r="T708" s="9" t="e">
        <f t="shared" si="600"/>
        <v>#N/A</v>
      </c>
      <c r="U708">
        <f t="shared" si="622"/>
        <v>-1.0000000000000001E+300</v>
      </c>
      <c r="V708">
        <f t="shared" si="623"/>
        <v>0</v>
      </c>
      <c r="W708">
        <f t="shared" si="624"/>
        <v>0</v>
      </c>
      <c r="X708">
        <f t="shared" si="601"/>
        <v>1.0335839830310416</v>
      </c>
      <c r="Y708">
        <f t="shared" si="602"/>
        <v>7.8539816339744828</v>
      </c>
      <c r="Z708">
        <f t="shared" si="603"/>
        <v>-1.0335839830310416</v>
      </c>
      <c r="AA708">
        <f t="shared" si="625"/>
        <v>-0.6156508156832311</v>
      </c>
      <c r="AB708">
        <f t="shared" si="604"/>
        <v>7.238330818291252</v>
      </c>
      <c r="AC708">
        <f t="shared" si="626"/>
        <v>-0.41855034765682014</v>
      </c>
      <c r="AD708">
        <f t="shared" si="605"/>
        <v>0.15182504140194183</v>
      </c>
      <c r="AE708" s="9">
        <f t="shared" si="627"/>
        <v>6.9716055120363736</v>
      </c>
      <c r="AF708">
        <f t="shared" si="628"/>
        <v>0</v>
      </c>
      <c r="AH708">
        <f t="shared" si="606"/>
        <v>7.8539816339744828</v>
      </c>
      <c r="AI708">
        <f t="shared" si="607"/>
        <v>-0.61565081568323132</v>
      </c>
      <c r="AJ708">
        <f t="shared" si="608"/>
        <v>-0.41855034765681864</v>
      </c>
      <c r="AK708">
        <f t="shared" si="609"/>
        <v>0.15182504140194183</v>
      </c>
      <c r="AL708" s="9">
        <f t="shared" si="629"/>
        <v>6.9716055120363745</v>
      </c>
      <c r="AM708" t="e">
        <f t="shared" si="610"/>
        <v>#N/A</v>
      </c>
      <c r="AN708" t="e">
        <f t="shared" si="630"/>
        <v>#N/A</v>
      </c>
      <c r="AO708">
        <f t="shared" si="611"/>
        <v>0</v>
      </c>
      <c r="AP708">
        <f t="shared" si="612"/>
        <v>0</v>
      </c>
      <c r="AQ708">
        <f t="shared" si="613"/>
        <v>1.4988010832439613E-15</v>
      </c>
      <c r="AR708">
        <f t="shared" si="631"/>
        <v>0</v>
      </c>
      <c r="AS708">
        <f t="shared" si="614"/>
        <v>0</v>
      </c>
      <c r="AT708">
        <f t="shared" si="632"/>
        <v>0</v>
      </c>
      <c r="AU708">
        <f t="shared" si="633"/>
        <v>0</v>
      </c>
      <c r="AV708">
        <f t="shared" si="615"/>
        <v>1.0335839830310415E-20</v>
      </c>
      <c r="AW708" t="b">
        <f t="shared" si="634"/>
        <v>1</v>
      </c>
      <c r="AX708">
        <f t="shared" si="616"/>
        <v>7.8539816339744828</v>
      </c>
      <c r="AY708">
        <f t="shared" si="617"/>
        <v>-0.61565081568323121</v>
      </c>
      <c r="AZ708">
        <f t="shared" si="618"/>
        <v>-0.41855034765682014</v>
      </c>
      <c r="BA708">
        <f t="shared" si="619"/>
        <v>0.15182504140194183</v>
      </c>
      <c r="BB708">
        <f t="shared" si="620"/>
        <v>-1.2337005501361696E-20</v>
      </c>
      <c r="BD708" s="15">
        <f t="shared" si="635"/>
        <v>6.9716055120363727</v>
      </c>
      <c r="BE708" s="10">
        <f t="shared" si="636"/>
        <v>0</v>
      </c>
      <c r="BF708">
        <f t="shared" si="637"/>
        <v>0</v>
      </c>
      <c r="BG708">
        <f t="shared" si="638"/>
        <v>0</v>
      </c>
      <c r="BH708">
        <f t="shared" si="639"/>
        <v>0</v>
      </c>
      <c r="BI708">
        <f t="shared" si="640"/>
        <v>0</v>
      </c>
    </row>
    <row r="709" spans="1:61" x14ac:dyDescent="0.3">
      <c r="A709">
        <f t="shared" si="645"/>
        <v>0.67200000000000004</v>
      </c>
      <c r="B709">
        <f t="shared" si="588"/>
        <v>2.1111502632123411</v>
      </c>
      <c r="C709">
        <f t="shared" si="589"/>
        <v>1.030442390377452</v>
      </c>
      <c r="D709">
        <f t="shared" si="590"/>
        <v>1.030442390377452</v>
      </c>
      <c r="E709">
        <f t="shared" si="595"/>
        <v>0.8575266561936522</v>
      </c>
      <c r="F709">
        <f t="shared" si="596"/>
        <v>0.8575266561936522</v>
      </c>
      <c r="G709">
        <f t="shared" si="591"/>
        <v>2.1111502632123411</v>
      </c>
      <c r="H709">
        <f t="shared" si="592"/>
        <v>0.8575266561936522</v>
      </c>
      <c r="I709">
        <f t="shared" si="593"/>
        <v>0.8575266561936522</v>
      </c>
      <c r="J709">
        <f t="shared" si="641"/>
        <v>7.4239065079723409E+19</v>
      </c>
      <c r="K709">
        <f t="shared" si="642"/>
        <v>7.4239065079723409E+19</v>
      </c>
      <c r="L709">
        <f t="shared" si="597"/>
        <v>1</v>
      </c>
      <c r="M709">
        <f t="shared" si="594"/>
        <v>1.030442390377452E-20</v>
      </c>
      <c r="N709" s="9">
        <f t="shared" si="643"/>
        <v>1.030442390377452E-20</v>
      </c>
      <c r="O709">
        <f t="shared" si="644"/>
        <v>1.030442390377452E-20</v>
      </c>
      <c r="Q709">
        <f t="shared" si="598"/>
        <v>45.753822169076543</v>
      </c>
      <c r="R709">
        <f t="shared" si="599"/>
        <v>0</v>
      </c>
      <c r="S709">
        <f t="shared" si="621"/>
        <v>-46.021713644629507</v>
      </c>
      <c r="T709" s="9" t="e">
        <f t="shared" si="600"/>
        <v>#N/A</v>
      </c>
      <c r="U709">
        <f t="shared" si="622"/>
        <v>-1.0000000000000001E+300</v>
      </c>
      <c r="V709">
        <f t="shared" si="623"/>
        <v>0</v>
      </c>
      <c r="W709">
        <f t="shared" si="624"/>
        <v>0</v>
      </c>
      <c r="X709">
        <f t="shared" si="601"/>
        <v>1.030442390377452</v>
      </c>
      <c r="Y709">
        <f t="shared" si="602"/>
        <v>7.8539816339744828</v>
      </c>
      <c r="Z709">
        <f t="shared" si="603"/>
        <v>-1.030442390377452</v>
      </c>
      <c r="AA709">
        <f t="shared" si="625"/>
        <v>-0.61817355654862227</v>
      </c>
      <c r="AB709">
        <f t="shared" si="604"/>
        <v>7.2358080774258609</v>
      </c>
      <c r="AC709">
        <f t="shared" si="626"/>
        <v>-0.42159449003804816</v>
      </c>
      <c r="AD709">
        <f t="shared" si="605"/>
        <v>0.1537030144850807</v>
      </c>
      <c r="AE709" s="9">
        <f t="shared" si="627"/>
        <v>6.9679166018728935</v>
      </c>
      <c r="AF709">
        <f t="shared" si="628"/>
        <v>0</v>
      </c>
      <c r="AH709">
        <f t="shared" si="606"/>
        <v>7.8539816339744828</v>
      </c>
      <c r="AI709">
        <f t="shared" si="607"/>
        <v>-0.61817355654862216</v>
      </c>
      <c r="AJ709">
        <f t="shared" si="608"/>
        <v>-0.42159449003804639</v>
      </c>
      <c r="AK709">
        <f t="shared" si="609"/>
        <v>0.1537030144850807</v>
      </c>
      <c r="AL709" s="9">
        <f t="shared" si="629"/>
        <v>6.9679166018728953</v>
      </c>
      <c r="AM709" t="e">
        <f t="shared" si="610"/>
        <v>#N/A</v>
      </c>
      <c r="AN709" t="e">
        <f t="shared" si="630"/>
        <v>#N/A</v>
      </c>
      <c r="AO709">
        <f t="shared" si="611"/>
        <v>0</v>
      </c>
      <c r="AP709">
        <f t="shared" si="612"/>
        <v>0</v>
      </c>
      <c r="AQ709">
        <f t="shared" si="613"/>
        <v>1.7763568394002505E-15</v>
      </c>
      <c r="AR709">
        <f t="shared" si="631"/>
        <v>0</v>
      </c>
      <c r="AS709">
        <f t="shared" si="614"/>
        <v>0</v>
      </c>
      <c r="AT709">
        <f t="shared" si="632"/>
        <v>0</v>
      </c>
      <c r="AU709">
        <f t="shared" si="633"/>
        <v>0</v>
      </c>
      <c r="AV709">
        <f t="shared" si="615"/>
        <v>1.030442390377452E-20</v>
      </c>
      <c r="AW709" t="b">
        <f t="shared" si="634"/>
        <v>1</v>
      </c>
      <c r="AX709">
        <f t="shared" si="616"/>
        <v>7.8539816339744828</v>
      </c>
      <c r="AY709">
        <f t="shared" si="617"/>
        <v>-0.61817355654862227</v>
      </c>
      <c r="AZ709">
        <f t="shared" si="618"/>
        <v>-0.42159449003804816</v>
      </c>
      <c r="BA709">
        <f t="shared" si="619"/>
        <v>0.1537030144850807</v>
      </c>
      <c r="BB709">
        <f t="shared" si="620"/>
        <v>-1.2337005501361696E-20</v>
      </c>
      <c r="BD709" s="15">
        <f t="shared" si="635"/>
        <v>6.9679166018728935</v>
      </c>
      <c r="BE709" s="10">
        <f t="shared" si="636"/>
        <v>0</v>
      </c>
      <c r="BF709">
        <f t="shared" si="637"/>
        <v>0</v>
      </c>
      <c r="BG709">
        <f t="shared" si="638"/>
        <v>0</v>
      </c>
      <c r="BH709">
        <f t="shared" si="639"/>
        <v>0</v>
      </c>
      <c r="BI709">
        <f t="shared" si="640"/>
        <v>0</v>
      </c>
    </row>
    <row r="710" spans="1:61" x14ac:dyDescent="0.3">
      <c r="A710">
        <f t="shared" si="645"/>
        <v>0.67300000000000004</v>
      </c>
      <c r="B710">
        <f t="shared" si="588"/>
        <v>2.1142918558659307</v>
      </c>
      <c r="C710">
        <f t="shared" si="589"/>
        <v>1.0273007977238624</v>
      </c>
      <c r="D710">
        <f t="shared" si="590"/>
        <v>1.0273007977238624</v>
      </c>
      <c r="E710">
        <f t="shared" si="595"/>
        <v>0.85590626767113309</v>
      </c>
      <c r="F710">
        <f t="shared" si="596"/>
        <v>0.85590626767113298</v>
      </c>
      <c r="G710">
        <f t="shared" si="591"/>
        <v>2.1142918558659307</v>
      </c>
      <c r="H710">
        <f t="shared" si="592"/>
        <v>0.85590626767113309</v>
      </c>
      <c r="I710">
        <f t="shared" si="593"/>
        <v>0.85590626767113298</v>
      </c>
      <c r="J710">
        <f t="shared" si="641"/>
        <v>7.4379613330766184E+19</v>
      </c>
      <c r="K710">
        <f t="shared" si="642"/>
        <v>7.4379613330766184E+19</v>
      </c>
      <c r="L710">
        <f t="shared" si="597"/>
        <v>1</v>
      </c>
      <c r="M710">
        <f t="shared" si="594"/>
        <v>1.0273007977238623E-20</v>
      </c>
      <c r="N710" s="9">
        <f t="shared" si="643"/>
        <v>1.0273007977238623E-20</v>
      </c>
      <c r="O710">
        <f t="shared" si="644"/>
        <v>1.0273007977238623E-20</v>
      </c>
      <c r="Q710">
        <f t="shared" si="598"/>
        <v>45.755713563811646</v>
      </c>
      <c r="R710">
        <f t="shared" si="599"/>
        <v>-710542.73576010019</v>
      </c>
      <c r="S710">
        <f t="shared" si="621"/>
        <v>-46.024767082116398</v>
      </c>
      <c r="T710" s="9" t="e">
        <f t="shared" si="600"/>
        <v>#N/A</v>
      </c>
      <c r="U710">
        <f t="shared" si="622"/>
        <v>-1.0000000000000001E+300</v>
      </c>
      <c r="V710">
        <f t="shared" si="623"/>
        <v>0</v>
      </c>
      <c r="W710">
        <f t="shared" si="624"/>
        <v>0</v>
      </c>
      <c r="X710">
        <f t="shared" si="601"/>
        <v>1.0273007977238624</v>
      </c>
      <c r="Y710">
        <f t="shared" si="602"/>
        <v>7.8539816339744828</v>
      </c>
      <c r="Z710">
        <f t="shared" si="603"/>
        <v>-1.0273007977238624</v>
      </c>
      <c r="AA710">
        <f t="shared" si="625"/>
        <v>-0.62068604795026783</v>
      </c>
      <c r="AB710">
        <f t="shared" si="604"/>
        <v>7.233295586024215</v>
      </c>
      <c r="AC710">
        <f t="shared" si="626"/>
        <v>-0.4246479275249383</v>
      </c>
      <c r="AD710">
        <f t="shared" si="605"/>
        <v>0.15559440922019002</v>
      </c>
      <c r="AE710" s="9">
        <f t="shared" si="627"/>
        <v>6.964242067719467</v>
      </c>
      <c r="AF710">
        <f t="shared" si="628"/>
        <v>0</v>
      </c>
      <c r="AH710">
        <f t="shared" si="606"/>
        <v>7.8539816339744828</v>
      </c>
      <c r="AI710">
        <f t="shared" si="607"/>
        <v>-0.62068604795026772</v>
      </c>
      <c r="AJ710">
        <f t="shared" si="608"/>
        <v>-0.42464792752493707</v>
      </c>
      <c r="AK710">
        <f t="shared" si="609"/>
        <v>0.15559440922019002</v>
      </c>
      <c r="AL710" s="9">
        <f t="shared" si="629"/>
        <v>6.9642420677194679</v>
      </c>
      <c r="AM710" t="e">
        <f t="shared" si="610"/>
        <v>#N/A</v>
      </c>
      <c r="AN710" t="e">
        <f t="shared" si="630"/>
        <v>#N/A</v>
      </c>
      <c r="AO710">
        <f t="shared" si="611"/>
        <v>0</v>
      </c>
      <c r="AP710">
        <f t="shared" si="612"/>
        <v>0</v>
      </c>
      <c r="AQ710">
        <f t="shared" si="613"/>
        <v>1.2212453270876722E-15</v>
      </c>
      <c r="AR710">
        <f t="shared" si="631"/>
        <v>0</v>
      </c>
      <c r="AS710">
        <f t="shared" si="614"/>
        <v>0</v>
      </c>
      <c r="AT710">
        <f t="shared" si="632"/>
        <v>0</v>
      </c>
      <c r="AU710">
        <f t="shared" si="633"/>
        <v>0</v>
      </c>
      <c r="AV710">
        <f t="shared" si="615"/>
        <v>1.0273007977238623E-20</v>
      </c>
      <c r="AW710" t="b">
        <f t="shared" si="634"/>
        <v>1</v>
      </c>
      <c r="AX710">
        <f t="shared" si="616"/>
        <v>7.8539816339744828</v>
      </c>
      <c r="AY710">
        <f t="shared" si="617"/>
        <v>-0.62068604795026783</v>
      </c>
      <c r="AZ710">
        <f t="shared" si="618"/>
        <v>-0.4246479275249383</v>
      </c>
      <c r="BA710">
        <f t="shared" si="619"/>
        <v>0.15559440922019016</v>
      </c>
      <c r="BB710">
        <f t="shared" si="620"/>
        <v>-1.2337005501361696E-20</v>
      </c>
      <c r="BD710" s="15">
        <f t="shared" si="635"/>
        <v>6.964242067719467</v>
      </c>
      <c r="BE710" s="10">
        <f t="shared" si="636"/>
        <v>0</v>
      </c>
      <c r="BF710">
        <f t="shared" si="637"/>
        <v>0</v>
      </c>
      <c r="BG710">
        <f t="shared" si="638"/>
        <v>0</v>
      </c>
      <c r="BH710">
        <f t="shared" si="639"/>
        <v>0</v>
      </c>
      <c r="BI710">
        <f t="shared" si="640"/>
        <v>0</v>
      </c>
    </row>
    <row r="711" spans="1:61" x14ac:dyDescent="0.3">
      <c r="A711">
        <f t="shared" si="645"/>
        <v>0.67400000000000004</v>
      </c>
      <c r="B711">
        <f t="shared" si="588"/>
        <v>2.1174334485195208</v>
      </c>
      <c r="C711">
        <f t="shared" si="589"/>
        <v>1.0241592050702724</v>
      </c>
      <c r="D711">
        <f t="shared" si="590"/>
        <v>1.0241592050702724</v>
      </c>
      <c r="E711">
        <f t="shared" si="595"/>
        <v>0.85427743169929515</v>
      </c>
      <c r="F711">
        <f t="shared" si="596"/>
        <v>0.85427743169929504</v>
      </c>
      <c r="G711">
        <f t="shared" si="591"/>
        <v>2.1174334485195208</v>
      </c>
      <c r="H711">
        <f t="shared" si="592"/>
        <v>0.85427743169929515</v>
      </c>
      <c r="I711">
        <f t="shared" si="593"/>
        <v>0.85427743169929504</v>
      </c>
      <c r="J711">
        <f t="shared" si="641"/>
        <v>7.4521431650282783E+19</v>
      </c>
      <c r="K711">
        <f t="shared" si="642"/>
        <v>7.4521431650282783E+19</v>
      </c>
      <c r="L711">
        <f t="shared" si="597"/>
        <v>1</v>
      </c>
      <c r="M711">
        <f t="shared" si="594"/>
        <v>1.0241592050702724E-20</v>
      </c>
      <c r="N711" s="9">
        <f t="shared" si="643"/>
        <v>1.0241592050702724E-20</v>
      </c>
      <c r="O711">
        <f t="shared" si="644"/>
        <v>1.0241592050702724E-20</v>
      </c>
      <c r="Q711">
        <f t="shared" si="598"/>
        <v>45.757618431066504</v>
      </c>
      <c r="R711">
        <f t="shared" si="599"/>
        <v>0</v>
      </c>
      <c r="S711">
        <f t="shared" si="621"/>
        <v>-46.027829871646944</v>
      </c>
      <c r="T711" s="9" t="e">
        <f t="shared" si="600"/>
        <v>#N/A</v>
      </c>
      <c r="U711">
        <f t="shared" si="622"/>
        <v>-1.0000000000000001E+300</v>
      </c>
      <c r="V711">
        <f t="shared" si="623"/>
        <v>0</v>
      </c>
      <c r="W711">
        <f t="shared" si="624"/>
        <v>0</v>
      </c>
      <c r="X711">
        <f t="shared" si="601"/>
        <v>1.0241592050702724</v>
      </c>
      <c r="Y711">
        <f t="shared" si="602"/>
        <v>7.8539816339744828</v>
      </c>
      <c r="Z711">
        <f t="shared" si="603"/>
        <v>-1.0241592050702724</v>
      </c>
      <c r="AA711">
        <f t="shared" si="625"/>
        <v>-0.62318831874229264</v>
      </c>
      <c r="AB711">
        <f t="shared" si="604"/>
        <v>7.2307933152321899</v>
      </c>
      <c r="AC711">
        <f t="shared" si="626"/>
        <v>-0.42771071705548425</v>
      </c>
      <c r="AD711">
        <f t="shared" si="605"/>
        <v>0.15749927647504625</v>
      </c>
      <c r="AE711" s="9">
        <f t="shared" si="627"/>
        <v>6.9605818746517514</v>
      </c>
      <c r="AF711">
        <f t="shared" si="628"/>
        <v>0</v>
      </c>
      <c r="AH711">
        <f t="shared" si="606"/>
        <v>7.8539816339744828</v>
      </c>
      <c r="AI711">
        <f t="shared" si="607"/>
        <v>-0.62318831874229241</v>
      </c>
      <c r="AJ711">
        <f t="shared" si="608"/>
        <v>-0.4277107170554828</v>
      </c>
      <c r="AK711">
        <f t="shared" si="609"/>
        <v>0.15749927647504625</v>
      </c>
      <c r="AL711" s="9">
        <f t="shared" si="629"/>
        <v>6.960581874651754</v>
      </c>
      <c r="AM711" t="e">
        <f t="shared" si="610"/>
        <v>#N/A</v>
      </c>
      <c r="AN711" t="e">
        <f t="shared" si="630"/>
        <v>#N/A</v>
      </c>
      <c r="AO711">
        <f t="shared" si="611"/>
        <v>0</v>
      </c>
      <c r="AP711">
        <f t="shared" si="612"/>
        <v>0</v>
      </c>
      <c r="AQ711">
        <f t="shared" si="613"/>
        <v>1.4432899320127035E-15</v>
      </c>
      <c r="AR711">
        <f t="shared" si="631"/>
        <v>0</v>
      </c>
      <c r="AS711">
        <f t="shared" si="614"/>
        <v>0</v>
      </c>
      <c r="AT711">
        <f t="shared" si="632"/>
        <v>0</v>
      </c>
      <c r="AU711">
        <f t="shared" si="633"/>
        <v>0</v>
      </c>
      <c r="AV711">
        <f t="shared" si="615"/>
        <v>1.0241592050702724E-20</v>
      </c>
      <c r="AW711" t="b">
        <f t="shared" si="634"/>
        <v>1</v>
      </c>
      <c r="AX711">
        <f t="shared" si="616"/>
        <v>7.8539816339744828</v>
      </c>
      <c r="AY711">
        <f t="shared" si="617"/>
        <v>-0.62318831874229264</v>
      </c>
      <c r="AZ711">
        <f t="shared" si="618"/>
        <v>-0.42771071705548425</v>
      </c>
      <c r="BA711">
        <f t="shared" si="619"/>
        <v>0.15749927647504636</v>
      </c>
      <c r="BB711">
        <f t="shared" si="620"/>
        <v>-1.2337005501361696E-20</v>
      </c>
      <c r="BD711" s="15">
        <f t="shared" si="635"/>
        <v>6.9605818746517514</v>
      </c>
      <c r="BE711" s="10">
        <f t="shared" si="636"/>
        <v>0</v>
      </c>
      <c r="BF711">
        <f t="shared" si="637"/>
        <v>0</v>
      </c>
      <c r="BG711">
        <f t="shared" si="638"/>
        <v>0</v>
      </c>
      <c r="BH711">
        <f t="shared" si="639"/>
        <v>0</v>
      </c>
      <c r="BI711">
        <f t="shared" si="640"/>
        <v>0</v>
      </c>
    </row>
    <row r="712" spans="1:61" x14ac:dyDescent="0.3">
      <c r="A712">
        <f t="shared" si="645"/>
        <v>0.67500000000000004</v>
      </c>
      <c r="B712">
        <f t="shared" si="588"/>
        <v>2.1205750411731104</v>
      </c>
      <c r="C712">
        <f t="shared" si="589"/>
        <v>1.0210176124166828</v>
      </c>
      <c r="D712">
        <f t="shared" si="590"/>
        <v>1.0210176124166828</v>
      </c>
      <c r="E712">
        <f t="shared" si="595"/>
        <v>0.85264016435409229</v>
      </c>
      <c r="F712">
        <f t="shared" si="596"/>
        <v>0.85264016435409218</v>
      </c>
      <c r="G712">
        <f t="shared" si="591"/>
        <v>2.1205750411731104</v>
      </c>
      <c r="H712">
        <f t="shared" si="592"/>
        <v>0.85264016435409229</v>
      </c>
      <c r="I712">
        <f t="shared" si="593"/>
        <v>0.85264016435409218</v>
      </c>
      <c r="J712">
        <f t="shared" si="641"/>
        <v>7.4664530124480512E+19</v>
      </c>
      <c r="K712">
        <f t="shared" si="642"/>
        <v>7.4664530124480512E+19</v>
      </c>
      <c r="L712">
        <f t="shared" si="597"/>
        <v>1</v>
      </c>
      <c r="M712">
        <f t="shared" si="594"/>
        <v>1.0210176124166827E-20</v>
      </c>
      <c r="N712" s="9">
        <f t="shared" si="643"/>
        <v>1.0210176124166827E-20</v>
      </c>
      <c r="O712">
        <f t="shared" si="644"/>
        <v>1.0210176124166827E-20</v>
      </c>
      <c r="Q712">
        <f t="shared" si="598"/>
        <v>45.759536822266071</v>
      </c>
      <c r="R712">
        <f t="shared" si="599"/>
        <v>-710542.73576010019</v>
      </c>
      <c r="S712">
        <f t="shared" si="621"/>
        <v>-46.030902070683915</v>
      </c>
      <c r="T712" s="9" t="e">
        <f t="shared" si="600"/>
        <v>#N/A</v>
      </c>
      <c r="U712">
        <f t="shared" si="622"/>
        <v>-1.0000000000000001E+300</v>
      </c>
      <c r="V712">
        <f t="shared" si="623"/>
        <v>0</v>
      </c>
      <c r="W712">
        <f t="shared" si="624"/>
        <v>0</v>
      </c>
      <c r="X712">
        <f t="shared" si="601"/>
        <v>1.0210176124166828</v>
      </c>
      <c r="Y712">
        <f t="shared" si="602"/>
        <v>7.8539816339744828</v>
      </c>
      <c r="Z712">
        <f t="shared" si="603"/>
        <v>-1.0210176124166828</v>
      </c>
      <c r="AA712">
        <f t="shared" si="625"/>
        <v>-0.62568039759369476</v>
      </c>
      <c r="AB712">
        <f t="shared" si="604"/>
        <v>7.2283012363807879</v>
      </c>
      <c r="AC712">
        <f t="shared" si="626"/>
        <v>-0.43078291609245423</v>
      </c>
      <c r="AD712">
        <f t="shared" si="605"/>
        <v>0.15941766767461485</v>
      </c>
      <c r="AE712" s="9">
        <f t="shared" si="627"/>
        <v>6.9569359879629484</v>
      </c>
      <c r="AF712">
        <f t="shared" si="628"/>
        <v>0</v>
      </c>
      <c r="AH712">
        <f t="shared" si="606"/>
        <v>7.8539816339744828</v>
      </c>
      <c r="AI712">
        <f t="shared" si="607"/>
        <v>-0.62568039759369465</v>
      </c>
      <c r="AJ712">
        <f t="shared" si="608"/>
        <v>-0.43078291609245412</v>
      </c>
      <c r="AK712">
        <f t="shared" si="609"/>
        <v>0.15941766767461485</v>
      </c>
      <c r="AL712" s="9">
        <f t="shared" si="629"/>
        <v>6.9569359879629484</v>
      </c>
      <c r="AM712" t="e">
        <f t="shared" si="610"/>
        <v>#N/A</v>
      </c>
      <c r="AN712" t="e">
        <f t="shared" si="630"/>
        <v>#N/A</v>
      </c>
      <c r="AO712">
        <f t="shared" si="611"/>
        <v>0</v>
      </c>
      <c r="AP712">
        <f t="shared" si="612"/>
        <v>0</v>
      </c>
      <c r="AQ712">
        <f t="shared" si="613"/>
        <v>0</v>
      </c>
      <c r="AR712">
        <f t="shared" si="631"/>
        <v>0</v>
      </c>
      <c r="AS712">
        <f t="shared" si="614"/>
        <v>0</v>
      </c>
      <c r="AT712">
        <f t="shared" si="632"/>
        <v>0</v>
      </c>
      <c r="AU712">
        <f t="shared" si="633"/>
        <v>0</v>
      </c>
      <c r="AV712">
        <f t="shared" si="615"/>
        <v>1.0210176124166827E-20</v>
      </c>
      <c r="AW712" t="b">
        <f t="shared" si="634"/>
        <v>1</v>
      </c>
      <c r="AX712">
        <f t="shared" si="616"/>
        <v>7.8539816339744828</v>
      </c>
      <c r="AY712">
        <f t="shared" si="617"/>
        <v>-0.62568039759369487</v>
      </c>
      <c r="AZ712">
        <f t="shared" si="618"/>
        <v>-0.43078291609245423</v>
      </c>
      <c r="BA712">
        <f t="shared" si="619"/>
        <v>0.15941766767461499</v>
      </c>
      <c r="BB712">
        <f t="shared" si="620"/>
        <v>-1.2337005501361696E-20</v>
      </c>
      <c r="BD712" s="15">
        <f t="shared" si="635"/>
        <v>6.9569359879629484</v>
      </c>
      <c r="BE712" s="10">
        <f t="shared" si="636"/>
        <v>0</v>
      </c>
      <c r="BF712">
        <f t="shared" si="637"/>
        <v>0</v>
      </c>
      <c r="BG712">
        <f t="shared" si="638"/>
        <v>0</v>
      </c>
      <c r="BH712">
        <f t="shared" si="639"/>
        <v>0</v>
      </c>
      <c r="BI712">
        <f t="shared" si="640"/>
        <v>0</v>
      </c>
    </row>
    <row r="713" spans="1:61" x14ac:dyDescent="0.3">
      <c r="A713">
        <f t="shared" si="645"/>
        <v>0.67600000000000005</v>
      </c>
      <c r="B713">
        <f t="shared" si="588"/>
        <v>2.1237166338267004</v>
      </c>
      <c r="C713">
        <f t="shared" si="589"/>
        <v>1.0178760197630927</v>
      </c>
      <c r="D713">
        <f t="shared" si="590"/>
        <v>1.0178760197630927</v>
      </c>
      <c r="E713">
        <f t="shared" si="595"/>
        <v>0.85099448179469173</v>
      </c>
      <c r="F713">
        <f t="shared" si="596"/>
        <v>0.85099448179469173</v>
      </c>
      <c r="G713">
        <f t="shared" si="591"/>
        <v>2.1237166338267004</v>
      </c>
      <c r="H713">
        <f t="shared" si="592"/>
        <v>0.85099448179469173</v>
      </c>
      <c r="I713">
        <f t="shared" si="593"/>
        <v>0.85099448179469173</v>
      </c>
      <c r="J713">
        <f t="shared" si="641"/>
        <v>7.4808918975008145E+19</v>
      </c>
      <c r="K713">
        <f t="shared" si="642"/>
        <v>7.4808918975008145E+19</v>
      </c>
      <c r="L713">
        <f t="shared" si="597"/>
        <v>1</v>
      </c>
      <c r="M713">
        <f t="shared" si="594"/>
        <v>1.0178760197630928E-20</v>
      </c>
      <c r="N713" s="9">
        <f t="shared" si="643"/>
        <v>1.0178760197630928E-20</v>
      </c>
      <c r="O713">
        <f t="shared" si="644"/>
        <v>1.0178760197630928E-20</v>
      </c>
      <c r="Q713">
        <f t="shared" si="598"/>
        <v>45.761468789398812</v>
      </c>
      <c r="R713">
        <f t="shared" si="599"/>
        <v>0</v>
      </c>
      <c r="S713">
        <f t="shared" si="621"/>
        <v>-46.03398373722132</v>
      </c>
      <c r="T713" s="9" t="e">
        <f t="shared" si="600"/>
        <v>#N/A</v>
      </c>
      <c r="U713">
        <f t="shared" si="622"/>
        <v>-1.0000000000000001E+300</v>
      </c>
      <c r="V713">
        <f t="shared" si="623"/>
        <v>0</v>
      </c>
      <c r="W713">
        <f t="shared" si="624"/>
        <v>0</v>
      </c>
      <c r="X713">
        <f t="shared" si="601"/>
        <v>1.0178760197630927</v>
      </c>
      <c r="Y713">
        <f t="shared" si="602"/>
        <v>7.8539816339744828</v>
      </c>
      <c r="Z713">
        <f t="shared" si="603"/>
        <v>-1.0178760197630927</v>
      </c>
      <c r="AA713">
        <f t="shared" si="625"/>
        <v>-0.62816231298962266</v>
      </c>
      <c r="AB713">
        <f t="shared" si="604"/>
        <v>7.2258193209848605</v>
      </c>
      <c r="AC713">
        <f t="shared" si="626"/>
        <v>-0.43386458262986266</v>
      </c>
      <c r="AD713">
        <f t="shared" si="605"/>
        <v>0.16134963480735212</v>
      </c>
      <c r="AE713" s="9">
        <f t="shared" si="627"/>
        <v>6.9533043731623501</v>
      </c>
      <c r="AF713">
        <f t="shared" si="628"/>
        <v>0</v>
      </c>
      <c r="AH713">
        <f t="shared" si="606"/>
        <v>7.8539816339744828</v>
      </c>
      <c r="AI713">
        <f t="shared" si="607"/>
        <v>-0.62816231298962255</v>
      </c>
      <c r="AJ713">
        <f t="shared" si="608"/>
        <v>-0.43386458262985883</v>
      </c>
      <c r="AK713">
        <f t="shared" si="609"/>
        <v>0.16134963480735212</v>
      </c>
      <c r="AL713" s="9">
        <f t="shared" si="629"/>
        <v>6.9533043731623536</v>
      </c>
      <c r="AM713" t="e">
        <f t="shared" si="610"/>
        <v>#N/A</v>
      </c>
      <c r="AN713" t="e">
        <f t="shared" si="630"/>
        <v>#N/A</v>
      </c>
      <c r="AO713">
        <f t="shared" si="611"/>
        <v>0</v>
      </c>
      <c r="AP713">
        <f t="shared" si="612"/>
        <v>0</v>
      </c>
      <c r="AQ713">
        <f t="shared" si="613"/>
        <v>3.8302694349567901E-15</v>
      </c>
      <c r="AR713">
        <f t="shared" si="631"/>
        <v>0</v>
      </c>
      <c r="AS713">
        <f t="shared" si="614"/>
        <v>0</v>
      </c>
      <c r="AT713">
        <f t="shared" si="632"/>
        <v>0</v>
      </c>
      <c r="AU713">
        <f t="shared" si="633"/>
        <v>0</v>
      </c>
      <c r="AV713">
        <f t="shared" si="615"/>
        <v>1.0178760197630926E-20</v>
      </c>
      <c r="AW713" t="b">
        <f t="shared" si="634"/>
        <v>1</v>
      </c>
      <c r="AX713">
        <f t="shared" si="616"/>
        <v>7.8539816339744828</v>
      </c>
      <c r="AY713">
        <f t="shared" si="617"/>
        <v>-0.62816231298962277</v>
      </c>
      <c r="AZ713">
        <f t="shared" si="618"/>
        <v>-0.43386458262986266</v>
      </c>
      <c r="BA713">
        <f t="shared" si="619"/>
        <v>0.16134963480735212</v>
      </c>
      <c r="BB713">
        <f t="shared" si="620"/>
        <v>-1.2337005501361696E-20</v>
      </c>
      <c r="BD713" s="15">
        <f t="shared" si="635"/>
        <v>6.9533043731623492</v>
      </c>
      <c r="BE713" s="10">
        <f t="shared" si="636"/>
        <v>0</v>
      </c>
      <c r="BF713">
        <f t="shared" si="637"/>
        <v>0</v>
      </c>
      <c r="BG713">
        <f t="shared" si="638"/>
        <v>0</v>
      </c>
      <c r="BH713">
        <f t="shared" si="639"/>
        <v>0</v>
      </c>
      <c r="BI713">
        <f t="shared" si="640"/>
        <v>0</v>
      </c>
    </row>
    <row r="714" spans="1:61" x14ac:dyDescent="0.3">
      <c r="A714">
        <f t="shared" si="645"/>
        <v>0.67700000000000005</v>
      </c>
      <c r="B714">
        <f t="shared" si="588"/>
        <v>2.12685822648029</v>
      </c>
      <c r="C714">
        <f t="shared" si="589"/>
        <v>1.0147344271095031</v>
      </c>
      <c r="D714">
        <f t="shared" si="590"/>
        <v>1.0147344271095031</v>
      </c>
      <c r="E714">
        <f t="shared" si="595"/>
        <v>0.84934040026331659</v>
      </c>
      <c r="F714">
        <f t="shared" si="596"/>
        <v>0.84934040026331648</v>
      </c>
      <c r="G714">
        <f t="shared" si="591"/>
        <v>2.12685822648029</v>
      </c>
      <c r="H714">
        <f t="shared" si="592"/>
        <v>0.84934040026331659</v>
      </c>
      <c r="I714">
        <f t="shared" si="593"/>
        <v>0.84934040026331648</v>
      </c>
      <c r="J714">
        <f t="shared" si="641"/>
        <v>7.4954608560974316E+19</v>
      </c>
      <c r="K714">
        <f t="shared" si="642"/>
        <v>7.4954608560974316E+19</v>
      </c>
      <c r="L714">
        <f t="shared" si="597"/>
        <v>1</v>
      </c>
      <c r="M714">
        <f t="shared" si="594"/>
        <v>1.0147344271095031E-20</v>
      </c>
      <c r="N714" s="9">
        <f t="shared" si="643"/>
        <v>1.0147344271095031E-20</v>
      </c>
      <c r="O714">
        <f t="shared" si="644"/>
        <v>1.0147344271095031E-20</v>
      </c>
      <c r="Q714">
        <f t="shared" si="598"/>
        <v>45.763414385023061</v>
      </c>
      <c r="R714">
        <f t="shared" si="599"/>
        <v>0</v>
      </c>
      <c r="S714">
        <f t="shared" si="621"/>
        <v>-46.037074929790997</v>
      </c>
      <c r="T714" s="9" t="e">
        <f t="shared" si="600"/>
        <v>#N/A</v>
      </c>
      <c r="U714">
        <f t="shared" si="622"/>
        <v>-1.0000000000000001E+300</v>
      </c>
      <c r="V714">
        <f t="shared" si="623"/>
        <v>0</v>
      </c>
      <c r="W714">
        <f t="shared" si="624"/>
        <v>0</v>
      </c>
      <c r="X714">
        <f t="shared" si="601"/>
        <v>1.0147344271095031</v>
      </c>
      <c r="Y714">
        <f t="shared" si="602"/>
        <v>7.8539816339744828</v>
      </c>
      <c r="Z714">
        <f t="shared" si="603"/>
        <v>-1.0147344271095031</v>
      </c>
      <c r="AA714">
        <f t="shared" si="625"/>
        <v>-0.63063409323263442</v>
      </c>
      <c r="AB714">
        <f t="shared" si="604"/>
        <v>7.2233475407418481</v>
      </c>
      <c r="AC714">
        <f t="shared" si="626"/>
        <v>-0.43695577519953516</v>
      </c>
      <c r="AD714">
        <f t="shared" si="605"/>
        <v>0.16329523043160368</v>
      </c>
      <c r="AE714" s="9">
        <f t="shared" si="627"/>
        <v>6.9496869959739165</v>
      </c>
      <c r="AF714">
        <f t="shared" si="628"/>
        <v>0</v>
      </c>
      <c r="AH714">
        <f t="shared" si="606"/>
        <v>7.8539816339744828</v>
      </c>
      <c r="AI714">
        <f t="shared" si="607"/>
        <v>-0.6306340932326342</v>
      </c>
      <c r="AJ714">
        <f t="shared" si="608"/>
        <v>-0.43695577519953588</v>
      </c>
      <c r="AK714">
        <f t="shared" si="609"/>
        <v>0.16329523043160368</v>
      </c>
      <c r="AL714" s="9">
        <f t="shared" si="629"/>
        <v>6.9496869959739156</v>
      </c>
      <c r="AM714" t="e">
        <f t="shared" si="610"/>
        <v>#N/A</v>
      </c>
      <c r="AN714" t="e">
        <f t="shared" si="630"/>
        <v>#N/A</v>
      </c>
      <c r="AO714">
        <f t="shared" si="611"/>
        <v>0</v>
      </c>
      <c r="AP714">
        <f t="shared" si="612"/>
        <v>0</v>
      </c>
      <c r="AQ714">
        <f t="shared" si="613"/>
        <v>-7.2164496600635175E-16</v>
      </c>
      <c r="AR714">
        <f t="shared" si="631"/>
        <v>0</v>
      </c>
      <c r="AS714">
        <f t="shared" si="614"/>
        <v>0</v>
      </c>
      <c r="AT714">
        <f t="shared" si="632"/>
        <v>0</v>
      </c>
      <c r="AU714">
        <f t="shared" si="633"/>
        <v>0</v>
      </c>
      <c r="AV714">
        <f t="shared" si="615"/>
        <v>1.0147344271095031E-20</v>
      </c>
      <c r="AW714" t="b">
        <f t="shared" si="634"/>
        <v>1</v>
      </c>
      <c r="AX714">
        <f t="shared" si="616"/>
        <v>7.8539816339744828</v>
      </c>
      <c r="AY714">
        <f t="shared" si="617"/>
        <v>-0.63063409323263442</v>
      </c>
      <c r="AZ714">
        <f t="shared" si="618"/>
        <v>-0.43695577519953516</v>
      </c>
      <c r="BA714">
        <f t="shared" si="619"/>
        <v>0.16329523043160382</v>
      </c>
      <c r="BB714">
        <f t="shared" si="620"/>
        <v>-1.2337005501361696E-20</v>
      </c>
      <c r="BD714" s="15">
        <f t="shared" si="635"/>
        <v>6.9496869959739174</v>
      </c>
      <c r="BE714" s="10">
        <f t="shared" si="636"/>
        <v>0</v>
      </c>
      <c r="BF714">
        <f t="shared" si="637"/>
        <v>0</v>
      </c>
      <c r="BG714">
        <f t="shared" si="638"/>
        <v>0</v>
      </c>
      <c r="BH714">
        <f t="shared" si="639"/>
        <v>0</v>
      </c>
      <c r="BI714">
        <f t="shared" si="640"/>
        <v>0</v>
      </c>
    </row>
    <row r="715" spans="1:61" x14ac:dyDescent="0.3">
      <c r="A715">
        <f t="shared" si="645"/>
        <v>0.67800000000000005</v>
      </c>
      <c r="B715">
        <f t="shared" si="588"/>
        <v>2.12999981913388</v>
      </c>
      <c r="C715">
        <f t="shared" si="589"/>
        <v>1.0115928344559131</v>
      </c>
      <c r="D715">
        <f t="shared" si="590"/>
        <v>1.0115928344559131</v>
      </c>
      <c r="E715">
        <f t="shared" si="595"/>
        <v>0.84767793608508313</v>
      </c>
      <c r="F715">
        <f t="shared" si="596"/>
        <v>0.84767793608508302</v>
      </c>
      <c r="G715">
        <f t="shared" si="591"/>
        <v>2.12999981913388</v>
      </c>
      <c r="H715">
        <f t="shared" si="592"/>
        <v>0.84767793608508313</v>
      </c>
      <c r="I715">
        <f t="shared" si="593"/>
        <v>0.84767793608508302</v>
      </c>
      <c r="J715">
        <f t="shared" si="641"/>
        <v>7.5101609381004657E+19</v>
      </c>
      <c r="K715">
        <f t="shared" si="642"/>
        <v>7.5101609381004657E+19</v>
      </c>
      <c r="L715" t="e">
        <f t="shared" si="597"/>
        <v>#NUM!</v>
      </c>
      <c r="M715">
        <f t="shared" si="594"/>
        <v>1.0115928344559131E-20</v>
      </c>
      <c r="N715" s="9" t="e">
        <f t="shared" si="643"/>
        <v>#NUM!</v>
      </c>
      <c r="O715" t="e">
        <f t="shared" si="644"/>
        <v>#NUM!</v>
      </c>
      <c r="Q715">
        <f t="shared" si="598"/>
        <v>45.765373662273568</v>
      </c>
      <c r="R715">
        <f t="shared" si="599"/>
        <v>-710542.73576010019</v>
      </c>
      <c r="S715">
        <f t="shared" si="621"/>
        <v>-46.040175707469245</v>
      </c>
      <c r="T715" s="9" t="e">
        <f t="shared" si="600"/>
        <v>#N/A</v>
      </c>
      <c r="U715">
        <f t="shared" si="622"/>
        <v>-1.0000000000000001E+300</v>
      </c>
      <c r="V715">
        <f t="shared" si="623"/>
        <v>0</v>
      </c>
      <c r="W715">
        <f t="shared" si="624"/>
        <v>0</v>
      </c>
      <c r="X715">
        <f t="shared" si="601"/>
        <v>1.0115928344559131</v>
      </c>
      <c r="Y715">
        <f t="shared" si="602"/>
        <v>7.8539816339744828</v>
      </c>
      <c r="Z715">
        <f t="shared" si="603"/>
        <v>-1.0115928344559131</v>
      </c>
      <c r="AA715">
        <f t="shared" si="625"/>
        <v>-0.6330957664439516</v>
      </c>
      <c r="AB715">
        <f t="shared" si="604"/>
        <v>7.220885867530531</v>
      </c>
      <c r="AC715">
        <f t="shared" si="626"/>
        <v>-0.44005655287778378</v>
      </c>
      <c r="AD715">
        <f t="shared" si="605"/>
        <v>0.1652545076821117</v>
      </c>
      <c r="AE715" s="9">
        <f t="shared" si="627"/>
        <v>6.9460838223348587</v>
      </c>
      <c r="AF715">
        <f t="shared" si="628"/>
        <v>0</v>
      </c>
      <c r="AH715">
        <f t="shared" si="606"/>
        <v>7.8539816339744828</v>
      </c>
      <c r="AI715">
        <f t="shared" si="607"/>
        <v>-0.63309576644395149</v>
      </c>
      <c r="AJ715">
        <f t="shared" si="608"/>
        <v>-0.44005655287778467</v>
      </c>
      <c r="AK715">
        <f t="shared" si="609"/>
        <v>0.1652545076821117</v>
      </c>
      <c r="AL715" s="9">
        <f t="shared" si="629"/>
        <v>6.9460838223348578</v>
      </c>
      <c r="AM715" t="e">
        <f t="shared" si="610"/>
        <v>#N/A</v>
      </c>
      <c r="AN715" t="e">
        <f t="shared" si="630"/>
        <v>#N/A</v>
      </c>
      <c r="AO715">
        <f t="shared" si="611"/>
        <v>0</v>
      </c>
      <c r="AP715">
        <f t="shared" si="612"/>
        <v>0</v>
      </c>
      <c r="AQ715">
        <f t="shared" si="613"/>
        <v>-8.8817841970012523E-16</v>
      </c>
      <c r="AR715">
        <f t="shared" si="631"/>
        <v>0</v>
      </c>
      <c r="AS715">
        <f t="shared" si="614"/>
        <v>0</v>
      </c>
      <c r="AT715">
        <f t="shared" si="632"/>
        <v>0</v>
      </c>
      <c r="AU715">
        <f t="shared" si="633"/>
        <v>0</v>
      </c>
      <c r="AV715">
        <f t="shared" si="615"/>
        <v>1.011592834455913E-20</v>
      </c>
      <c r="AW715" t="b">
        <f t="shared" si="634"/>
        <v>1</v>
      </c>
      <c r="AX715">
        <f t="shared" si="616"/>
        <v>7.8539816339744828</v>
      </c>
      <c r="AY715">
        <f t="shared" si="617"/>
        <v>-0.6330957664439516</v>
      </c>
      <c r="AZ715">
        <f t="shared" si="618"/>
        <v>-0.44005655287778378</v>
      </c>
      <c r="BA715">
        <f t="shared" si="619"/>
        <v>0.16525450768211183</v>
      </c>
      <c r="BB715">
        <f t="shared" si="620"/>
        <v>-1.2337005501361696E-20</v>
      </c>
      <c r="BD715" s="15">
        <f t="shared" si="635"/>
        <v>6.9460838223348587</v>
      </c>
      <c r="BE715" s="10">
        <f t="shared" si="636"/>
        <v>0</v>
      </c>
      <c r="BF715">
        <f t="shared" si="637"/>
        <v>0</v>
      </c>
      <c r="BG715">
        <f t="shared" si="638"/>
        <v>0</v>
      </c>
      <c r="BH715">
        <f t="shared" si="639"/>
        <v>0</v>
      </c>
      <c r="BI715">
        <f t="shared" si="640"/>
        <v>0</v>
      </c>
    </row>
    <row r="716" spans="1:61" x14ac:dyDescent="0.3">
      <c r="A716">
        <f t="shared" si="645"/>
        <v>0.67900000000000005</v>
      </c>
      <c r="B716">
        <f t="shared" si="588"/>
        <v>2.1331414117874696</v>
      </c>
      <c r="C716">
        <f t="shared" si="589"/>
        <v>1.0084512418023235</v>
      </c>
      <c r="D716">
        <f t="shared" si="590"/>
        <v>1.0084512418023235</v>
      </c>
      <c r="E716">
        <f t="shared" si="595"/>
        <v>0.84600710566784221</v>
      </c>
      <c r="F716">
        <f t="shared" si="596"/>
        <v>0.8460071056678421</v>
      </c>
      <c r="G716">
        <f t="shared" si="591"/>
        <v>2.1331414117874696</v>
      </c>
      <c r="H716">
        <f t="shared" si="592"/>
        <v>0.84600710566784221</v>
      </c>
      <c r="I716">
        <f t="shared" si="593"/>
        <v>0.8460071056678421</v>
      </c>
      <c r="J716">
        <f t="shared" si="641"/>
        <v>7.5249932075337662E+19</v>
      </c>
      <c r="K716">
        <f t="shared" si="642"/>
        <v>7.5249932075337662E+19</v>
      </c>
      <c r="L716">
        <f t="shared" si="597"/>
        <v>1</v>
      </c>
      <c r="M716">
        <f t="shared" si="594"/>
        <v>1.0084512418023235E-20</v>
      </c>
      <c r="N716" s="9">
        <f t="shared" si="643"/>
        <v>1.0084512418023235E-20</v>
      </c>
      <c r="O716">
        <f t="shared" si="644"/>
        <v>1.0084512418023235E-20</v>
      </c>
      <c r="Q716">
        <f t="shared" si="598"/>
        <v>45.76734667486808</v>
      </c>
      <c r="R716">
        <f t="shared" si="599"/>
        <v>0</v>
      </c>
      <c r="S716">
        <f t="shared" si="621"/>
        <v>-46.043286129883633</v>
      </c>
      <c r="T716" s="9" t="e">
        <f t="shared" si="600"/>
        <v>#N/A</v>
      </c>
      <c r="U716">
        <f t="shared" si="622"/>
        <v>-1.0000000000000001E+300</v>
      </c>
      <c r="V716">
        <f t="shared" si="623"/>
        <v>0</v>
      </c>
      <c r="W716">
        <f t="shared" si="624"/>
        <v>0</v>
      </c>
      <c r="X716">
        <f t="shared" si="601"/>
        <v>1.0084512418023235</v>
      </c>
      <c r="Y716">
        <f t="shared" si="602"/>
        <v>7.8539816339744828</v>
      </c>
      <c r="Z716">
        <f t="shared" si="603"/>
        <v>-1.0084512418023235</v>
      </c>
      <c r="AA716">
        <f t="shared" si="625"/>
        <v>-0.63554736056469663</v>
      </c>
      <c r="AB716">
        <f t="shared" si="604"/>
        <v>7.2184342734097857</v>
      </c>
      <c r="AC716">
        <f t="shared" si="626"/>
        <v>-0.44316697529217602</v>
      </c>
      <c r="AD716">
        <f t="shared" si="605"/>
        <v>0.16722752027662105</v>
      </c>
      <c r="AE716" s="9">
        <f t="shared" si="627"/>
        <v>6.9424948183942314</v>
      </c>
      <c r="AF716">
        <f t="shared" si="628"/>
        <v>0</v>
      </c>
      <c r="AH716">
        <f t="shared" si="606"/>
        <v>7.8539816339744828</v>
      </c>
      <c r="AI716">
        <f t="shared" si="607"/>
        <v>-0.63554736056469663</v>
      </c>
      <c r="AJ716">
        <f t="shared" si="608"/>
        <v>-0.44316697529217208</v>
      </c>
      <c r="AK716">
        <f t="shared" si="609"/>
        <v>0.16722752027662105</v>
      </c>
      <c r="AL716" s="9">
        <f t="shared" si="629"/>
        <v>6.942494818394235</v>
      </c>
      <c r="AM716" t="e">
        <f t="shared" si="610"/>
        <v>#N/A</v>
      </c>
      <c r="AN716" t="e">
        <f t="shared" si="630"/>
        <v>#N/A</v>
      </c>
      <c r="AO716">
        <f t="shared" si="611"/>
        <v>0</v>
      </c>
      <c r="AP716">
        <f t="shared" si="612"/>
        <v>0</v>
      </c>
      <c r="AQ716">
        <f t="shared" si="613"/>
        <v>3.9412917374193057E-15</v>
      </c>
      <c r="AR716">
        <f t="shared" si="631"/>
        <v>0</v>
      </c>
      <c r="AS716">
        <f t="shared" si="614"/>
        <v>0</v>
      </c>
      <c r="AT716">
        <f t="shared" si="632"/>
        <v>0</v>
      </c>
      <c r="AU716">
        <f t="shared" si="633"/>
        <v>0</v>
      </c>
      <c r="AV716">
        <f t="shared" si="615"/>
        <v>1.0084512418023235E-20</v>
      </c>
      <c r="AW716" t="b">
        <f t="shared" si="634"/>
        <v>1</v>
      </c>
      <c r="AX716">
        <f t="shared" si="616"/>
        <v>7.8539816339744828</v>
      </c>
      <c r="AY716">
        <f t="shared" si="617"/>
        <v>-0.63554736056469652</v>
      </c>
      <c r="AZ716">
        <f t="shared" si="618"/>
        <v>-0.44316697529217586</v>
      </c>
      <c r="BA716">
        <f t="shared" si="619"/>
        <v>0.16722752027662119</v>
      </c>
      <c r="BB716">
        <f t="shared" si="620"/>
        <v>-1.2337005501361696E-20</v>
      </c>
      <c r="BD716" s="15">
        <f t="shared" si="635"/>
        <v>6.9424948183942323</v>
      </c>
      <c r="BE716" s="10">
        <f t="shared" si="636"/>
        <v>0</v>
      </c>
      <c r="BF716">
        <f t="shared" si="637"/>
        <v>0</v>
      </c>
      <c r="BG716">
        <f t="shared" si="638"/>
        <v>0</v>
      </c>
      <c r="BH716">
        <f t="shared" si="639"/>
        <v>0</v>
      </c>
      <c r="BI716">
        <f t="shared" si="640"/>
        <v>0</v>
      </c>
    </row>
    <row r="717" spans="1:61" x14ac:dyDescent="0.3">
      <c r="A717">
        <f t="shared" si="645"/>
        <v>0.68</v>
      </c>
      <c r="B717">
        <f t="shared" si="588"/>
        <v>2.1362830044410597</v>
      </c>
      <c r="C717">
        <f t="shared" si="589"/>
        <v>1.0053096491487334</v>
      </c>
      <c r="D717">
        <f t="shared" si="590"/>
        <v>1.0053096491487334</v>
      </c>
      <c r="E717">
        <f t="shared" si="595"/>
        <v>0.84432792550201496</v>
      </c>
      <c r="F717">
        <f t="shared" si="596"/>
        <v>0.84432792550201485</v>
      </c>
      <c r="G717">
        <f t="shared" si="591"/>
        <v>2.1362830044410597</v>
      </c>
      <c r="H717">
        <f t="shared" si="592"/>
        <v>0.84432792550201496</v>
      </c>
      <c r="I717">
        <f t="shared" si="593"/>
        <v>0.84432792550201485</v>
      </c>
      <c r="J717">
        <f t="shared" si="641"/>
        <v>7.5399587427961029E+19</v>
      </c>
      <c r="K717">
        <f t="shared" si="642"/>
        <v>7.5399587427961029E+19</v>
      </c>
      <c r="L717">
        <f t="shared" si="597"/>
        <v>1</v>
      </c>
      <c r="M717">
        <f t="shared" si="594"/>
        <v>1.0053096491487335E-20</v>
      </c>
      <c r="N717" s="9">
        <f t="shared" si="643"/>
        <v>1.0053096491487335E-20</v>
      </c>
      <c r="O717">
        <f t="shared" si="644"/>
        <v>1.0053096491487335E-20</v>
      </c>
      <c r="Q717">
        <f t="shared" si="598"/>
        <v>45.76933347711406</v>
      </c>
      <c r="R717">
        <f t="shared" si="599"/>
        <v>0</v>
      </c>
      <c r="S717">
        <f t="shared" si="621"/>
        <v>-46.046406257219878</v>
      </c>
      <c r="T717" s="9" t="e">
        <f t="shared" si="600"/>
        <v>#N/A</v>
      </c>
      <c r="U717">
        <f t="shared" si="622"/>
        <v>-1.0000000000000001E+300</v>
      </c>
      <c r="V717">
        <f t="shared" si="623"/>
        <v>0</v>
      </c>
      <c r="W717">
        <f t="shared" si="624"/>
        <v>0</v>
      </c>
      <c r="X717">
        <f t="shared" si="601"/>
        <v>1.0053096491487334</v>
      </c>
      <c r="Y717">
        <f t="shared" si="602"/>
        <v>7.8539816339744828</v>
      </c>
      <c r="Z717">
        <f t="shared" si="603"/>
        <v>-1.0053096491487334</v>
      </c>
      <c r="AA717">
        <f t="shared" si="625"/>
        <v>-0.63798890335712366</v>
      </c>
      <c r="AB717">
        <f t="shared" si="604"/>
        <v>7.2159927306173595</v>
      </c>
      <c r="AC717">
        <f t="shared" si="626"/>
        <v>-0.44628710262841986</v>
      </c>
      <c r="AD717">
        <f t="shared" si="605"/>
        <v>0.16921432252259833</v>
      </c>
      <c r="AE717" s="9">
        <f t="shared" si="627"/>
        <v>6.9389199505115373</v>
      </c>
      <c r="AF717">
        <f t="shared" si="628"/>
        <v>0</v>
      </c>
      <c r="AH717">
        <f t="shared" si="606"/>
        <v>7.8539816339744828</v>
      </c>
      <c r="AI717">
        <f t="shared" si="607"/>
        <v>-0.63798890335712377</v>
      </c>
      <c r="AJ717">
        <f t="shared" si="608"/>
        <v>-0.44628710262841764</v>
      </c>
      <c r="AK717">
        <f t="shared" si="609"/>
        <v>0.16921432252259833</v>
      </c>
      <c r="AL717" s="9">
        <f t="shared" si="629"/>
        <v>6.9389199505115391</v>
      </c>
      <c r="AM717" t="e">
        <f t="shared" si="610"/>
        <v>#N/A</v>
      </c>
      <c r="AN717" t="e">
        <f t="shared" si="630"/>
        <v>#N/A</v>
      </c>
      <c r="AO717">
        <f t="shared" si="611"/>
        <v>0</v>
      </c>
      <c r="AP717">
        <f t="shared" si="612"/>
        <v>0</v>
      </c>
      <c r="AQ717">
        <f t="shared" si="613"/>
        <v>2.2204460492503131E-15</v>
      </c>
      <c r="AR717">
        <f t="shared" si="631"/>
        <v>0</v>
      </c>
      <c r="AS717">
        <f t="shared" si="614"/>
        <v>0</v>
      </c>
      <c r="AT717">
        <f t="shared" si="632"/>
        <v>0</v>
      </c>
      <c r="AU717">
        <f t="shared" si="633"/>
        <v>0</v>
      </c>
      <c r="AV717">
        <f t="shared" si="615"/>
        <v>1.0053096491487334E-20</v>
      </c>
      <c r="AW717" t="b">
        <f t="shared" si="634"/>
        <v>1</v>
      </c>
      <c r="AX717">
        <f t="shared" si="616"/>
        <v>7.8539816339744828</v>
      </c>
      <c r="AY717">
        <f t="shared" si="617"/>
        <v>-0.63798890335712377</v>
      </c>
      <c r="AZ717">
        <f t="shared" si="618"/>
        <v>-0.44628710262841986</v>
      </c>
      <c r="BA717">
        <f t="shared" si="619"/>
        <v>0.16921432252259846</v>
      </c>
      <c r="BB717">
        <f t="shared" si="620"/>
        <v>-1.2337005501361696E-20</v>
      </c>
      <c r="BD717" s="15">
        <f t="shared" si="635"/>
        <v>6.9389199505115373</v>
      </c>
      <c r="BE717" s="10">
        <f t="shared" si="636"/>
        <v>0</v>
      </c>
      <c r="BF717">
        <f t="shared" si="637"/>
        <v>0</v>
      </c>
      <c r="BG717">
        <f t="shared" si="638"/>
        <v>0</v>
      </c>
      <c r="BH717">
        <f t="shared" si="639"/>
        <v>0</v>
      </c>
      <c r="BI717">
        <f t="shared" si="640"/>
        <v>0</v>
      </c>
    </row>
    <row r="718" spans="1:61" x14ac:dyDescent="0.3">
      <c r="A718">
        <f t="shared" si="645"/>
        <v>0.68100000000000005</v>
      </c>
      <c r="B718">
        <f t="shared" si="588"/>
        <v>2.1394245970946493</v>
      </c>
      <c r="C718">
        <f t="shared" si="589"/>
        <v>1.0021680564951438</v>
      </c>
      <c r="D718">
        <f t="shared" si="590"/>
        <v>1.0021680564951438</v>
      </c>
      <c r="E718">
        <f t="shared" si="595"/>
        <v>0.84264041216043217</v>
      </c>
      <c r="F718">
        <f t="shared" si="596"/>
        <v>0.84264041216043217</v>
      </c>
      <c r="G718">
        <f t="shared" si="591"/>
        <v>2.1394245970946493</v>
      </c>
      <c r="H718">
        <f t="shared" si="592"/>
        <v>0.84264041216043217</v>
      </c>
      <c r="I718">
        <f t="shared" si="593"/>
        <v>0.84264041216043217</v>
      </c>
      <c r="J718">
        <f t="shared" si="641"/>
        <v>7.5550586368788349E+19</v>
      </c>
      <c r="K718">
        <f t="shared" si="642"/>
        <v>7.5550586368788349E+19</v>
      </c>
      <c r="L718">
        <f t="shared" si="597"/>
        <v>1</v>
      </c>
      <c r="M718">
        <f t="shared" si="594"/>
        <v>1.0021680564951438E-20</v>
      </c>
      <c r="N718" s="9">
        <f t="shared" si="643"/>
        <v>1.0021680564951438E-20</v>
      </c>
      <c r="O718">
        <f t="shared" si="644"/>
        <v>1.0021680564951438E-20</v>
      </c>
      <c r="Q718">
        <f t="shared" si="598"/>
        <v>45.771334123915516</v>
      </c>
      <c r="R718">
        <f t="shared" si="599"/>
        <v>0</v>
      </c>
      <c r="S718">
        <f t="shared" si="621"/>
        <v>-46.049536150228803</v>
      </c>
      <c r="T718" s="9" t="e">
        <f t="shared" si="600"/>
        <v>#N/A</v>
      </c>
      <c r="U718">
        <f t="shared" si="622"/>
        <v>-1.0000000000000001E+300</v>
      </c>
      <c r="V718">
        <f t="shared" si="623"/>
        <v>0</v>
      </c>
      <c r="W718">
        <f t="shared" si="624"/>
        <v>0</v>
      </c>
      <c r="X718">
        <f t="shared" si="601"/>
        <v>1.0021680564951438</v>
      </c>
      <c r="Y718">
        <f t="shared" si="602"/>
        <v>7.8539816339744828</v>
      </c>
      <c r="Z718">
        <f t="shared" si="603"/>
        <v>-1.0021680564951438</v>
      </c>
      <c r="AA718">
        <f t="shared" si="625"/>
        <v>-0.64042042240583408</v>
      </c>
      <c r="AB718">
        <f t="shared" si="604"/>
        <v>7.2135612115686492</v>
      </c>
      <c r="AC718">
        <f t="shared" si="626"/>
        <v>-0.44941699563734733</v>
      </c>
      <c r="AD718">
        <f t="shared" si="605"/>
        <v>0.17121496932405447</v>
      </c>
      <c r="AE718" s="9">
        <f t="shared" si="627"/>
        <v>6.9353591852553569</v>
      </c>
      <c r="AF718">
        <f t="shared" si="628"/>
        <v>0</v>
      </c>
      <c r="AH718">
        <f t="shared" si="606"/>
        <v>7.8539816339744828</v>
      </c>
      <c r="AI718">
        <f t="shared" si="607"/>
        <v>-0.64042042240583408</v>
      </c>
      <c r="AJ718">
        <f t="shared" si="608"/>
        <v>-0.44941699563734261</v>
      </c>
      <c r="AK718">
        <f t="shared" si="609"/>
        <v>0.17121496932405447</v>
      </c>
      <c r="AL718" s="9">
        <f t="shared" si="629"/>
        <v>6.9353591852553613</v>
      </c>
      <c r="AM718" t="e">
        <f t="shared" si="610"/>
        <v>#N/A</v>
      </c>
      <c r="AN718" t="e">
        <f t="shared" si="630"/>
        <v>#N/A</v>
      </c>
      <c r="AO718">
        <f t="shared" si="611"/>
        <v>0</v>
      </c>
      <c r="AP718">
        <f t="shared" si="612"/>
        <v>0</v>
      </c>
      <c r="AQ718">
        <f t="shared" si="613"/>
        <v>4.7184478546569153E-15</v>
      </c>
      <c r="AR718">
        <f t="shared" si="631"/>
        <v>0</v>
      </c>
      <c r="AS718">
        <f t="shared" si="614"/>
        <v>0</v>
      </c>
      <c r="AT718">
        <f t="shared" si="632"/>
        <v>0</v>
      </c>
      <c r="AU718">
        <f t="shared" si="633"/>
        <v>0</v>
      </c>
      <c r="AV718">
        <f t="shared" si="615"/>
        <v>1.0021680564951438E-20</v>
      </c>
      <c r="AW718" t="b">
        <f t="shared" si="634"/>
        <v>1</v>
      </c>
      <c r="AX718">
        <f t="shared" si="616"/>
        <v>7.8539816339744828</v>
      </c>
      <c r="AY718">
        <f t="shared" si="617"/>
        <v>-0.64042042240583419</v>
      </c>
      <c r="AZ718">
        <f t="shared" si="618"/>
        <v>-0.44941699563734716</v>
      </c>
      <c r="BA718">
        <f t="shared" si="619"/>
        <v>0.17121496932405447</v>
      </c>
      <c r="BB718">
        <f t="shared" si="620"/>
        <v>-1.2337005501361696E-20</v>
      </c>
      <c r="BD718" s="15">
        <f t="shared" si="635"/>
        <v>6.935359185255356</v>
      </c>
      <c r="BE718" s="10">
        <f t="shared" si="636"/>
        <v>0</v>
      </c>
      <c r="BF718">
        <f t="shared" si="637"/>
        <v>0</v>
      </c>
      <c r="BG718">
        <f t="shared" si="638"/>
        <v>0</v>
      </c>
      <c r="BH718">
        <f t="shared" si="639"/>
        <v>0</v>
      </c>
      <c r="BI718">
        <f t="shared" si="640"/>
        <v>0</v>
      </c>
    </row>
    <row r="719" spans="1:61" x14ac:dyDescent="0.3">
      <c r="A719">
        <f t="shared" si="645"/>
        <v>0.68200000000000005</v>
      </c>
      <c r="B719">
        <f t="shared" si="588"/>
        <v>2.1425661897482389</v>
      </c>
      <c r="C719">
        <f t="shared" si="589"/>
        <v>0.99902646384155425</v>
      </c>
      <c r="D719">
        <f t="shared" si="590"/>
        <v>0.99902646384155425</v>
      </c>
      <c r="E719">
        <f t="shared" si="595"/>
        <v>0.84094458229816915</v>
      </c>
      <c r="F719">
        <f t="shared" si="596"/>
        <v>0.84094458229816904</v>
      </c>
      <c r="G719">
        <f t="shared" si="591"/>
        <v>2.1425661897482389</v>
      </c>
      <c r="H719">
        <f t="shared" si="592"/>
        <v>0.84094458229816915</v>
      </c>
      <c r="I719">
        <f t="shared" si="593"/>
        <v>0.84094458229816904</v>
      </c>
      <c r="J719">
        <f t="shared" si="641"/>
        <v>7.570293997587805E+19</v>
      </c>
      <c r="K719">
        <f t="shared" si="642"/>
        <v>7.570293997587805E+19</v>
      </c>
      <c r="L719">
        <f t="shared" si="597"/>
        <v>1</v>
      </c>
      <c r="M719">
        <f t="shared" si="594"/>
        <v>9.9902646384155419E-21</v>
      </c>
      <c r="N719" s="9">
        <f t="shared" si="643"/>
        <v>9.9902646384155419E-21</v>
      </c>
      <c r="O719">
        <f t="shared" si="644"/>
        <v>9.9902646384155419E-21</v>
      </c>
      <c r="Q719">
        <f t="shared" si="598"/>
        <v>45.773348670779939</v>
      </c>
      <c r="R719">
        <f t="shared" si="599"/>
        <v>-710542.73576010019</v>
      </c>
      <c r="S719">
        <f t="shared" si="621"/>
        <v>-46.052675870233472</v>
      </c>
      <c r="T719" s="9" t="e">
        <f t="shared" si="600"/>
        <v>#N/A</v>
      </c>
      <c r="U719">
        <f t="shared" si="622"/>
        <v>-1.0000000000000001E+300</v>
      </c>
      <c r="V719">
        <f t="shared" si="623"/>
        <v>0</v>
      </c>
      <c r="W719">
        <f t="shared" si="624"/>
        <v>0</v>
      </c>
      <c r="X719">
        <f t="shared" si="601"/>
        <v>0.99902646384155425</v>
      </c>
      <c r="Y719">
        <f t="shared" si="602"/>
        <v>7.8539816339744828</v>
      </c>
      <c r="Z719">
        <f t="shared" si="603"/>
        <v>-0.99902646384155425</v>
      </c>
      <c r="AA719">
        <f t="shared" si="625"/>
        <v>-0.64284194511898429</v>
      </c>
      <c r="AB719">
        <f t="shared" si="604"/>
        <v>7.2111396888554982</v>
      </c>
      <c r="AC719">
        <f t="shared" si="626"/>
        <v>-0.45255671564201488</v>
      </c>
      <c r="AD719">
        <f t="shared" si="605"/>
        <v>0.17322951618848273</v>
      </c>
      <c r="AE719" s="9">
        <f t="shared" si="627"/>
        <v>6.9318124894019668</v>
      </c>
      <c r="AF719">
        <f t="shared" si="628"/>
        <v>0</v>
      </c>
      <c r="AH719">
        <f t="shared" si="606"/>
        <v>7.8539816339744828</v>
      </c>
      <c r="AI719">
        <f t="shared" si="607"/>
        <v>-0.64284194511898396</v>
      </c>
      <c r="AJ719">
        <f t="shared" si="608"/>
        <v>-0.45255671564201094</v>
      </c>
      <c r="AK719">
        <f t="shared" si="609"/>
        <v>0.17322951618848273</v>
      </c>
      <c r="AL719" s="9">
        <f t="shared" si="629"/>
        <v>6.9318124894019713</v>
      </c>
      <c r="AM719" t="e">
        <f t="shared" si="610"/>
        <v>#N/A</v>
      </c>
      <c r="AN719" t="e">
        <f t="shared" si="630"/>
        <v>#N/A</v>
      </c>
      <c r="AO719">
        <f t="shared" si="611"/>
        <v>0</v>
      </c>
      <c r="AP719">
        <f t="shared" si="612"/>
        <v>0</v>
      </c>
      <c r="AQ719">
        <f t="shared" si="613"/>
        <v>3.9412917374193057E-15</v>
      </c>
      <c r="AR719">
        <f t="shared" si="631"/>
        <v>0</v>
      </c>
      <c r="AS719">
        <f t="shared" si="614"/>
        <v>0</v>
      </c>
      <c r="AT719">
        <f t="shared" si="632"/>
        <v>0</v>
      </c>
      <c r="AU719">
        <f t="shared" si="633"/>
        <v>0</v>
      </c>
      <c r="AV719">
        <f t="shared" si="615"/>
        <v>9.9902646384155419E-21</v>
      </c>
      <c r="AW719" t="b">
        <f t="shared" si="634"/>
        <v>1</v>
      </c>
      <c r="AX719">
        <f t="shared" si="616"/>
        <v>7.8539816339744828</v>
      </c>
      <c r="AY719">
        <f t="shared" si="617"/>
        <v>-0.6428419451189844</v>
      </c>
      <c r="AZ719">
        <f t="shared" si="618"/>
        <v>-0.45255671564201488</v>
      </c>
      <c r="BA719">
        <f t="shared" si="619"/>
        <v>0.17322951618848284</v>
      </c>
      <c r="BB719">
        <f t="shared" si="620"/>
        <v>-1.2337005501361696E-20</v>
      </c>
      <c r="BD719" s="15">
        <f t="shared" si="635"/>
        <v>6.9318124894019668</v>
      </c>
      <c r="BE719" s="10">
        <f t="shared" si="636"/>
        <v>0</v>
      </c>
      <c r="BF719">
        <f t="shared" si="637"/>
        <v>0</v>
      </c>
      <c r="BG719">
        <f t="shared" si="638"/>
        <v>0</v>
      </c>
      <c r="BH719">
        <f t="shared" si="639"/>
        <v>0</v>
      </c>
      <c r="BI719">
        <f t="shared" si="640"/>
        <v>0</v>
      </c>
    </row>
    <row r="720" spans="1:61" x14ac:dyDescent="0.3">
      <c r="A720">
        <f t="shared" si="645"/>
        <v>0.68300000000000005</v>
      </c>
      <c r="B720">
        <f t="shared" si="588"/>
        <v>2.1457077824018289</v>
      </c>
      <c r="C720">
        <f t="shared" si="589"/>
        <v>0.9958848711879642</v>
      </c>
      <c r="D720">
        <f t="shared" si="590"/>
        <v>0.9958848711879642</v>
      </c>
      <c r="E720">
        <f t="shared" si="595"/>
        <v>0.83924045265238167</v>
      </c>
      <c r="F720">
        <f t="shared" si="596"/>
        <v>0.83924045265238156</v>
      </c>
      <c r="G720">
        <f t="shared" si="591"/>
        <v>2.1457077824018289</v>
      </c>
      <c r="H720">
        <f t="shared" si="592"/>
        <v>0.83924045265238167</v>
      </c>
      <c r="I720">
        <f t="shared" si="593"/>
        <v>0.83924045265238156</v>
      </c>
      <c r="J720">
        <f t="shared" si="641"/>
        <v>7.5856659477694775E+19</v>
      </c>
      <c r="K720">
        <f t="shared" si="642"/>
        <v>7.5856659477694775E+19</v>
      </c>
      <c r="L720">
        <f t="shared" si="597"/>
        <v>1</v>
      </c>
      <c r="M720">
        <f t="shared" si="594"/>
        <v>9.9588487118796423E-21</v>
      </c>
      <c r="N720" s="9">
        <f t="shared" si="643"/>
        <v>9.9588487118796423E-21</v>
      </c>
      <c r="O720">
        <f t="shared" si="644"/>
        <v>9.9588487118796423E-21</v>
      </c>
      <c r="Q720">
        <f t="shared" si="598"/>
        <v>45.775377173825369</v>
      </c>
      <c r="R720">
        <f t="shared" si="599"/>
        <v>0</v>
      </c>
      <c r="S720">
        <f t="shared" si="621"/>
        <v>-46.055825479136374</v>
      </c>
      <c r="T720" s="9" t="e">
        <f t="shared" si="600"/>
        <v>#N/A</v>
      </c>
      <c r="U720">
        <f t="shared" si="622"/>
        <v>-1.0000000000000001E+300</v>
      </c>
      <c r="V720">
        <f t="shared" si="623"/>
        <v>0</v>
      </c>
      <c r="W720">
        <f t="shared" si="624"/>
        <v>0</v>
      </c>
      <c r="X720">
        <f t="shared" si="601"/>
        <v>0.9958848711879642</v>
      </c>
      <c r="Y720">
        <f t="shared" si="602"/>
        <v>7.8539816339744828</v>
      </c>
      <c r="Z720">
        <f t="shared" si="603"/>
        <v>-0.9958848711879642</v>
      </c>
      <c r="AA720">
        <f t="shared" si="625"/>
        <v>-0.64525349872948168</v>
      </c>
      <c r="AB720">
        <f t="shared" si="604"/>
        <v>7.2087281352450008</v>
      </c>
      <c r="AC720">
        <f t="shared" si="626"/>
        <v>-0.45570632454491128</v>
      </c>
      <c r="AD720">
        <f t="shared" si="605"/>
        <v>0.1752580192339073</v>
      </c>
      <c r="AE720" s="9">
        <f t="shared" si="627"/>
        <v>6.9282798299339969</v>
      </c>
      <c r="AF720">
        <f t="shared" si="628"/>
        <v>0</v>
      </c>
      <c r="AH720">
        <f t="shared" si="606"/>
        <v>7.8539816339744828</v>
      </c>
      <c r="AI720">
        <f t="shared" si="607"/>
        <v>-0.64525349872948157</v>
      </c>
      <c r="AJ720">
        <f t="shared" si="608"/>
        <v>-0.45570632454491289</v>
      </c>
      <c r="AK720">
        <f t="shared" si="609"/>
        <v>0.1752580192339073</v>
      </c>
      <c r="AL720" s="9">
        <f t="shared" si="629"/>
        <v>6.928279829933996</v>
      </c>
      <c r="AM720" t="e">
        <f t="shared" si="610"/>
        <v>#N/A</v>
      </c>
      <c r="AN720" t="e">
        <f t="shared" si="630"/>
        <v>#N/A</v>
      </c>
      <c r="AO720">
        <f t="shared" si="611"/>
        <v>0</v>
      </c>
      <c r="AP720">
        <f t="shared" si="612"/>
        <v>0</v>
      </c>
      <c r="AQ720">
        <f t="shared" si="613"/>
        <v>-1.609823385706477E-15</v>
      </c>
      <c r="AR720">
        <f t="shared" si="631"/>
        <v>0</v>
      </c>
      <c r="AS720">
        <f t="shared" si="614"/>
        <v>0</v>
      </c>
      <c r="AT720">
        <f t="shared" si="632"/>
        <v>0</v>
      </c>
      <c r="AU720">
        <f t="shared" si="633"/>
        <v>0</v>
      </c>
      <c r="AV720">
        <f t="shared" si="615"/>
        <v>9.9588487118796408E-21</v>
      </c>
      <c r="AW720" t="b">
        <f t="shared" si="634"/>
        <v>1</v>
      </c>
      <c r="AX720">
        <f t="shared" si="616"/>
        <v>7.8539816339744828</v>
      </c>
      <c r="AY720">
        <f t="shared" si="617"/>
        <v>-0.64525349872948168</v>
      </c>
      <c r="AZ720">
        <f t="shared" si="618"/>
        <v>-0.45570632454491128</v>
      </c>
      <c r="BA720">
        <f t="shared" si="619"/>
        <v>0.17525801923390741</v>
      </c>
      <c r="BB720">
        <f t="shared" si="620"/>
        <v>-1.2337005501361696E-20</v>
      </c>
      <c r="BD720" s="15">
        <f t="shared" si="635"/>
        <v>6.9282798299339969</v>
      </c>
      <c r="BE720" s="10">
        <f t="shared" si="636"/>
        <v>0</v>
      </c>
      <c r="BF720">
        <f t="shared" si="637"/>
        <v>0</v>
      </c>
      <c r="BG720">
        <f t="shared" si="638"/>
        <v>0</v>
      </c>
      <c r="BH720">
        <f t="shared" si="639"/>
        <v>0</v>
      </c>
      <c r="BI720">
        <f t="shared" si="640"/>
        <v>0</v>
      </c>
    </row>
    <row r="721" spans="1:61" x14ac:dyDescent="0.3">
      <c r="A721">
        <f t="shared" si="645"/>
        <v>0.68400000000000005</v>
      </c>
      <c r="B721">
        <f t="shared" si="588"/>
        <v>2.1488493750554185</v>
      </c>
      <c r="C721">
        <f t="shared" si="589"/>
        <v>0.99274327853437461</v>
      </c>
      <c r="D721">
        <f t="shared" si="590"/>
        <v>0.99274327853437461</v>
      </c>
      <c r="E721">
        <f t="shared" si="595"/>
        <v>0.83752804004214176</v>
      </c>
      <c r="F721">
        <f t="shared" si="596"/>
        <v>0.83752804004214165</v>
      </c>
      <c r="G721">
        <f t="shared" si="591"/>
        <v>2.1488493750554185</v>
      </c>
      <c r="H721">
        <f t="shared" si="592"/>
        <v>0.83752804004214176</v>
      </c>
      <c r="I721">
        <f t="shared" si="593"/>
        <v>0.83752804004214165</v>
      </c>
      <c r="J721">
        <f t="shared" si="641"/>
        <v>7.6011756255414288E+19</v>
      </c>
      <c r="K721">
        <f t="shared" si="642"/>
        <v>7.6011756255414288E+19</v>
      </c>
      <c r="L721">
        <f t="shared" si="597"/>
        <v>1</v>
      </c>
      <c r="M721">
        <f t="shared" si="594"/>
        <v>9.9274327853437457E-21</v>
      </c>
      <c r="N721" s="9">
        <f t="shared" si="643"/>
        <v>9.9274327853437457E-21</v>
      </c>
      <c r="O721">
        <f t="shared" si="644"/>
        <v>9.9274327853437457E-21</v>
      </c>
      <c r="Q721">
        <f t="shared" si="598"/>
        <v>45.777419689787507</v>
      </c>
      <c r="R721">
        <f t="shared" si="599"/>
        <v>0</v>
      </c>
      <c r="S721">
        <f t="shared" si="621"/>
        <v>-46.058985039426737</v>
      </c>
      <c r="T721" s="9" t="e">
        <f t="shared" si="600"/>
        <v>#N/A</v>
      </c>
      <c r="U721">
        <f t="shared" si="622"/>
        <v>-1.0000000000000001E+300</v>
      </c>
      <c r="V721">
        <f t="shared" si="623"/>
        <v>0</v>
      </c>
      <c r="W721">
        <f t="shared" si="624"/>
        <v>0</v>
      </c>
      <c r="X721">
        <f t="shared" si="601"/>
        <v>0.99274327853437461</v>
      </c>
      <c r="Y721">
        <f t="shared" si="602"/>
        <v>7.8539816339744828</v>
      </c>
      <c r="Z721">
        <f t="shared" si="603"/>
        <v>-0.99274327853437461</v>
      </c>
      <c r="AA721">
        <f t="shared" si="625"/>
        <v>-0.6476551102961674</v>
      </c>
      <c r="AB721">
        <f t="shared" si="604"/>
        <v>7.2063265236783156</v>
      </c>
      <c r="AC721">
        <f t="shared" si="626"/>
        <v>-0.45886588483527962</v>
      </c>
      <c r="AD721">
        <f t="shared" si="605"/>
        <v>0.17730053519604647</v>
      </c>
      <c r="AE721" s="9">
        <f t="shared" si="627"/>
        <v>6.924761174039082</v>
      </c>
      <c r="AF721">
        <f t="shared" si="628"/>
        <v>0</v>
      </c>
      <c r="AH721">
        <f t="shared" si="606"/>
        <v>7.8539816339744828</v>
      </c>
      <c r="AI721">
        <f t="shared" si="607"/>
        <v>-0.64765511029616707</v>
      </c>
      <c r="AJ721">
        <f t="shared" si="608"/>
        <v>-0.45886588483527646</v>
      </c>
      <c r="AK721">
        <f t="shared" si="609"/>
        <v>0.17730053519604647</v>
      </c>
      <c r="AL721" s="9">
        <f t="shared" si="629"/>
        <v>6.9247611740390855</v>
      </c>
      <c r="AM721" t="e">
        <f t="shared" si="610"/>
        <v>#N/A</v>
      </c>
      <c r="AN721" t="e">
        <f t="shared" si="630"/>
        <v>#N/A</v>
      </c>
      <c r="AO721">
        <f t="shared" si="611"/>
        <v>0</v>
      </c>
      <c r="AP721">
        <f t="shared" si="612"/>
        <v>0</v>
      </c>
      <c r="AQ721">
        <f t="shared" si="613"/>
        <v>3.1641356201816961E-15</v>
      </c>
      <c r="AR721">
        <f t="shared" si="631"/>
        <v>0</v>
      </c>
      <c r="AS721">
        <f t="shared" si="614"/>
        <v>0</v>
      </c>
      <c r="AT721">
        <f t="shared" si="632"/>
        <v>0</v>
      </c>
      <c r="AU721">
        <f t="shared" si="633"/>
        <v>0</v>
      </c>
      <c r="AV721">
        <f t="shared" si="615"/>
        <v>9.9274327853437457E-21</v>
      </c>
      <c r="AW721" t="b">
        <f t="shared" si="634"/>
        <v>1</v>
      </c>
      <c r="AX721">
        <f t="shared" si="616"/>
        <v>7.8539816339744828</v>
      </c>
      <c r="AY721">
        <f t="shared" si="617"/>
        <v>-0.6476551102961674</v>
      </c>
      <c r="AZ721">
        <f t="shared" si="618"/>
        <v>-0.45886588483527962</v>
      </c>
      <c r="BA721">
        <f t="shared" si="619"/>
        <v>0.1773005351960466</v>
      </c>
      <c r="BB721">
        <f t="shared" si="620"/>
        <v>-1.2337005501361696E-20</v>
      </c>
      <c r="BD721" s="15">
        <f t="shared" si="635"/>
        <v>6.924761174039082</v>
      </c>
      <c r="BE721" s="10">
        <f t="shared" si="636"/>
        <v>0</v>
      </c>
      <c r="BF721">
        <f t="shared" si="637"/>
        <v>0</v>
      </c>
      <c r="BG721">
        <f t="shared" si="638"/>
        <v>0</v>
      </c>
      <c r="BH721">
        <f t="shared" si="639"/>
        <v>0</v>
      </c>
      <c r="BI721">
        <f t="shared" si="640"/>
        <v>0</v>
      </c>
    </row>
    <row r="722" spans="1:61" x14ac:dyDescent="0.3">
      <c r="A722">
        <f t="shared" si="645"/>
        <v>0.68500000000000005</v>
      </c>
      <c r="B722">
        <f t="shared" si="588"/>
        <v>2.1519909677090086</v>
      </c>
      <c r="C722">
        <f t="shared" si="589"/>
        <v>0.98960168588078457</v>
      </c>
      <c r="D722">
        <f t="shared" si="590"/>
        <v>0.98960168588078457</v>
      </c>
      <c r="E722">
        <f t="shared" si="595"/>
        <v>0.83580736136827016</v>
      </c>
      <c r="F722">
        <f t="shared" si="596"/>
        <v>0.83580736136827005</v>
      </c>
      <c r="G722">
        <f t="shared" si="591"/>
        <v>2.1519909677090086</v>
      </c>
      <c r="H722">
        <f t="shared" si="592"/>
        <v>0.83580736136827016</v>
      </c>
      <c r="I722">
        <f t="shared" si="593"/>
        <v>0.83580736136827005</v>
      </c>
      <c r="J722">
        <f t="shared" si="641"/>
        <v>7.6168241845273313E+19</v>
      </c>
      <c r="K722">
        <f t="shared" si="642"/>
        <v>7.6168241845273313E+19</v>
      </c>
      <c r="L722" t="e">
        <f t="shared" si="597"/>
        <v>#NUM!</v>
      </c>
      <c r="M722">
        <f t="shared" si="594"/>
        <v>9.896016858807846E-21</v>
      </c>
      <c r="N722" s="9" t="e">
        <f t="shared" si="643"/>
        <v>#NUM!</v>
      </c>
      <c r="O722" t="e">
        <f t="shared" si="644"/>
        <v>#NUM!</v>
      </c>
      <c r="Q722">
        <f t="shared" si="598"/>
        <v>45.779476276027054</v>
      </c>
      <c r="R722">
        <f t="shared" si="599"/>
        <v>0</v>
      </c>
      <c r="S722">
        <f t="shared" si="621"/>
        <v>-46.062154614188017</v>
      </c>
      <c r="T722" s="9" t="e">
        <f t="shared" si="600"/>
        <v>#N/A</v>
      </c>
      <c r="U722">
        <f t="shared" si="622"/>
        <v>-1.0000000000000001E+300</v>
      </c>
      <c r="V722">
        <f t="shared" si="623"/>
        <v>0</v>
      </c>
      <c r="W722">
        <f t="shared" si="624"/>
        <v>0</v>
      </c>
      <c r="X722">
        <f t="shared" si="601"/>
        <v>0.98960168588078457</v>
      </c>
      <c r="Y722">
        <f t="shared" si="602"/>
        <v>7.8539816339744828</v>
      </c>
      <c r="Z722">
        <f t="shared" si="603"/>
        <v>-0.98960168588078457</v>
      </c>
      <c r="AA722">
        <f t="shared" si="625"/>
        <v>-0.65004680670499349</v>
      </c>
      <c r="AB722">
        <f t="shared" si="604"/>
        <v>7.2039348272694896</v>
      </c>
      <c r="AC722">
        <f t="shared" si="626"/>
        <v>-0.46203545959655901</v>
      </c>
      <c r="AD722">
        <f t="shared" si="605"/>
        <v>0.17935712143559596</v>
      </c>
      <c r="AE722" s="9">
        <f t="shared" si="627"/>
        <v>6.9212564891085266</v>
      </c>
      <c r="AF722">
        <f t="shared" si="628"/>
        <v>0</v>
      </c>
      <c r="AH722">
        <f t="shared" si="606"/>
        <v>7.8539816339744828</v>
      </c>
      <c r="AI722">
        <f t="shared" si="607"/>
        <v>-0.65004680670499326</v>
      </c>
      <c r="AJ722">
        <f t="shared" si="608"/>
        <v>-0.46203545959655656</v>
      </c>
      <c r="AK722">
        <f t="shared" si="609"/>
        <v>0.17935712143559596</v>
      </c>
      <c r="AL722" s="9">
        <f t="shared" si="629"/>
        <v>6.9212564891085293</v>
      </c>
      <c r="AM722" t="e">
        <f t="shared" si="610"/>
        <v>#N/A</v>
      </c>
      <c r="AN722" t="e">
        <f t="shared" si="630"/>
        <v>#N/A</v>
      </c>
      <c r="AO722">
        <f t="shared" si="611"/>
        <v>0</v>
      </c>
      <c r="AP722">
        <f t="shared" si="612"/>
        <v>0</v>
      </c>
      <c r="AQ722">
        <f t="shared" si="613"/>
        <v>2.4424906541753444E-15</v>
      </c>
      <c r="AR722">
        <f t="shared" si="631"/>
        <v>0</v>
      </c>
      <c r="AS722">
        <f t="shared" si="614"/>
        <v>0</v>
      </c>
      <c r="AT722">
        <f t="shared" si="632"/>
        <v>0</v>
      </c>
      <c r="AU722">
        <f t="shared" si="633"/>
        <v>0</v>
      </c>
      <c r="AV722">
        <f t="shared" si="615"/>
        <v>9.8960168588078445E-21</v>
      </c>
      <c r="AW722" t="b">
        <f t="shared" si="634"/>
        <v>1</v>
      </c>
      <c r="AX722">
        <f t="shared" si="616"/>
        <v>7.8539816339744828</v>
      </c>
      <c r="AY722">
        <f t="shared" si="617"/>
        <v>-0.6500468067049936</v>
      </c>
      <c r="AZ722">
        <f t="shared" si="618"/>
        <v>-0.46203545959655901</v>
      </c>
      <c r="BA722">
        <f t="shared" si="619"/>
        <v>0.17935712143559607</v>
      </c>
      <c r="BB722">
        <f t="shared" si="620"/>
        <v>-1.2337005501361696E-20</v>
      </c>
      <c r="BD722" s="15">
        <f t="shared" si="635"/>
        <v>6.9212564891085258</v>
      </c>
      <c r="BE722" s="10">
        <f t="shared" si="636"/>
        <v>0</v>
      </c>
      <c r="BF722">
        <f t="shared" si="637"/>
        <v>0</v>
      </c>
      <c r="BG722">
        <f t="shared" si="638"/>
        <v>0</v>
      </c>
      <c r="BH722">
        <f t="shared" si="639"/>
        <v>0</v>
      </c>
      <c r="BI722">
        <f t="shared" si="640"/>
        <v>0</v>
      </c>
    </row>
    <row r="723" spans="1:61" x14ac:dyDescent="0.3">
      <c r="A723">
        <f t="shared" si="645"/>
        <v>0.68600000000000005</v>
      </c>
      <c r="B723">
        <f t="shared" si="588"/>
        <v>2.1551325603625981</v>
      </c>
      <c r="C723">
        <f t="shared" si="589"/>
        <v>0.98646009322719497</v>
      </c>
      <c r="D723">
        <f t="shared" si="590"/>
        <v>0.98646009322719497</v>
      </c>
      <c r="E723">
        <f t="shared" si="595"/>
        <v>0.83407843361317124</v>
      </c>
      <c r="F723">
        <f t="shared" si="596"/>
        <v>0.83407843361317113</v>
      </c>
      <c r="G723">
        <f t="shared" si="591"/>
        <v>2.1551325603625981</v>
      </c>
      <c r="H723">
        <f t="shared" si="592"/>
        <v>0.83407843361317124</v>
      </c>
      <c r="I723">
        <f t="shared" si="593"/>
        <v>0.83407843361317113</v>
      </c>
      <c r="J723">
        <f t="shared" si="641"/>
        <v>7.6326127940964467E+19</v>
      </c>
      <c r="K723">
        <f t="shared" si="642"/>
        <v>7.6326127940964467E+19</v>
      </c>
      <c r="L723">
        <f t="shared" si="597"/>
        <v>1</v>
      </c>
      <c r="M723">
        <f t="shared" si="594"/>
        <v>9.8646009322719494E-21</v>
      </c>
      <c r="N723" s="9">
        <f t="shared" si="643"/>
        <v>9.8646009322719494E-21</v>
      </c>
      <c r="O723">
        <f t="shared" si="644"/>
        <v>9.8646009322719494E-21</v>
      </c>
      <c r="Q723">
        <f t="shared" si="598"/>
        <v>45.781546990537088</v>
      </c>
      <c r="R723">
        <f t="shared" si="599"/>
        <v>0</v>
      </c>
      <c r="S723">
        <f t="shared" si="621"/>
        <v>-46.065334267105399</v>
      </c>
      <c r="T723" s="9" t="e">
        <f t="shared" si="600"/>
        <v>#N/A</v>
      </c>
      <c r="U723">
        <f t="shared" si="622"/>
        <v>-1.0000000000000001E+300</v>
      </c>
      <c r="V723">
        <f t="shared" si="623"/>
        <v>0</v>
      </c>
      <c r="W723">
        <f t="shared" si="624"/>
        <v>0</v>
      </c>
      <c r="X723">
        <f t="shared" si="601"/>
        <v>0.98646009322719497</v>
      </c>
      <c r="Y723">
        <f t="shared" si="602"/>
        <v>7.8539816339744828</v>
      </c>
      <c r="Z723">
        <f t="shared" si="603"/>
        <v>-0.98646009322719497</v>
      </c>
      <c r="AA723">
        <f t="shared" si="625"/>
        <v>-0.6524286146701842</v>
      </c>
      <c r="AB723">
        <f t="shared" si="604"/>
        <v>7.2015530193042983</v>
      </c>
      <c r="AC723">
        <f t="shared" si="626"/>
        <v>-0.46521511251393838</v>
      </c>
      <c r="AD723">
        <f t="shared" si="605"/>
        <v>0.18142783594562772</v>
      </c>
      <c r="AE723" s="9">
        <f t="shared" si="627"/>
        <v>6.9177657427359875</v>
      </c>
      <c r="AF723">
        <f t="shared" si="628"/>
        <v>0</v>
      </c>
      <c r="AH723">
        <f t="shared" si="606"/>
        <v>7.8539816339744828</v>
      </c>
      <c r="AI723">
        <f t="shared" si="607"/>
        <v>-0.65242861467018409</v>
      </c>
      <c r="AJ723">
        <f t="shared" si="608"/>
        <v>-0.46521511251393832</v>
      </c>
      <c r="AK723">
        <f t="shared" si="609"/>
        <v>0.18142783594562772</v>
      </c>
      <c r="AL723" s="9">
        <f t="shared" si="629"/>
        <v>6.9177657427359884</v>
      </c>
      <c r="AM723" t="e">
        <f t="shared" si="610"/>
        <v>#N/A</v>
      </c>
      <c r="AN723" t="e">
        <f t="shared" si="630"/>
        <v>#N/A</v>
      </c>
      <c r="AO723">
        <f t="shared" si="611"/>
        <v>0</v>
      </c>
      <c r="AP723">
        <f t="shared" si="612"/>
        <v>0</v>
      </c>
      <c r="AQ723">
        <f t="shared" si="613"/>
        <v>0</v>
      </c>
      <c r="AR723">
        <f t="shared" si="631"/>
        <v>0</v>
      </c>
      <c r="AS723">
        <f t="shared" si="614"/>
        <v>0</v>
      </c>
      <c r="AT723">
        <f t="shared" si="632"/>
        <v>0</v>
      </c>
      <c r="AU723">
        <f t="shared" si="633"/>
        <v>0</v>
      </c>
      <c r="AV723">
        <f t="shared" si="615"/>
        <v>9.8646009322719494E-21</v>
      </c>
      <c r="AW723" t="b">
        <f t="shared" si="634"/>
        <v>1</v>
      </c>
      <c r="AX723">
        <f t="shared" si="616"/>
        <v>7.8539816339744828</v>
      </c>
      <c r="AY723">
        <f t="shared" si="617"/>
        <v>-0.65242861467018431</v>
      </c>
      <c r="AZ723">
        <f t="shared" si="618"/>
        <v>-0.46521511251393838</v>
      </c>
      <c r="BA723">
        <f t="shared" si="619"/>
        <v>0.18142783594562786</v>
      </c>
      <c r="BB723">
        <f t="shared" si="620"/>
        <v>-1.2337005501361696E-20</v>
      </c>
      <c r="BD723" s="15">
        <f t="shared" si="635"/>
        <v>6.9177657427359875</v>
      </c>
      <c r="BE723" s="10">
        <f t="shared" si="636"/>
        <v>0</v>
      </c>
      <c r="BF723">
        <f t="shared" si="637"/>
        <v>0</v>
      </c>
      <c r="BG723">
        <f t="shared" si="638"/>
        <v>0</v>
      </c>
      <c r="BH723">
        <f t="shared" si="639"/>
        <v>0</v>
      </c>
      <c r="BI723">
        <f t="shared" si="640"/>
        <v>0</v>
      </c>
    </row>
    <row r="724" spans="1:61" x14ac:dyDescent="0.3">
      <c r="A724">
        <f t="shared" si="645"/>
        <v>0.68700000000000006</v>
      </c>
      <c r="B724">
        <f t="shared" si="588"/>
        <v>2.1582741530161882</v>
      </c>
      <c r="C724">
        <f t="shared" si="589"/>
        <v>0.98331850057360493</v>
      </c>
      <c r="D724">
        <f t="shared" si="590"/>
        <v>0.98331850057360493</v>
      </c>
      <c r="E724">
        <f t="shared" si="595"/>
        <v>0.83234127384066325</v>
      </c>
      <c r="F724">
        <f t="shared" si="596"/>
        <v>0.83234127384066325</v>
      </c>
      <c r="G724">
        <f t="shared" si="591"/>
        <v>2.1582741530161882</v>
      </c>
      <c r="H724">
        <f t="shared" si="592"/>
        <v>0.83234127384066325</v>
      </c>
      <c r="I724">
        <f t="shared" si="593"/>
        <v>0.83234127384066325</v>
      </c>
      <c r="J724">
        <f t="shared" si="641"/>
        <v>7.6485426396078342E+19</v>
      </c>
      <c r="K724">
        <f t="shared" si="642"/>
        <v>7.6485426396078342E+19</v>
      </c>
      <c r="L724">
        <f t="shared" si="597"/>
        <v>1</v>
      </c>
      <c r="M724">
        <f t="shared" si="594"/>
        <v>9.8331850057360498E-21</v>
      </c>
      <c r="N724" s="9">
        <f t="shared" si="643"/>
        <v>9.8331850057360498E-21</v>
      </c>
      <c r="O724">
        <f t="shared" si="644"/>
        <v>9.8331850057360498E-21</v>
      </c>
      <c r="Q724">
        <f t="shared" si="598"/>
        <v>45.783631891950577</v>
      </c>
      <c r="R724">
        <f t="shared" si="599"/>
        <v>0</v>
      </c>
      <c r="S724">
        <f t="shared" si="621"/>
        <v>-46.0685240624735</v>
      </c>
      <c r="T724" s="9" t="e">
        <f t="shared" si="600"/>
        <v>#N/A</v>
      </c>
      <c r="U724">
        <f t="shared" si="622"/>
        <v>-1.0000000000000001E+300</v>
      </c>
      <c r="V724">
        <f t="shared" si="623"/>
        <v>0</v>
      </c>
      <c r="W724">
        <f t="shared" si="624"/>
        <v>0</v>
      </c>
      <c r="X724">
        <f t="shared" si="601"/>
        <v>0.98331850057360493</v>
      </c>
      <c r="Y724">
        <f t="shared" si="602"/>
        <v>7.8539816339744828</v>
      </c>
      <c r="Z724">
        <f t="shared" si="603"/>
        <v>-0.98331850057360493</v>
      </c>
      <c r="AA724">
        <f t="shared" si="625"/>
        <v>-0.65480056073539161</v>
      </c>
      <c r="AB724">
        <f t="shared" si="604"/>
        <v>7.1991810732390915</v>
      </c>
      <c r="AC724">
        <f t="shared" si="626"/>
        <v>-0.46840490788203887</v>
      </c>
      <c r="AD724">
        <f t="shared" si="605"/>
        <v>0.18351273735911544</v>
      </c>
      <c r="AE724" s="9">
        <f t="shared" si="627"/>
        <v>6.9142889027161685</v>
      </c>
      <c r="AF724">
        <f t="shared" si="628"/>
        <v>0</v>
      </c>
      <c r="AH724">
        <f t="shared" si="606"/>
        <v>7.8539816339744828</v>
      </c>
      <c r="AI724">
        <f t="shared" si="607"/>
        <v>-0.65480056073539161</v>
      </c>
      <c r="AJ724">
        <f t="shared" si="608"/>
        <v>-0.46840490788203937</v>
      </c>
      <c r="AK724">
        <f t="shared" si="609"/>
        <v>0.18351273735911544</v>
      </c>
      <c r="AL724" s="9">
        <f t="shared" si="629"/>
        <v>6.9142889027161676</v>
      </c>
      <c r="AM724" t="e">
        <f t="shared" si="610"/>
        <v>#N/A</v>
      </c>
      <c r="AN724" t="e">
        <f t="shared" si="630"/>
        <v>#N/A</v>
      </c>
      <c r="AO724">
        <f t="shared" si="611"/>
        <v>0</v>
      </c>
      <c r="AP724">
        <f t="shared" si="612"/>
        <v>0</v>
      </c>
      <c r="AQ724">
        <f t="shared" si="613"/>
        <v>-4.9960036108132044E-16</v>
      </c>
      <c r="AR724">
        <f t="shared" si="631"/>
        <v>0</v>
      </c>
      <c r="AS724">
        <f t="shared" si="614"/>
        <v>0</v>
      </c>
      <c r="AT724">
        <f t="shared" si="632"/>
        <v>0</v>
      </c>
      <c r="AU724">
        <f t="shared" si="633"/>
        <v>0</v>
      </c>
      <c r="AV724">
        <f t="shared" si="615"/>
        <v>9.8331850057360483E-21</v>
      </c>
      <c r="AW724" t="b">
        <f t="shared" si="634"/>
        <v>1</v>
      </c>
      <c r="AX724">
        <f t="shared" si="616"/>
        <v>7.8539816339744828</v>
      </c>
      <c r="AY724">
        <f t="shared" si="617"/>
        <v>-0.65480056073539161</v>
      </c>
      <c r="AZ724">
        <f t="shared" si="618"/>
        <v>-0.46840490788203887</v>
      </c>
      <c r="BA724">
        <f t="shared" si="619"/>
        <v>0.18351273735911544</v>
      </c>
      <c r="BB724">
        <f t="shared" si="620"/>
        <v>-1.2337005501361696E-20</v>
      </c>
      <c r="BD724" s="15">
        <f t="shared" si="635"/>
        <v>6.9142889027161685</v>
      </c>
      <c r="BE724" s="10">
        <f t="shared" si="636"/>
        <v>0</v>
      </c>
      <c r="BF724">
        <f t="shared" si="637"/>
        <v>0</v>
      </c>
      <c r="BG724">
        <f t="shared" si="638"/>
        <v>0</v>
      </c>
      <c r="BH724">
        <f t="shared" si="639"/>
        <v>0</v>
      </c>
      <c r="BI724">
        <f t="shared" si="640"/>
        <v>0</v>
      </c>
    </row>
    <row r="725" spans="1:61" x14ac:dyDescent="0.3">
      <c r="A725">
        <f t="shared" si="645"/>
        <v>0.68799999999999994</v>
      </c>
      <c r="B725">
        <f t="shared" si="588"/>
        <v>2.1614157456697773</v>
      </c>
      <c r="C725">
        <f t="shared" si="589"/>
        <v>0.98017690792001577</v>
      </c>
      <c r="D725">
        <f t="shared" si="590"/>
        <v>0.98017690792001577</v>
      </c>
      <c r="E725">
        <f t="shared" si="595"/>
        <v>0.83059589919581289</v>
      </c>
      <c r="F725">
        <f t="shared" si="596"/>
        <v>0.83059589919581278</v>
      </c>
      <c r="G725">
        <f t="shared" si="591"/>
        <v>2.1614157456697773</v>
      </c>
      <c r="H725">
        <f t="shared" si="592"/>
        <v>0.83059589919581289</v>
      </c>
      <c r="I725">
        <f t="shared" si="593"/>
        <v>0.83059589919581278</v>
      </c>
      <c r="J725">
        <f t="shared" si="641"/>
        <v>7.66461492265926E+19</v>
      </c>
      <c r="K725">
        <f t="shared" si="642"/>
        <v>7.66461492265926E+19</v>
      </c>
      <c r="L725">
        <f t="shared" si="597"/>
        <v>1</v>
      </c>
      <c r="M725">
        <f t="shared" si="594"/>
        <v>9.8017690792001562E-21</v>
      </c>
      <c r="N725" s="9">
        <f t="shared" si="643"/>
        <v>9.8017690792001562E-21</v>
      </c>
      <c r="O725">
        <f t="shared" si="644"/>
        <v>9.8017690792001562E-21</v>
      </c>
      <c r="Q725">
        <f t="shared" si="598"/>
        <v>45.78573103954804</v>
      </c>
      <c r="R725">
        <f t="shared" si="599"/>
        <v>0</v>
      </c>
      <c r="S725">
        <f t="shared" si="621"/>
        <v>-46.071724065204165</v>
      </c>
      <c r="T725" s="9" t="e">
        <f t="shared" si="600"/>
        <v>#N/A</v>
      </c>
      <c r="U725">
        <f t="shared" si="622"/>
        <v>-1.0000000000000001E+300</v>
      </c>
      <c r="V725">
        <f t="shared" si="623"/>
        <v>0</v>
      </c>
      <c r="W725">
        <f t="shared" si="624"/>
        <v>0</v>
      </c>
      <c r="X725">
        <f t="shared" si="601"/>
        <v>0.98017690792001577</v>
      </c>
      <c r="Y725">
        <f t="shared" si="602"/>
        <v>7.8539816339744828</v>
      </c>
      <c r="Z725">
        <f t="shared" si="603"/>
        <v>-0.98017690792001577</v>
      </c>
      <c r="AA725">
        <f t="shared" si="625"/>
        <v>-0.65716267127483552</v>
      </c>
      <c r="AB725">
        <f t="shared" si="604"/>
        <v>7.1968189626996475</v>
      </c>
      <c r="AC725">
        <f t="shared" si="626"/>
        <v>-0.47160491061270904</v>
      </c>
      <c r="AD725">
        <f t="shared" si="605"/>
        <v>0.18561188495657743</v>
      </c>
      <c r="AE725" s="9">
        <f t="shared" si="627"/>
        <v>6.9108259370435157</v>
      </c>
      <c r="AF725">
        <f t="shared" si="628"/>
        <v>0</v>
      </c>
      <c r="AH725">
        <f t="shared" si="606"/>
        <v>7.8539816339744828</v>
      </c>
      <c r="AI725">
        <f t="shared" si="607"/>
        <v>-0.6571626712748353</v>
      </c>
      <c r="AJ725">
        <f t="shared" si="608"/>
        <v>-0.47160491061270449</v>
      </c>
      <c r="AK725">
        <f t="shared" si="609"/>
        <v>0.18561188495657743</v>
      </c>
      <c r="AL725" s="9">
        <f t="shared" si="629"/>
        <v>6.9108259370435201</v>
      </c>
      <c r="AM725" t="e">
        <f t="shared" si="610"/>
        <v>#N/A</v>
      </c>
      <c r="AN725" t="e">
        <f t="shared" si="630"/>
        <v>#N/A</v>
      </c>
      <c r="AO725">
        <f t="shared" si="611"/>
        <v>0</v>
      </c>
      <c r="AP725">
        <f t="shared" si="612"/>
        <v>0</v>
      </c>
      <c r="AQ725">
        <f t="shared" si="613"/>
        <v>4.5519144009631418E-15</v>
      </c>
      <c r="AR725">
        <f t="shared" si="631"/>
        <v>0</v>
      </c>
      <c r="AS725">
        <f t="shared" si="614"/>
        <v>0</v>
      </c>
      <c r="AT725">
        <f t="shared" si="632"/>
        <v>0</v>
      </c>
      <c r="AU725">
        <f t="shared" si="633"/>
        <v>0</v>
      </c>
      <c r="AV725">
        <f t="shared" si="615"/>
        <v>9.8017690792001577E-21</v>
      </c>
      <c r="AW725" t="b">
        <f t="shared" si="634"/>
        <v>1</v>
      </c>
      <c r="AX725">
        <f t="shared" si="616"/>
        <v>7.8539816339744828</v>
      </c>
      <c r="AY725">
        <f t="shared" si="617"/>
        <v>-0.65716267127483563</v>
      </c>
      <c r="AZ725">
        <f t="shared" si="618"/>
        <v>-0.47160491061270904</v>
      </c>
      <c r="BA725">
        <f t="shared" si="619"/>
        <v>0.18561188495657757</v>
      </c>
      <c r="BB725">
        <f t="shared" si="620"/>
        <v>-1.2337005501361696E-20</v>
      </c>
      <c r="BD725" s="15">
        <f t="shared" si="635"/>
        <v>6.9108259370435166</v>
      </c>
      <c r="BE725" s="10">
        <f t="shared" si="636"/>
        <v>0</v>
      </c>
      <c r="BF725">
        <f t="shared" si="637"/>
        <v>0</v>
      </c>
      <c r="BG725">
        <f t="shared" si="638"/>
        <v>0</v>
      </c>
      <c r="BH725">
        <f t="shared" si="639"/>
        <v>0</v>
      </c>
      <c r="BI725">
        <f t="shared" si="640"/>
        <v>0</v>
      </c>
    </row>
    <row r="726" spans="1:61" x14ac:dyDescent="0.3">
      <c r="A726">
        <f t="shared" si="645"/>
        <v>0.68899999999999995</v>
      </c>
      <c r="B726">
        <f t="shared" si="588"/>
        <v>2.1645573383233674</v>
      </c>
      <c r="C726">
        <f t="shared" si="589"/>
        <v>0.97703531526642573</v>
      </c>
      <c r="D726">
        <f t="shared" si="590"/>
        <v>0.97703531526642573</v>
      </c>
      <c r="E726">
        <f t="shared" si="595"/>
        <v>0.82884232690476201</v>
      </c>
      <c r="F726">
        <f t="shared" si="596"/>
        <v>0.82884232690476189</v>
      </c>
      <c r="G726">
        <f t="shared" si="591"/>
        <v>2.1645573383233674</v>
      </c>
      <c r="H726">
        <f t="shared" si="592"/>
        <v>0.82884232690476201</v>
      </c>
      <c r="I726">
        <f t="shared" si="593"/>
        <v>0.82884232690476189</v>
      </c>
      <c r="J726">
        <f t="shared" si="641"/>
        <v>7.680830861341039E+19</v>
      </c>
      <c r="K726">
        <f t="shared" si="642"/>
        <v>7.680830861341039E+19</v>
      </c>
      <c r="L726">
        <f t="shared" si="597"/>
        <v>1</v>
      </c>
      <c r="M726">
        <f t="shared" si="594"/>
        <v>9.7703531526642566E-21</v>
      </c>
      <c r="N726" s="9">
        <f t="shared" si="643"/>
        <v>9.7703531526642566E-21</v>
      </c>
      <c r="O726">
        <f t="shared" si="644"/>
        <v>9.7703531526642566E-21</v>
      </c>
      <c r="Q726">
        <f t="shared" si="598"/>
        <v>45.787844493265311</v>
      </c>
      <c r="R726">
        <f t="shared" si="599"/>
        <v>-710542.73576010019</v>
      </c>
      <c r="S726">
        <f t="shared" si="621"/>
        <v>-46.074934340834417</v>
      </c>
      <c r="T726" s="9" t="e">
        <f t="shared" si="600"/>
        <v>#N/A</v>
      </c>
      <c r="U726">
        <f t="shared" si="622"/>
        <v>-1.0000000000000001E+300</v>
      </c>
      <c r="V726">
        <f t="shared" si="623"/>
        <v>0</v>
      </c>
      <c r="W726">
        <f t="shared" si="624"/>
        <v>0</v>
      </c>
      <c r="X726">
        <f t="shared" si="601"/>
        <v>0.97703531526642573</v>
      </c>
      <c r="Y726">
        <f t="shared" si="602"/>
        <v>7.8539816339744828</v>
      </c>
      <c r="Z726">
        <f t="shared" si="603"/>
        <v>-0.97703531526642573</v>
      </c>
      <c r="AA726">
        <f t="shared" si="625"/>
        <v>-0.6595149724944408</v>
      </c>
      <c r="AB726">
        <f t="shared" si="604"/>
        <v>7.1944666614800417</v>
      </c>
      <c r="AC726">
        <f t="shared" si="626"/>
        <v>-0.4748151862429576</v>
      </c>
      <c r="AD726">
        <f t="shared" si="605"/>
        <v>0.18772533867385494</v>
      </c>
      <c r="AE726" s="9">
        <f t="shared" si="627"/>
        <v>6.9073768139109388</v>
      </c>
      <c r="AF726">
        <f t="shared" si="628"/>
        <v>0</v>
      </c>
      <c r="AH726">
        <f t="shared" si="606"/>
        <v>7.8539816339744828</v>
      </c>
      <c r="AI726">
        <f t="shared" si="607"/>
        <v>-0.65951497249444058</v>
      </c>
      <c r="AJ726">
        <f t="shared" si="608"/>
        <v>-0.4748151862429566</v>
      </c>
      <c r="AK726">
        <f t="shared" si="609"/>
        <v>0.18772533867385494</v>
      </c>
      <c r="AL726" s="9">
        <f t="shared" si="629"/>
        <v>6.9073768139109406</v>
      </c>
      <c r="AM726" t="e">
        <f t="shared" si="610"/>
        <v>#N/A</v>
      </c>
      <c r="AN726" t="e">
        <f t="shared" si="630"/>
        <v>#N/A</v>
      </c>
      <c r="AO726">
        <f t="shared" si="611"/>
        <v>0</v>
      </c>
      <c r="AP726">
        <f t="shared" si="612"/>
        <v>0</v>
      </c>
      <c r="AQ726">
        <f t="shared" si="613"/>
        <v>9.9920072216264089E-16</v>
      </c>
      <c r="AR726">
        <f t="shared" si="631"/>
        <v>0</v>
      </c>
      <c r="AS726">
        <f t="shared" si="614"/>
        <v>0</v>
      </c>
      <c r="AT726">
        <f t="shared" si="632"/>
        <v>0</v>
      </c>
      <c r="AU726">
        <f t="shared" si="633"/>
        <v>0</v>
      </c>
      <c r="AV726">
        <f t="shared" si="615"/>
        <v>9.7703531526642566E-21</v>
      </c>
      <c r="AW726" t="b">
        <f t="shared" si="634"/>
        <v>1</v>
      </c>
      <c r="AX726">
        <f t="shared" si="616"/>
        <v>7.8539816339744828</v>
      </c>
      <c r="AY726">
        <f t="shared" si="617"/>
        <v>-0.6595149724944408</v>
      </c>
      <c r="AZ726">
        <f t="shared" si="618"/>
        <v>-0.47481518624295743</v>
      </c>
      <c r="BA726">
        <f t="shared" si="619"/>
        <v>0.18772533867385507</v>
      </c>
      <c r="BB726">
        <f t="shared" si="620"/>
        <v>-1.2337005501361696E-20</v>
      </c>
      <c r="BD726" s="15">
        <f t="shared" si="635"/>
        <v>6.9073768139109388</v>
      </c>
      <c r="BE726" s="10">
        <f t="shared" si="636"/>
        <v>0</v>
      </c>
      <c r="BF726">
        <f t="shared" si="637"/>
        <v>0</v>
      </c>
      <c r="BG726">
        <f t="shared" si="638"/>
        <v>0</v>
      </c>
      <c r="BH726">
        <f t="shared" si="639"/>
        <v>0</v>
      </c>
      <c r="BI726">
        <f t="shared" si="640"/>
        <v>0</v>
      </c>
    </row>
    <row r="727" spans="1:61" x14ac:dyDescent="0.3">
      <c r="A727">
        <f t="shared" si="645"/>
        <v>0.69</v>
      </c>
      <c r="B727">
        <f t="shared" si="588"/>
        <v>2.167698930976957</v>
      </c>
      <c r="C727">
        <f t="shared" si="589"/>
        <v>0.97389372261283613</v>
      </c>
      <c r="D727">
        <f t="shared" si="590"/>
        <v>0.97389372261283613</v>
      </c>
      <c r="E727">
        <f t="shared" si="595"/>
        <v>0.82708057427456205</v>
      </c>
      <c r="F727">
        <f t="shared" si="596"/>
        <v>0.82708057427456194</v>
      </c>
      <c r="G727">
        <f t="shared" si="591"/>
        <v>2.167698930976957</v>
      </c>
      <c r="H727">
        <f t="shared" si="592"/>
        <v>0.82708057427456205</v>
      </c>
      <c r="I727">
        <f t="shared" si="593"/>
        <v>0.82708057427456194</v>
      </c>
      <c r="J727">
        <f t="shared" si="641"/>
        <v>7.6971916904947859E+19</v>
      </c>
      <c r="K727">
        <f t="shared" si="642"/>
        <v>7.6971916904947859E+19</v>
      </c>
      <c r="L727" t="e">
        <f t="shared" si="597"/>
        <v>#NUM!</v>
      </c>
      <c r="M727">
        <f t="shared" si="594"/>
        <v>9.73893722612836E-21</v>
      </c>
      <c r="N727" s="9" t="e">
        <f t="shared" si="643"/>
        <v>#NUM!</v>
      </c>
      <c r="O727" t="e">
        <f t="shared" si="644"/>
        <v>#NUM!</v>
      </c>
      <c r="Q727">
        <f t="shared" si="598"/>
        <v>45.789972313701469</v>
      </c>
      <c r="R727">
        <f t="shared" si="599"/>
        <v>0</v>
      </c>
      <c r="S727">
        <f t="shared" si="621"/>
        <v>-46.078154955534458</v>
      </c>
      <c r="T727" s="9" t="e">
        <f t="shared" si="600"/>
        <v>#N/A</v>
      </c>
      <c r="U727">
        <f t="shared" si="622"/>
        <v>-1.0000000000000001E+300</v>
      </c>
      <c r="V727">
        <f t="shared" si="623"/>
        <v>0</v>
      </c>
      <c r="W727">
        <f t="shared" si="624"/>
        <v>0</v>
      </c>
      <c r="X727">
        <f t="shared" si="601"/>
        <v>0.97389372261283613</v>
      </c>
      <c r="Y727">
        <f t="shared" si="602"/>
        <v>7.8539816339744828</v>
      </c>
      <c r="Z727">
        <f t="shared" si="603"/>
        <v>-0.97389372261283613</v>
      </c>
      <c r="AA727">
        <f t="shared" si="625"/>
        <v>-0.66185749043295472</v>
      </c>
      <c r="AB727">
        <f t="shared" si="604"/>
        <v>7.1921241435415277</v>
      </c>
      <c r="AC727">
        <f t="shared" si="626"/>
        <v>-0.47803580094299947</v>
      </c>
      <c r="AD727">
        <f t="shared" si="605"/>
        <v>0.18985315911000858</v>
      </c>
      <c r="AE727" s="9">
        <f t="shared" si="627"/>
        <v>6.9039415017085375</v>
      </c>
      <c r="AF727">
        <f t="shared" si="628"/>
        <v>0</v>
      </c>
      <c r="AH727">
        <f t="shared" si="606"/>
        <v>7.8539816339744828</v>
      </c>
      <c r="AI727">
        <f t="shared" si="607"/>
        <v>-0.66185749043295461</v>
      </c>
      <c r="AJ727">
        <f t="shared" si="608"/>
        <v>-0.47803580094299747</v>
      </c>
      <c r="AK727">
        <f t="shared" si="609"/>
        <v>0.18985315911000858</v>
      </c>
      <c r="AL727" s="9">
        <f t="shared" si="629"/>
        <v>6.9039415017085402</v>
      </c>
      <c r="AM727" t="e">
        <f t="shared" si="610"/>
        <v>#N/A</v>
      </c>
      <c r="AN727" t="e">
        <f t="shared" si="630"/>
        <v>#N/A</v>
      </c>
      <c r="AO727">
        <f t="shared" si="611"/>
        <v>0</v>
      </c>
      <c r="AP727">
        <f t="shared" si="612"/>
        <v>0</v>
      </c>
      <c r="AQ727">
        <f t="shared" si="613"/>
        <v>1.9984014443252818E-15</v>
      </c>
      <c r="AR727">
        <f t="shared" si="631"/>
        <v>0</v>
      </c>
      <c r="AS727">
        <f t="shared" si="614"/>
        <v>0</v>
      </c>
      <c r="AT727">
        <f t="shared" si="632"/>
        <v>0</v>
      </c>
      <c r="AU727">
        <f t="shared" si="633"/>
        <v>0</v>
      </c>
      <c r="AV727">
        <f t="shared" si="615"/>
        <v>9.7389372261283615E-21</v>
      </c>
      <c r="AW727" t="b">
        <f t="shared" si="634"/>
        <v>1</v>
      </c>
      <c r="AX727">
        <f t="shared" si="616"/>
        <v>7.8539816339744828</v>
      </c>
      <c r="AY727">
        <f t="shared" si="617"/>
        <v>-0.66185749043295483</v>
      </c>
      <c r="AZ727">
        <f t="shared" si="618"/>
        <v>-0.47803580094299947</v>
      </c>
      <c r="BA727">
        <f t="shared" si="619"/>
        <v>0.18985315911000869</v>
      </c>
      <c r="BB727">
        <f t="shared" si="620"/>
        <v>-1.2337005501361696E-20</v>
      </c>
      <c r="BD727" s="15">
        <f t="shared" si="635"/>
        <v>6.9039415017085375</v>
      </c>
      <c r="BE727" s="10">
        <f t="shared" si="636"/>
        <v>0</v>
      </c>
      <c r="BF727">
        <f t="shared" si="637"/>
        <v>0</v>
      </c>
      <c r="BG727">
        <f t="shared" si="638"/>
        <v>0</v>
      </c>
      <c r="BH727">
        <f t="shared" si="639"/>
        <v>0</v>
      </c>
      <c r="BI727">
        <f t="shared" si="640"/>
        <v>0</v>
      </c>
    </row>
    <row r="728" spans="1:61" x14ac:dyDescent="0.3">
      <c r="A728">
        <f t="shared" si="645"/>
        <v>0.69099999999999995</v>
      </c>
      <c r="B728">
        <f t="shared" ref="B728:B791" si="646">th_max*A728</f>
        <v>2.170840523630547</v>
      </c>
      <c r="C728">
        <f t="shared" ref="C728:C791" si="647">th_max-B728</f>
        <v>0.97075212995924609</v>
      </c>
      <c r="D728">
        <f t="shared" ref="D728:D791" si="648">IF(use_th_l,B728,C728)</f>
        <v>0.97075212995924609</v>
      </c>
      <c r="E728">
        <f t="shared" si="595"/>
        <v>0.82531065869299969</v>
      </c>
      <c r="F728">
        <f t="shared" si="596"/>
        <v>0.82531065869299958</v>
      </c>
      <c r="G728">
        <f t="shared" ref="G728:G791" si="649">alpha*B728</f>
        <v>2.170840523630547</v>
      </c>
      <c r="H728">
        <f t="shared" ref="H728:H791" si="650">SIN(G728)</f>
        <v>0.82531065869299969</v>
      </c>
      <c r="I728">
        <f t="shared" ref="I728:I791" si="651">SIN(alpha*C728+add_r)</f>
        <v>0.82531065869299958</v>
      </c>
      <c r="J728">
        <f t="shared" si="641"/>
        <v>7.7136986619773223E+19</v>
      </c>
      <c r="K728">
        <f t="shared" si="642"/>
        <v>7.7136986619773223E+19</v>
      </c>
      <c r="L728">
        <f t="shared" si="597"/>
        <v>1</v>
      </c>
      <c r="M728">
        <f t="shared" ref="M728:M791" si="652">-SIN((alpha_m_1)*B728+add_l)</f>
        <v>9.7075212995924604E-21</v>
      </c>
      <c r="N728" s="9">
        <f t="shared" si="643"/>
        <v>9.7075212995924604E-21</v>
      </c>
      <c r="O728">
        <f t="shared" si="644"/>
        <v>9.7075212995924604E-21</v>
      </c>
      <c r="Q728">
        <f t="shared" si="598"/>
        <v>45.792114562126812</v>
      </c>
      <c r="R728">
        <f t="shared" si="599"/>
        <v>-710542.73576010019</v>
      </c>
      <c r="S728">
        <f t="shared" si="621"/>
        <v>-46.081385976115904</v>
      </c>
      <c r="T728" s="9" t="e">
        <f t="shared" si="600"/>
        <v>#N/A</v>
      </c>
      <c r="U728">
        <f t="shared" si="622"/>
        <v>-1.0000000000000001E+300</v>
      </c>
      <c r="V728">
        <f t="shared" si="623"/>
        <v>0</v>
      </c>
      <c r="W728">
        <f t="shared" si="624"/>
        <v>0</v>
      </c>
      <c r="X728">
        <f t="shared" si="601"/>
        <v>0.97075212995924609</v>
      </c>
      <c r="Y728">
        <f t="shared" si="602"/>
        <v>7.8539816339744828</v>
      </c>
      <c r="Z728">
        <f t="shared" si="603"/>
        <v>-0.97075212995924609</v>
      </c>
      <c r="AA728">
        <f t="shared" si="625"/>
        <v>-0.66419025096306394</v>
      </c>
      <c r="AB728">
        <f t="shared" si="604"/>
        <v>7.1897913830114186</v>
      </c>
      <c r="AC728">
        <f t="shared" si="626"/>
        <v>-0.48126682152444628</v>
      </c>
      <c r="AD728">
        <f t="shared" si="605"/>
        <v>0.19199540753535585</v>
      </c>
      <c r="AE728" s="9">
        <f t="shared" si="627"/>
        <v>6.9005199690223282</v>
      </c>
      <c r="AF728">
        <f t="shared" si="628"/>
        <v>0</v>
      </c>
      <c r="AH728">
        <f t="shared" si="606"/>
        <v>7.8539816339744828</v>
      </c>
      <c r="AI728">
        <f t="shared" si="607"/>
        <v>-0.66419025096306417</v>
      </c>
      <c r="AJ728">
        <f t="shared" si="608"/>
        <v>-0.48126682152444289</v>
      </c>
      <c r="AK728">
        <f t="shared" si="609"/>
        <v>0.19199540753535585</v>
      </c>
      <c r="AL728" s="9">
        <f t="shared" si="629"/>
        <v>6.9005199690223318</v>
      </c>
      <c r="AM728" t="e">
        <f t="shared" si="610"/>
        <v>#N/A</v>
      </c>
      <c r="AN728" t="e">
        <f t="shared" si="630"/>
        <v>#N/A</v>
      </c>
      <c r="AO728">
        <f t="shared" si="611"/>
        <v>0</v>
      </c>
      <c r="AP728">
        <f t="shared" si="612"/>
        <v>0</v>
      </c>
      <c r="AQ728">
        <f t="shared" si="613"/>
        <v>3.3861802251067274E-15</v>
      </c>
      <c r="AR728">
        <f t="shared" si="631"/>
        <v>0</v>
      </c>
      <c r="AS728">
        <f t="shared" si="614"/>
        <v>0</v>
      </c>
      <c r="AT728">
        <f t="shared" si="632"/>
        <v>0</v>
      </c>
      <c r="AU728">
        <f t="shared" si="633"/>
        <v>0</v>
      </c>
      <c r="AV728">
        <f t="shared" si="615"/>
        <v>9.7075212995924604E-21</v>
      </c>
      <c r="AW728" t="b">
        <f t="shared" si="634"/>
        <v>1</v>
      </c>
      <c r="AX728">
        <f t="shared" si="616"/>
        <v>7.8539816339744828</v>
      </c>
      <c r="AY728">
        <f t="shared" si="617"/>
        <v>-0.66419025096306394</v>
      </c>
      <c r="AZ728">
        <f t="shared" si="618"/>
        <v>-0.48126682152444628</v>
      </c>
      <c r="BA728">
        <f t="shared" si="619"/>
        <v>0.19199540753535599</v>
      </c>
      <c r="BB728">
        <f t="shared" si="620"/>
        <v>-1.2337005501361696E-20</v>
      </c>
      <c r="BD728" s="15">
        <f t="shared" si="635"/>
        <v>6.9005199690223282</v>
      </c>
      <c r="BE728" s="10">
        <f t="shared" si="636"/>
        <v>0</v>
      </c>
      <c r="BF728">
        <f t="shared" si="637"/>
        <v>0</v>
      </c>
      <c r="BG728">
        <f t="shared" si="638"/>
        <v>0</v>
      </c>
      <c r="BH728">
        <f t="shared" si="639"/>
        <v>0</v>
      </c>
      <c r="BI728">
        <f t="shared" si="640"/>
        <v>0</v>
      </c>
    </row>
    <row r="729" spans="1:61" x14ac:dyDescent="0.3">
      <c r="A729">
        <f t="shared" si="645"/>
        <v>0.69199999999999995</v>
      </c>
      <c r="B729">
        <f t="shared" si="646"/>
        <v>2.1739821162841366</v>
      </c>
      <c r="C729">
        <f t="shared" si="647"/>
        <v>0.96761053730565649</v>
      </c>
      <c r="D729">
        <f t="shared" si="648"/>
        <v>0.96761053730565649</v>
      </c>
      <c r="E729">
        <f t="shared" ref="E729:E792" si="653">SIN(B729-add_l)</f>
        <v>0.82353259762842757</v>
      </c>
      <c r="F729">
        <f t="shared" ref="F729:F792" si="654">SIN(C729)</f>
        <v>0.82353259762842757</v>
      </c>
      <c r="G729">
        <f t="shared" si="649"/>
        <v>2.1739821162841366</v>
      </c>
      <c r="H729">
        <f t="shared" si="650"/>
        <v>0.82353259762842757</v>
      </c>
      <c r="I729">
        <f t="shared" si="651"/>
        <v>0.82353259762842757</v>
      </c>
      <c r="J729">
        <f t="shared" si="641"/>
        <v>7.7303530449297408E+19</v>
      </c>
      <c r="K729">
        <f t="shared" si="642"/>
        <v>7.7303530449297408E+19</v>
      </c>
      <c r="L729">
        <f t="shared" ref="L729:L792" si="655">(cat0*E729*K729)^(1/(alpha_m_1))</f>
        <v>1</v>
      </c>
      <c r="M729">
        <f t="shared" si="652"/>
        <v>9.6761053730565638E-21</v>
      </c>
      <c r="N729" s="9">
        <f t="shared" si="643"/>
        <v>9.6761053730565638E-21</v>
      </c>
      <c r="O729">
        <f t="shared" si="644"/>
        <v>9.6761053730565638E-21</v>
      </c>
      <c r="Q729">
        <f t="shared" ref="Q729:Q792" si="656">alpha*LN(J729)</f>
        <v>45.794271300491097</v>
      </c>
      <c r="R729">
        <f t="shared" ref="R729:R792" si="657">(LN(cat0)+LN(E729)+Q729)/(alpha_m_1)</f>
        <v>0</v>
      </c>
      <c r="S729">
        <f t="shared" si="621"/>
        <v>-46.084627470040076</v>
      </c>
      <c r="T729" s="9" t="e">
        <f t="shared" ref="T729:T792" si="658">IF(ABS(alpha_m_1)&gt;0.00000000000001,R729+S729,NA())</f>
        <v>#N/A</v>
      </c>
      <c r="U729">
        <f t="shared" si="622"/>
        <v>-1.0000000000000001E+300</v>
      </c>
      <c r="V729">
        <f t="shared" si="623"/>
        <v>0</v>
      </c>
      <c r="W729">
        <f t="shared" si="624"/>
        <v>0</v>
      </c>
      <c r="X729">
        <f t="shared" ref="X729:X792" si="659">C729</f>
        <v>0.96761053730565649</v>
      </c>
      <c r="Y729">
        <f t="shared" ref="Y729:Y792" si="660">ea</f>
        <v>7.8539816339744828</v>
      </c>
      <c r="Z729">
        <f t="shared" ref="Z729:Z792" si="661">p2b+PI()/2-X729</f>
        <v>-0.96761053730565649</v>
      </c>
      <c r="AA729">
        <f t="shared" si="625"/>
        <v>-0.66651327979249431</v>
      </c>
      <c r="AB729">
        <f t="shared" ref="AB729:AB792" si="662">$AA$7+AA729</f>
        <v>7.1874683541819886</v>
      </c>
      <c r="AC729">
        <f t="shared" si="626"/>
        <v>-0.48450831544861711</v>
      </c>
      <c r="AD729">
        <f t="shared" ref="AD729:AD792" si="663">-LN(SIN(A729*PI()))</f>
        <v>0.19415214589963539</v>
      </c>
      <c r="AE729" s="9">
        <f t="shared" si="627"/>
        <v>6.8971121846330066</v>
      </c>
      <c r="AF729">
        <f t="shared" si="628"/>
        <v>0</v>
      </c>
      <c r="AH729">
        <f t="shared" ref="AH729:AH792" si="664">IF(use_alpha_near_1,$D$18,NA())</f>
        <v>7.8539816339744828</v>
      </c>
      <c r="AI729">
        <f t="shared" ref="AI729:AI792" si="665">IF(use_alpha_near_1,alpha/(alpha_m_1)*(log1p(-SIN(add_l)*_xlfn.COT(B729)-2*SIN(add_l/2)^2)-log1p(SIN(alpha_m_1*B729)*_xlfn.COT(B729)-2*SIN(alpha_m_1*B729/2)^2)),NA())</f>
        <v>-0.6665132797924942</v>
      </c>
      <c r="AJ729">
        <f t="shared" ref="AJ729:AJ792" si="666">IF(use_alpha_near_1,$D$21+LN(M729),NA())</f>
        <v>-0.48450831544861472</v>
      </c>
      <c r="AK729">
        <f t="shared" ref="AK729:AK792" si="667">IF(use_alpha_near_1,-LN(E729),NA())</f>
        <v>0.19415214589963539</v>
      </c>
      <c r="AL729" s="9">
        <f t="shared" si="629"/>
        <v>6.8971121846330092</v>
      </c>
      <c r="AM729" t="e">
        <f t="shared" ref="AM729:AM792" si="668">AL729-T729</f>
        <v>#N/A</v>
      </c>
      <c r="AN729" t="e">
        <f t="shared" si="630"/>
        <v>#N/A</v>
      </c>
      <c r="AO729">
        <f t="shared" ref="AO729:AO792" si="669">AH729-Y729</f>
        <v>0</v>
      </c>
      <c r="AP729">
        <f t="shared" ref="AP729:AP792" si="670">AI729-AA729</f>
        <v>0</v>
      </c>
      <c r="AQ729">
        <f t="shared" ref="AQ729:AQ792" si="671">AJ729-AC729</f>
        <v>2.3869795029440866E-15</v>
      </c>
      <c r="AR729">
        <f t="shared" si="631"/>
        <v>0</v>
      </c>
      <c r="AS729">
        <f t="shared" ref="AS729:AS792" si="672">AL729-AE729</f>
        <v>0</v>
      </c>
      <c r="AT729">
        <f t="shared" si="632"/>
        <v>0</v>
      </c>
      <c r="AU729">
        <f t="shared" si="633"/>
        <v>0</v>
      </c>
      <c r="AV729">
        <f t="shared" ref="AV729:AV792" si="673">alpha_m_1*C729+add_r</f>
        <v>9.6761053730565638E-21</v>
      </c>
      <c r="AW729" t="b">
        <f t="shared" si="634"/>
        <v>1</v>
      </c>
      <c r="AX729">
        <f t="shared" ref="AX729:AX792" si="674">IF(use_alpha_near_1,$D$18,NA())</f>
        <v>7.8539816339744828</v>
      </c>
      <c r="AY729">
        <f t="shared" ref="AY729:AY792" si="675">-alpha/alpha_m_1*log1p(_xlfn.COT(C729)*SIN(AV729)-2*SIN(AV729/2)^2)</f>
        <v>-0.66651327979249431</v>
      </c>
      <c r="AZ729">
        <f t="shared" ref="AZ729:AZ792" si="676">LN(ABS(zeta)*SIN(AV729))</f>
        <v>-0.48450831544861711</v>
      </c>
      <c r="BA729">
        <f t="shared" ref="BA729:BA792" si="677">-LN(SIN(C729))</f>
        <v>0.19415214589963539</v>
      </c>
      <c r="BB729">
        <f t="shared" ref="BB729:BB792" si="678">-log1p(zeta^-2)/(2*alpha_m_1)</f>
        <v>-1.2337005501361696E-20</v>
      </c>
      <c r="BD729" s="15">
        <f t="shared" si="635"/>
        <v>6.8971121846330066</v>
      </c>
      <c r="BE729" s="10">
        <f t="shared" si="636"/>
        <v>0</v>
      </c>
      <c r="BF729">
        <f t="shared" si="637"/>
        <v>0</v>
      </c>
      <c r="BG729">
        <f t="shared" si="638"/>
        <v>0</v>
      </c>
      <c r="BH729">
        <f t="shared" si="639"/>
        <v>0</v>
      </c>
      <c r="BI729">
        <f t="shared" si="640"/>
        <v>0</v>
      </c>
    </row>
    <row r="730" spans="1:61" x14ac:dyDescent="0.3">
      <c r="A730">
        <f t="shared" si="645"/>
        <v>0.69299999999999995</v>
      </c>
      <c r="B730">
        <f t="shared" si="646"/>
        <v>2.1771237089377267</v>
      </c>
      <c r="C730">
        <f t="shared" si="647"/>
        <v>0.96446894465206645</v>
      </c>
      <c r="D730">
        <f t="shared" si="648"/>
        <v>0.96446894465206645</v>
      </c>
      <c r="E730">
        <f t="shared" si="653"/>
        <v>0.82174640862959025</v>
      </c>
      <c r="F730">
        <f t="shared" si="654"/>
        <v>0.82174640862959025</v>
      </c>
      <c r="G730">
        <f t="shared" si="649"/>
        <v>2.1771237089377267</v>
      </c>
      <c r="H730">
        <f t="shared" si="650"/>
        <v>0.82174640862959025</v>
      </c>
      <c r="I730">
        <f t="shared" si="651"/>
        <v>0.82174640862959025</v>
      </c>
      <c r="J730">
        <f t="shared" si="641"/>
        <v>7.7471561260518228E+19</v>
      </c>
      <c r="K730">
        <f t="shared" si="642"/>
        <v>7.7471561260518228E+19</v>
      </c>
      <c r="L730">
        <f t="shared" si="655"/>
        <v>1</v>
      </c>
      <c r="M730">
        <f t="shared" si="652"/>
        <v>9.6446894465206642E-21</v>
      </c>
      <c r="N730" s="9">
        <f t="shared" si="643"/>
        <v>9.6446894465206642E-21</v>
      </c>
      <c r="O730">
        <f t="shared" si="644"/>
        <v>9.6446894465206642E-21</v>
      </c>
      <c r="Q730">
        <f t="shared" si="656"/>
        <v>45.79644259143177</v>
      </c>
      <c r="R730">
        <f t="shared" si="657"/>
        <v>0</v>
      </c>
      <c r="S730">
        <f t="shared" ref="S730:S793" si="679">LN(M730)</f>
        <v>-46.08787950542645</v>
      </c>
      <c r="T730" s="9" t="e">
        <f t="shared" si="658"/>
        <v>#N/A</v>
      </c>
      <c r="U730">
        <f t="shared" ref="U730:U793" si="680">IFERROR(T730-EXP(T730),-1E+300)</f>
        <v>-1.0000000000000001E+300</v>
      </c>
      <c r="V730">
        <f t="shared" ref="V730:V793" si="681">EXP(U730)</f>
        <v>0</v>
      </c>
      <c r="W730">
        <f t="shared" ref="W730:W793" si="682">IFERROR(T730-LN(N730),0)</f>
        <v>0</v>
      </c>
      <c r="X730">
        <f t="shared" si="659"/>
        <v>0.96446894465206645</v>
      </c>
      <c r="Y730">
        <f t="shared" si="660"/>
        <v>7.8539816339744828</v>
      </c>
      <c r="Z730">
        <f t="shared" si="661"/>
        <v>-0.96446894465206645</v>
      </c>
      <c r="AA730">
        <f t="shared" ref="AA730:AA793" si="683">Z730*TAN(PI()/2-X730)</f>
        <v>-0.66882660246510606</v>
      </c>
      <c r="AB730">
        <f t="shared" si="662"/>
        <v>7.1851550315093764</v>
      </c>
      <c r="AC730">
        <f t="shared" ref="AC730:AC793" si="684">LN(Z730/$AA$6)</f>
        <v>-0.48776035083499458</v>
      </c>
      <c r="AD730">
        <f t="shared" si="663"/>
        <v>0.19632343684031223</v>
      </c>
      <c r="AE730" s="9">
        <f t="shared" ref="AE730:AE793" si="685">AB730+AC730+AD730</f>
        <v>6.8937181175146938</v>
      </c>
      <c r="AF730">
        <f t="shared" ref="AF730:AF793" si="686">IFERROR(EXP(AE730)*EXP(-EXP(AE730)),0)</f>
        <v>0</v>
      </c>
      <c r="AH730">
        <f t="shared" si="664"/>
        <v>7.8539816339744828</v>
      </c>
      <c r="AI730">
        <f t="shared" si="665"/>
        <v>-0.66882660246510606</v>
      </c>
      <c r="AJ730">
        <f t="shared" si="666"/>
        <v>-0.48776035083498925</v>
      </c>
      <c r="AK730">
        <f t="shared" si="667"/>
        <v>0.19632343684031223</v>
      </c>
      <c r="AL730" s="9">
        <f t="shared" ref="AL730:AL793" si="687">SUM(AH730:AK730)</f>
        <v>6.8937181175146991</v>
      </c>
      <c r="AM730" t="e">
        <f t="shared" si="668"/>
        <v>#N/A</v>
      </c>
      <c r="AN730" t="e">
        <f t="shared" ref="AN730:AN793" si="688">AM730/AL730</f>
        <v>#N/A</v>
      </c>
      <c r="AO730">
        <f t="shared" si="669"/>
        <v>0</v>
      </c>
      <c r="AP730">
        <f t="shared" si="670"/>
        <v>0</v>
      </c>
      <c r="AQ730">
        <f t="shared" si="671"/>
        <v>5.3290705182007514E-15</v>
      </c>
      <c r="AR730">
        <f t="shared" ref="AR730:AR793" si="689">AP730/AI730</f>
        <v>0</v>
      </c>
      <c r="AS730">
        <f t="shared" si="672"/>
        <v>0</v>
      </c>
      <c r="AT730">
        <f t="shared" ref="AT730:AT793" si="690">AS730/AL730</f>
        <v>0</v>
      </c>
      <c r="AU730">
        <f t="shared" ref="AU730:AU793" si="691">IFERROR(EXP(AL730)*EXP(-EXP(AL730)),0)</f>
        <v>0</v>
      </c>
      <c r="AV730">
        <f t="shared" si="673"/>
        <v>9.6446894465206642E-21</v>
      </c>
      <c r="AW730" t="b">
        <f t="shared" ref="AW730:AW793" si="692">(ABS(_xlfn.COT(C730)*SIN(AV730))&lt;0.00000001)</f>
        <v>1</v>
      </c>
      <c r="AX730">
        <f t="shared" si="674"/>
        <v>7.8539816339744828</v>
      </c>
      <c r="AY730">
        <f t="shared" si="675"/>
        <v>-0.66882660246510606</v>
      </c>
      <c r="AZ730">
        <f t="shared" si="676"/>
        <v>-0.48776035083499458</v>
      </c>
      <c r="BA730">
        <f t="shared" si="677"/>
        <v>0.19632343684031223</v>
      </c>
      <c r="BB730">
        <f t="shared" si="678"/>
        <v>-1.2337005501361696E-20</v>
      </c>
      <c r="BD730" s="15">
        <f t="shared" ref="BD730:BD793" si="693">SUM(AX730:BB730)</f>
        <v>6.8937181175146938</v>
      </c>
      <c r="BE730" s="10">
        <f t="shared" ref="BE730:BE793" si="694">BD730-AL730</f>
        <v>0</v>
      </c>
      <c r="BF730">
        <f t="shared" ref="BF730:BF793" si="695">BD730-AE730</f>
        <v>0</v>
      </c>
      <c r="BG730">
        <f t="shared" ref="BG730:BG793" si="696">AX730-Y730</f>
        <v>0</v>
      </c>
      <c r="BH730">
        <f t="shared" ref="BH730:BH793" si="697">AY730-AA730</f>
        <v>0</v>
      </c>
      <c r="BI730">
        <f t="shared" ref="BI730:BI793" si="698">AZ730-AC730</f>
        <v>0</v>
      </c>
    </row>
    <row r="731" spans="1:61" x14ac:dyDescent="0.3">
      <c r="A731">
        <f t="shared" si="645"/>
        <v>0.69399999999999995</v>
      </c>
      <c r="B731">
        <f t="shared" si="646"/>
        <v>2.1802653015913163</v>
      </c>
      <c r="C731">
        <f t="shared" si="647"/>
        <v>0.96132735199847685</v>
      </c>
      <c r="D731">
        <f t="shared" si="648"/>
        <v>0.96132735199847685</v>
      </c>
      <c r="E731">
        <f t="shared" si="653"/>
        <v>0.81995210932545248</v>
      </c>
      <c r="F731">
        <f t="shared" si="654"/>
        <v>0.81995210932545237</v>
      </c>
      <c r="G731">
        <f t="shared" si="649"/>
        <v>2.1802653015913163</v>
      </c>
      <c r="H731">
        <f t="shared" si="650"/>
        <v>0.81995210932545248</v>
      </c>
      <c r="I731">
        <f t="shared" si="651"/>
        <v>0.81995210932545237</v>
      </c>
      <c r="J731">
        <f t="shared" si="641"/>
        <v>7.7641092098818736E+19</v>
      </c>
      <c r="K731">
        <f t="shared" si="642"/>
        <v>7.7641092098818736E+19</v>
      </c>
      <c r="L731">
        <f t="shared" si="655"/>
        <v>1</v>
      </c>
      <c r="M731">
        <f t="shared" si="652"/>
        <v>9.6132735199847676E-21</v>
      </c>
      <c r="N731" s="9">
        <f t="shared" si="643"/>
        <v>9.6132735199847676E-21</v>
      </c>
      <c r="O731">
        <f t="shared" si="644"/>
        <v>9.6132735199847676E-21</v>
      </c>
      <c r="Q731">
        <f t="shared" si="656"/>
        <v>45.798628498282476</v>
      </c>
      <c r="R731">
        <f t="shared" si="657"/>
        <v>-710542.73576010019</v>
      </c>
      <c r="S731">
        <f t="shared" si="679"/>
        <v>-46.09114215106127</v>
      </c>
      <c r="T731" s="9" t="e">
        <f t="shared" si="658"/>
        <v>#N/A</v>
      </c>
      <c r="U731">
        <f t="shared" si="680"/>
        <v>-1.0000000000000001E+300</v>
      </c>
      <c r="V731">
        <f t="shared" si="681"/>
        <v>0</v>
      </c>
      <c r="W731">
        <f t="shared" si="682"/>
        <v>0</v>
      </c>
      <c r="X731">
        <f t="shared" si="659"/>
        <v>0.96132735199847685</v>
      </c>
      <c r="Y731">
        <f t="shared" si="660"/>
        <v>7.8539816339744828</v>
      </c>
      <c r="Z731">
        <f t="shared" si="661"/>
        <v>-0.96132735199847685</v>
      </c>
      <c r="AA731">
        <f t="shared" si="683"/>
        <v>-0.67113024436197466</v>
      </c>
      <c r="AB731">
        <f t="shared" si="662"/>
        <v>7.1828513896125079</v>
      </c>
      <c r="AC731">
        <f t="shared" si="684"/>
        <v>-0.49102299646981079</v>
      </c>
      <c r="AD731">
        <f t="shared" si="663"/>
        <v>0.19850934369101847</v>
      </c>
      <c r="AE731" s="9">
        <f t="shared" si="685"/>
        <v>6.8903377368337155</v>
      </c>
      <c r="AF731">
        <f t="shared" si="686"/>
        <v>0</v>
      </c>
      <c r="AH731">
        <f t="shared" si="664"/>
        <v>7.8539816339744828</v>
      </c>
      <c r="AI731">
        <f t="shared" si="665"/>
        <v>-0.67113024436197466</v>
      </c>
      <c r="AJ731">
        <f t="shared" si="666"/>
        <v>-0.49102299646980896</v>
      </c>
      <c r="AK731">
        <f t="shared" si="667"/>
        <v>0.19850934369101847</v>
      </c>
      <c r="AL731" s="9">
        <f t="shared" si="687"/>
        <v>6.8903377368337173</v>
      </c>
      <c r="AM731" t="e">
        <f t="shared" si="668"/>
        <v>#N/A</v>
      </c>
      <c r="AN731" t="e">
        <f t="shared" si="688"/>
        <v>#N/A</v>
      </c>
      <c r="AO731">
        <f t="shared" si="669"/>
        <v>0</v>
      </c>
      <c r="AP731">
        <f t="shared" si="670"/>
        <v>0</v>
      </c>
      <c r="AQ731">
        <f t="shared" si="671"/>
        <v>1.8318679906315083E-15</v>
      </c>
      <c r="AR731">
        <f t="shared" si="689"/>
        <v>0</v>
      </c>
      <c r="AS731">
        <f t="shared" si="672"/>
        <v>0</v>
      </c>
      <c r="AT731">
        <f t="shared" si="690"/>
        <v>0</v>
      </c>
      <c r="AU731">
        <f t="shared" si="691"/>
        <v>0</v>
      </c>
      <c r="AV731">
        <f t="shared" si="673"/>
        <v>9.6132735199847676E-21</v>
      </c>
      <c r="AW731" t="b">
        <f t="shared" si="692"/>
        <v>1</v>
      </c>
      <c r="AX731">
        <f t="shared" si="674"/>
        <v>7.8539816339744828</v>
      </c>
      <c r="AY731">
        <f t="shared" si="675"/>
        <v>-0.67113024436197455</v>
      </c>
      <c r="AZ731">
        <f t="shared" si="676"/>
        <v>-0.49102299646981079</v>
      </c>
      <c r="BA731">
        <f t="shared" si="677"/>
        <v>0.19850934369101861</v>
      </c>
      <c r="BB731">
        <f t="shared" si="678"/>
        <v>-1.2337005501361696E-20</v>
      </c>
      <c r="BD731" s="15">
        <f t="shared" si="693"/>
        <v>6.8903377368337155</v>
      </c>
      <c r="BE731" s="10">
        <f t="shared" si="694"/>
        <v>0</v>
      </c>
      <c r="BF731">
        <f t="shared" si="695"/>
        <v>0</v>
      </c>
      <c r="BG731">
        <f t="shared" si="696"/>
        <v>0</v>
      </c>
      <c r="BH731">
        <f t="shared" si="697"/>
        <v>0</v>
      </c>
      <c r="BI731">
        <f t="shared" si="698"/>
        <v>0</v>
      </c>
    </row>
    <row r="732" spans="1:61" x14ac:dyDescent="0.3">
      <c r="A732">
        <f t="shared" si="645"/>
        <v>0.69499999999999995</v>
      </c>
      <c r="B732">
        <f t="shared" si="646"/>
        <v>2.1834068942449059</v>
      </c>
      <c r="C732">
        <f t="shared" si="647"/>
        <v>0.95818575934488726</v>
      </c>
      <c r="D732">
        <f t="shared" si="648"/>
        <v>0.95818575934488726</v>
      </c>
      <c r="E732">
        <f t="shared" si="653"/>
        <v>0.81814971742502374</v>
      </c>
      <c r="F732">
        <f t="shared" si="654"/>
        <v>0.81814971742502363</v>
      </c>
      <c r="G732">
        <f t="shared" si="649"/>
        <v>2.1834068942449059</v>
      </c>
      <c r="H732">
        <f t="shared" si="650"/>
        <v>0.81814971742502374</v>
      </c>
      <c r="I732">
        <f t="shared" si="651"/>
        <v>0.81814971742502363</v>
      </c>
      <c r="J732">
        <f t="shared" si="641"/>
        <v>7.7812136190821581E+19</v>
      </c>
      <c r="K732">
        <f t="shared" si="642"/>
        <v>7.7812136190821581E+19</v>
      </c>
      <c r="L732">
        <f t="shared" si="655"/>
        <v>1</v>
      </c>
      <c r="M732">
        <f t="shared" si="652"/>
        <v>9.581857593448871E-21</v>
      </c>
      <c r="N732" s="9">
        <f t="shared" si="643"/>
        <v>9.581857593448871E-21</v>
      </c>
      <c r="O732">
        <f t="shared" si="644"/>
        <v>9.581857593448871E-21</v>
      </c>
      <c r="Q732">
        <f t="shared" si="656"/>
        <v>45.800829085081595</v>
      </c>
      <c r="R732">
        <f t="shared" si="657"/>
        <v>-710542.73576010019</v>
      </c>
      <c r="S732">
        <f t="shared" si="679"/>
        <v>-46.09441547640624</v>
      </c>
      <c r="T732" s="9" t="e">
        <f t="shared" si="658"/>
        <v>#N/A</v>
      </c>
      <c r="U732">
        <f t="shared" si="680"/>
        <v>-1.0000000000000001E+300</v>
      </c>
      <c r="V732">
        <f t="shared" si="681"/>
        <v>0</v>
      </c>
      <c r="W732">
        <f t="shared" si="682"/>
        <v>0</v>
      </c>
      <c r="X732">
        <f t="shared" si="659"/>
        <v>0.95818575934488726</v>
      </c>
      <c r="Y732">
        <f t="shared" si="660"/>
        <v>7.8539816339744828</v>
      </c>
      <c r="Z732">
        <f t="shared" si="661"/>
        <v>-0.95818575934488726</v>
      </c>
      <c r="AA732">
        <f t="shared" si="683"/>
        <v>-0.67342423070246649</v>
      </c>
      <c r="AB732">
        <f t="shared" si="662"/>
        <v>7.1805574032720161</v>
      </c>
      <c r="AC732">
        <f t="shared" si="684"/>
        <v>-0.49429632181477978</v>
      </c>
      <c r="AD732">
        <f t="shared" si="663"/>
        <v>0.20070993049013913</v>
      </c>
      <c r="AE732" s="9">
        <f t="shared" si="685"/>
        <v>6.8869710119473755</v>
      </c>
      <c r="AF732">
        <f t="shared" si="686"/>
        <v>0</v>
      </c>
      <c r="AH732">
        <f t="shared" si="664"/>
        <v>7.8539816339744828</v>
      </c>
      <c r="AI732">
        <f t="shared" si="665"/>
        <v>-0.67342423070246626</v>
      </c>
      <c r="AJ732">
        <f t="shared" si="666"/>
        <v>-0.49429632181477956</v>
      </c>
      <c r="AK732">
        <f t="shared" si="667"/>
        <v>0.20070993049013913</v>
      </c>
      <c r="AL732" s="9">
        <f t="shared" si="687"/>
        <v>6.8869710119473764</v>
      </c>
      <c r="AM732" t="e">
        <f t="shared" si="668"/>
        <v>#N/A</v>
      </c>
      <c r="AN732" t="e">
        <f t="shared" si="688"/>
        <v>#N/A</v>
      </c>
      <c r="AO732">
        <f t="shared" si="669"/>
        <v>0</v>
      </c>
      <c r="AP732">
        <f t="shared" si="670"/>
        <v>0</v>
      </c>
      <c r="AQ732">
        <f t="shared" si="671"/>
        <v>0</v>
      </c>
      <c r="AR732">
        <f t="shared" si="689"/>
        <v>0</v>
      </c>
      <c r="AS732">
        <f t="shared" si="672"/>
        <v>0</v>
      </c>
      <c r="AT732">
        <f t="shared" si="690"/>
        <v>0</v>
      </c>
      <c r="AU732">
        <f t="shared" si="691"/>
        <v>0</v>
      </c>
      <c r="AV732">
        <f t="shared" si="673"/>
        <v>9.5818575934488725E-21</v>
      </c>
      <c r="AW732" t="b">
        <f t="shared" si="692"/>
        <v>1</v>
      </c>
      <c r="AX732">
        <f t="shared" si="674"/>
        <v>7.8539816339744828</v>
      </c>
      <c r="AY732">
        <f t="shared" si="675"/>
        <v>-0.67342423070246649</v>
      </c>
      <c r="AZ732">
        <f t="shared" si="676"/>
        <v>-0.49429632181477962</v>
      </c>
      <c r="BA732">
        <f t="shared" si="677"/>
        <v>0.20070993049013927</v>
      </c>
      <c r="BB732">
        <f t="shared" si="678"/>
        <v>-1.2337005501361696E-20</v>
      </c>
      <c r="BD732" s="15">
        <f t="shared" si="693"/>
        <v>6.8869710119473755</v>
      </c>
      <c r="BE732" s="10">
        <f t="shared" si="694"/>
        <v>0</v>
      </c>
      <c r="BF732">
        <f t="shared" si="695"/>
        <v>0</v>
      </c>
      <c r="BG732">
        <f t="shared" si="696"/>
        <v>0</v>
      </c>
      <c r="BH732">
        <f t="shared" si="697"/>
        <v>0</v>
      </c>
      <c r="BI732">
        <f t="shared" si="698"/>
        <v>0</v>
      </c>
    </row>
    <row r="733" spans="1:61" x14ac:dyDescent="0.3">
      <c r="A733">
        <f t="shared" si="645"/>
        <v>0.69599999999999995</v>
      </c>
      <c r="B733">
        <f t="shared" si="646"/>
        <v>2.1865484868984959</v>
      </c>
      <c r="C733">
        <f t="shared" si="647"/>
        <v>0.95504416669129721</v>
      </c>
      <c r="D733">
        <f t="shared" si="648"/>
        <v>0.95504416669129721</v>
      </c>
      <c r="E733">
        <f t="shared" si="653"/>
        <v>0.81633925071718405</v>
      </c>
      <c r="F733">
        <f t="shared" si="654"/>
        <v>0.81633925071718394</v>
      </c>
      <c r="G733">
        <f t="shared" si="649"/>
        <v>2.1865484868984959</v>
      </c>
      <c r="H733">
        <f t="shared" si="650"/>
        <v>0.81633925071718405</v>
      </c>
      <c r="I733">
        <f t="shared" si="651"/>
        <v>0.81633925071718394</v>
      </c>
      <c r="J733">
        <f t="shared" si="641"/>
        <v>7.7984706947300098E+19</v>
      </c>
      <c r="K733">
        <f t="shared" si="642"/>
        <v>7.7984706947300098E+19</v>
      </c>
      <c r="L733">
        <f t="shared" si="655"/>
        <v>1</v>
      </c>
      <c r="M733">
        <f t="shared" si="652"/>
        <v>9.5504416669129713E-21</v>
      </c>
      <c r="N733" s="9">
        <f t="shared" si="643"/>
        <v>9.5504416669129713E-21</v>
      </c>
      <c r="O733">
        <f t="shared" si="644"/>
        <v>9.5504416669129713E-21</v>
      </c>
      <c r="Q733">
        <f t="shared" si="656"/>
        <v>45.803044416580995</v>
      </c>
      <c r="R733">
        <f t="shared" si="657"/>
        <v>-710542.73576010019</v>
      </c>
      <c r="S733">
        <f t="shared" si="679"/>
        <v>-46.097699551607427</v>
      </c>
      <c r="T733" s="9" t="e">
        <f t="shared" si="658"/>
        <v>#N/A</v>
      </c>
      <c r="U733">
        <f t="shared" si="680"/>
        <v>-1.0000000000000001E+300</v>
      </c>
      <c r="V733">
        <f t="shared" si="681"/>
        <v>0</v>
      </c>
      <c r="W733">
        <f t="shared" si="682"/>
        <v>0</v>
      </c>
      <c r="X733">
        <f t="shared" si="659"/>
        <v>0.95504416669129721</v>
      </c>
      <c r="Y733">
        <f t="shared" si="660"/>
        <v>7.8539816339744828</v>
      </c>
      <c r="Z733">
        <f t="shared" si="661"/>
        <v>-0.95504416669129721</v>
      </c>
      <c r="AA733">
        <f t="shared" si="683"/>
        <v>-0.67570858654530186</v>
      </c>
      <c r="AB733">
        <f t="shared" si="662"/>
        <v>7.1782730474291814</v>
      </c>
      <c r="AC733">
        <f t="shared" si="684"/>
        <v>-0.4975803970159699</v>
      </c>
      <c r="AD733">
        <f t="shared" si="663"/>
        <v>0.20292526198953995</v>
      </c>
      <c r="AE733" s="9">
        <f t="shared" si="685"/>
        <v>6.8836179124027517</v>
      </c>
      <c r="AF733">
        <f t="shared" si="686"/>
        <v>0</v>
      </c>
      <c r="AH733">
        <f t="shared" si="664"/>
        <v>7.8539816339744828</v>
      </c>
      <c r="AI733">
        <f t="shared" si="665"/>
        <v>-0.67570858654530186</v>
      </c>
      <c r="AJ733">
        <f t="shared" si="666"/>
        <v>-0.49758039701596601</v>
      </c>
      <c r="AK733">
        <f t="shared" si="667"/>
        <v>0.20292526198953995</v>
      </c>
      <c r="AL733" s="9">
        <f t="shared" si="687"/>
        <v>6.8836179124027552</v>
      </c>
      <c r="AM733" t="e">
        <f t="shared" si="668"/>
        <v>#N/A</v>
      </c>
      <c r="AN733" t="e">
        <f t="shared" si="688"/>
        <v>#N/A</v>
      </c>
      <c r="AO733">
        <f t="shared" si="669"/>
        <v>0</v>
      </c>
      <c r="AP733">
        <f t="shared" si="670"/>
        <v>0</v>
      </c>
      <c r="AQ733">
        <f t="shared" si="671"/>
        <v>3.8857805861880479E-15</v>
      </c>
      <c r="AR733">
        <f t="shared" si="689"/>
        <v>0</v>
      </c>
      <c r="AS733">
        <f t="shared" si="672"/>
        <v>0</v>
      </c>
      <c r="AT733">
        <f t="shared" si="690"/>
        <v>0</v>
      </c>
      <c r="AU733">
        <f t="shared" si="691"/>
        <v>0</v>
      </c>
      <c r="AV733">
        <f t="shared" si="673"/>
        <v>9.5504416669129713E-21</v>
      </c>
      <c r="AW733" t="b">
        <f t="shared" si="692"/>
        <v>1</v>
      </c>
      <c r="AX733">
        <f t="shared" si="674"/>
        <v>7.8539816339744828</v>
      </c>
      <c r="AY733">
        <f t="shared" si="675"/>
        <v>-0.67570858654530186</v>
      </c>
      <c r="AZ733">
        <f t="shared" si="676"/>
        <v>-0.4975803970159699</v>
      </c>
      <c r="BA733">
        <f t="shared" si="677"/>
        <v>0.20292526198954008</v>
      </c>
      <c r="BB733">
        <f t="shared" si="678"/>
        <v>-1.2337005501361696E-20</v>
      </c>
      <c r="BD733" s="15">
        <f t="shared" si="693"/>
        <v>6.8836179124027517</v>
      </c>
      <c r="BE733" s="10">
        <f t="shared" si="694"/>
        <v>0</v>
      </c>
      <c r="BF733">
        <f t="shared" si="695"/>
        <v>0</v>
      </c>
      <c r="BG733">
        <f t="shared" si="696"/>
        <v>0</v>
      </c>
      <c r="BH733">
        <f t="shared" si="697"/>
        <v>0</v>
      </c>
      <c r="BI733">
        <f t="shared" si="698"/>
        <v>0</v>
      </c>
    </row>
    <row r="734" spans="1:61" x14ac:dyDescent="0.3">
      <c r="A734">
        <f t="shared" si="645"/>
        <v>0.69699999999999995</v>
      </c>
      <c r="B734">
        <f t="shared" si="646"/>
        <v>2.1896900795520855</v>
      </c>
      <c r="C734">
        <f t="shared" si="647"/>
        <v>0.95190257403770762</v>
      </c>
      <c r="D734">
        <f t="shared" si="648"/>
        <v>0.95190257403770762</v>
      </c>
      <c r="E734">
        <f t="shared" si="653"/>
        <v>0.8145207270705096</v>
      </c>
      <c r="F734">
        <f t="shared" si="654"/>
        <v>0.81452072707050949</v>
      </c>
      <c r="G734">
        <f t="shared" si="649"/>
        <v>2.1896900795520855</v>
      </c>
      <c r="H734">
        <f t="shared" si="650"/>
        <v>0.8145207270705096</v>
      </c>
      <c r="I734">
        <f t="shared" si="651"/>
        <v>0.81452072707050949</v>
      </c>
      <c r="J734">
        <f t="shared" si="641"/>
        <v>7.8158817966147584E+19</v>
      </c>
      <c r="K734">
        <f t="shared" si="642"/>
        <v>7.8158817966147584E+19</v>
      </c>
      <c r="L734">
        <f t="shared" si="655"/>
        <v>1</v>
      </c>
      <c r="M734">
        <f t="shared" si="652"/>
        <v>9.5190257403770747E-21</v>
      </c>
      <c r="N734" s="9">
        <f t="shared" si="643"/>
        <v>9.5190257403770747E-21</v>
      </c>
      <c r="O734">
        <f t="shared" si="644"/>
        <v>9.5190257403770747E-21</v>
      </c>
      <c r="Q734">
        <f t="shared" si="656"/>
        <v>45.805274558254901</v>
      </c>
      <c r="R734">
        <f t="shared" si="657"/>
        <v>0</v>
      </c>
      <c r="S734">
        <f t="shared" si="679"/>
        <v>-46.100994447504284</v>
      </c>
      <c r="T734" s="9" t="e">
        <f t="shared" si="658"/>
        <v>#N/A</v>
      </c>
      <c r="U734">
        <f t="shared" si="680"/>
        <v>-1.0000000000000001E+300</v>
      </c>
      <c r="V734">
        <f t="shared" si="681"/>
        <v>0</v>
      </c>
      <c r="W734">
        <f t="shared" si="682"/>
        <v>0</v>
      </c>
      <c r="X734">
        <f t="shared" si="659"/>
        <v>0.95190257403770762</v>
      </c>
      <c r="Y734">
        <f t="shared" si="660"/>
        <v>7.8539816339744828</v>
      </c>
      <c r="Z734">
        <f t="shared" si="661"/>
        <v>-0.95190257403770762</v>
      </c>
      <c r="AA734">
        <f t="shared" si="683"/>
        <v>-0.67798333678960876</v>
      </c>
      <c r="AB734">
        <f t="shared" si="662"/>
        <v>7.1759982971848739</v>
      </c>
      <c r="AC734">
        <f t="shared" si="684"/>
        <v>-0.50087529291282229</v>
      </c>
      <c r="AD734">
        <f t="shared" si="663"/>
        <v>0.20515540366344182</v>
      </c>
      <c r="AE734" s="9">
        <f t="shared" si="685"/>
        <v>6.8802784079354931</v>
      </c>
      <c r="AF734">
        <f t="shared" si="686"/>
        <v>0</v>
      </c>
      <c r="AH734">
        <f t="shared" si="664"/>
        <v>7.8539816339744828</v>
      </c>
      <c r="AI734">
        <f t="shared" si="665"/>
        <v>-0.67798333678960843</v>
      </c>
      <c r="AJ734">
        <f t="shared" si="666"/>
        <v>-0.50087529291282351</v>
      </c>
      <c r="AK734">
        <f t="shared" si="667"/>
        <v>0.20515540366344182</v>
      </c>
      <c r="AL734" s="9">
        <f t="shared" si="687"/>
        <v>6.8802784079354922</v>
      </c>
      <c r="AM734" t="e">
        <f t="shared" si="668"/>
        <v>#N/A</v>
      </c>
      <c r="AN734" t="e">
        <f t="shared" si="688"/>
        <v>#N/A</v>
      </c>
      <c r="AO734">
        <f t="shared" si="669"/>
        <v>0</v>
      </c>
      <c r="AP734">
        <f t="shared" si="670"/>
        <v>0</v>
      </c>
      <c r="AQ734">
        <f t="shared" si="671"/>
        <v>-1.2212453270876722E-15</v>
      </c>
      <c r="AR734">
        <f t="shared" si="689"/>
        <v>0</v>
      </c>
      <c r="AS734">
        <f t="shared" si="672"/>
        <v>0</v>
      </c>
      <c r="AT734">
        <f t="shared" si="690"/>
        <v>0</v>
      </c>
      <c r="AU734">
        <f t="shared" si="691"/>
        <v>0</v>
      </c>
      <c r="AV734">
        <f t="shared" si="673"/>
        <v>9.5190257403770762E-21</v>
      </c>
      <c r="AW734" t="b">
        <f t="shared" si="692"/>
        <v>1</v>
      </c>
      <c r="AX734">
        <f t="shared" si="674"/>
        <v>7.8539816339744828</v>
      </c>
      <c r="AY734">
        <f t="shared" si="675"/>
        <v>-0.67798333678960887</v>
      </c>
      <c r="AZ734">
        <f t="shared" si="676"/>
        <v>-0.50087529291282229</v>
      </c>
      <c r="BA734">
        <f t="shared" si="677"/>
        <v>0.20515540366344195</v>
      </c>
      <c r="BB734">
        <f t="shared" si="678"/>
        <v>-1.2337005501361696E-20</v>
      </c>
      <c r="BD734" s="15">
        <f t="shared" si="693"/>
        <v>6.8802784079354931</v>
      </c>
      <c r="BE734" s="10">
        <f t="shared" si="694"/>
        <v>0</v>
      </c>
      <c r="BF734">
        <f t="shared" si="695"/>
        <v>0</v>
      </c>
      <c r="BG734">
        <f t="shared" si="696"/>
        <v>0</v>
      </c>
      <c r="BH734">
        <f t="shared" si="697"/>
        <v>0</v>
      </c>
      <c r="BI734">
        <f t="shared" si="698"/>
        <v>0</v>
      </c>
    </row>
    <row r="735" spans="1:61" x14ac:dyDescent="0.3">
      <c r="A735">
        <f t="shared" si="645"/>
        <v>0.69799999999999995</v>
      </c>
      <c r="B735">
        <f t="shared" si="646"/>
        <v>2.1928316722056755</v>
      </c>
      <c r="C735">
        <f t="shared" si="647"/>
        <v>0.94876098138411757</v>
      </c>
      <c r="D735">
        <f t="shared" si="648"/>
        <v>0.94876098138411757</v>
      </c>
      <c r="E735">
        <f t="shared" si="653"/>
        <v>0.81269416443309406</v>
      </c>
      <c r="F735">
        <f t="shared" si="654"/>
        <v>0.81269416443309395</v>
      </c>
      <c r="G735">
        <f t="shared" si="649"/>
        <v>2.1928316722056755</v>
      </c>
      <c r="H735">
        <f t="shared" si="650"/>
        <v>0.81269416443309406</v>
      </c>
      <c r="I735">
        <f t="shared" si="651"/>
        <v>0.81269416443309395</v>
      </c>
      <c r="J735">
        <f t="shared" si="641"/>
        <v>7.8334483035406598E+19</v>
      </c>
      <c r="K735">
        <f t="shared" si="642"/>
        <v>7.8334483035406598E+19</v>
      </c>
      <c r="L735">
        <f t="shared" si="655"/>
        <v>1</v>
      </c>
      <c r="M735">
        <f t="shared" si="652"/>
        <v>9.4876098138411751E-21</v>
      </c>
      <c r="N735" s="9">
        <f t="shared" si="643"/>
        <v>9.4876098138411751E-21</v>
      </c>
      <c r="O735">
        <f t="shared" si="644"/>
        <v>9.4876098138411751E-21</v>
      </c>
      <c r="Q735">
        <f t="shared" si="656"/>
        <v>45.807519576308906</v>
      </c>
      <c r="R735">
        <f t="shared" si="657"/>
        <v>-710542.73576010019</v>
      </c>
      <c r="S735">
        <f t="shared" si="679"/>
        <v>-46.104300235638782</v>
      </c>
      <c r="T735" s="9" t="e">
        <f t="shared" si="658"/>
        <v>#N/A</v>
      </c>
      <c r="U735">
        <f t="shared" si="680"/>
        <v>-1.0000000000000001E+300</v>
      </c>
      <c r="V735">
        <f t="shared" si="681"/>
        <v>0</v>
      </c>
      <c r="W735">
        <f t="shared" si="682"/>
        <v>0</v>
      </c>
      <c r="X735">
        <f t="shared" si="659"/>
        <v>0.94876098138411757</v>
      </c>
      <c r="Y735">
        <f t="shared" si="660"/>
        <v>7.8539816339744828</v>
      </c>
      <c r="Z735">
        <f t="shared" si="661"/>
        <v>-0.94876098138411757</v>
      </c>
      <c r="AA735">
        <f t="shared" si="683"/>
        <v>-0.6802485061759701</v>
      </c>
      <c r="AB735">
        <f t="shared" si="662"/>
        <v>7.1737331277985126</v>
      </c>
      <c r="AC735">
        <f t="shared" si="684"/>
        <v>-0.50418108104732218</v>
      </c>
      <c r="AD735">
        <f t="shared" si="663"/>
        <v>0.20740042171744957</v>
      </c>
      <c r="AE735" s="9">
        <f t="shared" si="685"/>
        <v>6.8769524684686401</v>
      </c>
      <c r="AF735">
        <f t="shared" si="686"/>
        <v>0</v>
      </c>
      <c r="AH735">
        <f t="shared" si="664"/>
        <v>7.8539816339744828</v>
      </c>
      <c r="AI735">
        <f t="shared" si="665"/>
        <v>-0.68024850617596999</v>
      </c>
      <c r="AJ735">
        <f t="shared" si="666"/>
        <v>-0.50418108104732084</v>
      </c>
      <c r="AK735">
        <f t="shared" si="667"/>
        <v>0.20740042171744957</v>
      </c>
      <c r="AL735" s="9">
        <f t="shared" si="687"/>
        <v>6.8769524684686409</v>
      </c>
      <c r="AM735" t="e">
        <f t="shared" si="668"/>
        <v>#N/A</v>
      </c>
      <c r="AN735" t="e">
        <f t="shared" si="688"/>
        <v>#N/A</v>
      </c>
      <c r="AO735">
        <f t="shared" si="669"/>
        <v>0</v>
      </c>
      <c r="AP735">
        <f t="shared" si="670"/>
        <v>0</v>
      </c>
      <c r="AQ735">
        <f t="shared" si="671"/>
        <v>1.3322676295501878E-15</v>
      </c>
      <c r="AR735">
        <f t="shared" si="689"/>
        <v>0</v>
      </c>
      <c r="AS735">
        <f t="shared" si="672"/>
        <v>0</v>
      </c>
      <c r="AT735">
        <f t="shared" si="690"/>
        <v>0</v>
      </c>
      <c r="AU735">
        <f t="shared" si="691"/>
        <v>0</v>
      </c>
      <c r="AV735">
        <f t="shared" si="673"/>
        <v>9.4876098138411751E-21</v>
      </c>
      <c r="AW735" t="b">
        <f t="shared" si="692"/>
        <v>1</v>
      </c>
      <c r="AX735">
        <f t="shared" si="674"/>
        <v>7.8539816339744828</v>
      </c>
      <c r="AY735">
        <f t="shared" si="675"/>
        <v>-0.68024850617597021</v>
      </c>
      <c r="AZ735">
        <f t="shared" si="676"/>
        <v>-0.50418108104732196</v>
      </c>
      <c r="BA735">
        <f t="shared" si="677"/>
        <v>0.20740042171744971</v>
      </c>
      <c r="BB735">
        <f t="shared" si="678"/>
        <v>-1.2337005501361696E-20</v>
      </c>
      <c r="BD735" s="15">
        <f t="shared" si="693"/>
        <v>6.8769524684686409</v>
      </c>
      <c r="BE735" s="10">
        <f t="shared" si="694"/>
        <v>0</v>
      </c>
      <c r="BF735">
        <f t="shared" si="695"/>
        <v>0</v>
      </c>
      <c r="BG735">
        <f t="shared" si="696"/>
        <v>0</v>
      </c>
      <c r="BH735">
        <f t="shared" si="697"/>
        <v>0</v>
      </c>
      <c r="BI735">
        <f t="shared" si="698"/>
        <v>0</v>
      </c>
    </row>
    <row r="736" spans="1:61" x14ac:dyDescent="0.3">
      <c r="A736">
        <f t="shared" si="645"/>
        <v>0.69899999999999995</v>
      </c>
      <c r="B736">
        <f t="shared" si="646"/>
        <v>2.1959732648592651</v>
      </c>
      <c r="C736">
        <f t="shared" si="647"/>
        <v>0.94561938873052798</v>
      </c>
      <c r="D736">
        <f t="shared" si="648"/>
        <v>0.94561938873052798</v>
      </c>
      <c r="E736">
        <f t="shared" si="653"/>
        <v>0.81085958083237364</v>
      </c>
      <c r="F736">
        <f t="shared" si="654"/>
        <v>0.81085958083237364</v>
      </c>
      <c r="G736">
        <f t="shared" si="649"/>
        <v>2.1959732648592651</v>
      </c>
      <c r="H736">
        <f t="shared" si="650"/>
        <v>0.81085958083237364</v>
      </c>
      <c r="I736">
        <f t="shared" si="651"/>
        <v>0.81085958083237364</v>
      </c>
      <c r="J736">
        <f t="shared" si="641"/>
        <v>7.8511716136358724E+19</v>
      </c>
      <c r="K736">
        <f t="shared" si="642"/>
        <v>7.8511716136358724E+19</v>
      </c>
      <c r="L736">
        <f t="shared" si="655"/>
        <v>1</v>
      </c>
      <c r="M736">
        <f t="shared" si="652"/>
        <v>9.4561938873052785E-21</v>
      </c>
      <c r="N736" s="9">
        <f t="shared" si="643"/>
        <v>9.4561938873052785E-21</v>
      </c>
      <c r="O736">
        <f t="shared" si="644"/>
        <v>9.4561938873052785E-21</v>
      </c>
      <c r="Q736">
        <f t="shared" si="656"/>
        <v>45.809779537689188</v>
      </c>
      <c r="R736">
        <f t="shared" si="657"/>
        <v>0</v>
      </c>
      <c r="S736">
        <f t="shared" si="679"/>
        <v>-46.107616988264773</v>
      </c>
      <c r="T736" s="9" t="e">
        <f t="shared" si="658"/>
        <v>#N/A</v>
      </c>
      <c r="U736">
        <f t="shared" si="680"/>
        <v>-1.0000000000000001E+300</v>
      </c>
      <c r="V736">
        <f t="shared" si="681"/>
        <v>0</v>
      </c>
      <c r="W736">
        <f t="shared" si="682"/>
        <v>0</v>
      </c>
      <c r="X736">
        <f t="shared" si="659"/>
        <v>0.94561938873052798</v>
      </c>
      <c r="Y736">
        <f t="shared" si="660"/>
        <v>7.8539816339744828</v>
      </c>
      <c r="Z736">
        <f t="shared" si="661"/>
        <v>-0.94561938873052798</v>
      </c>
      <c r="AA736">
        <f t="shared" si="683"/>
        <v>-0.68250411928745724</v>
      </c>
      <c r="AB736">
        <f t="shared" si="662"/>
        <v>7.1714775146870258</v>
      </c>
      <c r="AC736">
        <f t="shared" si="684"/>
        <v>-0.50749783367331569</v>
      </c>
      <c r="AD736">
        <f t="shared" si="663"/>
        <v>0.2096603830977285</v>
      </c>
      <c r="AE736" s="9">
        <f t="shared" si="685"/>
        <v>6.8736400641114379</v>
      </c>
      <c r="AF736">
        <f t="shared" si="686"/>
        <v>0</v>
      </c>
      <c r="AH736">
        <f t="shared" si="664"/>
        <v>7.8539816339744828</v>
      </c>
      <c r="AI736">
        <f t="shared" si="665"/>
        <v>-0.68250411928745702</v>
      </c>
      <c r="AJ736">
        <f t="shared" si="666"/>
        <v>-0.50749783367331247</v>
      </c>
      <c r="AK736">
        <f t="shared" si="667"/>
        <v>0.2096603830977285</v>
      </c>
      <c r="AL736" s="9">
        <f t="shared" si="687"/>
        <v>6.8736400641114415</v>
      </c>
      <c r="AM736" t="e">
        <f t="shared" si="668"/>
        <v>#N/A</v>
      </c>
      <c r="AN736" t="e">
        <f t="shared" si="688"/>
        <v>#N/A</v>
      </c>
      <c r="AO736">
        <f t="shared" si="669"/>
        <v>0</v>
      </c>
      <c r="AP736">
        <f t="shared" si="670"/>
        <v>0</v>
      </c>
      <c r="AQ736">
        <f t="shared" si="671"/>
        <v>3.219646771412954E-15</v>
      </c>
      <c r="AR736">
        <f t="shared" si="689"/>
        <v>0</v>
      </c>
      <c r="AS736">
        <f t="shared" si="672"/>
        <v>0</v>
      </c>
      <c r="AT736">
        <f t="shared" si="690"/>
        <v>0</v>
      </c>
      <c r="AU736">
        <f t="shared" si="691"/>
        <v>0</v>
      </c>
      <c r="AV736">
        <f t="shared" si="673"/>
        <v>9.4561938873052785E-21</v>
      </c>
      <c r="AW736" t="b">
        <f t="shared" si="692"/>
        <v>1</v>
      </c>
      <c r="AX736">
        <f t="shared" si="674"/>
        <v>7.8539816339744828</v>
      </c>
      <c r="AY736">
        <f t="shared" si="675"/>
        <v>-0.68250411928745713</v>
      </c>
      <c r="AZ736">
        <f t="shared" si="676"/>
        <v>-0.50749783367331591</v>
      </c>
      <c r="BA736">
        <f t="shared" si="677"/>
        <v>0.2096603830977285</v>
      </c>
      <c r="BB736">
        <f t="shared" si="678"/>
        <v>-1.2337005501361696E-20</v>
      </c>
      <c r="BD736" s="15">
        <f t="shared" si="693"/>
        <v>6.8736400641114379</v>
      </c>
      <c r="BE736" s="10">
        <f t="shared" si="694"/>
        <v>0</v>
      </c>
      <c r="BF736">
        <f t="shared" si="695"/>
        <v>0</v>
      </c>
      <c r="BG736">
        <f t="shared" si="696"/>
        <v>0</v>
      </c>
      <c r="BH736">
        <f t="shared" si="697"/>
        <v>0</v>
      </c>
      <c r="BI736">
        <f t="shared" si="698"/>
        <v>0</v>
      </c>
    </row>
    <row r="737" spans="1:61" x14ac:dyDescent="0.3">
      <c r="A737">
        <f t="shared" si="645"/>
        <v>0.7</v>
      </c>
      <c r="B737">
        <f t="shared" si="646"/>
        <v>2.1991148575128552</v>
      </c>
      <c r="C737">
        <f t="shared" si="647"/>
        <v>0.94247779607693793</v>
      </c>
      <c r="D737">
        <f t="shared" si="648"/>
        <v>0.94247779607693793</v>
      </c>
      <c r="E737">
        <f t="shared" si="653"/>
        <v>0.80901699437494745</v>
      </c>
      <c r="F737">
        <f t="shared" si="654"/>
        <v>0.80901699437494745</v>
      </c>
      <c r="G737">
        <f t="shared" si="649"/>
        <v>2.1991148575128552</v>
      </c>
      <c r="H737">
        <f t="shared" si="650"/>
        <v>0.80901699437494745</v>
      </c>
      <c r="I737">
        <f t="shared" si="651"/>
        <v>0.80901699437494745</v>
      </c>
      <c r="J737">
        <f t="shared" si="641"/>
        <v>7.8690531446677291E+19</v>
      </c>
      <c r="K737">
        <f t="shared" si="642"/>
        <v>7.8690531446677291E+19</v>
      </c>
      <c r="L737" t="e">
        <f t="shared" si="655"/>
        <v>#NUM!</v>
      </c>
      <c r="M737">
        <f t="shared" si="652"/>
        <v>9.4247779607693789E-21</v>
      </c>
      <c r="N737" s="9" t="e">
        <f t="shared" si="643"/>
        <v>#NUM!</v>
      </c>
      <c r="O737" t="e">
        <f t="shared" si="644"/>
        <v>#NUM!</v>
      </c>
      <c r="Q737">
        <f t="shared" si="656"/>
        <v>45.812054510091798</v>
      </c>
      <c r="R737">
        <f t="shared" si="657"/>
        <v>-710542.73576010019</v>
      </c>
      <c r="S737">
        <f t="shared" si="679"/>
        <v>-46.11094477835745</v>
      </c>
      <c r="T737" s="9" t="e">
        <f t="shared" si="658"/>
        <v>#N/A</v>
      </c>
      <c r="U737">
        <f t="shared" si="680"/>
        <v>-1.0000000000000001E+300</v>
      </c>
      <c r="V737">
        <f t="shared" si="681"/>
        <v>0</v>
      </c>
      <c r="W737">
        <f t="shared" si="682"/>
        <v>0</v>
      </c>
      <c r="X737">
        <f t="shared" si="659"/>
        <v>0.94247779607693793</v>
      </c>
      <c r="Y737">
        <f t="shared" si="660"/>
        <v>7.8539816339744828</v>
      </c>
      <c r="Z737">
        <f t="shared" si="661"/>
        <v>-0.94247779607693793</v>
      </c>
      <c r="AA737">
        <f t="shared" si="683"/>
        <v>-0.68475020055065949</v>
      </c>
      <c r="AB737">
        <f t="shared" si="662"/>
        <v>7.169231433423823</v>
      </c>
      <c r="AC737">
        <f t="shared" si="684"/>
        <v>-0.51082562376599072</v>
      </c>
      <c r="AD737">
        <f t="shared" si="663"/>
        <v>0.21193535550034182</v>
      </c>
      <c r="AE737" s="9">
        <f t="shared" si="685"/>
        <v>6.8703411651581741</v>
      </c>
      <c r="AF737">
        <f t="shared" si="686"/>
        <v>0</v>
      </c>
      <c r="AH737">
        <f t="shared" si="664"/>
        <v>7.8539816339744828</v>
      </c>
      <c r="AI737">
        <f t="shared" si="665"/>
        <v>-0.6847502005506596</v>
      </c>
      <c r="AJ737">
        <f t="shared" si="666"/>
        <v>-0.51082562376598872</v>
      </c>
      <c r="AK737">
        <f t="shared" si="667"/>
        <v>0.21193535550034182</v>
      </c>
      <c r="AL737" s="9">
        <f t="shared" si="687"/>
        <v>6.8703411651581758</v>
      </c>
      <c r="AM737" t="e">
        <f t="shared" si="668"/>
        <v>#N/A</v>
      </c>
      <c r="AN737" t="e">
        <f t="shared" si="688"/>
        <v>#N/A</v>
      </c>
      <c r="AO737">
        <f t="shared" si="669"/>
        <v>0</v>
      </c>
      <c r="AP737">
        <f t="shared" si="670"/>
        <v>0</v>
      </c>
      <c r="AQ737">
        <f t="shared" si="671"/>
        <v>1.9984014443252818E-15</v>
      </c>
      <c r="AR737">
        <f t="shared" si="689"/>
        <v>0</v>
      </c>
      <c r="AS737">
        <f t="shared" si="672"/>
        <v>0</v>
      </c>
      <c r="AT737">
        <f t="shared" si="690"/>
        <v>0</v>
      </c>
      <c r="AU737">
        <f t="shared" si="691"/>
        <v>0</v>
      </c>
      <c r="AV737">
        <f t="shared" si="673"/>
        <v>9.4247779607693789E-21</v>
      </c>
      <c r="AW737" t="b">
        <f t="shared" si="692"/>
        <v>1</v>
      </c>
      <c r="AX737">
        <f t="shared" si="674"/>
        <v>7.8539816339744828</v>
      </c>
      <c r="AY737">
        <f t="shared" si="675"/>
        <v>-0.6847502005506596</v>
      </c>
      <c r="AZ737">
        <f t="shared" si="676"/>
        <v>-0.51082562376599072</v>
      </c>
      <c r="BA737">
        <f t="shared" si="677"/>
        <v>0.21193535550034182</v>
      </c>
      <c r="BB737">
        <f t="shared" si="678"/>
        <v>-1.2337005501361696E-20</v>
      </c>
      <c r="BD737" s="15">
        <f t="shared" si="693"/>
        <v>6.8703411651581741</v>
      </c>
      <c r="BE737" s="10">
        <f t="shared" si="694"/>
        <v>0</v>
      </c>
      <c r="BF737">
        <f t="shared" si="695"/>
        <v>0</v>
      </c>
      <c r="BG737">
        <f t="shared" si="696"/>
        <v>0</v>
      </c>
      <c r="BH737">
        <f t="shared" si="697"/>
        <v>0</v>
      </c>
      <c r="BI737">
        <f t="shared" si="698"/>
        <v>0</v>
      </c>
    </row>
    <row r="738" spans="1:61" x14ac:dyDescent="0.3">
      <c r="A738">
        <f t="shared" si="645"/>
        <v>0.70099999999999996</v>
      </c>
      <c r="B738">
        <f t="shared" si="646"/>
        <v>2.2022564501664448</v>
      </c>
      <c r="C738">
        <f t="shared" si="647"/>
        <v>0.93933620342334834</v>
      </c>
      <c r="D738">
        <f t="shared" si="648"/>
        <v>0.93933620342334834</v>
      </c>
      <c r="E738">
        <f t="shared" si="653"/>
        <v>0.80716642324640042</v>
      </c>
      <c r="F738">
        <f t="shared" si="654"/>
        <v>0.80716642324640042</v>
      </c>
      <c r="G738">
        <f t="shared" si="649"/>
        <v>2.2022564501664448</v>
      </c>
      <c r="H738">
        <f t="shared" si="650"/>
        <v>0.80716642324640042</v>
      </c>
      <c r="I738">
        <f t="shared" si="651"/>
        <v>0.80716642324640042</v>
      </c>
      <c r="J738">
        <f t="shared" si="641"/>
        <v>7.887094334364341E+19</v>
      </c>
      <c r="K738">
        <f t="shared" si="642"/>
        <v>7.887094334364341E+19</v>
      </c>
      <c r="L738">
        <f t="shared" si="655"/>
        <v>1</v>
      </c>
      <c r="M738">
        <f t="shared" si="652"/>
        <v>9.3933620342334823E-21</v>
      </c>
      <c r="N738" s="9">
        <f t="shared" si="643"/>
        <v>9.3933620342334823E-21</v>
      </c>
      <c r="O738">
        <f t="shared" si="644"/>
        <v>9.3933620342334823E-21</v>
      </c>
      <c r="Q738">
        <f t="shared" si="656"/>
        <v>45.814344561972199</v>
      </c>
      <c r="R738">
        <f t="shared" si="657"/>
        <v>-710542.73576010019</v>
      </c>
      <c r="S738">
        <f t="shared" si="679"/>
        <v>-46.114283679622964</v>
      </c>
      <c r="T738" s="9" t="e">
        <f t="shared" si="658"/>
        <v>#N/A</v>
      </c>
      <c r="U738">
        <f t="shared" si="680"/>
        <v>-1.0000000000000001E+300</v>
      </c>
      <c r="V738">
        <f t="shared" si="681"/>
        <v>0</v>
      </c>
      <c r="W738">
        <f t="shared" si="682"/>
        <v>0</v>
      </c>
      <c r="X738">
        <f t="shared" si="659"/>
        <v>0.93933620342334834</v>
      </c>
      <c r="Y738">
        <f t="shared" si="660"/>
        <v>7.8539816339744828</v>
      </c>
      <c r="Z738">
        <f t="shared" si="661"/>
        <v>-0.93933620342334834</v>
      </c>
      <c r="AA738">
        <f t="shared" si="683"/>
        <v>-0.68698677423669885</v>
      </c>
      <c r="AB738">
        <f t="shared" si="662"/>
        <v>7.1669948597377839</v>
      </c>
      <c r="AC738">
        <f t="shared" si="684"/>
        <v>-0.51416452503150512</v>
      </c>
      <c r="AD738">
        <f t="shared" si="663"/>
        <v>0.21422540738074317</v>
      </c>
      <c r="AE738" s="9">
        <f t="shared" si="685"/>
        <v>6.8670557420870217</v>
      </c>
      <c r="AF738">
        <f t="shared" si="686"/>
        <v>0</v>
      </c>
      <c r="AH738">
        <f t="shared" si="664"/>
        <v>7.8539816339744828</v>
      </c>
      <c r="AI738">
        <f t="shared" si="665"/>
        <v>-0.68698677423669852</v>
      </c>
      <c r="AJ738">
        <f t="shared" si="666"/>
        <v>-0.51416452503150367</v>
      </c>
      <c r="AK738">
        <f t="shared" si="667"/>
        <v>0.21422540738074317</v>
      </c>
      <c r="AL738" s="9">
        <f t="shared" si="687"/>
        <v>6.8670557420870235</v>
      </c>
      <c r="AM738" t="e">
        <f t="shared" si="668"/>
        <v>#N/A</v>
      </c>
      <c r="AN738" t="e">
        <f t="shared" si="688"/>
        <v>#N/A</v>
      </c>
      <c r="AO738">
        <f t="shared" si="669"/>
        <v>0</v>
      </c>
      <c r="AP738">
        <f t="shared" si="670"/>
        <v>0</v>
      </c>
      <c r="AQ738">
        <f t="shared" si="671"/>
        <v>1.4432899320127035E-15</v>
      </c>
      <c r="AR738">
        <f t="shared" si="689"/>
        <v>0</v>
      </c>
      <c r="AS738">
        <f t="shared" si="672"/>
        <v>0</v>
      </c>
      <c r="AT738">
        <f t="shared" si="690"/>
        <v>0</v>
      </c>
      <c r="AU738">
        <f t="shared" si="691"/>
        <v>0</v>
      </c>
      <c r="AV738">
        <f t="shared" si="673"/>
        <v>9.3933620342334823E-21</v>
      </c>
      <c r="AW738" t="b">
        <f t="shared" si="692"/>
        <v>1</v>
      </c>
      <c r="AX738">
        <f t="shared" si="674"/>
        <v>7.8539816339744828</v>
      </c>
      <c r="AY738">
        <f t="shared" si="675"/>
        <v>-0.68698677423669874</v>
      </c>
      <c r="AZ738">
        <f t="shared" si="676"/>
        <v>-0.51416452503150512</v>
      </c>
      <c r="BA738">
        <f t="shared" si="677"/>
        <v>0.21422540738074317</v>
      </c>
      <c r="BB738">
        <f t="shared" si="678"/>
        <v>-1.2337005501361696E-20</v>
      </c>
      <c r="BD738" s="15">
        <f t="shared" si="693"/>
        <v>6.8670557420870217</v>
      </c>
      <c r="BE738" s="10">
        <f t="shared" si="694"/>
        <v>0</v>
      </c>
      <c r="BF738">
        <f t="shared" si="695"/>
        <v>0</v>
      </c>
      <c r="BG738">
        <f t="shared" si="696"/>
        <v>0</v>
      </c>
      <c r="BH738">
        <f t="shared" si="697"/>
        <v>0</v>
      </c>
      <c r="BI738">
        <f t="shared" si="698"/>
        <v>0</v>
      </c>
    </row>
    <row r="739" spans="1:61" x14ac:dyDescent="0.3">
      <c r="A739">
        <f t="shared" si="645"/>
        <v>0.70199999999999996</v>
      </c>
      <c r="B739">
        <f t="shared" si="646"/>
        <v>2.2053980428200348</v>
      </c>
      <c r="C739">
        <f t="shared" si="647"/>
        <v>0.9361946107697583</v>
      </c>
      <c r="D739">
        <f t="shared" si="648"/>
        <v>0.9361946107697583</v>
      </c>
      <c r="E739">
        <f t="shared" si="653"/>
        <v>0.805307885711122</v>
      </c>
      <c r="F739">
        <f t="shared" si="654"/>
        <v>0.80530788571112188</v>
      </c>
      <c r="G739">
        <f t="shared" si="649"/>
        <v>2.2053980428200348</v>
      </c>
      <c r="H739">
        <f t="shared" si="650"/>
        <v>0.805307885711122</v>
      </c>
      <c r="I739">
        <f t="shared" si="651"/>
        <v>0.80530788571112188</v>
      </c>
      <c r="J739">
        <f t="shared" si="641"/>
        <v>7.9052966407427932E+19</v>
      </c>
      <c r="K739">
        <f t="shared" si="642"/>
        <v>7.9052966407427932E+19</v>
      </c>
      <c r="L739">
        <f t="shared" si="655"/>
        <v>1</v>
      </c>
      <c r="M739">
        <f t="shared" si="652"/>
        <v>9.3619461076975827E-21</v>
      </c>
      <c r="N739" s="9">
        <f t="shared" si="643"/>
        <v>9.3619461076975827E-21</v>
      </c>
      <c r="O739">
        <f t="shared" si="644"/>
        <v>9.3619461076975827E-21</v>
      </c>
      <c r="Q739">
        <f t="shared" si="656"/>
        <v>45.816649762554896</v>
      </c>
      <c r="R739">
        <f t="shared" si="657"/>
        <v>0</v>
      </c>
      <c r="S739">
        <f t="shared" si="679"/>
        <v>-46.117633766508249</v>
      </c>
      <c r="T739" s="9" t="e">
        <f t="shared" si="658"/>
        <v>#N/A</v>
      </c>
      <c r="U739">
        <f t="shared" si="680"/>
        <v>-1.0000000000000001E+300</v>
      </c>
      <c r="V739">
        <f t="shared" si="681"/>
        <v>0</v>
      </c>
      <c r="W739">
        <f t="shared" si="682"/>
        <v>0</v>
      </c>
      <c r="X739">
        <f t="shared" si="659"/>
        <v>0.9361946107697583</v>
      </c>
      <c r="Y739">
        <f t="shared" si="660"/>
        <v>7.8539816339744828</v>
      </c>
      <c r="Z739">
        <f t="shared" si="661"/>
        <v>-0.9361946107697583</v>
      </c>
      <c r="AA739">
        <f t="shared" si="683"/>
        <v>-0.68921386446224153</v>
      </c>
      <c r="AB739">
        <f t="shared" si="662"/>
        <v>7.1647677695122409</v>
      </c>
      <c r="AC739">
        <f t="shared" si="684"/>
        <v>-0.51751461191678738</v>
      </c>
      <c r="AD739">
        <f t="shared" si="663"/>
        <v>0.21653060796343584</v>
      </c>
      <c r="AE739" s="9">
        <f t="shared" si="685"/>
        <v>6.8637837655588889</v>
      </c>
      <c r="AF739">
        <f t="shared" si="686"/>
        <v>0</v>
      </c>
      <c r="AH739">
        <f t="shared" si="664"/>
        <v>7.8539816339744828</v>
      </c>
      <c r="AI739">
        <f t="shared" si="665"/>
        <v>-0.68921386446224131</v>
      </c>
      <c r="AJ739">
        <f t="shared" si="666"/>
        <v>-0.51751461191678771</v>
      </c>
      <c r="AK739">
        <f t="shared" si="667"/>
        <v>0.21653060796343584</v>
      </c>
      <c r="AL739" s="9">
        <f t="shared" si="687"/>
        <v>6.8637837655588898</v>
      </c>
      <c r="AM739" t="e">
        <f t="shared" si="668"/>
        <v>#N/A</v>
      </c>
      <c r="AN739" t="e">
        <f t="shared" si="688"/>
        <v>#N/A</v>
      </c>
      <c r="AO739">
        <f t="shared" si="669"/>
        <v>0</v>
      </c>
      <c r="AP739">
        <f t="shared" si="670"/>
        <v>0</v>
      </c>
      <c r="AQ739">
        <f t="shared" si="671"/>
        <v>0</v>
      </c>
      <c r="AR739">
        <f t="shared" si="689"/>
        <v>0</v>
      </c>
      <c r="AS739">
        <f t="shared" si="672"/>
        <v>0</v>
      </c>
      <c r="AT739">
        <f t="shared" si="690"/>
        <v>0</v>
      </c>
      <c r="AU739">
        <f t="shared" si="691"/>
        <v>0</v>
      </c>
      <c r="AV739">
        <f t="shared" si="673"/>
        <v>9.3619461076975827E-21</v>
      </c>
      <c r="AW739" t="b">
        <f t="shared" si="692"/>
        <v>1</v>
      </c>
      <c r="AX739">
        <f t="shared" si="674"/>
        <v>7.8539816339744828</v>
      </c>
      <c r="AY739">
        <f t="shared" si="675"/>
        <v>-0.68921386446224153</v>
      </c>
      <c r="AZ739">
        <f t="shared" si="676"/>
        <v>-0.51751461191678738</v>
      </c>
      <c r="BA739">
        <f t="shared" si="677"/>
        <v>0.21653060796343598</v>
      </c>
      <c r="BB739">
        <f t="shared" si="678"/>
        <v>-1.2337005501361696E-20</v>
      </c>
      <c r="BD739" s="15">
        <f t="shared" si="693"/>
        <v>6.8637837655588889</v>
      </c>
      <c r="BE739" s="10">
        <f t="shared" si="694"/>
        <v>0</v>
      </c>
      <c r="BF739">
        <f t="shared" si="695"/>
        <v>0</v>
      </c>
      <c r="BG739">
        <f t="shared" si="696"/>
        <v>0</v>
      </c>
      <c r="BH739">
        <f t="shared" si="697"/>
        <v>0</v>
      </c>
      <c r="BI739">
        <f t="shared" si="698"/>
        <v>0</v>
      </c>
    </row>
    <row r="740" spans="1:61" x14ac:dyDescent="0.3">
      <c r="A740">
        <f t="shared" si="645"/>
        <v>0.70299999999999996</v>
      </c>
      <c r="B740">
        <f t="shared" si="646"/>
        <v>2.2085396354736244</v>
      </c>
      <c r="C740">
        <f t="shared" si="647"/>
        <v>0.9330530181161687</v>
      </c>
      <c r="D740">
        <f t="shared" si="648"/>
        <v>0.9330530181161687</v>
      </c>
      <c r="E740">
        <f t="shared" si="653"/>
        <v>0.80344140011212772</v>
      </c>
      <c r="F740">
        <f t="shared" si="654"/>
        <v>0.80344140011212772</v>
      </c>
      <c r="G740">
        <f t="shared" si="649"/>
        <v>2.2085396354736244</v>
      </c>
      <c r="H740">
        <f t="shared" si="650"/>
        <v>0.80344140011212772</v>
      </c>
      <c r="I740">
        <f t="shared" si="651"/>
        <v>0.80344140011212772</v>
      </c>
      <c r="J740">
        <f t="shared" si="641"/>
        <v>7.9236615424439812E+19</v>
      </c>
      <c r="K740">
        <f t="shared" si="642"/>
        <v>7.9236615424439812E+19</v>
      </c>
      <c r="L740">
        <f t="shared" si="655"/>
        <v>1</v>
      </c>
      <c r="M740">
        <f t="shared" si="652"/>
        <v>9.3305301811616861E-21</v>
      </c>
      <c r="N740" s="9">
        <f t="shared" si="643"/>
        <v>9.3305301811616861E-21</v>
      </c>
      <c r="O740">
        <f t="shared" si="644"/>
        <v>9.3305301811616861E-21</v>
      </c>
      <c r="Q740">
        <f t="shared" si="656"/>
        <v>45.818970181843255</v>
      </c>
      <c r="R740">
        <f t="shared" si="657"/>
        <v>0</v>
      </c>
      <c r="S740">
        <f t="shared" si="679"/>
        <v>-46.120995114210949</v>
      </c>
      <c r="T740" s="9" t="e">
        <f t="shared" si="658"/>
        <v>#N/A</v>
      </c>
      <c r="U740">
        <f t="shared" si="680"/>
        <v>-1.0000000000000001E+300</v>
      </c>
      <c r="V740">
        <f t="shared" si="681"/>
        <v>0</v>
      </c>
      <c r="W740">
        <f t="shared" si="682"/>
        <v>0</v>
      </c>
      <c r="X740">
        <f t="shared" si="659"/>
        <v>0.9330530181161687</v>
      </c>
      <c r="Y740">
        <f t="shared" si="660"/>
        <v>7.8539816339744828</v>
      </c>
      <c r="Z740">
        <f t="shared" si="661"/>
        <v>-0.9330530181161687</v>
      </c>
      <c r="AA740">
        <f t="shared" si="683"/>
        <v>-0.69143149519049552</v>
      </c>
      <c r="AB740">
        <f t="shared" si="662"/>
        <v>7.1625501387839874</v>
      </c>
      <c r="AC740">
        <f t="shared" si="684"/>
        <v>-0.52087595961949196</v>
      </c>
      <c r="AD740">
        <f t="shared" si="663"/>
        <v>0.21885102725179337</v>
      </c>
      <c r="AE740" s="9">
        <f t="shared" si="685"/>
        <v>6.8605252064162894</v>
      </c>
      <c r="AF740">
        <f t="shared" si="686"/>
        <v>0</v>
      </c>
      <c r="AH740">
        <f t="shared" si="664"/>
        <v>7.8539816339744828</v>
      </c>
      <c r="AI740">
        <f t="shared" si="665"/>
        <v>-0.69143149519049552</v>
      </c>
      <c r="AJ740">
        <f t="shared" si="666"/>
        <v>-0.52087595961948807</v>
      </c>
      <c r="AK740">
        <f t="shared" si="667"/>
        <v>0.21885102725179337</v>
      </c>
      <c r="AL740" s="9">
        <f t="shared" si="687"/>
        <v>6.8605252064162929</v>
      </c>
      <c r="AM740" t="e">
        <f t="shared" si="668"/>
        <v>#N/A</v>
      </c>
      <c r="AN740" t="e">
        <f t="shared" si="688"/>
        <v>#N/A</v>
      </c>
      <c r="AO740">
        <f t="shared" si="669"/>
        <v>0</v>
      </c>
      <c r="AP740">
        <f t="shared" si="670"/>
        <v>0</v>
      </c>
      <c r="AQ740">
        <f t="shared" si="671"/>
        <v>3.8857805861880479E-15</v>
      </c>
      <c r="AR740">
        <f t="shared" si="689"/>
        <v>0</v>
      </c>
      <c r="AS740">
        <f t="shared" si="672"/>
        <v>0</v>
      </c>
      <c r="AT740">
        <f t="shared" si="690"/>
        <v>0</v>
      </c>
      <c r="AU740">
        <f t="shared" si="691"/>
        <v>0</v>
      </c>
      <c r="AV740">
        <f t="shared" si="673"/>
        <v>9.3305301811616861E-21</v>
      </c>
      <c r="AW740" t="b">
        <f t="shared" si="692"/>
        <v>1</v>
      </c>
      <c r="AX740">
        <f t="shared" si="674"/>
        <v>7.8539816339744828</v>
      </c>
      <c r="AY740">
        <f t="shared" si="675"/>
        <v>-0.69143149519049563</v>
      </c>
      <c r="AZ740">
        <f t="shared" si="676"/>
        <v>-0.52087595961949196</v>
      </c>
      <c r="BA740">
        <f t="shared" si="677"/>
        <v>0.21885102725179337</v>
      </c>
      <c r="BB740">
        <f t="shared" si="678"/>
        <v>-1.2337005501361696E-20</v>
      </c>
      <c r="BD740" s="15">
        <f t="shared" si="693"/>
        <v>6.8605252064162894</v>
      </c>
      <c r="BE740" s="10">
        <f t="shared" si="694"/>
        <v>0</v>
      </c>
      <c r="BF740">
        <f t="shared" si="695"/>
        <v>0</v>
      </c>
      <c r="BG740">
        <f t="shared" si="696"/>
        <v>0</v>
      </c>
      <c r="BH740">
        <f t="shared" si="697"/>
        <v>0</v>
      </c>
      <c r="BI740">
        <f t="shared" si="698"/>
        <v>0</v>
      </c>
    </row>
    <row r="741" spans="1:61" x14ac:dyDescent="0.3">
      <c r="A741">
        <f t="shared" si="645"/>
        <v>0.70399999999999996</v>
      </c>
      <c r="B741">
        <f t="shared" si="646"/>
        <v>2.211681228127214</v>
      </c>
      <c r="C741">
        <f t="shared" si="647"/>
        <v>0.9299114254625791</v>
      </c>
      <c r="D741">
        <f t="shared" si="648"/>
        <v>0.9299114254625791</v>
      </c>
      <c r="E741">
        <f t="shared" si="653"/>
        <v>0.80156698487087685</v>
      </c>
      <c r="F741">
        <f t="shared" si="654"/>
        <v>0.80156698487087674</v>
      </c>
      <c r="G741">
        <f t="shared" si="649"/>
        <v>2.211681228127214</v>
      </c>
      <c r="H741">
        <f t="shared" si="650"/>
        <v>0.80156698487087685</v>
      </c>
      <c r="I741">
        <f t="shared" si="651"/>
        <v>0.80156698487087674</v>
      </c>
      <c r="J741">
        <f t="shared" ref="J741:J804" si="699">x_m_zeta/H741</f>
        <v>7.942190539074329E+19</v>
      </c>
      <c r="K741">
        <f t="shared" ref="K741:K804" si="700">(J741)^alpha</f>
        <v>7.942190539074329E+19</v>
      </c>
      <c r="L741">
        <f t="shared" si="655"/>
        <v>0</v>
      </c>
      <c r="M741">
        <f t="shared" si="652"/>
        <v>9.2991142546257895E-21</v>
      </c>
      <c r="N741" s="9">
        <f t="shared" si="643"/>
        <v>0</v>
      </c>
      <c r="O741">
        <f t="shared" si="644"/>
        <v>0</v>
      </c>
      <c r="Q741">
        <f t="shared" si="656"/>
        <v>45.82130589062951</v>
      </c>
      <c r="R741">
        <f t="shared" si="657"/>
        <v>0</v>
      </c>
      <c r="S741">
        <f t="shared" si="679"/>
        <v>-46.12436779868959</v>
      </c>
      <c r="T741" s="9" t="e">
        <f t="shared" si="658"/>
        <v>#N/A</v>
      </c>
      <c r="U741">
        <f t="shared" si="680"/>
        <v>-1.0000000000000001E+300</v>
      </c>
      <c r="V741">
        <f t="shared" si="681"/>
        <v>0</v>
      </c>
      <c r="W741">
        <f t="shared" si="682"/>
        <v>0</v>
      </c>
      <c r="X741">
        <f t="shared" si="659"/>
        <v>0.9299114254625791</v>
      </c>
      <c r="Y741">
        <f t="shared" si="660"/>
        <v>7.8539816339744828</v>
      </c>
      <c r="Z741">
        <f t="shared" si="661"/>
        <v>-0.9299114254625791</v>
      </c>
      <c r="AA741">
        <f t="shared" si="683"/>
        <v>-0.69363969023220351</v>
      </c>
      <c r="AB741">
        <f t="shared" si="662"/>
        <v>7.1603419437422797</v>
      </c>
      <c r="AC741">
        <f t="shared" si="684"/>
        <v>-0.52424864409813099</v>
      </c>
      <c r="AD741">
        <f t="shared" si="663"/>
        <v>0.22118673603805275</v>
      </c>
      <c r="AE741" s="9">
        <f t="shared" si="685"/>
        <v>6.8572800356822015</v>
      </c>
      <c r="AF741">
        <f t="shared" si="686"/>
        <v>0</v>
      </c>
      <c r="AH741">
        <f t="shared" si="664"/>
        <v>7.8539816339744828</v>
      </c>
      <c r="AI741">
        <f t="shared" si="665"/>
        <v>-0.69363969023220307</v>
      </c>
      <c r="AJ741">
        <f t="shared" si="666"/>
        <v>-0.52424864409812955</v>
      </c>
      <c r="AK741">
        <f t="shared" si="667"/>
        <v>0.22118673603805275</v>
      </c>
      <c r="AL741" s="9">
        <f t="shared" si="687"/>
        <v>6.8572800356822032</v>
      </c>
      <c r="AM741" t="e">
        <f t="shared" si="668"/>
        <v>#N/A</v>
      </c>
      <c r="AN741" t="e">
        <f t="shared" si="688"/>
        <v>#N/A</v>
      </c>
      <c r="AO741">
        <f t="shared" si="669"/>
        <v>0</v>
      </c>
      <c r="AP741">
        <f t="shared" si="670"/>
        <v>0</v>
      </c>
      <c r="AQ741">
        <f t="shared" si="671"/>
        <v>1.4432899320127035E-15</v>
      </c>
      <c r="AR741">
        <f t="shared" si="689"/>
        <v>0</v>
      </c>
      <c r="AS741">
        <f t="shared" si="672"/>
        <v>0</v>
      </c>
      <c r="AT741">
        <f t="shared" si="690"/>
        <v>0</v>
      </c>
      <c r="AU741">
        <f t="shared" si="691"/>
        <v>0</v>
      </c>
      <c r="AV741">
        <f t="shared" si="673"/>
        <v>9.299114254625791E-21</v>
      </c>
      <c r="AW741" t="b">
        <f t="shared" si="692"/>
        <v>1</v>
      </c>
      <c r="AX741">
        <f t="shared" si="674"/>
        <v>7.8539816339744828</v>
      </c>
      <c r="AY741">
        <f t="shared" si="675"/>
        <v>-0.69363969023220351</v>
      </c>
      <c r="AZ741">
        <f t="shared" si="676"/>
        <v>-0.52424864409813088</v>
      </c>
      <c r="BA741">
        <f t="shared" si="677"/>
        <v>0.22118673603805289</v>
      </c>
      <c r="BB741">
        <f t="shared" si="678"/>
        <v>-1.2337005501361696E-20</v>
      </c>
      <c r="BD741" s="15">
        <f t="shared" si="693"/>
        <v>6.8572800356822015</v>
      </c>
      <c r="BE741" s="10">
        <f t="shared" si="694"/>
        <v>0</v>
      </c>
      <c r="BF741">
        <f t="shared" si="695"/>
        <v>0</v>
      </c>
      <c r="BG741">
        <f t="shared" si="696"/>
        <v>0</v>
      </c>
      <c r="BH741">
        <f t="shared" si="697"/>
        <v>0</v>
      </c>
      <c r="BI741">
        <f t="shared" si="698"/>
        <v>0</v>
      </c>
    </row>
    <row r="742" spans="1:61" x14ac:dyDescent="0.3">
      <c r="A742">
        <f t="shared" si="645"/>
        <v>0.70499999999999996</v>
      </c>
      <c r="B742">
        <f t="shared" si="646"/>
        <v>2.2148228207808041</v>
      </c>
      <c r="C742">
        <f t="shared" si="647"/>
        <v>0.92676983280898906</v>
      </c>
      <c r="D742">
        <f t="shared" si="648"/>
        <v>0.92676983280898906</v>
      </c>
      <c r="E742">
        <f t="shared" si="653"/>
        <v>0.79968465848709069</v>
      </c>
      <c r="F742">
        <f t="shared" si="654"/>
        <v>0.79968465848709058</v>
      </c>
      <c r="G742">
        <f t="shared" si="649"/>
        <v>2.2148228207808041</v>
      </c>
      <c r="H742">
        <f t="shared" si="650"/>
        <v>0.79968465848709069</v>
      </c>
      <c r="I742">
        <f t="shared" si="651"/>
        <v>0.79968465848709058</v>
      </c>
      <c r="J742">
        <f t="shared" si="699"/>
        <v>7.9608851515545027E+19</v>
      </c>
      <c r="K742">
        <f t="shared" si="700"/>
        <v>7.9608851515545027E+19</v>
      </c>
      <c r="L742">
        <f t="shared" si="655"/>
        <v>1</v>
      </c>
      <c r="M742">
        <f t="shared" si="652"/>
        <v>9.2676983280898899E-21</v>
      </c>
      <c r="N742" s="9">
        <f t="shared" ref="N742:N805" si="701">L742*M742</f>
        <v>9.2676983280898899E-21</v>
      </c>
      <c r="O742">
        <f t="shared" ref="O742:O805" si="702">N742*EXP(-N742)</f>
        <v>9.2676983280898899E-21</v>
      </c>
      <c r="Q742">
        <f t="shared" si="656"/>
        <v>45.823656960504934</v>
      </c>
      <c r="R742">
        <f t="shared" si="657"/>
        <v>-710542.73576010019</v>
      </c>
      <c r="S742">
        <f t="shared" si="679"/>
        <v>-46.127751896673828</v>
      </c>
      <c r="T742" s="9" t="e">
        <f t="shared" si="658"/>
        <v>#N/A</v>
      </c>
      <c r="U742">
        <f t="shared" si="680"/>
        <v>-1.0000000000000001E+300</v>
      </c>
      <c r="V742">
        <f t="shared" si="681"/>
        <v>0</v>
      </c>
      <c r="W742">
        <f t="shared" si="682"/>
        <v>0</v>
      </c>
      <c r="X742">
        <f t="shared" si="659"/>
        <v>0.92676983280898906</v>
      </c>
      <c r="Y742">
        <f t="shared" si="660"/>
        <v>7.8539816339744828</v>
      </c>
      <c r="Z742">
        <f t="shared" si="661"/>
        <v>-0.92676983280898906</v>
      </c>
      <c r="AA742">
        <f t="shared" si="683"/>
        <v>-0.69583847324662396</v>
      </c>
      <c r="AB742">
        <f t="shared" si="662"/>
        <v>7.1581431607278585</v>
      </c>
      <c r="AC742">
        <f t="shared" si="684"/>
        <v>-0.52763274208237176</v>
      </c>
      <c r="AD742">
        <f t="shared" si="663"/>
        <v>0.2235378059134783</v>
      </c>
      <c r="AE742" s="9">
        <f t="shared" si="685"/>
        <v>6.8540482245589649</v>
      </c>
      <c r="AF742">
        <f t="shared" si="686"/>
        <v>0</v>
      </c>
      <c r="AH742">
        <f t="shared" si="664"/>
        <v>7.8539816339744828</v>
      </c>
      <c r="AI742">
        <f t="shared" si="665"/>
        <v>-0.69583847324662385</v>
      </c>
      <c r="AJ742">
        <f t="shared" si="666"/>
        <v>-0.52763274208236766</v>
      </c>
      <c r="AK742">
        <f t="shared" si="667"/>
        <v>0.2235378059134783</v>
      </c>
      <c r="AL742" s="9">
        <f t="shared" si="687"/>
        <v>6.8540482245589693</v>
      </c>
      <c r="AM742" t="e">
        <f t="shared" si="668"/>
        <v>#N/A</v>
      </c>
      <c r="AN742" t="e">
        <f t="shared" si="688"/>
        <v>#N/A</v>
      </c>
      <c r="AO742">
        <f t="shared" si="669"/>
        <v>0</v>
      </c>
      <c r="AP742">
        <f t="shared" si="670"/>
        <v>0</v>
      </c>
      <c r="AQ742">
        <f t="shared" si="671"/>
        <v>4.1078251911130792E-15</v>
      </c>
      <c r="AR742">
        <f t="shared" si="689"/>
        <v>0</v>
      </c>
      <c r="AS742">
        <f t="shared" si="672"/>
        <v>0</v>
      </c>
      <c r="AT742">
        <f t="shared" si="690"/>
        <v>0</v>
      </c>
      <c r="AU742">
        <f t="shared" si="691"/>
        <v>0</v>
      </c>
      <c r="AV742">
        <f t="shared" si="673"/>
        <v>9.2676983280898899E-21</v>
      </c>
      <c r="AW742" t="b">
        <f t="shared" si="692"/>
        <v>1</v>
      </c>
      <c r="AX742">
        <f t="shared" si="674"/>
        <v>7.8539816339744828</v>
      </c>
      <c r="AY742">
        <f t="shared" si="675"/>
        <v>-0.69583847324662396</v>
      </c>
      <c r="AZ742">
        <f t="shared" si="676"/>
        <v>-0.52763274208237176</v>
      </c>
      <c r="BA742">
        <f t="shared" si="677"/>
        <v>0.22353780591347844</v>
      </c>
      <c r="BB742">
        <f t="shared" si="678"/>
        <v>-1.2337005501361696E-20</v>
      </c>
      <c r="BD742" s="15">
        <f t="shared" si="693"/>
        <v>6.8540482245589649</v>
      </c>
      <c r="BE742" s="10">
        <f t="shared" si="694"/>
        <v>0</v>
      </c>
      <c r="BF742">
        <f t="shared" si="695"/>
        <v>0</v>
      </c>
      <c r="BG742">
        <f t="shared" si="696"/>
        <v>0</v>
      </c>
      <c r="BH742">
        <f t="shared" si="697"/>
        <v>0</v>
      </c>
      <c r="BI742">
        <f t="shared" si="698"/>
        <v>0</v>
      </c>
    </row>
    <row r="743" spans="1:61" x14ac:dyDescent="0.3">
      <c r="A743">
        <f t="shared" ref="A743:A806" si="703">ROUND(A742+1/1000,3)</f>
        <v>0.70599999999999996</v>
      </c>
      <c r="B743">
        <f t="shared" si="646"/>
        <v>2.2179644134343937</v>
      </c>
      <c r="C743">
        <f t="shared" si="647"/>
        <v>0.92362824015539946</v>
      </c>
      <c r="D743">
        <f t="shared" si="648"/>
        <v>0.92362824015539946</v>
      </c>
      <c r="E743">
        <f t="shared" si="653"/>
        <v>0.79779443953857121</v>
      </c>
      <c r="F743">
        <f t="shared" si="654"/>
        <v>0.7977944395385711</v>
      </c>
      <c r="G743">
        <f t="shared" si="649"/>
        <v>2.2179644134343937</v>
      </c>
      <c r="H743">
        <f t="shared" si="650"/>
        <v>0.79779443953857121</v>
      </c>
      <c r="I743">
        <f t="shared" si="651"/>
        <v>0.7977944395385711</v>
      </c>
      <c r="J743">
        <f t="shared" si="699"/>
        <v>7.9797469224752923E+19</v>
      </c>
      <c r="K743">
        <f t="shared" si="700"/>
        <v>7.9797469224752923E+19</v>
      </c>
      <c r="L743">
        <f t="shared" si="655"/>
        <v>1</v>
      </c>
      <c r="M743">
        <f t="shared" si="652"/>
        <v>9.2362824015539933E-21</v>
      </c>
      <c r="N743" s="9">
        <f t="shared" si="701"/>
        <v>9.2362824015539933E-21</v>
      </c>
      <c r="O743">
        <f t="shared" si="702"/>
        <v>9.2362824015539933E-21</v>
      </c>
      <c r="Q743">
        <f t="shared" si="656"/>
        <v>45.826023463870158</v>
      </c>
      <c r="R743">
        <f t="shared" si="657"/>
        <v>-710542.73576010019</v>
      </c>
      <c r="S743">
        <f t="shared" si="679"/>
        <v>-46.131147485674965</v>
      </c>
      <c r="T743" s="9" t="e">
        <f t="shared" si="658"/>
        <v>#N/A</v>
      </c>
      <c r="U743">
        <f t="shared" si="680"/>
        <v>-1.0000000000000001E+300</v>
      </c>
      <c r="V743">
        <f t="shared" si="681"/>
        <v>0</v>
      </c>
      <c r="W743">
        <f t="shared" si="682"/>
        <v>0</v>
      </c>
      <c r="X743">
        <f t="shared" si="659"/>
        <v>0.92362824015539946</v>
      </c>
      <c r="Y743">
        <f t="shared" si="660"/>
        <v>7.8539816339744828</v>
      </c>
      <c r="Z743">
        <f t="shared" si="661"/>
        <v>-0.92362824015539946</v>
      </c>
      <c r="AA743">
        <f t="shared" si="683"/>
        <v>-0.69802786774250447</v>
      </c>
      <c r="AB743">
        <f t="shared" si="662"/>
        <v>7.1559537662319785</v>
      </c>
      <c r="AC743">
        <f t="shared" si="684"/>
        <v>-0.53102833108350977</v>
      </c>
      <c r="AD743">
        <f t="shared" si="663"/>
        <v>0.22590430927870042</v>
      </c>
      <c r="AE743" s="9">
        <f t="shared" si="685"/>
        <v>6.8508297444271689</v>
      </c>
      <c r="AF743">
        <f t="shared" si="686"/>
        <v>0</v>
      </c>
      <c r="AH743">
        <f t="shared" si="664"/>
        <v>7.8539816339744828</v>
      </c>
      <c r="AI743">
        <f t="shared" si="665"/>
        <v>-0.69802786774250425</v>
      </c>
      <c r="AJ743">
        <f t="shared" si="666"/>
        <v>-0.53102833108350467</v>
      </c>
      <c r="AK743">
        <f t="shared" si="667"/>
        <v>0.22590430927870042</v>
      </c>
      <c r="AL743" s="9">
        <f t="shared" si="687"/>
        <v>6.8508297444271742</v>
      </c>
      <c r="AM743" t="e">
        <f t="shared" si="668"/>
        <v>#N/A</v>
      </c>
      <c r="AN743" t="e">
        <f t="shared" si="688"/>
        <v>#N/A</v>
      </c>
      <c r="AO743">
        <f t="shared" si="669"/>
        <v>0</v>
      </c>
      <c r="AP743">
        <f t="shared" si="670"/>
        <v>0</v>
      </c>
      <c r="AQ743">
        <f t="shared" si="671"/>
        <v>5.1070259132757201E-15</v>
      </c>
      <c r="AR743">
        <f t="shared" si="689"/>
        <v>0</v>
      </c>
      <c r="AS743">
        <f t="shared" si="672"/>
        <v>0</v>
      </c>
      <c r="AT743">
        <f t="shared" si="690"/>
        <v>0</v>
      </c>
      <c r="AU743">
        <f t="shared" si="691"/>
        <v>0</v>
      </c>
      <c r="AV743">
        <f t="shared" si="673"/>
        <v>9.2362824015539948E-21</v>
      </c>
      <c r="AW743" t="b">
        <f t="shared" si="692"/>
        <v>1</v>
      </c>
      <c r="AX743">
        <f t="shared" si="674"/>
        <v>7.8539816339744828</v>
      </c>
      <c r="AY743">
        <f t="shared" si="675"/>
        <v>-0.69802786774250447</v>
      </c>
      <c r="AZ743">
        <f t="shared" si="676"/>
        <v>-0.53102833108350966</v>
      </c>
      <c r="BA743">
        <f t="shared" si="677"/>
        <v>0.22590430927870056</v>
      </c>
      <c r="BB743">
        <f t="shared" si="678"/>
        <v>-1.2337005501361696E-20</v>
      </c>
      <c r="BD743" s="15">
        <f t="shared" si="693"/>
        <v>6.8508297444271689</v>
      </c>
      <c r="BE743" s="10">
        <f t="shared" si="694"/>
        <v>0</v>
      </c>
      <c r="BF743">
        <f t="shared" si="695"/>
        <v>0</v>
      </c>
      <c r="BG743">
        <f t="shared" si="696"/>
        <v>0</v>
      </c>
      <c r="BH743">
        <f t="shared" si="697"/>
        <v>0</v>
      </c>
      <c r="BI743">
        <f t="shared" si="698"/>
        <v>0</v>
      </c>
    </row>
    <row r="744" spans="1:61" x14ac:dyDescent="0.3">
      <c r="A744">
        <f t="shared" si="703"/>
        <v>0.70699999999999996</v>
      </c>
      <c r="B744">
        <f t="shared" si="646"/>
        <v>2.2211060060879837</v>
      </c>
      <c r="C744">
        <f t="shared" si="647"/>
        <v>0.92048664750180942</v>
      </c>
      <c r="D744">
        <f t="shared" si="648"/>
        <v>0.92048664750180942</v>
      </c>
      <c r="E744">
        <f t="shared" si="653"/>
        <v>0.79589634668101594</v>
      </c>
      <c r="F744">
        <f t="shared" si="654"/>
        <v>0.79589634668101583</v>
      </c>
      <c r="G744">
        <f t="shared" si="649"/>
        <v>2.2211060060879837</v>
      </c>
      <c r="H744">
        <f t="shared" si="650"/>
        <v>0.79589634668101594</v>
      </c>
      <c r="I744">
        <f t="shared" si="651"/>
        <v>0.79589634668101583</v>
      </c>
      <c r="J744">
        <f t="shared" si="699"/>
        <v>7.9987774164608614E+19</v>
      </c>
      <c r="K744">
        <f t="shared" si="700"/>
        <v>7.9987774164608614E+19</v>
      </c>
      <c r="L744">
        <f t="shared" si="655"/>
        <v>1</v>
      </c>
      <c r="M744">
        <f t="shared" si="652"/>
        <v>9.2048664750180936E-21</v>
      </c>
      <c r="N744" s="9">
        <f t="shared" si="701"/>
        <v>9.2048664750180936E-21</v>
      </c>
      <c r="O744">
        <f t="shared" si="702"/>
        <v>9.2048664750180936E-21</v>
      </c>
      <c r="Q744">
        <f t="shared" si="656"/>
        <v>45.828405473945693</v>
      </c>
      <c r="R744">
        <f t="shared" si="657"/>
        <v>-710542.73576010019</v>
      </c>
      <c r="S744">
        <f t="shared" si="679"/>
        <v>-46.13455464399658</v>
      </c>
      <c r="T744" s="9" t="e">
        <f t="shared" si="658"/>
        <v>#N/A</v>
      </c>
      <c r="U744">
        <f t="shared" si="680"/>
        <v>-1.0000000000000001E+300</v>
      </c>
      <c r="V744">
        <f t="shared" si="681"/>
        <v>0</v>
      </c>
      <c r="W744">
        <f t="shared" si="682"/>
        <v>0</v>
      </c>
      <c r="X744">
        <f t="shared" si="659"/>
        <v>0.92048664750180942</v>
      </c>
      <c r="Y744">
        <f t="shared" si="660"/>
        <v>7.8539816339744828</v>
      </c>
      <c r="Z744">
        <f t="shared" si="661"/>
        <v>-0.92048664750180942</v>
      </c>
      <c r="AA744">
        <f t="shared" si="683"/>
        <v>-0.70020789707904851</v>
      </c>
      <c r="AB744">
        <f t="shared" si="662"/>
        <v>7.1537737368954346</v>
      </c>
      <c r="AC744">
        <f t="shared" si="684"/>
        <v>-0.53443548940512431</v>
      </c>
      <c r="AD744">
        <f t="shared" si="663"/>
        <v>0.22828631935423685</v>
      </c>
      <c r="AE744" s="9">
        <f t="shared" si="685"/>
        <v>6.847624566844547</v>
      </c>
      <c r="AF744">
        <f t="shared" si="686"/>
        <v>0</v>
      </c>
      <c r="AH744">
        <f t="shared" si="664"/>
        <v>7.8539816339744828</v>
      </c>
      <c r="AI744">
        <f t="shared" si="665"/>
        <v>-0.70020789707904829</v>
      </c>
      <c r="AJ744">
        <f t="shared" si="666"/>
        <v>-0.53443548940511931</v>
      </c>
      <c r="AK744">
        <f t="shared" si="667"/>
        <v>0.22828631935423685</v>
      </c>
      <c r="AL744" s="9">
        <f t="shared" si="687"/>
        <v>6.8476245668445523</v>
      </c>
      <c r="AM744" t="e">
        <f t="shared" si="668"/>
        <v>#N/A</v>
      </c>
      <c r="AN744" t="e">
        <f t="shared" si="688"/>
        <v>#N/A</v>
      </c>
      <c r="AO744">
        <f t="shared" si="669"/>
        <v>0</v>
      </c>
      <c r="AP744">
        <f t="shared" si="670"/>
        <v>0</v>
      </c>
      <c r="AQ744">
        <f t="shared" si="671"/>
        <v>4.9960036108132044E-15</v>
      </c>
      <c r="AR744">
        <f t="shared" si="689"/>
        <v>0</v>
      </c>
      <c r="AS744">
        <f t="shared" si="672"/>
        <v>0</v>
      </c>
      <c r="AT744">
        <f t="shared" si="690"/>
        <v>0</v>
      </c>
      <c r="AU744">
        <f t="shared" si="691"/>
        <v>0</v>
      </c>
      <c r="AV744">
        <f t="shared" si="673"/>
        <v>9.2048664750180936E-21</v>
      </c>
      <c r="AW744" t="b">
        <f t="shared" si="692"/>
        <v>1</v>
      </c>
      <c r="AX744">
        <f t="shared" si="674"/>
        <v>7.8539816339744828</v>
      </c>
      <c r="AY744">
        <f t="shared" si="675"/>
        <v>-0.70020789707904862</v>
      </c>
      <c r="AZ744">
        <f t="shared" si="676"/>
        <v>-0.53443548940512431</v>
      </c>
      <c r="BA744">
        <f t="shared" si="677"/>
        <v>0.22828631935423699</v>
      </c>
      <c r="BB744">
        <f t="shared" si="678"/>
        <v>-1.2337005501361696E-20</v>
      </c>
      <c r="BD744" s="15">
        <f t="shared" si="693"/>
        <v>6.847624566844547</v>
      </c>
      <c r="BE744" s="10">
        <f t="shared" si="694"/>
        <v>0</v>
      </c>
      <c r="BF744">
        <f t="shared" si="695"/>
        <v>0</v>
      </c>
      <c r="BG744">
        <f t="shared" si="696"/>
        <v>0</v>
      </c>
      <c r="BH744">
        <f t="shared" si="697"/>
        <v>0</v>
      </c>
      <c r="BI744">
        <f t="shared" si="698"/>
        <v>0</v>
      </c>
    </row>
    <row r="745" spans="1:61" x14ac:dyDescent="0.3">
      <c r="A745">
        <f t="shared" si="703"/>
        <v>0.70799999999999996</v>
      </c>
      <c r="B745">
        <f t="shared" si="646"/>
        <v>2.2242475987415733</v>
      </c>
      <c r="C745">
        <f t="shared" si="647"/>
        <v>0.91734505484821982</v>
      </c>
      <c r="D745">
        <f t="shared" si="648"/>
        <v>0.91734505484821982</v>
      </c>
      <c r="E745">
        <f t="shared" si="653"/>
        <v>0.79399039864783549</v>
      </c>
      <c r="F745">
        <f t="shared" si="654"/>
        <v>0.79399039864783549</v>
      </c>
      <c r="G745">
        <f t="shared" si="649"/>
        <v>2.2242475987415733</v>
      </c>
      <c r="H745">
        <f t="shared" si="650"/>
        <v>0.79399039864783549</v>
      </c>
      <c r="I745">
        <f t="shared" si="651"/>
        <v>0.79399039864783549</v>
      </c>
      <c r="J745">
        <f t="shared" si="699"/>
        <v>8.0179782205394928E+19</v>
      </c>
      <c r="K745">
        <f t="shared" si="700"/>
        <v>8.0179782205394928E+19</v>
      </c>
      <c r="L745">
        <f t="shared" si="655"/>
        <v>1</v>
      </c>
      <c r="M745">
        <f t="shared" si="652"/>
        <v>9.173450548482197E-21</v>
      </c>
      <c r="N745" s="9">
        <f t="shared" si="701"/>
        <v>9.173450548482197E-21</v>
      </c>
      <c r="O745">
        <f t="shared" si="702"/>
        <v>9.173450548482197E-21</v>
      </c>
      <c r="Q745">
        <f t="shared" si="656"/>
        <v>45.83080306478265</v>
      </c>
      <c r="R745">
        <f t="shared" si="657"/>
        <v>-710542.73576010019</v>
      </c>
      <c r="S745">
        <f t="shared" si="679"/>
        <v>-46.13797345074537</v>
      </c>
      <c r="T745" s="9" t="e">
        <f t="shared" si="658"/>
        <v>#N/A</v>
      </c>
      <c r="U745">
        <f t="shared" si="680"/>
        <v>-1.0000000000000001E+300</v>
      </c>
      <c r="V745">
        <f t="shared" si="681"/>
        <v>0</v>
      </c>
      <c r="W745">
        <f t="shared" si="682"/>
        <v>0</v>
      </c>
      <c r="X745">
        <f t="shared" si="659"/>
        <v>0.91734505484821982</v>
      </c>
      <c r="Y745">
        <f t="shared" si="660"/>
        <v>7.8539816339744828</v>
      </c>
      <c r="Z745">
        <f t="shared" si="661"/>
        <v>-0.91734505484821982</v>
      </c>
      <c r="AA745">
        <f t="shared" si="683"/>
        <v>-0.70237858446686963</v>
      </c>
      <c r="AB745">
        <f t="shared" si="662"/>
        <v>7.1516030495076128</v>
      </c>
      <c r="AC745">
        <f t="shared" si="684"/>
        <v>-0.53785429615390967</v>
      </c>
      <c r="AD745">
        <f t="shared" si="663"/>
        <v>0.2306839101911935</v>
      </c>
      <c r="AE745" s="9">
        <f t="shared" si="685"/>
        <v>6.8444326635448967</v>
      </c>
      <c r="AF745">
        <f t="shared" si="686"/>
        <v>0</v>
      </c>
      <c r="AH745">
        <f t="shared" si="664"/>
        <v>7.8539816339744828</v>
      </c>
      <c r="AI745">
        <f t="shared" si="665"/>
        <v>-0.70237858446686918</v>
      </c>
      <c r="AJ745">
        <f t="shared" si="666"/>
        <v>-0.53785429615390967</v>
      </c>
      <c r="AK745">
        <f t="shared" si="667"/>
        <v>0.2306839101911935</v>
      </c>
      <c r="AL745" s="9">
        <f t="shared" si="687"/>
        <v>6.8444326635448975</v>
      </c>
      <c r="AM745" t="e">
        <f t="shared" si="668"/>
        <v>#N/A</v>
      </c>
      <c r="AN745" t="e">
        <f t="shared" si="688"/>
        <v>#N/A</v>
      </c>
      <c r="AO745">
        <f t="shared" si="669"/>
        <v>0</v>
      </c>
      <c r="AP745">
        <f t="shared" si="670"/>
        <v>0</v>
      </c>
      <c r="AQ745">
        <f t="shared" si="671"/>
        <v>0</v>
      </c>
      <c r="AR745">
        <f t="shared" si="689"/>
        <v>0</v>
      </c>
      <c r="AS745">
        <f t="shared" si="672"/>
        <v>0</v>
      </c>
      <c r="AT745">
        <f t="shared" si="690"/>
        <v>0</v>
      </c>
      <c r="AU745">
        <f t="shared" si="691"/>
        <v>0</v>
      </c>
      <c r="AV745">
        <f t="shared" si="673"/>
        <v>9.173450548482197E-21</v>
      </c>
      <c r="AW745" t="b">
        <f t="shared" si="692"/>
        <v>1</v>
      </c>
      <c r="AX745">
        <f t="shared" si="674"/>
        <v>7.8539816339744828</v>
      </c>
      <c r="AY745">
        <f t="shared" si="675"/>
        <v>-0.70237858446686963</v>
      </c>
      <c r="AZ745">
        <f t="shared" si="676"/>
        <v>-0.53785429615390989</v>
      </c>
      <c r="BA745">
        <f t="shared" si="677"/>
        <v>0.2306839101911935</v>
      </c>
      <c r="BB745">
        <f t="shared" si="678"/>
        <v>-1.2337005501361696E-20</v>
      </c>
      <c r="BD745" s="15">
        <f t="shared" si="693"/>
        <v>6.8444326635448967</v>
      </c>
      <c r="BE745" s="10">
        <f t="shared" si="694"/>
        <v>0</v>
      </c>
      <c r="BF745">
        <f t="shared" si="695"/>
        <v>0</v>
      </c>
      <c r="BG745">
        <f t="shared" si="696"/>
        <v>0</v>
      </c>
      <c r="BH745">
        <f t="shared" si="697"/>
        <v>0</v>
      </c>
      <c r="BI745">
        <f t="shared" si="698"/>
        <v>0</v>
      </c>
    </row>
    <row r="746" spans="1:61" x14ac:dyDescent="0.3">
      <c r="A746">
        <f t="shared" si="703"/>
        <v>0.70899999999999996</v>
      </c>
      <c r="B746">
        <f t="shared" si="646"/>
        <v>2.2273891913951633</v>
      </c>
      <c r="C746">
        <f t="shared" si="647"/>
        <v>0.91420346219462978</v>
      </c>
      <c r="D746">
        <f t="shared" si="648"/>
        <v>0.91420346219462978</v>
      </c>
      <c r="E746">
        <f t="shared" si="653"/>
        <v>0.79207661424996711</v>
      </c>
      <c r="F746">
        <f t="shared" si="654"/>
        <v>0.792076614249967</v>
      </c>
      <c r="G746">
        <f t="shared" si="649"/>
        <v>2.2273891913951633</v>
      </c>
      <c r="H746">
        <f t="shared" si="650"/>
        <v>0.79207661424996711</v>
      </c>
      <c r="I746">
        <f t="shared" si="651"/>
        <v>0.792076614249967</v>
      </c>
      <c r="J746">
        <f t="shared" si="699"/>
        <v>8.037350944522068E+19</v>
      </c>
      <c r="K746">
        <f t="shared" si="700"/>
        <v>8.037350944522068E+19</v>
      </c>
      <c r="L746">
        <f t="shared" si="655"/>
        <v>1</v>
      </c>
      <c r="M746">
        <f t="shared" si="652"/>
        <v>9.1420346219462974E-21</v>
      </c>
      <c r="N746" s="9">
        <f t="shared" si="701"/>
        <v>9.1420346219462974E-21</v>
      </c>
      <c r="O746">
        <f t="shared" si="702"/>
        <v>9.1420346219462974E-21</v>
      </c>
      <c r="Q746">
        <f t="shared" si="656"/>
        <v>45.833216311273617</v>
      </c>
      <c r="R746">
        <f t="shared" si="657"/>
        <v>0</v>
      </c>
      <c r="S746">
        <f t="shared" si="679"/>
        <v>-46.14140398584216</v>
      </c>
      <c r="T746" s="9" t="e">
        <f t="shared" si="658"/>
        <v>#N/A</v>
      </c>
      <c r="U746">
        <f t="shared" si="680"/>
        <v>-1.0000000000000001E+300</v>
      </c>
      <c r="V746">
        <f t="shared" si="681"/>
        <v>0</v>
      </c>
      <c r="W746">
        <f t="shared" si="682"/>
        <v>0</v>
      </c>
      <c r="X746">
        <f t="shared" si="659"/>
        <v>0.91420346219462978</v>
      </c>
      <c r="Y746">
        <f t="shared" si="660"/>
        <v>7.8539816339744828</v>
      </c>
      <c r="Z746">
        <f t="shared" si="661"/>
        <v>-0.91420346219462978</v>
      </c>
      <c r="AA746">
        <f t="shared" si="683"/>
        <v>-0.70453995296894256</v>
      </c>
      <c r="AB746">
        <f t="shared" si="662"/>
        <v>7.1494416810055403</v>
      </c>
      <c r="AC746">
        <f t="shared" si="684"/>
        <v>-0.54128483125069926</v>
      </c>
      <c r="AD746">
        <f t="shared" si="663"/>
        <v>0.23309715668215558</v>
      </c>
      <c r="AE746" s="9">
        <f t="shared" si="685"/>
        <v>6.841254006436996</v>
      </c>
      <c r="AF746">
        <f t="shared" si="686"/>
        <v>0</v>
      </c>
      <c r="AH746">
        <f t="shared" si="664"/>
        <v>7.8539816339744828</v>
      </c>
      <c r="AI746">
        <f t="shared" si="665"/>
        <v>-0.70453995296894223</v>
      </c>
      <c r="AJ746">
        <f t="shared" si="666"/>
        <v>-0.54128483125069948</v>
      </c>
      <c r="AK746">
        <f t="shared" si="667"/>
        <v>0.23309715668215558</v>
      </c>
      <c r="AL746" s="9">
        <f t="shared" si="687"/>
        <v>6.841254006436996</v>
      </c>
      <c r="AM746" t="e">
        <f t="shared" si="668"/>
        <v>#N/A</v>
      </c>
      <c r="AN746" t="e">
        <f t="shared" si="688"/>
        <v>#N/A</v>
      </c>
      <c r="AO746">
        <f t="shared" si="669"/>
        <v>0</v>
      </c>
      <c r="AP746">
        <f t="shared" si="670"/>
        <v>0</v>
      </c>
      <c r="AQ746">
        <f t="shared" si="671"/>
        <v>0</v>
      </c>
      <c r="AR746">
        <f t="shared" si="689"/>
        <v>0</v>
      </c>
      <c r="AS746">
        <f t="shared" si="672"/>
        <v>0</v>
      </c>
      <c r="AT746">
        <f t="shared" si="690"/>
        <v>0</v>
      </c>
      <c r="AU746">
        <f t="shared" si="691"/>
        <v>0</v>
      </c>
      <c r="AV746">
        <f t="shared" si="673"/>
        <v>9.1420346219462974E-21</v>
      </c>
      <c r="AW746" t="b">
        <f t="shared" si="692"/>
        <v>1</v>
      </c>
      <c r="AX746">
        <f t="shared" si="674"/>
        <v>7.8539816339744828</v>
      </c>
      <c r="AY746">
        <f t="shared" si="675"/>
        <v>-0.70453995296894267</v>
      </c>
      <c r="AZ746">
        <f t="shared" si="676"/>
        <v>-0.54128483125069915</v>
      </c>
      <c r="BA746">
        <f t="shared" si="677"/>
        <v>0.23309715668215572</v>
      </c>
      <c r="BB746">
        <f t="shared" si="678"/>
        <v>-1.2337005501361696E-20</v>
      </c>
      <c r="BD746" s="15">
        <f t="shared" si="693"/>
        <v>6.8412540064369969</v>
      </c>
      <c r="BE746" s="10">
        <f t="shared" si="694"/>
        <v>0</v>
      </c>
      <c r="BF746">
        <f t="shared" si="695"/>
        <v>0</v>
      </c>
      <c r="BG746">
        <f t="shared" si="696"/>
        <v>0</v>
      </c>
      <c r="BH746">
        <f t="shared" si="697"/>
        <v>0</v>
      </c>
      <c r="BI746">
        <f t="shared" si="698"/>
        <v>0</v>
      </c>
    </row>
    <row r="747" spans="1:61" x14ac:dyDescent="0.3">
      <c r="A747">
        <f t="shared" si="703"/>
        <v>0.71</v>
      </c>
      <c r="B747">
        <f t="shared" si="646"/>
        <v>2.2305307840487529</v>
      </c>
      <c r="C747">
        <f t="shared" si="647"/>
        <v>0.91106186954104018</v>
      </c>
      <c r="D747">
        <f t="shared" si="648"/>
        <v>0.91106186954104018</v>
      </c>
      <c r="E747">
        <f t="shared" si="653"/>
        <v>0.79015501237569052</v>
      </c>
      <c r="F747">
        <f t="shared" si="654"/>
        <v>0.79015501237569041</v>
      </c>
      <c r="G747">
        <f t="shared" si="649"/>
        <v>2.2305307840487529</v>
      </c>
      <c r="H747">
        <f t="shared" si="650"/>
        <v>0.79015501237569052</v>
      </c>
      <c r="I747">
        <f t="shared" si="651"/>
        <v>0.79015501237569041</v>
      </c>
      <c r="J747">
        <f t="shared" si="699"/>
        <v>8.0568972213883961E+19</v>
      </c>
      <c r="K747">
        <f t="shared" si="700"/>
        <v>8.0568972213883961E+19</v>
      </c>
      <c r="L747">
        <f t="shared" si="655"/>
        <v>1</v>
      </c>
      <c r="M747">
        <f t="shared" si="652"/>
        <v>9.1106186954104008E-21</v>
      </c>
      <c r="N747" s="9">
        <f t="shared" si="701"/>
        <v>9.1106186954104008E-21</v>
      </c>
      <c r="O747">
        <f t="shared" si="702"/>
        <v>9.1106186954104008E-21</v>
      </c>
      <c r="Q747">
        <f t="shared" si="656"/>
        <v>45.835645289163722</v>
      </c>
      <c r="R747">
        <f t="shared" si="657"/>
        <v>-710542.73576010019</v>
      </c>
      <c r="S747">
        <f t="shared" si="679"/>
        <v>-46.144846330033133</v>
      </c>
      <c r="T747" s="9" t="e">
        <f t="shared" si="658"/>
        <v>#N/A</v>
      </c>
      <c r="U747">
        <f t="shared" si="680"/>
        <v>-1.0000000000000001E+300</v>
      </c>
      <c r="V747">
        <f t="shared" si="681"/>
        <v>0</v>
      </c>
      <c r="W747">
        <f t="shared" si="682"/>
        <v>0</v>
      </c>
      <c r="X747">
        <f t="shared" si="659"/>
        <v>0.91106186954104018</v>
      </c>
      <c r="Y747">
        <f t="shared" si="660"/>
        <v>7.8539816339744828</v>
      </c>
      <c r="Z747">
        <f t="shared" si="661"/>
        <v>-0.91106186954104018</v>
      </c>
      <c r="AA747">
        <f t="shared" si="683"/>
        <v>-0.70669202550154009</v>
      </c>
      <c r="AB747">
        <f t="shared" si="662"/>
        <v>7.1472896084729429</v>
      </c>
      <c r="AC747">
        <f t="shared" si="684"/>
        <v>-0.54472717544167193</v>
      </c>
      <c r="AD747">
        <f t="shared" si="663"/>
        <v>0.23552613457226582</v>
      </c>
      <c r="AE747" s="9">
        <f t="shared" si="685"/>
        <v>6.8380885676035366</v>
      </c>
      <c r="AF747">
        <f t="shared" si="686"/>
        <v>0</v>
      </c>
      <c r="AH747">
        <f t="shared" si="664"/>
        <v>7.8539816339744828</v>
      </c>
      <c r="AI747">
        <f t="shared" si="665"/>
        <v>-0.70669202550154009</v>
      </c>
      <c r="AJ747">
        <f t="shared" si="666"/>
        <v>-0.54472717544167182</v>
      </c>
      <c r="AK747">
        <f t="shared" si="667"/>
        <v>0.23552613457226582</v>
      </c>
      <c r="AL747" s="9">
        <f t="shared" si="687"/>
        <v>6.8380885676035366</v>
      </c>
      <c r="AM747" t="e">
        <f t="shared" si="668"/>
        <v>#N/A</v>
      </c>
      <c r="AN747" t="e">
        <f t="shared" si="688"/>
        <v>#N/A</v>
      </c>
      <c r="AO747">
        <f t="shared" si="669"/>
        <v>0</v>
      </c>
      <c r="AP747">
        <f t="shared" si="670"/>
        <v>0</v>
      </c>
      <c r="AQ747">
        <f t="shared" si="671"/>
        <v>0</v>
      </c>
      <c r="AR747">
        <f t="shared" si="689"/>
        <v>0</v>
      </c>
      <c r="AS747">
        <f t="shared" si="672"/>
        <v>0</v>
      </c>
      <c r="AT747">
        <f t="shared" si="690"/>
        <v>0</v>
      </c>
      <c r="AU747">
        <f t="shared" si="691"/>
        <v>0</v>
      </c>
      <c r="AV747">
        <f t="shared" si="673"/>
        <v>9.1106186954104008E-21</v>
      </c>
      <c r="AW747" t="b">
        <f t="shared" si="692"/>
        <v>1</v>
      </c>
      <c r="AX747">
        <f t="shared" si="674"/>
        <v>7.8539816339744828</v>
      </c>
      <c r="AY747">
        <f t="shared" si="675"/>
        <v>-0.70669202550154009</v>
      </c>
      <c r="AZ747">
        <f t="shared" si="676"/>
        <v>-0.54472717544167193</v>
      </c>
      <c r="BA747">
        <f t="shared" si="677"/>
        <v>0.23552613457226595</v>
      </c>
      <c r="BB747">
        <f t="shared" si="678"/>
        <v>-1.2337005501361696E-20</v>
      </c>
      <c r="BD747" s="15">
        <f t="shared" si="693"/>
        <v>6.8380885676035374</v>
      </c>
      <c r="BE747" s="10">
        <f t="shared" si="694"/>
        <v>0</v>
      </c>
      <c r="BF747">
        <f t="shared" si="695"/>
        <v>0</v>
      </c>
      <c r="BG747">
        <f t="shared" si="696"/>
        <v>0</v>
      </c>
      <c r="BH747">
        <f t="shared" si="697"/>
        <v>0</v>
      </c>
      <c r="BI747">
        <f t="shared" si="698"/>
        <v>0</v>
      </c>
    </row>
    <row r="748" spans="1:61" x14ac:dyDescent="0.3">
      <c r="A748">
        <f t="shared" si="703"/>
        <v>0.71099999999999997</v>
      </c>
      <c r="B748">
        <f t="shared" si="646"/>
        <v>2.233672376702343</v>
      </c>
      <c r="C748">
        <f t="shared" si="647"/>
        <v>0.90792027688745014</v>
      </c>
      <c r="D748">
        <f t="shared" si="648"/>
        <v>0.90792027688745014</v>
      </c>
      <c r="E748">
        <f t="shared" si="653"/>
        <v>0.78822561199044006</v>
      </c>
      <c r="F748">
        <f t="shared" si="654"/>
        <v>0.78822561199043994</v>
      </c>
      <c r="G748">
        <f t="shared" si="649"/>
        <v>2.233672376702343</v>
      </c>
      <c r="H748">
        <f t="shared" si="650"/>
        <v>0.78822561199044006</v>
      </c>
      <c r="I748">
        <f t="shared" si="651"/>
        <v>0.78822561199043994</v>
      </c>
      <c r="J748">
        <f t="shared" si="699"/>
        <v>8.0766187076816617E+19</v>
      </c>
      <c r="K748">
        <f t="shared" si="700"/>
        <v>8.0766187076816617E+19</v>
      </c>
      <c r="L748" t="e">
        <f t="shared" si="655"/>
        <v>#NUM!</v>
      </c>
      <c r="M748">
        <f t="shared" si="652"/>
        <v>9.0792027688745012E-21</v>
      </c>
      <c r="N748" s="9" t="e">
        <f t="shared" si="701"/>
        <v>#NUM!</v>
      </c>
      <c r="O748" t="e">
        <f t="shared" si="702"/>
        <v>#NUM!</v>
      </c>
      <c r="Q748">
        <f t="shared" si="656"/>
        <v>45.838090075061963</v>
      </c>
      <c r="R748">
        <f t="shared" si="657"/>
        <v>0</v>
      </c>
      <c r="S748">
        <f t="shared" si="679"/>
        <v>-46.14830056490122</v>
      </c>
      <c r="T748" s="9" t="e">
        <f t="shared" si="658"/>
        <v>#N/A</v>
      </c>
      <c r="U748">
        <f t="shared" si="680"/>
        <v>-1.0000000000000001E+300</v>
      </c>
      <c r="V748">
        <f t="shared" si="681"/>
        <v>0</v>
      </c>
      <c r="W748">
        <f t="shared" si="682"/>
        <v>0</v>
      </c>
      <c r="X748">
        <f t="shared" si="659"/>
        <v>0.90792027688745014</v>
      </c>
      <c r="Y748">
        <f t="shared" si="660"/>
        <v>7.8539816339744828</v>
      </c>
      <c r="Z748">
        <f t="shared" si="661"/>
        <v>-0.90792027688745014</v>
      </c>
      <c r="AA748">
        <f t="shared" si="683"/>
        <v>-0.70883482483516758</v>
      </c>
      <c r="AB748">
        <f t="shared" si="662"/>
        <v>7.1451468091393151</v>
      </c>
      <c r="AC748">
        <f t="shared" si="684"/>
        <v>-0.54818141030975964</v>
      </c>
      <c r="AD748">
        <f t="shared" si="663"/>
        <v>0.23797092047050106</v>
      </c>
      <c r="AE748" s="9">
        <f t="shared" si="685"/>
        <v>6.8349363193000565</v>
      </c>
      <c r="AF748">
        <f t="shared" si="686"/>
        <v>0</v>
      </c>
      <c r="AH748">
        <f t="shared" si="664"/>
        <v>7.8539816339744828</v>
      </c>
      <c r="AI748">
        <f t="shared" si="665"/>
        <v>-0.70883482483516747</v>
      </c>
      <c r="AJ748">
        <f t="shared" si="666"/>
        <v>-0.54818141030975909</v>
      </c>
      <c r="AK748">
        <f t="shared" si="667"/>
        <v>0.23797092047050106</v>
      </c>
      <c r="AL748" s="9">
        <f t="shared" si="687"/>
        <v>6.8349363193000574</v>
      </c>
      <c r="AM748" t="e">
        <f t="shared" si="668"/>
        <v>#N/A</v>
      </c>
      <c r="AN748" t="e">
        <f t="shared" si="688"/>
        <v>#N/A</v>
      </c>
      <c r="AO748">
        <f t="shared" si="669"/>
        <v>0</v>
      </c>
      <c r="AP748">
        <f t="shared" si="670"/>
        <v>0</v>
      </c>
      <c r="AQ748">
        <f t="shared" si="671"/>
        <v>0</v>
      </c>
      <c r="AR748">
        <f t="shared" si="689"/>
        <v>0</v>
      </c>
      <c r="AS748">
        <f t="shared" si="672"/>
        <v>0</v>
      </c>
      <c r="AT748">
        <f t="shared" si="690"/>
        <v>0</v>
      </c>
      <c r="AU748">
        <f t="shared" si="691"/>
        <v>0</v>
      </c>
      <c r="AV748">
        <f t="shared" si="673"/>
        <v>9.0792027688745012E-21</v>
      </c>
      <c r="AW748" t="b">
        <f t="shared" si="692"/>
        <v>1</v>
      </c>
      <c r="AX748">
        <f t="shared" si="674"/>
        <v>7.8539816339744828</v>
      </c>
      <c r="AY748">
        <f t="shared" si="675"/>
        <v>-0.70883482483516769</v>
      </c>
      <c r="AZ748">
        <f t="shared" si="676"/>
        <v>-0.54818141030975964</v>
      </c>
      <c r="BA748">
        <f t="shared" si="677"/>
        <v>0.2379709204705012</v>
      </c>
      <c r="BB748">
        <f t="shared" si="678"/>
        <v>-1.2337005501361696E-20</v>
      </c>
      <c r="BD748" s="15">
        <f t="shared" si="693"/>
        <v>6.8349363193000565</v>
      </c>
      <c r="BE748" s="10">
        <f t="shared" si="694"/>
        <v>0</v>
      </c>
      <c r="BF748">
        <f t="shared" si="695"/>
        <v>0</v>
      </c>
      <c r="BG748">
        <f t="shared" si="696"/>
        <v>0</v>
      </c>
      <c r="BH748">
        <f t="shared" si="697"/>
        <v>0</v>
      </c>
      <c r="BI748">
        <f t="shared" si="698"/>
        <v>0</v>
      </c>
    </row>
    <row r="749" spans="1:61" x14ac:dyDescent="0.3">
      <c r="A749">
        <f t="shared" si="703"/>
        <v>0.71199999999999997</v>
      </c>
      <c r="B749">
        <f t="shared" si="646"/>
        <v>2.2368139693559326</v>
      </c>
      <c r="C749">
        <f t="shared" si="647"/>
        <v>0.90477868423386054</v>
      </c>
      <c r="D749">
        <f t="shared" si="648"/>
        <v>0.90477868423386054</v>
      </c>
      <c r="E749">
        <f t="shared" si="653"/>
        <v>0.78628843213661903</v>
      </c>
      <c r="F749">
        <f t="shared" si="654"/>
        <v>0.78628843213661892</v>
      </c>
      <c r="G749">
        <f t="shared" si="649"/>
        <v>2.2368139693559326</v>
      </c>
      <c r="H749">
        <f t="shared" si="650"/>
        <v>0.78628843213661903</v>
      </c>
      <c r="I749">
        <f t="shared" si="651"/>
        <v>0.78628843213661892</v>
      </c>
      <c r="J749">
        <f t="shared" si="699"/>
        <v>8.0965170839111057E+19</v>
      </c>
      <c r="K749">
        <f t="shared" si="700"/>
        <v>8.0965170839111057E+19</v>
      </c>
      <c r="L749">
        <f t="shared" si="655"/>
        <v>1</v>
      </c>
      <c r="M749">
        <f t="shared" si="652"/>
        <v>9.0477868423386046E-21</v>
      </c>
      <c r="N749" s="9">
        <f t="shared" si="701"/>
        <v>9.0477868423386046E-21</v>
      </c>
      <c r="O749">
        <f t="shared" si="702"/>
        <v>9.0477868423386046E-21</v>
      </c>
      <c r="Q749">
        <f t="shared" si="656"/>
        <v>45.8405507464526</v>
      </c>
      <c r="R749">
        <f t="shared" si="657"/>
        <v>-710542.73576010019</v>
      </c>
      <c r="S749">
        <f t="shared" si="679"/>
        <v>-46.151766772877707</v>
      </c>
      <c r="T749" s="9" t="e">
        <f t="shared" si="658"/>
        <v>#N/A</v>
      </c>
      <c r="U749">
        <f t="shared" si="680"/>
        <v>-1.0000000000000001E+300</v>
      </c>
      <c r="V749">
        <f t="shared" si="681"/>
        <v>0</v>
      </c>
      <c r="W749">
        <f t="shared" si="682"/>
        <v>0</v>
      </c>
      <c r="X749">
        <f t="shared" si="659"/>
        <v>0.90477868423386054</v>
      </c>
      <c r="Y749">
        <f t="shared" si="660"/>
        <v>7.8539816339744828</v>
      </c>
      <c r="Z749">
        <f t="shared" si="661"/>
        <v>-0.90477868423386054</v>
      </c>
      <c r="AA749">
        <f t="shared" si="683"/>
        <v>-0.71096837359548359</v>
      </c>
      <c r="AB749">
        <f t="shared" si="662"/>
        <v>7.1430132603789991</v>
      </c>
      <c r="AC749">
        <f t="shared" si="684"/>
        <v>-0.55164761828624564</v>
      </c>
      <c r="AD749">
        <f t="shared" si="663"/>
        <v>0.24043159186114346</v>
      </c>
      <c r="AE749" s="9">
        <f t="shared" si="685"/>
        <v>6.831797233953897</v>
      </c>
      <c r="AF749">
        <f t="shared" si="686"/>
        <v>0</v>
      </c>
      <c r="AH749">
        <f t="shared" si="664"/>
        <v>7.8539816339744828</v>
      </c>
      <c r="AI749">
        <f t="shared" si="665"/>
        <v>-0.71096837359548359</v>
      </c>
      <c r="AJ749">
        <f t="shared" si="666"/>
        <v>-0.5516476182862462</v>
      </c>
      <c r="AK749">
        <f t="shared" si="667"/>
        <v>0.24043159186114346</v>
      </c>
      <c r="AL749" s="9">
        <f t="shared" si="687"/>
        <v>6.8317972339538962</v>
      </c>
      <c r="AM749" t="e">
        <f t="shared" si="668"/>
        <v>#N/A</v>
      </c>
      <c r="AN749" t="e">
        <f t="shared" si="688"/>
        <v>#N/A</v>
      </c>
      <c r="AO749">
        <f t="shared" si="669"/>
        <v>0</v>
      </c>
      <c r="AP749">
        <f t="shared" si="670"/>
        <v>0</v>
      </c>
      <c r="AQ749">
        <f t="shared" si="671"/>
        <v>0</v>
      </c>
      <c r="AR749">
        <f t="shared" si="689"/>
        <v>0</v>
      </c>
      <c r="AS749">
        <f t="shared" si="672"/>
        <v>0</v>
      </c>
      <c r="AT749">
        <f t="shared" si="690"/>
        <v>0</v>
      </c>
      <c r="AU749">
        <f t="shared" si="691"/>
        <v>0</v>
      </c>
      <c r="AV749">
        <f t="shared" si="673"/>
        <v>9.0477868423386046E-21</v>
      </c>
      <c r="AW749" t="b">
        <f t="shared" si="692"/>
        <v>1</v>
      </c>
      <c r="AX749">
        <f t="shared" si="674"/>
        <v>7.8539816339744828</v>
      </c>
      <c r="AY749">
        <f t="shared" si="675"/>
        <v>-0.71096837359548348</v>
      </c>
      <c r="AZ749">
        <f t="shared" si="676"/>
        <v>-0.55164761828624564</v>
      </c>
      <c r="BA749">
        <f t="shared" si="677"/>
        <v>0.2404315918611436</v>
      </c>
      <c r="BB749">
        <f t="shared" si="678"/>
        <v>-1.2337005501361696E-20</v>
      </c>
      <c r="BD749" s="15">
        <f t="shared" si="693"/>
        <v>6.831797233953897</v>
      </c>
      <c r="BE749" s="10">
        <f t="shared" si="694"/>
        <v>0</v>
      </c>
      <c r="BF749">
        <f t="shared" si="695"/>
        <v>0</v>
      </c>
      <c r="BG749">
        <f t="shared" si="696"/>
        <v>0</v>
      </c>
      <c r="BH749">
        <f t="shared" si="697"/>
        <v>0</v>
      </c>
      <c r="BI749">
        <f t="shared" si="698"/>
        <v>0</v>
      </c>
    </row>
    <row r="750" spans="1:61" x14ac:dyDescent="0.3">
      <c r="A750">
        <f t="shared" si="703"/>
        <v>0.71299999999999997</v>
      </c>
      <c r="B750">
        <f t="shared" si="646"/>
        <v>2.2399555620095222</v>
      </c>
      <c r="C750">
        <f t="shared" si="647"/>
        <v>0.90163709158027094</v>
      </c>
      <c r="D750">
        <f t="shared" si="648"/>
        <v>0.90163709158027094</v>
      </c>
      <c r="E750">
        <f t="shared" si="653"/>
        <v>0.78434349193341035</v>
      </c>
      <c r="F750">
        <f t="shared" si="654"/>
        <v>0.78434349193341024</v>
      </c>
      <c r="G750">
        <f t="shared" si="649"/>
        <v>2.2399555620095222</v>
      </c>
      <c r="H750">
        <f t="shared" si="650"/>
        <v>0.78434349193341035</v>
      </c>
      <c r="I750">
        <f t="shared" si="651"/>
        <v>0.78434349193341024</v>
      </c>
      <c r="J750">
        <f t="shared" si="699"/>
        <v>8.1165940549632246E+19</v>
      </c>
      <c r="K750">
        <f t="shared" si="700"/>
        <v>8.1165940549632246E+19</v>
      </c>
      <c r="L750">
        <f t="shared" si="655"/>
        <v>1</v>
      </c>
      <c r="M750">
        <f t="shared" si="652"/>
        <v>9.016370915802708E-21</v>
      </c>
      <c r="N750" s="9">
        <f t="shared" si="701"/>
        <v>9.016370915802708E-21</v>
      </c>
      <c r="O750">
        <f t="shared" si="702"/>
        <v>9.016370915802708E-21</v>
      </c>
      <c r="Q750">
        <f t="shared" si="656"/>
        <v>45.843027381706918</v>
      </c>
      <c r="R750">
        <f t="shared" si="657"/>
        <v>0</v>
      </c>
      <c r="S750">
        <f t="shared" si="679"/>
        <v>-46.155245037254026</v>
      </c>
      <c r="T750" s="9" t="e">
        <f t="shared" si="658"/>
        <v>#N/A</v>
      </c>
      <c r="U750">
        <f t="shared" si="680"/>
        <v>-1.0000000000000001E+300</v>
      </c>
      <c r="V750">
        <f t="shared" si="681"/>
        <v>0</v>
      </c>
      <c r="W750">
        <f t="shared" si="682"/>
        <v>0</v>
      </c>
      <c r="X750">
        <f t="shared" si="659"/>
        <v>0.90163709158027094</v>
      </c>
      <c r="Y750">
        <f t="shared" si="660"/>
        <v>7.8539816339744828</v>
      </c>
      <c r="Z750">
        <f t="shared" si="661"/>
        <v>-0.90163709158027094</v>
      </c>
      <c r="AA750">
        <f t="shared" si="683"/>
        <v>-0.71309269426421784</v>
      </c>
      <c r="AB750">
        <f t="shared" si="662"/>
        <v>7.1408889397102646</v>
      </c>
      <c r="AC750">
        <f t="shared" si="684"/>
        <v>-0.55512588266257035</v>
      </c>
      <c r="AD750">
        <f t="shared" si="663"/>
        <v>0.24290822711545837</v>
      </c>
      <c r="AE750" s="9">
        <f t="shared" si="685"/>
        <v>6.8286712841631534</v>
      </c>
      <c r="AF750">
        <f t="shared" si="686"/>
        <v>0</v>
      </c>
      <c r="AH750">
        <f t="shared" si="664"/>
        <v>7.8539816339744828</v>
      </c>
      <c r="AI750">
        <f t="shared" si="665"/>
        <v>-0.71309269426421784</v>
      </c>
      <c r="AJ750">
        <f t="shared" si="666"/>
        <v>-0.55512588266256557</v>
      </c>
      <c r="AK750">
        <f t="shared" si="667"/>
        <v>0.24290822711545837</v>
      </c>
      <c r="AL750" s="9">
        <f t="shared" si="687"/>
        <v>6.8286712841631578</v>
      </c>
      <c r="AM750" t="e">
        <f t="shared" si="668"/>
        <v>#N/A</v>
      </c>
      <c r="AN750" t="e">
        <f t="shared" si="688"/>
        <v>#N/A</v>
      </c>
      <c r="AO750">
        <f t="shared" si="669"/>
        <v>0</v>
      </c>
      <c r="AP750">
        <f t="shared" si="670"/>
        <v>0</v>
      </c>
      <c r="AQ750">
        <f t="shared" si="671"/>
        <v>4.7739590058881731E-15</v>
      </c>
      <c r="AR750">
        <f t="shared" si="689"/>
        <v>0</v>
      </c>
      <c r="AS750">
        <f t="shared" si="672"/>
        <v>0</v>
      </c>
      <c r="AT750">
        <f t="shared" si="690"/>
        <v>0</v>
      </c>
      <c r="AU750">
        <f t="shared" si="691"/>
        <v>0</v>
      </c>
      <c r="AV750">
        <f t="shared" si="673"/>
        <v>9.0163709158027095E-21</v>
      </c>
      <c r="AW750" t="b">
        <f t="shared" si="692"/>
        <v>1</v>
      </c>
      <c r="AX750">
        <f t="shared" si="674"/>
        <v>7.8539816339744828</v>
      </c>
      <c r="AY750">
        <f t="shared" si="675"/>
        <v>-0.71309269426421795</v>
      </c>
      <c r="AZ750">
        <f t="shared" si="676"/>
        <v>-0.55512588266257012</v>
      </c>
      <c r="BA750">
        <f t="shared" si="677"/>
        <v>0.24290822711545851</v>
      </c>
      <c r="BB750">
        <f t="shared" si="678"/>
        <v>-1.2337005501361696E-20</v>
      </c>
      <c r="BD750" s="15">
        <f t="shared" si="693"/>
        <v>6.8286712841631534</v>
      </c>
      <c r="BE750" s="10">
        <f t="shared" si="694"/>
        <v>0</v>
      </c>
      <c r="BF750">
        <f t="shared" si="695"/>
        <v>0</v>
      </c>
      <c r="BG750">
        <f t="shared" si="696"/>
        <v>0</v>
      </c>
      <c r="BH750">
        <f t="shared" si="697"/>
        <v>0</v>
      </c>
      <c r="BI750">
        <f t="shared" si="698"/>
        <v>0</v>
      </c>
    </row>
    <row r="751" spans="1:61" x14ac:dyDescent="0.3">
      <c r="A751">
        <f t="shared" si="703"/>
        <v>0.71399999999999997</v>
      </c>
      <c r="B751">
        <f t="shared" si="646"/>
        <v>2.2430971546631122</v>
      </c>
      <c r="C751">
        <f t="shared" si="647"/>
        <v>0.8984954989266809</v>
      </c>
      <c r="D751">
        <f t="shared" si="648"/>
        <v>0.8984954989266809</v>
      </c>
      <c r="E751">
        <f t="shared" si="653"/>
        <v>0.78239081057658821</v>
      </c>
      <c r="F751">
        <f t="shared" si="654"/>
        <v>0.7823908105765881</v>
      </c>
      <c r="G751">
        <f t="shared" si="649"/>
        <v>2.2430971546631122</v>
      </c>
      <c r="H751">
        <f t="shared" si="650"/>
        <v>0.78239081057658821</v>
      </c>
      <c r="I751">
        <f t="shared" si="651"/>
        <v>0.7823908105765881</v>
      </c>
      <c r="J751">
        <f t="shared" si="699"/>
        <v>8.1368513505216168E+19</v>
      </c>
      <c r="K751">
        <f t="shared" si="700"/>
        <v>8.1368513505216168E+19</v>
      </c>
      <c r="L751">
        <f t="shared" si="655"/>
        <v>1</v>
      </c>
      <c r="M751">
        <f t="shared" si="652"/>
        <v>8.9849549892668084E-21</v>
      </c>
      <c r="N751" s="9">
        <f t="shared" si="701"/>
        <v>8.9849549892668084E-21</v>
      </c>
      <c r="O751">
        <f t="shared" si="702"/>
        <v>8.9849549892668084E-21</v>
      </c>
      <c r="Q751">
        <f t="shared" si="656"/>
        <v>45.845520060095033</v>
      </c>
      <c r="R751">
        <f t="shared" si="657"/>
        <v>-710542.73576010019</v>
      </c>
      <c r="S751">
        <f t="shared" si="679"/>
        <v>-46.158735442193795</v>
      </c>
      <c r="T751" s="9" t="e">
        <f t="shared" si="658"/>
        <v>#N/A</v>
      </c>
      <c r="U751">
        <f t="shared" si="680"/>
        <v>-1.0000000000000001E+300</v>
      </c>
      <c r="V751">
        <f t="shared" si="681"/>
        <v>0</v>
      </c>
      <c r="W751">
        <f t="shared" si="682"/>
        <v>0</v>
      </c>
      <c r="X751">
        <f t="shared" si="659"/>
        <v>0.8984954989266809</v>
      </c>
      <c r="Y751">
        <f t="shared" si="660"/>
        <v>7.8539816339744828</v>
      </c>
      <c r="Z751">
        <f t="shared" si="661"/>
        <v>-0.8984954989266809</v>
      </c>
      <c r="AA751">
        <f t="shared" si="683"/>
        <v>-0.71520780918007776</v>
      </c>
      <c r="AB751">
        <f t="shared" si="662"/>
        <v>7.1387738247944048</v>
      </c>
      <c r="AC751">
        <f t="shared" si="684"/>
        <v>-0.55861628760233906</v>
      </c>
      <c r="AD751">
        <f t="shared" si="663"/>
        <v>0.24540090550357688</v>
      </c>
      <c r="AE751" s="9">
        <f t="shared" si="685"/>
        <v>6.8255584426956428</v>
      </c>
      <c r="AF751">
        <f t="shared" si="686"/>
        <v>0</v>
      </c>
      <c r="AH751">
        <f t="shared" si="664"/>
        <v>7.8539816339744828</v>
      </c>
      <c r="AI751">
        <f t="shared" si="665"/>
        <v>-0.71520780918007765</v>
      </c>
      <c r="AJ751">
        <f t="shared" si="666"/>
        <v>-0.55861628760233373</v>
      </c>
      <c r="AK751">
        <f t="shared" si="667"/>
        <v>0.24540090550357688</v>
      </c>
      <c r="AL751" s="9">
        <f t="shared" si="687"/>
        <v>6.8255584426956482</v>
      </c>
      <c r="AM751" t="e">
        <f t="shared" si="668"/>
        <v>#N/A</v>
      </c>
      <c r="AN751" t="e">
        <f t="shared" si="688"/>
        <v>#N/A</v>
      </c>
      <c r="AO751">
        <f t="shared" si="669"/>
        <v>0</v>
      </c>
      <c r="AP751">
        <f t="shared" si="670"/>
        <v>0</v>
      </c>
      <c r="AQ751">
        <f t="shared" si="671"/>
        <v>5.3290705182007514E-15</v>
      </c>
      <c r="AR751">
        <f t="shared" si="689"/>
        <v>0</v>
      </c>
      <c r="AS751">
        <f t="shared" si="672"/>
        <v>0</v>
      </c>
      <c r="AT751">
        <f t="shared" si="690"/>
        <v>0</v>
      </c>
      <c r="AU751">
        <f t="shared" si="691"/>
        <v>0</v>
      </c>
      <c r="AV751">
        <f t="shared" si="673"/>
        <v>8.9849549892668084E-21</v>
      </c>
      <c r="AW751" t="b">
        <f t="shared" si="692"/>
        <v>1</v>
      </c>
      <c r="AX751">
        <f t="shared" si="674"/>
        <v>7.8539816339744828</v>
      </c>
      <c r="AY751">
        <f t="shared" si="675"/>
        <v>-0.71520780918007787</v>
      </c>
      <c r="AZ751">
        <f t="shared" si="676"/>
        <v>-0.55861628760233906</v>
      </c>
      <c r="BA751">
        <f t="shared" si="677"/>
        <v>0.24540090550357702</v>
      </c>
      <c r="BB751">
        <f t="shared" si="678"/>
        <v>-1.2337005501361696E-20</v>
      </c>
      <c r="BD751" s="15">
        <f t="shared" si="693"/>
        <v>6.8255584426956428</v>
      </c>
      <c r="BE751" s="10">
        <f t="shared" si="694"/>
        <v>0</v>
      </c>
      <c r="BF751">
        <f t="shared" si="695"/>
        <v>0</v>
      </c>
      <c r="BG751">
        <f t="shared" si="696"/>
        <v>0</v>
      </c>
      <c r="BH751">
        <f t="shared" si="697"/>
        <v>0</v>
      </c>
      <c r="BI751">
        <f t="shared" si="698"/>
        <v>0</v>
      </c>
    </row>
    <row r="752" spans="1:61" x14ac:dyDescent="0.3">
      <c r="A752">
        <f t="shared" si="703"/>
        <v>0.71499999999999997</v>
      </c>
      <c r="B752">
        <f t="shared" si="646"/>
        <v>2.2462387473167018</v>
      </c>
      <c r="C752">
        <f t="shared" si="647"/>
        <v>0.8953539062730913</v>
      </c>
      <c r="D752">
        <f t="shared" si="648"/>
        <v>0.8953539062730913</v>
      </c>
      <c r="E752">
        <f t="shared" si="653"/>
        <v>0.78043040733832991</v>
      </c>
      <c r="F752">
        <f t="shared" si="654"/>
        <v>0.78043040733832991</v>
      </c>
      <c r="G752">
        <f t="shared" si="649"/>
        <v>2.2462387473167018</v>
      </c>
      <c r="H752">
        <f t="shared" si="650"/>
        <v>0.78043040733832991</v>
      </c>
      <c r="I752">
        <f t="shared" si="651"/>
        <v>0.78043040733832991</v>
      </c>
      <c r="J752">
        <f t="shared" si="699"/>
        <v>8.157290725495731E+19</v>
      </c>
      <c r="K752">
        <f t="shared" si="700"/>
        <v>8.157290725495731E+19</v>
      </c>
      <c r="L752">
        <f t="shared" si="655"/>
        <v>1</v>
      </c>
      <c r="M752">
        <f t="shared" si="652"/>
        <v>8.9535390627309118E-21</v>
      </c>
      <c r="N752" s="9">
        <f t="shared" si="701"/>
        <v>8.9535390627309118E-21</v>
      </c>
      <c r="O752">
        <f t="shared" si="702"/>
        <v>8.9535390627309118E-21</v>
      </c>
      <c r="Q752">
        <f t="shared" si="656"/>
        <v>45.848028861798049</v>
      </c>
      <c r="R752">
        <f t="shared" si="657"/>
        <v>0</v>
      </c>
      <c r="S752">
        <f t="shared" si="679"/>
        <v>-46.162238072744998</v>
      </c>
      <c r="T752" s="9" t="e">
        <f t="shared" si="658"/>
        <v>#N/A</v>
      </c>
      <c r="U752">
        <f t="shared" si="680"/>
        <v>-1.0000000000000001E+300</v>
      </c>
      <c r="V752">
        <f t="shared" si="681"/>
        <v>0</v>
      </c>
      <c r="W752">
        <f t="shared" si="682"/>
        <v>0</v>
      </c>
      <c r="X752">
        <f t="shared" si="659"/>
        <v>0.8953539062730913</v>
      </c>
      <c r="Y752">
        <f t="shared" si="660"/>
        <v>7.8539816339744828</v>
      </c>
      <c r="Z752">
        <f t="shared" si="661"/>
        <v>-0.8953539062730913</v>
      </c>
      <c r="AA752">
        <f t="shared" si="683"/>
        <v>-0.71731374053964647</v>
      </c>
      <c r="AB752">
        <f t="shared" si="662"/>
        <v>7.1366678934348364</v>
      </c>
      <c r="AC752">
        <f t="shared" si="684"/>
        <v>-0.56211891815354087</v>
      </c>
      <c r="AD752">
        <f t="shared" si="663"/>
        <v>0.24790970720658839</v>
      </c>
      <c r="AE752" s="9">
        <f t="shared" si="685"/>
        <v>6.8224586824878841</v>
      </c>
      <c r="AF752">
        <f t="shared" si="686"/>
        <v>0</v>
      </c>
      <c r="AH752">
        <f t="shared" si="664"/>
        <v>7.8539816339744828</v>
      </c>
      <c r="AI752">
        <f t="shared" si="665"/>
        <v>-0.71731374053964625</v>
      </c>
      <c r="AJ752">
        <f t="shared" si="666"/>
        <v>-0.56211891815353709</v>
      </c>
      <c r="AK752">
        <f t="shared" si="667"/>
        <v>0.24790970720658839</v>
      </c>
      <c r="AL752" s="9">
        <f t="shared" si="687"/>
        <v>6.8224586824878877</v>
      </c>
      <c r="AM752" t="e">
        <f t="shared" si="668"/>
        <v>#N/A</v>
      </c>
      <c r="AN752" t="e">
        <f t="shared" si="688"/>
        <v>#N/A</v>
      </c>
      <c r="AO752">
        <f t="shared" si="669"/>
        <v>0</v>
      </c>
      <c r="AP752">
        <f t="shared" si="670"/>
        <v>0</v>
      </c>
      <c r="AQ752">
        <f t="shared" si="671"/>
        <v>3.7747582837255322E-15</v>
      </c>
      <c r="AR752">
        <f t="shared" si="689"/>
        <v>0</v>
      </c>
      <c r="AS752">
        <f t="shared" si="672"/>
        <v>0</v>
      </c>
      <c r="AT752">
        <f t="shared" si="690"/>
        <v>0</v>
      </c>
      <c r="AU752">
        <f t="shared" si="691"/>
        <v>0</v>
      </c>
      <c r="AV752">
        <f t="shared" si="673"/>
        <v>8.9535390627309133E-21</v>
      </c>
      <c r="AW752" t="b">
        <f t="shared" si="692"/>
        <v>1</v>
      </c>
      <c r="AX752">
        <f t="shared" si="674"/>
        <v>7.8539816339744828</v>
      </c>
      <c r="AY752">
        <f t="shared" si="675"/>
        <v>-0.71731374053964658</v>
      </c>
      <c r="AZ752">
        <f t="shared" si="676"/>
        <v>-0.56211891815354076</v>
      </c>
      <c r="BA752">
        <f t="shared" si="677"/>
        <v>0.24790970720658839</v>
      </c>
      <c r="BB752">
        <f t="shared" si="678"/>
        <v>-1.2337005501361696E-20</v>
      </c>
      <c r="BD752" s="15">
        <f t="shared" si="693"/>
        <v>6.8224586824878841</v>
      </c>
      <c r="BE752" s="10">
        <f t="shared" si="694"/>
        <v>0</v>
      </c>
      <c r="BF752">
        <f t="shared" si="695"/>
        <v>0</v>
      </c>
      <c r="BG752">
        <f t="shared" si="696"/>
        <v>0</v>
      </c>
      <c r="BH752">
        <f t="shared" si="697"/>
        <v>0</v>
      </c>
      <c r="BI752">
        <f t="shared" si="698"/>
        <v>0</v>
      </c>
    </row>
    <row r="753" spans="1:61" x14ac:dyDescent="0.3">
      <c r="A753">
        <f t="shared" si="703"/>
        <v>0.71599999999999997</v>
      </c>
      <c r="B753">
        <f t="shared" si="646"/>
        <v>2.2493803399702919</v>
      </c>
      <c r="C753">
        <f t="shared" si="647"/>
        <v>0.89221231361950126</v>
      </c>
      <c r="D753">
        <f t="shared" si="648"/>
        <v>0.89221231361950126</v>
      </c>
      <c r="E753">
        <f t="shared" si="653"/>
        <v>0.77846230156702345</v>
      </c>
      <c r="F753">
        <f t="shared" si="654"/>
        <v>0.77846230156702345</v>
      </c>
      <c r="G753">
        <f t="shared" si="649"/>
        <v>2.2493803399702919</v>
      </c>
      <c r="H753">
        <f t="shared" si="650"/>
        <v>0.77846230156702345</v>
      </c>
      <c r="I753">
        <f t="shared" si="651"/>
        <v>0.77846230156702345</v>
      </c>
      <c r="J753">
        <f t="shared" si="699"/>
        <v>8.1779139604587545E+19</v>
      </c>
      <c r="K753">
        <f t="shared" si="700"/>
        <v>8.1779139604587545E+19</v>
      </c>
      <c r="L753">
        <f t="shared" si="655"/>
        <v>1</v>
      </c>
      <c r="M753">
        <f t="shared" si="652"/>
        <v>8.9221231361950122E-21</v>
      </c>
      <c r="N753" s="9">
        <f t="shared" si="701"/>
        <v>8.9221231361950122E-21</v>
      </c>
      <c r="O753">
        <f t="shared" si="702"/>
        <v>8.9221231361950122E-21</v>
      </c>
      <c r="Q753">
        <f t="shared" si="656"/>
        <v>45.850553867920311</v>
      </c>
      <c r="R753">
        <f t="shared" si="657"/>
        <v>0</v>
      </c>
      <c r="S753">
        <f t="shared" si="679"/>
        <v>-46.165753014852442</v>
      </c>
      <c r="T753" s="9" t="e">
        <f t="shared" si="658"/>
        <v>#N/A</v>
      </c>
      <c r="U753">
        <f t="shared" si="680"/>
        <v>-1.0000000000000001E+300</v>
      </c>
      <c r="V753">
        <f t="shared" si="681"/>
        <v>0</v>
      </c>
      <c r="W753">
        <f t="shared" si="682"/>
        <v>0</v>
      </c>
      <c r="X753">
        <f t="shared" si="659"/>
        <v>0.89221231361950126</v>
      </c>
      <c r="Y753">
        <f t="shared" si="660"/>
        <v>7.8539816339744828</v>
      </c>
      <c r="Z753">
        <f t="shared" si="661"/>
        <v>-0.89221231361950126</v>
      </c>
      <c r="AA753">
        <f t="shared" si="683"/>
        <v>-0.71941051039827741</v>
      </c>
      <c r="AB753">
        <f t="shared" si="662"/>
        <v>7.1345711235762055</v>
      </c>
      <c r="AC753">
        <f t="shared" si="684"/>
        <v>-0.56563386026098561</v>
      </c>
      <c r="AD753">
        <f t="shared" si="663"/>
        <v>0.25043471332885336</v>
      </c>
      <c r="AE753" s="9">
        <f t="shared" si="685"/>
        <v>6.8193719766440735</v>
      </c>
      <c r="AF753">
        <f t="shared" si="686"/>
        <v>0</v>
      </c>
      <c r="AH753">
        <f t="shared" si="664"/>
        <v>7.8539816339744828</v>
      </c>
      <c r="AI753">
        <f t="shared" si="665"/>
        <v>-0.71941051039827741</v>
      </c>
      <c r="AJ753">
        <f t="shared" si="666"/>
        <v>-0.56563386026098073</v>
      </c>
      <c r="AK753">
        <f t="shared" si="667"/>
        <v>0.25043471332885336</v>
      </c>
      <c r="AL753" s="9">
        <f t="shared" si="687"/>
        <v>6.8193719766440779</v>
      </c>
      <c r="AM753" t="e">
        <f t="shared" si="668"/>
        <v>#N/A</v>
      </c>
      <c r="AN753" t="e">
        <f t="shared" si="688"/>
        <v>#N/A</v>
      </c>
      <c r="AO753">
        <f t="shared" si="669"/>
        <v>0</v>
      </c>
      <c r="AP753">
        <f t="shared" si="670"/>
        <v>0</v>
      </c>
      <c r="AQ753">
        <f t="shared" si="671"/>
        <v>4.8849813083506888E-15</v>
      </c>
      <c r="AR753">
        <f t="shared" si="689"/>
        <v>0</v>
      </c>
      <c r="AS753">
        <f t="shared" si="672"/>
        <v>0</v>
      </c>
      <c r="AT753">
        <f t="shared" si="690"/>
        <v>0</v>
      </c>
      <c r="AU753">
        <f t="shared" si="691"/>
        <v>0</v>
      </c>
      <c r="AV753">
        <f t="shared" si="673"/>
        <v>8.9221231361950122E-21</v>
      </c>
      <c r="AW753" t="b">
        <f t="shared" si="692"/>
        <v>1</v>
      </c>
      <c r="AX753">
        <f t="shared" si="674"/>
        <v>7.8539816339744828</v>
      </c>
      <c r="AY753">
        <f t="shared" si="675"/>
        <v>-0.71941051039827741</v>
      </c>
      <c r="AZ753">
        <f t="shared" si="676"/>
        <v>-0.56563386026098561</v>
      </c>
      <c r="BA753">
        <f t="shared" si="677"/>
        <v>0.25043471332885336</v>
      </c>
      <c r="BB753">
        <f t="shared" si="678"/>
        <v>-1.2337005501361696E-20</v>
      </c>
      <c r="BD753" s="15">
        <f t="shared" si="693"/>
        <v>6.8193719766440735</v>
      </c>
      <c r="BE753" s="10">
        <f t="shared" si="694"/>
        <v>0</v>
      </c>
      <c r="BF753">
        <f t="shared" si="695"/>
        <v>0</v>
      </c>
      <c r="BG753">
        <f t="shared" si="696"/>
        <v>0</v>
      </c>
      <c r="BH753">
        <f t="shared" si="697"/>
        <v>0</v>
      </c>
      <c r="BI753">
        <f t="shared" si="698"/>
        <v>0</v>
      </c>
    </row>
    <row r="754" spans="1:61" x14ac:dyDescent="0.3">
      <c r="A754">
        <f t="shared" si="703"/>
        <v>0.71699999999999997</v>
      </c>
      <c r="B754">
        <f t="shared" si="646"/>
        <v>2.2525219326238815</v>
      </c>
      <c r="C754">
        <f t="shared" si="647"/>
        <v>0.88907072096591166</v>
      </c>
      <c r="D754">
        <f t="shared" si="648"/>
        <v>0.88907072096591166</v>
      </c>
      <c r="E754">
        <f t="shared" si="653"/>
        <v>0.7764865126870788</v>
      </c>
      <c r="F754">
        <f t="shared" si="654"/>
        <v>0.77648651268707869</v>
      </c>
      <c r="G754">
        <f t="shared" si="649"/>
        <v>2.2525219326238815</v>
      </c>
      <c r="H754">
        <f t="shared" si="650"/>
        <v>0.7764865126870788</v>
      </c>
      <c r="I754">
        <f t="shared" si="651"/>
        <v>0.77648651268707869</v>
      </c>
      <c r="J754">
        <f t="shared" si="699"/>
        <v>8.1987228620947964E+19</v>
      </c>
      <c r="K754">
        <f t="shared" si="700"/>
        <v>8.1987228620947964E+19</v>
      </c>
      <c r="L754">
        <f t="shared" si="655"/>
        <v>1</v>
      </c>
      <c r="M754">
        <f t="shared" si="652"/>
        <v>8.8907072096591155E-21</v>
      </c>
      <c r="N754" s="9">
        <f t="shared" si="701"/>
        <v>8.8907072096591155E-21</v>
      </c>
      <c r="O754">
        <f t="shared" si="702"/>
        <v>8.8907072096591155E-21</v>
      </c>
      <c r="Q754">
        <f t="shared" si="656"/>
        <v>45.853095160501987</v>
      </c>
      <c r="R754">
        <f t="shared" si="657"/>
        <v>-710542.73576010019</v>
      </c>
      <c r="S754">
        <f t="shared" si="679"/>
        <v>-46.169280355370411</v>
      </c>
      <c r="T754" s="9" t="e">
        <f t="shared" si="658"/>
        <v>#N/A</v>
      </c>
      <c r="U754">
        <f t="shared" si="680"/>
        <v>-1.0000000000000001E+300</v>
      </c>
      <c r="V754">
        <f t="shared" si="681"/>
        <v>0</v>
      </c>
      <c r="W754">
        <f t="shared" si="682"/>
        <v>0</v>
      </c>
      <c r="X754">
        <f t="shared" si="659"/>
        <v>0.88907072096591166</v>
      </c>
      <c r="Y754">
        <f t="shared" si="660"/>
        <v>7.8539816339744828</v>
      </c>
      <c r="Z754">
        <f t="shared" si="661"/>
        <v>-0.88907072096591166</v>
      </c>
      <c r="AA754">
        <f t="shared" si="683"/>
        <v>-0.72149814067097517</v>
      </c>
      <c r="AB754">
        <f t="shared" si="662"/>
        <v>7.1324834933035079</v>
      </c>
      <c r="AC754">
        <f t="shared" si="684"/>
        <v>-0.56916120077895382</v>
      </c>
      <c r="AD754">
        <f t="shared" si="663"/>
        <v>0.25297600591053065</v>
      </c>
      <c r="AE754" s="9">
        <f t="shared" si="685"/>
        <v>6.8162982984350853</v>
      </c>
      <c r="AF754">
        <f t="shared" si="686"/>
        <v>0</v>
      </c>
      <c r="AH754">
        <f t="shared" si="664"/>
        <v>7.8539816339744828</v>
      </c>
      <c r="AI754">
        <f t="shared" si="665"/>
        <v>-0.72149814067097484</v>
      </c>
      <c r="AJ754">
        <f t="shared" si="666"/>
        <v>-0.56916120077895016</v>
      </c>
      <c r="AK754">
        <f t="shared" si="667"/>
        <v>0.25297600591053065</v>
      </c>
      <c r="AL754" s="9">
        <f t="shared" si="687"/>
        <v>6.8162982984350888</v>
      </c>
      <c r="AM754" t="e">
        <f t="shared" si="668"/>
        <v>#N/A</v>
      </c>
      <c r="AN754" t="e">
        <f t="shared" si="688"/>
        <v>#N/A</v>
      </c>
      <c r="AO754">
        <f t="shared" si="669"/>
        <v>0</v>
      </c>
      <c r="AP754">
        <f t="shared" si="670"/>
        <v>0</v>
      </c>
      <c r="AQ754">
        <f t="shared" si="671"/>
        <v>3.6637359812630166E-15</v>
      </c>
      <c r="AR754">
        <f t="shared" si="689"/>
        <v>0</v>
      </c>
      <c r="AS754">
        <f t="shared" si="672"/>
        <v>0</v>
      </c>
      <c r="AT754">
        <f t="shared" si="690"/>
        <v>0</v>
      </c>
      <c r="AU754">
        <f t="shared" si="691"/>
        <v>0</v>
      </c>
      <c r="AV754">
        <f t="shared" si="673"/>
        <v>8.8907072096591155E-21</v>
      </c>
      <c r="AW754" t="b">
        <f t="shared" si="692"/>
        <v>1</v>
      </c>
      <c r="AX754">
        <f t="shared" si="674"/>
        <v>7.8539816339744828</v>
      </c>
      <c r="AY754">
        <f t="shared" si="675"/>
        <v>-0.72149814067097517</v>
      </c>
      <c r="AZ754">
        <f t="shared" si="676"/>
        <v>-0.56916120077895382</v>
      </c>
      <c r="BA754">
        <f t="shared" si="677"/>
        <v>0.25297600591053077</v>
      </c>
      <c r="BB754">
        <f t="shared" si="678"/>
        <v>-1.2337005501361696E-20</v>
      </c>
      <c r="BD754" s="15">
        <f t="shared" si="693"/>
        <v>6.8162982984350853</v>
      </c>
      <c r="BE754" s="10">
        <f t="shared" si="694"/>
        <v>0</v>
      </c>
      <c r="BF754">
        <f t="shared" si="695"/>
        <v>0</v>
      </c>
      <c r="BG754">
        <f t="shared" si="696"/>
        <v>0</v>
      </c>
      <c r="BH754">
        <f t="shared" si="697"/>
        <v>0</v>
      </c>
      <c r="BI754">
        <f t="shared" si="698"/>
        <v>0</v>
      </c>
    </row>
    <row r="755" spans="1:61" x14ac:dyDescent="0.3">
      <c r="A755">
        <f t="shared" si="703"/>
        <v>0.71799999999999997</v>
      </c>
      <c r="B755">
        <f t="shared" si="646"/>
        <v>2.2556635252774715</v>
      </c>
      <c r="C755">
        <f t="shared" si="647"/>
        <v>0.88592912831232162</v>
      </c>
      <c r="D755">
        <f t="shared" si="648"/>
        <v>0.88592912831232162</v>
      </c>
      <c r="E755">
        <f t="shared" si="653"/>
        <v>0.77450306019873383</v>
      </c>
      <c r="F755">
        <f t="shared" si="654"/>
        <v>0.77450306019873383</v>
      </c>
      <c r="G755">
        <f t="shared" si="649"/>
        <v>2.2556635252774715</v>
      </c>
      <c r="H755">
        <f t="shared" si="650"/>
        <v>0.77450306019873383</v>
      </c>
      <c r="I755">
        <f t="shared" si="651"/>
        <v>0.77450306019873383</v>
      </c>
      <c r="J755">
        <f t="shared" si="699"/>
        <v>8.2197192636556886E+19</v>
      </c>
      <c r="K755">
        <f t="shared" si="700"/>
        <v>8.2197192636556886E+19</v>
      </c>
      <c r="L755">
        <f t="shared" si="655"/>
        <v>1</v>
      </c>
      <c r="M755">
        <f t="shared" si="652"/>
        <v>8.8592912831232159E-21</v>
      </c>
      <c r="N755" s="9">
        <f t="shared" si="701"/>
        <v>8.8592912831232159E-21</v>
      </c>
      <c r="O755">
        <f t="shared" si="702"/>
        <v>8.8592912831232159E-21</v>
      </c>
      <c r="Q755">
        <f t="shared" si="656"/>
        <v>45.855652822531795</v>
      </c>
      <c r="R755">
        <f t="shared" si="657"/>
        <v>0</v>
      </c>
      <c r="S755">
        <f t="shared" si="679"/>
        <v>-46.17282018207554</v>
      </c>
      <c r="T755" s="9" t="e">
        <f t="shared" si="658"/>
        <v>#N/A</v>
      </c>
      <c r="U755">
        <f t="shared" si="680"/>
        <v>-1.0000000000000001E+300</v>
      </c>
      <c r="V755">
        <f t="shared" si="681"/>
        <v>0</v>
      </c>
      <c r="W755">
        <f t="shared" si="682"/>
        <v>0</v>
      </c>
      <c r="X755">
        <f t="shared" si="659"/>
        <v>0.88592912831232162</v>
      </c>
      <c r="Y755">
        <f t="shared" si="660"/>
        <v>7.8539816339744828</v>
      </c>
      <c r="Z755">
        <f t="shared" si="661"/>
        <v>-0.88592912831232162</v>
      </c>
      <c r="AA755">
        <f t="shared" si="683"/>
        <v>-0.72357665313327402</v>
      </c>
      <c r="AB755">
        <f t="shared" si="662"/>
        <v>7.1304049808412087</v>
      </c>
      <c r="AC755">
        <f t="shared" si="684"/>
        <v>-0.57270102748407825</v>
      </c>
      <c r="AD755">
        <f t="shared" si="663"/>
        <v>0.25553366794033561</v>
      </c>
      <c r="AE755" s="9">
        <f t="shared" si="685"/>
        <v>6.8132376212974659</v>
      </c>
      <c r="AF755">
        <f t="shared" si="686"/>
        <v>0</v>
      </c>
      <c r="AH755">
        <f t="shared" si="664"/>
        <v>7.8539816339744828</v>
      </c>
      <c r="AI755">
        <f t="shared" si="665"/>
        <v>-0.72357665313327413</v>
      </c>
      <c r="AJ755">
        <f t="shared" si="666"/>
        <v>-0.57270102748407936</v>
      </c>
      <c r="AK755">
        <f t="shared" si="667"/>
        <v>0.25553366794033561</v>
      </c>
      <c r="AL755" s="9">
        <f t="shared" si="687"/>
        <v>6.813237621297465</v>
      </c>
      <c r="AM755" t="e">
        <f t="shared" si="668"/>
        <v>#N/A</v>
      </c>
      <c r="AN755" t="e">
        <f t="shared" si="688"/>
        <v>#N/A</v>
      </c>
      <c r="AO755">
        <f t="shared" si="669"/>
        <v>0</v>
      </c>
      <c r="AP755">
        <f t="shared" si="670"/>
        <v>0</v>
      </c>
      <c r="AQ755">
        <f t="shared" si="671"/>
        <v>-1.1102230246251565E-15</v>
      </c>
      <c r="AR755">
        <f t="shared" si="689"/>
        <v>0</v>
      </c>
      <c r="AS755">
        <f t="shared" si="672"/>
        <v>0</v>
      </c>
      <c r="AT755">
        <f t="shared" si="690"/>
        <v>0</v>
      </c>
      <c r="AU755">
        <f t="shared" si="691"/>
        <v>0</v>
      </c>
      <c r="AV755">
        <f t="shared" si="673"/>
        <v>8.8592912831232159E-21</v>
      </c>
      <c r="AW755" t="b">
        <f t="shared" si="692"/>
        <v>1</v>
      </c>
      <c r="AX755">
        <f t="shared" si="674"/>
        <v>7.8539816339744828</v>
      </c>
      <c r="AY755">
        <f t="shared" si="675"/>
        <v>-0.72357665313327413</v>
      </c>
      <c r="AZ755">
        <f t="shared" si="676"/>
        <v>-0.57270102748407803</v>
      </c>
      <c r="BA755">
        <f t="shared" si="677"/>
        <v>0.25553366794033561</v>
      </c>
      <c r="BB755">
        <f t="shared" si="678"/>
        <v>-1.2337005501361696E-20</v>
      </c>
      <c r="BD755" s="15">
        <f t="shared" si="693"/>
        <v>6.8132376212974659</v>
      </c>
      <c r="BE755" s="10">
        <f t="shared" si="694"/>
        <v>0</v>
      </c>
      <c r="BF755">
        <f t="shared" si="695"/>
        <v>0</v>
      </c>
      <c r="BG755">
        <f t="shared" si="696"/>
        <v>0</v>
      </c>
      <c r="BH755">
        <f t="shared" si="697"/>
        <v>0</v>
      </c>
      <c r="BI755">
        <f t="shared" si="698"/>
        <v>0</v>
      </c>
    </row>
    <row r="756" spans="1:61" x14ac:dyDescent="0.3">
      <c r="A756">
        <f t="shared" si="703"/>
        <v>0.71899999999999997</v>
      </c>
      <c r="B756">
        <f t="shared" si="646"/>
        <v>2.2588051179310611</v>
      </c>
      <c r="C756">
        <f t="shared" si="647"/>
        <v>0.88278753565873203</v>
      </c>
      <c r="D756">
        <f t="shared" si="648"/>
        <v>0.88278753565873203</v>
      </c>
      <c r="E756">
        <f t="shared" si="653"/>
        <v>0.77251196367786457</v>
      </c>
      <c r="F756">
        <f t="shared" si="654"/>
        <v>0.77251196367786445</v>
      </c>
      <c r="G756">
        <f t="shared" si="649"/>
        <v>2.2588051179310611</v>
      </c>
      <c r="H756">
        <f t="shared" si="650"/>
        <v>0.77251196367786457</v>
      </c>
      <c r="I756">
        <f t="shared" si="651"/>
        <v>0.77251196367786445</v>
      </c>
      <c r="J756">
        <f t="shared" si="699"/>
        <v>8.2409050254275445E+19</v>
      </c>
      <c r="K756">
        <f t="shared" si="700"/>
        <v>8.2409050254275445E+19</v>
      </c>
      <c r="L756">
        <f t="shared" si="655"/>
        <v>1</v>
      </c>
      <c r="M756">
        <f t="shared" si="652"/>
        <v>8.8278753565873193E-21</v>
      </c>
      <c r="N756" s="9">
        <f t="shared" si="701"/>
        <v>8.8278753565873193E-21</v>
      </c>
      <c r="O756">
        <f t="shared" si="702"/>
        <v>8.8278753565873193E-21</v>
      </c>
      <c r="Q756">
        <f t="shared" si="656"/>
        <v>45.858226937959984</v>
      </c>
      <c r="R756">
        <f t="shared" si="657"/>
        <v>0</v>
      </c>
      <c r="S756">
        <f t="shared" si="679"/>
        <v>-46.176372583679907</v>
      </c>
      <c r="T756" s="9" t="e">
        <f t="shared" si="658"/>
        <v>#N/A</v>
      </c>
      <c r="U756">
        <f t="shared" si="680"/>
        <v>-1.0000000000000001E+300</v>
      </c>
      <c r="V756">
        <f t="shared" si="681"/>
        <v>0</v>
      </c>
      <c r="W756">
        <f t="shared" si="682"/>
        <v>0</v>
      </c>
      <c r="X756">
        <f t="shared" si="659"/>
        <v>0.88278753565873203</v>
      </c>
      <c r="Y756">
        <f t="shared" si="660"/>
        <v>7.8539816339744828</v>
      </c>
      <c r="Z756">
        <f t="shared" si="661"/>
        <v>-0.88278753565873203</v>
      </c>
      <c r="AA756">
        <f t="shared" si="683"/>
        <v>-0.72564606942210486</v>
      </c>
      <c r="AB756">
        <f t="shared" si="662"/>
        <v>7.128335564552378</v>
      </c>
      <c r="AC756">
        <f t="shared" si="684"/>
        <v>-0.5762534290884459</v>
      </c>
      <c r="AD756">
        <f t="shared" si="663"/>
        <v>0.2581077833685213</v>
      </c>
      <c r="AE756" s="9">
        <f t="shared" si="685"/>
        <v>6.8101899188324531</v>
      </c>
      <c r="AF756">
        <f t="shared" si="686"/>
        <v>0</v>
      </c>
      <c r="AH756">
        <f t="shared" si="664"/>
        <v>7.8539816339744828</v>
      </c>
      <c r="AI756">
        <f t="shared" si="665"/>
        <v>-0.72564606942210463</v>
      </c>
      <c r="AJ756">
        <f t="shared" si="666"/>
        <v>-0.57625342908844601</v>
      </c>
      <c r="AK756">
        <f t="shared" si="667"/>
        <v>0.2581077833685213</v>
      </c>
      <c r="AL756" s="9">
        <f t="shared" si="687"/>
        <v>6.8101899188324531</v>
      </c>
      <c r="AM756" t="e">
        <f t="shared" si="668"/>
        <v>#N/A</v>
      </c>
      <c r="AN756" t="e">
        <f t="shared" si="688"/>
        <v>#N/A</v>
      </c>
      <c r="AO756">
        <f t="shared" si="669"/>
        <v>0</v>
      </c>
      <c r="AP756">
        <f t="shared" si="670"/>
        <v>0</v>
      </c>
      <c r="AQ756">
        <f t="shared" si="671"/>
        <v>0</v>
      </c>
      <c r="AR756">
        <f t="shared" si="689"/>
        <v>0</v>
      </c>
      <c r="AS756">
        <f t="shared" si="672"/>
        <v>0</v>
      </c>
      <c r="AT756">
        <f t="shared" si="690"/>
        <v>0</v>
      </c>
      <c r="AU756">
        <f t="shared" si="691"/>
        <v>0</v>
      </c>
      <c r="AV756">
        <f t="shared" si="673"/>
        <v>8.8278753565873193E-21</v>
      </c>
      <c r="AW756" t="b">
        <f t="shared" si="692"/>
        <v>1</v>
      </c>
      <c r="AX756">
        <f t="shared" si="674"/>
        <v>7.8539816339744828</v>
      </c>
      <c r="AY756">
        <f t="shared" si="675"/>
        <v>-0.72564606942210474</v>
      </c>
      <c r="AZ756">
        <f t="shared" si="676"/>
        <v>-0.5762534290884459</v>
      </c>
      <c r="BA756">
        <f t="shared" si="677"/>
        <v>0.25810778336852142</v>
      </c>
      <c r="BB756">
        <f t="shared" si="678"/>
        <v>-1.2337005501361696E-20</v>
      </c>
      <c r="BD756" s="15">
        <f t="shared" si="693"/>
        <v>6.8101899188324531</v>
      </c>
      <c r="BE756" s="10">
        <f t="shared" si="694"/>
        <v>0</v>
      </c>
      <c r="BF756">
        <f t="shared" si="695"/>
        <v>0</v>
      </c>
      <c r="BG756">
        <f t="shared" si="696"/>
        <v>0</v>
      </c>
      <c r="BH756">
        <f t="shared" si="697"/>
        <v>0</v>
      </c>
      <c r="BI756">
        <f t="shared" si="698"/>
        <v>0</v>
      </c>
    </row>
    <row r="757" spans="1:61" x14ac:dyDescent="0.3">
      <c r="A757">
        <f t="shared" si="703"/>
        <v>0.72</v>
      </c>
      <c r="B757">
        <f t="shared" si="646"/>
        <v>2.2619467105846511</v>
      </c>
      <c r="C757">
        <f t="shared" si="647"/>
        <v>0.87964594300514198</v>
      </c>
      <c r="D757">
        <f t="shared" si="648"/>
        <v>0.87964594300514198</v>
      </c>
      <c r="E757">
        <f t="shared" si="653"/>
        <v>0.77051324277578925</v>
      </c>
      <c r="F757">
        <f t="shared" si="654"/>
        <v>0.77051324277578914</v>
      </c>
      <c r="G757">
        <f t="shared" si="649"/>
        <v>2.2619467105846511</v>
      </c>
      <c r="H757">
        <f t="shared" si="650"/>
        <v>0.77051324277578925</v>
      </c>
      <c r="I757">
        <f t="shared" si="651"/>
        <v>0.77051324277578914</v>
      </c>
      <c r="J757">
        <f t="shared" si="699"/>
        <v>8.262282035207417E+19</v>
      </c>
      <c r="K757">
        <f t="shared" si="700"/>
        <v>8.262282035207417E+19</v>
      </c>
      <c r="L757">
        <f t="shared" si="655"/>
        <v>1</v>
      </c>
      <c r="M757">
        <f t="shared" si="652"/>
        <v>8.7964594300514197E-21</v>
      </c>
      <c r="N757" s="9">
        <f t="shared" si="701"/>
        <v>8.7964594300514197E-21</v>
      </c>
      <c r="O757">
        <f t="shared" si="702"/>
        <v>8.7964594300514197E-21</v>
      </c>
      <c r="Q757">
        <f t="shared" si="656"/>
        <v>45.860817591711559</v>
      </c>
      <c r="R757">
        <f t="shared" si="657"/>
        <v>0</v>
      </c>
      <c r="S757">
        <f t="shared" si="679"/>
        <v>-46.179937649844398</v>
      </c>
      <c r="T757" s="9" t="e">
        <f t="shared" si="658"/>
        <v>#N/A</v>
      </c>
      <c r="U757">
        <f t="shared" si="680"/>
        <v>-1.0000000000000001E+300</v>
      </c>
      <c r="V757">
        <f t="shared" si="681"/>
        <v>0</v>
      </c>
      <c r="W757">
        <f t="shared" si="682"/>
        <v>0</v>
      </c>
      <c r="X757">
        <f t="shared" si="659"/>
        <v>0.87964594300514198</v>
      </c>
      <c r="Y757">
        <f t="shared" si="660"/>
        <v>7.8539816339744828</v>
      </c>
      <c r="Z757">
        <f t="shared" si="661"/>
        <v>-0.87964594300514198</v>
      </c>
      <c r="AA757">
        <f t="shared" si="683"/>
        <v>-0.72770641103665734</v>
      </c>
      <c r="AB757">
        <f t="shared" si="662"/>
        <v>7.1262752229378252</v>
      </c>
      <c r="AC757">
        <f t="shared" si="684"/>
        <v>-0.57981849525294227</v>
      </c>
      <c r="AD757">
        <f t="shared" si="663"/>
        <v>0.26069843712010143</v>
      </c>
      <c r="AE757" s="9">
        <f t="shared" si="685"/>
        <v>6.8071551648049846</v>
      </c>
      <c r="AF757">
        <f t="shared" si="686"/>
        <v>0</v>
      </c>
      <c r="AH757">
        <f t="shared" si="664"/>
        <v>7.8539816339744828</v>
      </c>
      <c r="AI757">
        <f t="shared" si="665"/>
        <v>-0.72770641103665712</v>
      </c>
      <c r="AJ757">
        <f t="shared" si="666"/>
        <v>-0.57981849525293683</v>
      </c>
      <c r="AK757">
        <f t="shared" si="667"/>
        <v>0.26069843712010143</v>
      </c>
      <c r="AL757" s="9">
        <f t="shared" si="687"/>
        <v>6.8071551648049908</v>
      </c>
      <c r="AM757" t="e">
        <f t="shared" si="668"/>
        <v>#N/A</v>
      </c>
      <c r="AN757" t="e">
        <f t="shared" si="688"/>
        <v>#N/A</v>
      </c>
      <c r="AO757">
        <f t="shared" si="669"/>
        <v>0</v>
      </c>
      <c r="AP757">
        <f t="shared" si="670"/>
        <v>0</v>
      </c>
      <c r="AQ757">
        <f t="shared" si="671"/>
        <v>5.440092820663267E-15</v>
      </c>
      <c r="AR757">
        <f t="shared" si="689"/>
        <v>0</v>
      </c>
      <c r="AS757">
        <f t="shared" si="672"/>
        <v>0</v>
      </c>
      <c r="AT757">
        <f t="shared" si="690"/>
        <v>0</v>
      </c>
      <c r="AU757">
        <f t="shared" si="691"/>
        <v>0</v>
      </c>
      <c r="AV757">
        <f t="shared" si="673"/>
        <v>8.7964594300514197E-21</v>
      </c>
      <c r="AW757" t="b">
        <f t="shared" si="692"/>
        <v>1</v>
      </c>
      <c r="AX757">
        <f t="shared" si="674"/>
        <v>7.8539816339744828</v>
      </c>
      <c r="AY757">
        <f t="shared" si="675"/>
        <v>-0.72770641103665745</v>
      </c>
      <c r="AZ757">
        <f t="shared" si="676"/>
        <v>-0.57981849525294227</v>
      </c>
      <c r="BA757">
        <f t="shared" si="677"/>
        <v>0.2606984371201016</v>
      </c>
      <c r="BB757">
        <f t="shared" si="678"/>
        <v>-1.2337005501361696E-20</v>
      </c>
      <c r="BD757" s="15">
        <f t="shared" si="693"/>
        <v>6.8071551648049846</v>
      </c>
      <c r="BE757" s="10">
        <f t="shared" si="694"/>
        <v>0</v>
      </c>
      <c r="BF757">
        <f t="shared" si="695"/>
        <v>0</v>
      </c>
      <c r="BG757">
        <f t="shared" si="696"/>
        <v>0</v>
      </c>
      <c r="BH757">
        <f t="shared" si="697"/>
        <v>0</v>
      </c>
      <c r="BI757">
        <f t="shared" si="698"/>
        <v>0</v>
      </c>
    </row>
    <row r="758" spans="1:61" x14ac:dyDescent="0.3">
      <c r="A758">
        <f t="shared" si="703"/>
        <v>0.72099999999999997</v>
      </c>
      <c r="B758">
        <f t="shared" si="646"/>
        <v>2.2650883032382407</v>
      </c>
      <c r="C758">
        <f t="shared" si="647"/>
        <v>0.87650435035155239</v>
      </c>
      <c r="D758">
        <f t="shared" si="648"/>
        <v>0.87650435035155239</v>
      </c>
      <c r="E758">
        <f t="shared" si="653"/>
        <v>0.76850691721907671</v>
      </c>
      <c r="F758">
        <f t="shared" si="654"/>
        <v>0.76850691721907671</v>
      </c>
      <c r="G758">
        <f t="shared" si="649"/>
        <v>2.2650883032382407</v>
      </c>
      <c r="H758">
        <f t="shared" si="650"/>
        <v>0.76850691721907671</v>
      </c>
      <c r="I758">
        <f t="shared" si="651"/>
        <v>0.76850691721907671</v>
      </c>
      <c r="J758">
        <f t="shared" si="699"/>
        <v>8.2838522087902233E+19</v>
      </c>
      <c r="K758">
        <f t="shared" si="700"/>
        <v>8.2838522087902233E+19</v>
      </c>
      <c r="L758">
        <f t="shared" si="655"/>
        <v>1</v>
      </c>
      <c r="M758">
        <f t="shared" si="652"/>
        <v>8.7650435035155231E-21</v>
      </c>
      <c r="N758" s="9">
        <f t="shared" si="701"/>
        <v>8.7650435035155231E-21</v>
      </c>
      <c r="O758">
        <f t="shared" si="702"/>
        <v>8.7650435035155231E-21</v>
      </c>
      <c r="Q758">
        <f t="shared" si="656"/>
        <v>45.863424869699763</v>
      </c>
      <c r="R758">
        <f t="shared" si="657"/>
        <v>-710542.73576010019</v>
      </c>
      <c r="S758">
        <f t="shared" si="679"/>
        <v>-46.183515471192287</v>
      </c>
      <c r="T758" s="9" t="e">
        <f t="shared" si="658"/>
        <v>#N/A</v>
      </c>
      <c r="U758">
        <f t="shared" si="680"/>
        <v>-1.0000000000000001E+300</v>
      </c>
      <c r="V758">
        <f t="shared" si="681"/>
        <v>0</v>
      </c>
      <c r="W758">
        <f t="shared" si="682"/>
        <v>0</v>
      </c>
      <c r="X758">
        <f t="shared" si="659"/>
        <v>0.87650435035155239</v>
      </c>
      <c r="Y758">
        <f t="shared" si="660"/>
        <v>7.8539816339744828</v>
      </c>
      <c r="Z758">
        <f t="shared" si="661"/>
        <v>-0.87650435035155239</v>
      </c>
      <c r="AA758">
        <f t="shared" si="683"/>
        <v>-0.72975769933923196</v>
      </c>
      <c r="AB758">
        <f t="shared" si="662"/>
        <v>7.1242239346352507</v>
      </c>
      <c r="AC758">
        <f t="shared" si="684"/>
        <v>-0.58339631660082603</v>
      </c>
      <c r="AD758">
        <f t="shared" si="663"/>
        <v>0.26330571510830603</v>
      </c>
      <c r="AE758" s="9">
        <f t="shared" si="685"/>
        <v>6.8041333331427305</v>
      </c>
      <c r="AF758">
        <f t="shared" si="686"/>
        <v>0</v>
      </c>
      <c r="AH758">
        <f t="shared" si="664"/>
        <v>7.8539816339744828</v>
      </c>
      <c r="AI758">
        <f t="shared" si="665"/>
        <v>-0.72975769933923185</v>
      </c>
      <c r="AJ758">
        <f t="shared" si="666"/>
        <v>-0.58339631660082603</v>
      </c>
      <c r="AK758">
        <f t="shared" si="667"/>
        <v>0.26330571510830603</v>
      </c>
      <c r="AL758" s="9">
        <f t="shared" si="687"/>
        <v>6.8041333331427305</v>
      </c>
      <c r="AM758" t="e">
        <f t="shared" si="668"/>
        <v>#N/A</v>
      </c>
      <c r="AN758" t="e">
        <f t="shared" si="688"/>
        <v>#N/A</v>
      </c>
      <c r="AO758">
        <f t="shared" si="669"/>
        <v>0</v>
      </c>
      <c r="AP758">
        <f t="shared" si="670"/>
        <v>0</v>
      </c>
      <c r="AQ758">
        <f t="shared" si="671"/>
        <v>0</v>
      </c>
      <c r="AR758">
        <f t="shared" si="689"/>
        <v>0</v>
      </c>
      <c r="AS758">
        <f t="shared" si="672"/>
        <v>0</v>
      </c>
      <c r="AT758">
        <f t="shared" si="690"/>
        <v>0</v>
      </c>
      <c r="AU758">
        <f t="shared" si="691"/>
        <v>0</v>
      </c>
      <c r="AV758">
        <f t="shared" si="673"/>
        <v>8.7650435035155231E-21</v>
      </c>
      <c r="AW758" t="b">
        <f t="shared" si="692"/>
        <v>1</v>
      </c>
      <c r="AX758">
        <f t="shared" si="674"/>
        <v>7.8539816339744828</v>
      </c>
      <c r="AY758">
        <f t="shared" si="675"/>
        <v>-0.72975769933923207</v>
      </c>
      <c r="AZ758">
        <f t="shared" si="676"/>
        <v>-0.58339631660082603</v>
      </c>
      <c r="BA758">
        <f t="shared" si="677"/>
        <v>0.26330571510830603</v>
      </c>
      <c r="BB758">
        <f t="shared" si="678"/>
        <v>-1.2337005501361696E-20</v>
      </c>
      <c r="BD758" s="15">
        <f t="shared" si="693"/>
        <v>6.8041333331427305</v>
      </c>
      <c r="BE758" s="10">
        <f t="shared" si="694"/>
        <v>0</v>
      </c>
      <c r="BF758">
        <f t="shared" si="695"/>
        <v>0</v>
      </c>
      <c r="BG758">
        <f t="shared" si="696"/>
        <v>0</v>
      </c>
      <c r="BH758">
        <f t="shared" si="697"/>
        <v>0</v>
      </c>
      <c r="BI758">
        <f t="shared" si="698"/>
        <v>0</v>
      </c>
    </row>
    <row r="759" spans="1:61" x14ac:dyDescent="0.3">
      <c r="A759">
        <f t="shared" si="703"/>
        <v>0.72199999999999998</v>
      </c>
      <c r="B759">
        <f t="shared" si="646"/>
        <v>2.2682298958918308</v>
      </c>
      <c r="C759">
        <f t="shared" si="647"/>
        <v>0.87336275769796234</v>
      </c>
      <c r="D759">
        <f t="shared" si="648"/>
        <v>0.87336275769796234</v>
      </c>
      <c r="E759">
        <f t="shared" si="653"/>
        <v>0.76649300680934984</v>
      </c>
      <c r="F759">
        <f t="shared" si="654"/>
        <v>0.76649300680934973</v>
      </c>
      <c r="G759">
        <f t="shared" si="649"/>
        <v>2.2682298958918308</v>
      </c>
      <c r="H759">
        <f t="shared" si="650"/>
        <v>0.76649300680934984</v>
      </c>
      <c r="I759">
        <f t="shared" si="651"/>
        <v>0.76649300680934973</v>
      </c>
      <c r="J759">
        <f t="shared" si="699"/>
        <v>8.3056174904662655E+19</v>
      </c>
      <c r="K759">
        <f t="shared" si="700"/>
        <v>8.3056174904662655E+19</v>
      </c>
      <c r="L759">
        <f t="shared" si="655"/>
        <v>1</v>
      </c>
      <c r="M759">
        <f t="shared" si="652"/>
        <v>8.7336275769796235E-21</v>
      </c>
      <c r="N759" s="9">
        <f t="shared" si="701"/>
        <v>8.7336275769796235E-21</v>
      </c>
      <c r="O759">
        <f t="shared" si="702"/>
        <v>8.7336275769796235E-21</v>
      </c>
      <c r="Q759">
        <f t="shared" si="656"/>
        <v>45.866048858839747</v>
      </c>
      <c r="R759">
        <f t="shared" si="657"/>
        <v>0</v>
      </c>
      <c r="S759">
        <f t="shared" si="679"/>
        <v>-46.187106139323014</v>
      </c>
      <c r="T759" s="9" t="e">
        <f t="shared" si="658"/>
        <v>#N/A</v>
      </c>
      <c r="U759">
        <f t="shared" si="680"/>
        <v>-1.0000000000000001E+300</v>
      </c>
      <c r="V759">
        <f t="shared" si="681"/>
        <v>0</v>
      </c>
      <c r="W759">
        <f t="shared" si="682"/>
        <v>0</v>
      </c>
      <c r="X759">
        <f t="shared" si="659"/>
        <v>0.87336275769796234</v>
      </c>
      <c r="Y759">
        <f t="shared" si="660"/>
        <v>7.8539816339744828</v>
      </c>
      <c r="Z759">
        <f t="shared" si="661"/>
        <v>-0.87336275769796234</v>
      </c>
      <c r="AA759">
        <f t="shared" si="683"/>
        <v>-0.73179995555608846</v>
      </c>
      <c r="AB759">
        <f t="shared" si="662"/>
        <v>7.1221816784183947</v>
      </c>
      <c r="AC759">
        <f t="shared" si="684"/>
        <v>-0.58698698473155475</v>
      </c>
      <c r="AD759">
        <f t="shared" si="663"/>
        <v>0.26592970424828738</v>
      </c>
      <c r="AE759" s="9">
        <f t="shared" si="685"/>
        <v>6.8011243979351272</v>
      </c>
      <c r="AF759">
        <f t="shared" si="686"/>
        <v>0</v>
      </c>
      <c r="AH759">
        <f t="shared" si="664"/>
        <v>7.8539816339744828</v>
      </c>
      <c r="AI759">
        <f t="shared" si="665"/>
        <v>-0.73179995555608846</v>
      </c>
      <c r="AJ759">
        <f t="shared" si="666"/>
        <v>-0.58698698473155275</v>
      </c>
      <c r="AK759">
        <f t="shared" si="667"/>
        <v>0.26592970424828738</v>
      </c>
      <c r="AL759" s="9">
        <f t="shared" si="687"/>
        <v>6.801124397935129</v>
      </c>
      <c r="AM759" t="e">
        <f t="shared" si="668"/>
        <v>#N/A</v>
      </c>
      <c r="AN759" t="e">
        <f t="shared" si="688"/>
        <v>#N/A</v>
      </c>
      <c r="AO759">
        <f t="shared" si="669"/>
        <v>0</v>
      </c>
      <c r="AP759">
        <f t="shared" si="670"/>
        <v>0</v>
      </c>
      <c r="AQ759">
        <f t="shared" si="671"/>
        <v>1.9984014443252818E-15</v>
      </c>
      <c r="AR759">
        <f t="shared" si="689"/>
        <v>0</v>
      </c>
      <c r="AS759">
        <f t="shared" si="672"/>
        <v>0</v>
      </c>
      <c r="AT759">
        <f t="shared" si="690"/>
        <v>0</v>
      </c>
      <c r="AU759">
        <f t="shared" si="691"/>
        <v>0</v>
      </c>
      <c r="AV759">
        <f t="shared" si="673"/>
        <v>8.7336275769796235E-21</v>
      </c>
      <c r="AW759" t="b">
        <f t="shared" si="692"/>
        <v>1</v>
      </c>
      <c r="AX759">
        <f t="shared" si="674"/>
        <v>7.8539816339744828</v>
      </c>
      <c r="AY759">
        <f t="shared" si="675"/>
        <v>-0.73179995555608868</v>
      </c>
      <c r="AZ759">
        <f t="shared" si="676"/>
        <v>-0.58698698473155475</v>
      </c>
      <c r="BA759">
        <f t="shared" si="677"/>
        <v>0.26592970424828749</v>
      </c>
      <c r="BB759">
        <f t="shared" si="678"/>
        <v>-1.2337005501361696E-20</v>
      </c>
      <c r="BD759" s="15">
        <f t="shared" si="693"/>
        <v>6.8011243979351264</v>
      </c>
      <c r="BE759" s="10">
        <f t="shared" si="694"/>
        <v>0</v>
      </c>
      <c r="BF759">
        <f t="shared" si="695"/>
        <v>0</v>
      </c>
      <c r="BG759">
        <f t="shared" si="696"/>
        <v>0</v>
      </c>
      <c r="BH759">
        <f t="shared" si="697"/>
        <v>0</v>
      </c>
      <c r="BI759">
        <f t="shared" si="698"/>
        <v>0</v>
      </c>
    </row>
    <row r="760" spans="1:61" x14ac:dyDescent="0.3">
      <c r="A760">
        <f t="shared" si="703"/>
        <v>0.72299999999999998</v>
      </c>
      <c r="B760">
        <f t="shared" si="646"/>
        <v>2.2713714885454204</v>
      </c>
      <c r="C760">
        <f t="shared" si="647"/>
        <v>0.87022116504437275</v>
      </c>
      <c r="D760">
        <f t="shared" si="648"/>
        <v>0.87022116504437275</v>
      </c>
      <c r="E760">
        <f t="shared" si="653"/>
        <v>0.76447153142309165</v>
      </c>
      <c r="F760">
        <f t="shared" si="654"/>
        <v>0.76447153142309165</v>
      </c>
      <c r="G760">
        <f t="shared" si="649"/>
        <v>2.2713714885454204</v>
      </c>
      <c r="H760">
        <f t="shared" si="650"/>
        <v>0.76447153142309165</v>
      </c>
      <c r="I760">
        <f t="shared" si="651"/>
        <v>0.76447153142309165</v>
      </c>
      <c r="J760">
        <f t="shared" si="699"/>
        <v>8.3275798535295418E+19</v>
      </c>
      <c r="K760">
        <f t="shared" si="700"/>
        <v>8.3275798535295418E+19</v>
      </c>
      <c r="L760">
        <f t="shared" si="655"/>
        <v>1</v>
      </c>
      <c r="M760">
        <f t="shared" si="652"/>
        <v>8.7022116504437269E-21</v>
      </c>
      <c r="N760" s="9">
        <f t="shared" si="701"/>
        <v>8.7022116504437269E-21</v>
      </c>
      <c r="O760">
        <f t="shared" si="702"/>
        <v>8.7022116504437269E-21</v>
      </c>
      <c r="Q760">
        <f t="shared" si="656"/>
        <v>45.868689647062531</v>
      </c>
      <c r="R760">
        <f t="shared" si="657"/>
        <v>0</v>
      </c>
      <c r="S760">
        <f t="shared" si="679"/>
        <v>-46.190709746826315</v>
      </c>
      <c r="T760" s="9" t="e">
        <f t="shared" si="658"/>
        <v>#N/A</v>
      </c>
      <c r="U760">
        <f t="shared" si="680"/>
        <v>-1.0000000000000001E+300</v>
      </c>
      <c r="V760">
        <f t="shared" si="681"/>
        <v>0</v>
      </c>
      <c r="W760">
        <f t="shared" si="682"/>
        <v>0</v>
      </c>
      <c r="X760">
        <f t="shared" si="659"/>
        <v>0.87022116504437275</v>
      </c>
      <c r="Y760">
        <f t="shared" si="660"/>
        <v>7.8539816339744828</v>
      </c>
      <c r="Z760">
        <f t="shared" si="661"/>
        <v>-0.87022116504437275</v>
      </c>
      <c r="AA760">
        <f t="shared" si="683"/>
        <v>-0.73383320077828151</v>
      </c>
      <c r="AB760">
        <f t="shared" si="662"/>
        <v>7.1201484331962011</v>
      </c>
      <c r="AC760">
        <f t="shared" si="684"/>
        <v>-0.59059059223485311</v>
      </c>
      <c r="AD760">
        <f t="shared" si="663"/>
        <v>0.26857049247107145</v>
      </c>
      <c r="AE760" s="9">
        <f t="shared" si="685"/>
        <v>6.7981283334324196</v>
      </c>
      <c r="AF760">
        <f t="shared" si="686"/>
        <v>0</v>
      </c>
      <c r="AH760">
        <f t="shared" si="664"/>
        <v>7.8539816339744828</v>
      </c>
      <c r="AI760">
        <f t="shared" si="665"/>
        <v>-0.7338332007782814</v>
      </c>
      <c r="AJ760">
        <f t="shared" si="666"/>
        <v>-0.59059059223485377</v>
      </c>
      <c r="AK760">
        <f t="shared" si="667"/>
        <v>0.26857049247107145</v>
      </c>
      <c r="AL760" s="9">
        <f t="shared" si="687"/>
        <v>6.7981283334324187</v>
      </c>
      <c r="AM760" t="e">
        <f t="shared" si="668"/>
        <v>#N/A</v>
      </c>
      <c r="AN760" t="e">
        <f t="shared" si="688"/>
        <v>#N/A</v>
      </c>
      <c r="AO760">
        <f t="shared" si="669"/>
        <v>0</v>
      </c>
      <c r="AP760">
        <f t="shared" si="670"/>
        <v>0</v>
      </c>
      <c r="AQ760">
        <f t="shared" si="671"/>
        <v>0</v>
      </c>
      <c r="AR760">
        <f t="shared" si="689"/>
        <v>0</v>
      </c>
      <c r="AS760">
        <f t="shared" si="672"/>
        <v>0</v>
      </c>
      <c r="AT760">
        <f t="shared" si="690"/>
        <v>0</v>
      </c>
      <c r="AU760">
        <f t="shared" si="691"/>
        <v>0</v>
      </c>
      <c r="AV760">
        <f t="shared" si="673"/>
        <v>8.7022116504437269E-21</v>
      </c>
      <c r="AW760" t="b">
        <f t="shared" si="692"/>
        <v>1</v>
      </c>
      <c r="AX760">
        <f t="shared" si="674"/>
        <v>7.8539816339744828</v>
      </c>
      <c r="AY760">
        <f t="shared" si="675"/>
        <v>-0.73383320077828162</v>
      </c>
      <c r="AZ760">
        <f t="shared" si="676"/>
        <v>-0.59059059223485311</v>
      </c>
      <c r="BA760">
        <f t="shared" si="677"/>
        <v>0.26857049247107145</v>
      </c>
      <c r="BB760">
        <f t="shared" si="678"/>
        <v>-1.2337005501361696E-20</v>
      </c>
      <c r="BD760" s="15">
        <f t="shared" si="693"/>
        <v>6.7981283334324196</v>
      </c>
      <c r="BE760" s="10">
        <f t="shared" si="694"/>
        <v>0</v>
      </c>
      <c r="BF760">
        <f t="shared" si="695"/>
        <v>0</v>
      </c>
      <c r="BG760">
        <f t="shared" si="696"/>
        <v>0</v>
      </c>
      <c r="BH760">
        <f t="shared" si="697"/>
        <v>0</v>
      </c>
      <c r="BI760">
        <f t="shared" si="698"/>
        <v>0</v>
      </c>
    </row>
    <row r="761" spans="1:61" x14ac:dyDescent="0.3">
      <c r="A761">
        <f t="shared" si="703"/>
        <v>0.72399999999999998</v>
      </c>
      <c r="B761">
        <f t="shared" si="646"/>
        <v>2.27451308119901</v>
      </c>
      <c r="C761">
        <f t="shared" si="647"/>
        <v>0.86707957239078315</v>
      </c>
      <c r="D761">
        <f t="shared" si="648"/>
        <v>0.86707957239078315</v>
      </c>
      <c r="E761">
        <f t="shared" si="653"/>
        <v>0.76244251101144811</v>
      </c>
      <c r="F761">
        <f t="shared" si="654"/>
        <v>0.762442511011448</v>
      </c>
      <c r="G761">
        <f t="shared" si="649"/>
        <v>2.27451308119901</v>
      </c>
      <c r="H761">
        <f t="shared" si="650"/>
        <v>0.76244251101144811</v>
      </c>
      <c r="I761">
        <f t="shared" si="651"/>
        <v>0.762442511011448</v>
      </c>
      <c r="J761">
        <f t="shared" si="699"/>
        <v>8.3497413007972024E+19</v>
      </c>
      <c r="K761">
        <f t="shared" si="700"/>
        <v>8.3497413007972024E+19</v>
      </c>
      <c r="L761">
        <f t="shared" si="655"/>
        <v>1</v>
      </c>
      <c r="M761">
        <f t="shared" si="652"/>
        <v>8.6707957239078303E-21</v>
      </c>
      <c r="N761" s="9">
        <f t="shared" si="701"/>
        <v>8.6707957239078303E-21</v>
      </c>
      <c r="O761">
        <f t="shared" si="702"/>
        <v>8.6707957239078303E-21</v>
      </c>
      <c r="Q761">
        <f t="shared" si="656"/>
        <v>45.871347323329225</v>
      </c>
      <c r="R761">
        <f t="shared" si="657"/>
        <v>-710542.73576010019</v>
      </c>
      <c r="S761">
        <f t="shared" si="679"/>
        <v>-46.194326387296499</v>
      </c>
      <c r="T761" s="9" t="e">
        <f t="shared" si="658"/>
        <v>#N/A</v>
      </c>
      <c r="U761">
        <f t="shared" si="680"/>
        <v>-1.0000000000000001E+300</v>
      </c>
      <c r="V761">
        <f t="shared" si="681"/>
        <v>0</v>
      </c>
      <c r="W761">
        <f t="shared" si="682"/>
        <v>0</v>
      </c>
      <c r="X761">
        <f t="shared" si="659"/>
        <v>0.86707957239078315</v>
      </c>
      <c r="Y761">
        <f t="shared" si="660"/>
        <v>7.8539816339744828</v>
      </c>
      <c r="Z761">
        <f t="shared" si="661"/>
        <v>-0.86707957239078315</v>
      </c>
      <c r="AA761">
        <f t="shared" si="683"/>
        <v>-0.73585745596249474</v>
      </c>
      <c r="AB761">
        <f t="shared" si="662"/>
        <v>7.1181241780119882</v>
      </c>
      <c r="AC761">
        <f t="shared" si="684"/>
        <v>-0.5942072327050415</v>
      </c>
      <c r="AD761">
        <f t="shared" si="663"/>
        <v>0.27122816873776817</v>
      </c>
      <c r="AE761" s="9">
        <f t="shared" si="685"/>
        <v>6.7951451140447148</v>
      </c>
      <c r="AF761">
        <f t="shared" si="686"/>
        <v>0</v>
      </c>
      <c r="AH761">
        <f t="shared" si="664"/>
        <v>7.8539816339744828</v>
      </c>
      <c r="AI761">
        <f t="shared" si="665"/>
        <v>-0.73585745596249452</v>
      </c>
      <c r="AJ761">
        <f t="shared" si="666"/>
        <v>-0.59420723270503828</v>
      </c>
      <c r="AK761">
        <f t="shared" si="667"/>
        <v>0.27122816873776817</v>
      </c>
      <c r="AL761" s="9">
        <f t="shared" si="687"/>
        <v>6.7951451140447183</v>
      </c>
      <c r="AM761" t="e">
        <f t="shared" si="668"/>
        <v>#N/A</v>
      </c>
      <c r="AN761" t="e">
        <f t="shared" si="688"/>
        <v>#N/A</v>
      </c>
      <c r="AO761">
        <f t="shared" si="669"/>
        <v>0</v>
      </c>
      <c r="AP761">
        <f t="shared" si="670"/>
        <v>0</v>
      </c>
      <c r="AQ761">
        <f t="shared" si="671"/>
        <v>3.219646771412954E-15</v>
      </c>
      <c r="AR761">
        <f t="shared" si="689"/>
        <v>0</v>
      </c>
      <c r="AS761">
        <f t="shared" si="672"/>
        <v>0</v>
      </c>
      <c r="AT761">
        <f t="shared" si="690"/>
        <v>0</v>
      </c>
      <c r="AU761">
        <f t="shared" si="691"/>
        <v>0</v>
      </c>
      <c r="AV761">
        <f t="shared" si="673"/>
        <v>8.6707957239078303E-21</v>
      </c>
      <c r="AW761" t="b">
        <f t="shared" si="692"/>
        <v>1</v>
      </c>
      <c r="AX761">
        <f t="shared" si="674"/>
        <v>7.8539816339744828</v>
      </c>
      <c r="AY761">
        <f t="shared" si="675"/>
        <v>-0.73585745596249486</v>
      </c>
      <c r="AZ761">
        <f t="shared" si="676"/>
        <v>-0.5942072327050415</v>
      </c>
      <c r="BA761">
        <f t="shared" si="677"/>
        <v>0.27122816873776828</v>
      </c>
      <c r="BB761">
        <f t="shared" si="678"/>
        <v>-1.2337005501361696E-20</v>
      </c>
      <c r="BD761" s="15">
        <f t="shared" si="693"/>
        <v>6.7951451140447148</v>
      </c>
      <c r="BE761" s="10">
        <f t="shared" si="694"/>
        <v>0</v>
      </c>
      <c r="BF761">
        <f t="shared" si="695"/>
        <v>0</v>
      </c>
      <c r="BG761">
        <f t="shared" si="696"/>
        <v>0</v>
      </c>
      <c r="BH761">
        <f t="shared" si="697"/>
        <v>0</v>
      </c>
      <c r="BI761">
        <f t="shared" si="698"/>
        <v>0</v>
      </c>
    </row>
    <row r="762" spans="1:61" x14ac:dyDescent="0.3">
      <c r="A762">
        <f t="shared" si="703"/>
        <v>0.72499999999999998</v>
      </c>
      <c r="B762">
        <f t="shared" si="646"/>
        <v>2.2776546738526</v>
      </c>
      <c r="C762">
        <f t="shared" si="647"/>
        <v>0.86393797973719311</v>
      </c>
      <c r="D762">
        <f t="shared" si="648"/>
        <v>0.86393797973719311</v>
      </c>
      <c r="E762">
        <f t="shared" si="653"/>
        <v>0.76040596560003104</v>
      </c>
      <c r="F762">
        <f t="shared" si="654"/>
        <v>0.76040596560003093</v>
      </c>
      <c r="G762">
        <f t="shared" si="649"/>
        <v>2.2776546738526</v>
      </c>
      <c r="H762">
        <f t="shared" si="650"/>
        <v>0.76040596560003104</v>
      </c>
      <c r="I762">
        <f t="shared" si="651"/>
        <v>0.76040596560003093</v>
      </c>
      <c r="J762">
        <f t="shared" si="699"/>
        <v>8.3721038651403682E+19</v>
      </c>
      <c r="K762">
        <f t="shared" si="700"/>
        <v>8.3721038651403682E+19</v>
      </c>
      <c r="L762">
        <f t="shared" si="655"/>
        <v>1</v>
      </c>
      <c r="M762">
        <f t="shared" si="652"/>
        <v>8.6393797973719307E-21</v>
      </c>
      <c r="N762" s="9">
        <f t="shared" si="701"/>
        <v>8.6393797973719307E-21</v>
      </c>
      <c r="O762">
        <f t="shared" si="702"/>
        <v>8.6393797973719307E-21</v>
      </c>
      <c r="Q762">
        <f t="shared" si="656"/>
        <v>45.874021977645498</v>
      </c>
      <c r="R762">
        <f t="shared" si="657"/>
        <v>-710542.73576010019</v>
      </c>
      <c r="S762">
        <f t="shared" si="679"/>
        <v>-46.197956155347079</v>
      </c>
      <c r="T762" s="9" t="e">
        <f t="shared" si="658"/>
        <v>#N/A</v>
      </c>
      <c r="U762">
        <f t="shared" si="680"/>
        <v>-1.0000000000000001E+300</v>
      </c>
      <c r="V762">
        <f t="shared" si="681"/>
        <v>0</v>
      </c>
      <c r="W762">
        <f t="shared" si="682"/>
        <v>0</v>
      </c>
      <c r="X762">
        <f t="shared" si="659"/>
        <v>0.86393797973719311</v>
      </c>
      <c r="Y762">
        <f t="shared" si="660"/>
        <v>7.8539816339744828</v>
      </c>
      <c r="Z762">
        <f t="shared" si="661"/>
        <v>-0.86393797973719311</v>
      </c>
      <c r="AA762">
        <f t="shared" si="683"/>
        <v>-0.73787274193186436</v>
      </c>
      <c r="AB762">
        <f t="shared" si="662"/>
        <v>7.1161088920426181</v>
      </c>
      <c r="AC762">
        <f t="shared" si="684"/>
        <v>-0.59783700075562041</v>
      </c>
      <c r="AD762">
        <f t="shared" si="663"/>
        <v>0.27390282305404118</v>
      </c>
      <c r="AE762" s="9">
        <f t="shared" si="685"/>
        <v>6.7921747143410389</v>
      </c>
      <c r="AF762">
        <f t="shared" si="686"/>
        <v>0</v>
      </c>
      <c r="AH762">
        <f t="shared" si="664"/>
        <v>7.8539816339744828</v>
      </c>
      <c r="AI762">
        <f t="shared" si="665"/>
        <v>-0.73787274193186425</v>
      </c>
      <c r="AJ762">
        <f t="shared" si="666"/>
        <v>-0.59783700075561796</v>
      </c>
      <c r="AK762">
        <f t="shared" si="667"/>
        <v>0.27390282305404118</v>
      </c>
      <c r="AL762" s="9">
        <f t="shared" si="687"/>
        <v>6.7921747143410416</v>
      </c>
      <c r="AM762" t="e">
        <f t="shared" si="668"/>
        <v>#N/A</v>
      </c>
      <c r="AN762" t="e">
        <f t="shared" si="688"/>
        <v>#N/A</v>
      </c>
      <c r="AO762">
        <f t="shared" si="669"/>
        <v>0</v>
      </c>
      <c r="AP762">
        <f t="shared" si="670"/>
        <v>0</v>
      </c>
      <c r="AQ762">
        <f t="shared" si="671"/>
        <v>2.4424906541753444E-15</v>
      </c>
      <c r="AR762">
        <f t="shared" si="689"/>
        <v>0</v>
      </c>
      <c r="AS762">
        <f t="shared" si="672"/>
        <v>0</v>
      </c>
      <c r="AT762">
        <f t="shared" si="690"/>
        <v>0</v>
      </c>
      <c r="AU762">
        <f t="shared" si="691"/>
        <v>0</v>
      </c>
      <c r="AV762">
        <f t="shared" si="673"/>
        <v>8.6393797973719307E-21</v>
      </c>
      <c r="AW762" t="b">
        <f t="shared" si="692"/>
        <v>1</v>
      </c>
      <c r="AX762">
        <f t="shared" si="674"/>
        <v>7.8539816339744828</v>
      </c>
      <c r="AY762">
        <f t="shared" si="675"/>
        <v>-0.73787274193186447</v>
      </c>
      <c r="AZ762">
        <f t="shared" si="676"/>
        <v>-0.59783700075562041</v>
      </c>
      <c r="BA762">
        <f t="shared" si="677"/>
        <v>0.27390282305404134</v>
      </c>
      <c r="BB762">
        <f t="shared" si="678"/>
        <v>-1.2337005501361696E-20</v>
      </c>
      <c r="BD762" s="15">
        <f t="shared" si="693"/>
        <v>6.7921747143410389</v>
      </c>
      <c r="BE762" s="10">
        <f t="shared" si="694"/>
        <v>0</v>
      </c>
      <c r="BF762">
        <f t="shared" si="695"/>
        <v>0</v>
      </c>
      <c r="BG762">
        <f t="shared" si="696"/>
        <v>0</v>
      </c>
      <c r="BH762">
        <f t="shared" si="697"/>
        <v>0</v>
      </c>
      <c r="BI762">
        <f t="shared" si="698"/>
        <v>0</v>
      </c>
    </row>
    <row r="763" spans="1:61" x14ac:dyDescent="0.3">
      <c r="A763">
        <f t="shared" si="703"/>
        <v>0.72599999999999998</v>
      </c>
      <c r="B763">
        <f t="shared" si="646"/>
        <v>2.2807962665061896</v>
      </c>
      <c r="C763">
        <f t="shared" si="647"/>
        <v>0.86079638708360351</v>
      </c>
      <c r="D763">
        <f t="shared" si="648"/>
        <v>0.86079638708360351</v>
      </c>
      <c r="E763">
        <f t="shared" si="653"/>
        <v>0.75836191528872199</v>
      </c>
      <c r="F763">
        <f t="shared" si="654"/>
        <v>0.75836191528872199</v>
      </c>
      <c r="G763">
        <f t="shared" si="649"/>
        <v>2.2807962665061896</v>
      </c>
      <c r="H763">
        <f t="shared" si="650"/>
        <v>0.75836191528872199</v>
      </c>
      <c r="I763">
        <f t="shared" si="651"/>
        <v>0.75836191528872199</v>
      </c>
      <c r="J763">
        <f t="shared" si="699"/>
        <v>8.3946696100266164E+19</v>
      </c>
      <c r="K763">
        <f t="shared" si="700"/>
        <v>8.3946696100266164E+19</v>
      </c>
      <c r="L763">
        <f t="shared" si="655"/>
        <v>1</v>
      </c>
      <c r="M763">
        <f t="shared" si="652"/>
        <v>8.6079638708360341E-21</v>
      </c>
      <c r="N763" s="9">
        <f t="shared" si="701"/>
        <v>8.6079638708360341E-21</v>
      </c>
      <c r="O763">
        <f t="shared" si="702"/>
        <v>8.6079638708360341E-21</v>
      </c>
      <c r="Q763">
        <f t="shared" si="656"/>
        <v>45.876713701076298</v>
      </c>
      <c r="R763">
        <f t="shared" si="657"/>
        <v>-710542.73576010019</v>
      </c>
      <c r="S763">
        <f t="shared" si="679"/>
        <v>-46.201599146625583</v>
      </c>
      <c r="T763" s="9" t="e">
        <f t="shared" si="658"/>
        <v>#N/A</v>
      </c>
      <c r="U763">
        <f t="shared" si="680"/>
        <v>-1.0000000000000001E+300</v>
      </c>
      <c r="V763">
        <f t="shared" si="681"/>
        <v>0</v>
      </c>
      <c r="W763">
        <f t="shared" si="682"/>
        <v>0</v>
      </c>
      <c r="X763">
        <f t="shared" si="659"/>
        <v>0.86079638708360351</v>
      </c>
      <c r="Y763">
        <f t="shared" si="660"/>
        <v>7.8539816339744828</v>
      </c>
      <c r="Z763">
        <f t="shared" si="661"/>
        <v>-0.86079638708360351</v>
      </c>
      <c r="AA763">
        <f t="shared" si="683"/>
        <v>-0.73987907937679465</v>
      </c>
      <c r="AB763">
        <f t="shared" si="662"/>
        <v>7.1141025545976877</v>
      </c>
      <c r="AC763">
        <f t="shared" si="684"/>
        <v>-0.60147999203412128</v>
      </c>
      <c r="AD763">
        <f t="shared" si="663"/>
        <v>0.27659454648484222</v>
      </c>
      <c r="AE763" s="9">
        <f t="shared" si="685"/>
        <v>6.7892171090484092</v>
      </c>
      <c r="AF763">
        <f t="shared" si="686"/>
        <v>0</v>
      </c>
      <c r="AH763">
        <f t="shared" si="664"/>
        <v>7.8539816339744828</v>
      </c>
      <c r="AI763">
        <f t="shared" si="665"/>
        <v>-0.7398790793767942</v>
      </c>
      <c r="AJ763">
        <f t="shared" si="666"/>
        <v>-0.60147999203412184</v>
      </c>
      <c r="AK763">
        <f t="shared" si="667"/>
        <v>0.27659454648484222</v>
      </c>
      <c r="AL763" s="9">
        <f t="shared" si="687"/>
        <v>6.7892171090484092</v>
      </c>
      <c r="AM763" t="e">
        <f t="shared" si="668"/>
        <v>#N/A</v>
      </c>
      <c r="AN763" t="e">
        <f t="shared" si="688"/>
        <v>#N/A</v>
      </c>
      <c r="AO763">
        <f t="shared" si="669"/>
        <v>0</v>
      </c>
      <c r="AP763">
        <f t="shared" si="670"/>
        <v>0</v>
      </c>
      <c r="AQ763">
        <f t="shared" si="671"/>
        <v>0</v>
      </c>
      <c r="AR763">
        <f t="shared" si="689"/>
        <v>0</v>
      </c>
      <c r="AS763">
        <f t="shared" si="672"/>
        <v>0</v>
      </c>
      <c r="AT763">
        <f t="shared" si="690"/>
        <v>0</v>
      </c>
      <c r="AU763">
        <f t="shared" si="691"/>
        <v>0</v>
      </c>
      <c r="AV763">
        <f t="shared" si="673"/>
        <v>8.6079638708360341E-21</v>
      </c>
      <c r="AW763" t="b">
        <f t="shared" si="692"/>
        <v>1</v>
      </c>
      <c r="AX763">
        <f t="shared" si="674"/>
        <v>7.8539816339744828</v>
      </c>
      <c r="AY763">
        <f t="shared" si="675"/>
        <v>-0.73987907937679476</v>
      </c>
      <c r="AZ763">
        <f t="shared" si="676"/>
        <v>-0.60147999203412128</v>
      </c>
      <c r="BA763">
        <f t="shared" si="677"/>
        <v>0.27659454648484222</v>
      </c>
      <c r="BB763">
        <f t="shared" si="678"/>
        <v>-1.2337005501361696E-20</v>
      </c>
      <c r="BD763" s="15">
        <f t="shared" si="693"/>
        <v>6.7892171090484092</v>
      </c>
      <c r="BE763" s="10">
        <f t="shared" si="694"/>
        <v>0</v>
      </c>
      <c r="BF763">
        <f t="shared" si="695"/>
        <v>0</v>
      </c>
      <c r="BG763">
        <f t="shared" si="696"/>
        <v>0</v>
      </c>
      <c r="BH763">
        <f t="shared" si="697"/>
        <v>0</v>
      </c>
      <c r="BI763">
        <f t="shared" si="698"/>
        <v>0</v>
      </c>
    </row>
    <row r="764" spans="1:61" x14ac:dyDescent="0.3">
      <c r="A764">
        <f t="shared" si="703"/>
        <v>0.72699999999999998</v>
      </c>
      <c r="B764">
        <f t="shared" si="646"/>
        <v>2.2839378591597796</v>
      </c>
      <c r="C764">
        <f t="shared" si="647"/>
        <v>0.85765479443001347</v>
      </c>
      <c r="D764">
        <f t="shared" si="648"/>
        <v>0.85765479443001347</v>
      </c>
      <c r="E764">
        <f t="shared" si="653"/>
        <v>0.75631038025147201</v>
      </c>
      <c r="F764">
        <f t="shared" si="654"/>
        <v>0.7563103802514719</v>
      </c>
      <c r="G764">
        <f t="shared" si="649"/>
        <v>2.2839378591597796</v>
      </c>
      <c r="H764">
        <f t="shared" si="650"/>
        <v>0.75631038025147201</v>
      </c>
      <c r="I764">
        <f t="shared" si="651"/>
        <v>0.7563103802514719</v>
      </c>
      <c r="J764">
        <f t="shared" si="699"/>
        <v>8.4174406300744729E+19</v>
      </c>
      <c r="K764">
        <f t="shared" si="700"/>
        <v>8.4174406300744729E+19</v>
      </c>
      <c r="L764" t="e">
        <f t="shared" si="655"/>
        <v>#NUM!</v>
      </c>
      <c r="M764">
        <f t="shared" si="652"/>
        <v>8.5765479443001344E-21</v>
      </c>
      <c r="N764" s="9" t="e">
        <f t="shared" si="701"/>
        <v>#NUM!</v>
      </c>
      <c r="O764" t="e">
        <f t="shared" si="702"/>
        <v>#NUM!</v>
      </c>
      <c r="Q764">
        <f t="shared" si="656"/>
        <v>45.879422585760878</v>
      </c>
      <c r="R764">
        <f t="shared" si="657"/>
        <v>-710542.73576010019</v>
      </c>
      <c r="S764">
        <f t="shared" si="679"/>
        <v>-46.205255457828692</v>
      </c>
      <c r="T764" s="9" t="e">
        <f t="shared" si="658"/>
        <v>#N/A</v>
      </c>
      <c r="U764">
        <f t="shared" si="680"/>
        <v>-1.0000000000000001E+300</v>
      </c>
      <c r="V764">
        <f t="shared" si="681"/>
        <v>0</v>
      </c>
      <c r="W764">
        <f t="shared" si="682"/>
        <v>0</v>
      </c>
      <c r="X764">
        <f t="shared" si="659"/>
        <v>0.85765479443001347</v>
      </c>
      <c r="Y764">
        <f t="shared" si="660"/>
        <v>7.8539816339744828</v>
      </c>
      <c r="Z764">
        <f t="shared" si="661"/>
        <v>-0.85765479443001347</v>
      </c>
      <c r="AA764">
        <f t="shared" si="683"/>
        <v>-0.74187648885577062</v>
      </c>
      <c r="AB764">
        <f t="shared" si="662"/>
        <v>7.1121051451187123</v>
      </c>
      <c r="AC764">
        <f t="shared" si="684"/>
        <v>-0.60513630323723211</v>
      </c>
      <c r="AD764">
        <f t="shared" si="663"/>
        <v>0.27930343116942208</v>
      </c>
      <c r="AE764" s="9">
        <f t="shared" si="685"/>
        <v>6.7862722730509031</v>
      </c>
      <c r="AF764">
        <f t="shared" si="686"/>
        <v>0</v>
      </c>
      <c r="AH764">
        <f t="shared" si="664"/>
        <v>7.8539816339744828</v>
      </c>
      <c r="AI764">
        <f t="shared" si="665"/>
        <v>-0.74187648885577062</v>
      </c>
      <c r="AJ764">
        <f t="shared" si="666"/>
        <v>-0.60513630323723078</v>
      </c>
      <c r="AK764">
        <f t="shared" si="667"/>
        <v>0.27930343116942208</v>
      </c>
      <c r="AL764" s="9">
        <f t="shared" si="687"/>
        <v>6.786272273050904</v>
      </c>
      <c r="AM764" t="e">
        <f t="shared" si="668"/>
        <v>#N/A</v>
      </c>
      <c r="AN764" t="e">
        <f t="shared" si="688"/>
        <v>#N/A</v>
      </c>
      <c r="AO764">
        <f t="shared" si="669"/>
        <v>0</v>
      </c>
      <c r="AP764">
        <f t="shared" si="670"/>
        <v>0</v>
      </c>
      <c r="AQ764">
        <f t="shared" si="671"/>
        <v>1.3322676295501878E-15</v>
      </c>
      <c r="AR764">
        <f t="shared" si="689"/>
        <v>0</v>
      </c>
      <c r="AS764">
        <f t="shared" si="672"/>
        <v>0</v>
      </c>
      <c r="AT764">
        <f t="shared" si="690"/>
        <v>0</v>
      </c>
      <c r="AU764">
        <f t="shared" si="691"/>
        <v>0</v>
      </c>
      <c r="AV764">
        <f t="shared" si="673"/>
        <v>8.5765479443001344E-21</v>
      </c>
      <c r="AW764" t="b">
        <f t="shared" si="692"/>
        <v>1</v>
      </c>
      <c r="AX764">
        <f t="shared" si="674"/>
        <v>7.8539816339744828</v>
      </c>
      <c r="AY764">
        <f t="shared" si="675"/>
        <v>-0.74187648885577062</v>
      </c>
      <c r="AZ764">
        <f t="shared" si="676"/>
        <v>-0.60513630323723189</v>
      </c>
      <c r="BA764">
        <f t="shared" si="677"/>
        <v>0.27930343116942224</v>
      </c>
      <c r="BB764">
        <f t="shared" si="678"/>
        <v>-1.2337005501361696E-20</v>
      </c>
      <c r="BD764" s="15">
        <f t="shared" si="693"/>
        <v>6.7862722730509031</v>
      </c>
      <c r="BE764" s="10">
        <f t="shared" si="694"/>
        <v>0</v>
      </c>
      <c r="BF764">
        <f t="shared" si="695"/>
        <v>0</v>
      </c>
      <c r="BG764">
        <f t="shared" si="696"/>
        <v>0</v>
      </c>
      <c r="BH764">
        <f t="shared" si="697"/>
        <v>0</v>
      </c>
      <c r="BI764">
        <f t="shared" si="698"/>
        <v>0</v>
      </c>
    </row>
    <row r="765" spans="1:61" x14ac:dyDescent="0.3">
      <c r="A765">
        <f t="shared" si="703"/>
        <v>0.72799999999999998</v>
      </c>
      <c r="B765">
        <f t="shared" si="646"/>
        <v>2.2870794518133692</v>
      </c>
      <c r="C765">
        <f t="shared" si="647"/>
        <v>0.85451320177642387</v>
      </c>
      <c r="D765">
        <f t="shared" si="648"/>
        <v>0.85451320177642387</v>
      </c>
      <c r="E765">
        <f t="shared" si="653"/>
        <v>0.75425138073610398</v>
      </c>
      <c r="F765">
        <f t="shared" si="654"/>
        <v>0.75425138073610387</v>
      </c>
      <c r="G765">
        <f t="shared" si="649"/>
        <v>2.2870794518133692</v>
      </c>
      <c r="H765">
        <f t="shared" si="650"/>
        <v>0.75425138073610398</v>
      </c>
      <c r="I765">
        <f t="shared" si="651"/>
        <v>0.75425138073610387</v>
      </c>
      <c r="J765">
        <f t="shared" si="699"/>
        <v>8.4404190516201488E+19</v>
      </c>
      <c r="K765">
        <f t="shared" si="700"/>
        <v>8.4404190516201488E+19</v>
      </c>
      <c r="L765" t="e">
        <f t="shared" si="655"/>
        <v>#NUM!</v>
      </c>
      <c r="M765">
        <f t="shared" si="652"/>
        <v>8.5451320177642378E-21</v>
      </c>
      <c r="N765" s="9" t="e">
        <f t="shared" si="701"/>
        <v>#NUM!</v>
      </c>
      <c r="O765" t="e">
        <f t="shared" si="702"/>
        <v>#NUM!</v>
      </c>
      <c r="Q765">
        <f t="shared" si="656"/>
        <v>45.882148724928072</v>
      </c>
      <c r="R765">
        <f t="shared" si="657"/>
        <v>-710542.73576010019</v>
      </c>
      <c r="S765">
        <f t="shared" si="679"/>
        <v>-46.20892518671765</v>
      </c>
      <c r="T765" s="9" t="e">
        <f t="shared" si="658"/>
        <v>#N/A</v>
      </c>
      <c r="U765">
        <f t="shared" si="680"/>
        <v>-1.0000000000000001E+300</v>
      </c>
      <c r="V765">
        <f t="shared" si="681"/>
        <v>0</v>
      </c>
      <c r="W765">
        <f t="shared" si="682"/>
        <v>0</v>
      </c>
      <c r="X765">
        <f t="shared" si="659"/>
        <v>0.85451320177642387</v>
      </c>
      <c r="Y765">
        <f t="shared" si="660"/>
        <v>7.8539816339744828</v>
      </c>
      <c r="Z765">
        <f t="shared" si="661"/>
        <v>-0.85451320177642387</v>
      </c>
      <c r="AA765">
        <f t="shared" si="683"/>
        <v>-0.74386499079615842</v>
      </c>
      <c r="AB765">
        <f t="shared" si="662"/>
        <v>7.1101166431783245</v>
      </c>
      <c r="AC765">
        <f t="shared" si="684"/>
        <v>-0.60880603212619433</v>
      </c>
      <c r="AD765">
        <f t="shared" si="663"/>
        <v>0.28202957033661563</v>
      </c>
      <c r="AE765" s="9">
        <f t="shared" si="685"/>
        <v>6.7833401813887457</v>
      </c>
      <c r="AF765">
        <f t="shared" si="686"/>
        <v>0</v>
      </c>
      <c r="AH765">
        <f t="shared" si="664"/>
        <v>7.8539816339744828</v>
      </c>
      <c r="AI765">
        <f t="shared" si="665"/>
        <v>-0.74386499079615831</v>
      </c>
      <c r="AJ765">
        <f t="shared" si="666"/>
        <v>-0.60880603212618922</v>
      </c>
      <c r="AK765">
        <f t="shared" si="667"/>
        <v>0.28202957033661563</v>
      </c>
      <c r="AL765" s="9">
        <f t="shared" si="687"/>
        <v>6.7833401813887511</v>
      </c>
      <c r="AM765" t="e">
        <f t="shared" si="668"/>
        <v>#N/A</v>
      </c>
      <c r="AN765" t="e">
        <f t="shared" si="688"/>
        <v>#N/A</v>
      </c>
      <c r="AO765">
        <f t="shared" si="669"/>
        <v>0</v>
      </c>
      <c r="AP765">
        <f t="shared" si="670"/>
        <v>0</v>
      </c>
      <c r="AQ765">
        <f t="shared" si="671"/>
        <v>5.1070259132757201E-15</v>
      </c>
      <c r="AR765">
        <f t="shared" si="689"/>
        <v>0</v>
      </c>
      <c r="AS765">
        <f t="shared" si="672"/>
        <v>0</v>
      </c>
      <c r="AT765">
        <f t="shared" si="690"/>
        <v>0</v>
      </c>
      <c r="AU765">
        <f t="shared" si="691"/>
        <v>0</v>
      </c>
      <c r="AV765">
        <f t="shared" si="673"/>
        <v>8.5451320177642378E-21</v>
      </c>
      <c r="AW765" t="b">
        <f t="shared" si="692"/>
        <v>1</v>
      </c>
      <c r="AX765">
        <f t="shared" si="674"/>
        <v>7.8539816339744828</v>
      </c>
      <c r="AY765">
        <f t="shared" si="675"/>
        <v>-0.74386499079615842</v>
      </c>
      <c r="AZ765">
        <f t="shared" si="676"/>
        <v>-0.60880603212619433</v>
      </c>
      <c r="BA765">
        <f t="shared" si="677"/>
        <v>0.2820295703366158</v>
      </c>
      <c r="BB765">
        <f t="shared" si="678"/>
        <v>-1.2337005501361696E-20</v>
      </c>
      <c r="BD765" s="15">
        <f t="shared" si="693"/>
        <v>6.7833401813887457</v>
      </c>
      <c r="BE765" s="10">
        <f t="shared" si="694"/>
        <v>0</v>
      </c>
      <c r="BF765">
        <f t="shared" si="695"/>
        <v>0</v>
      </c>
      <c r="BG765">
        <f t="shared" si="696"/>
        <v>0</v>
      </c>
      <c r="BH765">
        <f t="shared" si="697"/>
        <v>0</v>
      </c>
      <c r="BI765">
        <f t="shared" si="698"/>
        <v>0</v>
      </c>
    </row>
    <row r="766" spans="1:61" x14ac:dyDescent="0.3">
      <c r="A766">
        <f t="shared" si="703"/>
        <v>0.72899999999999998</v>
      </c>
      <c r="B766">
        <f t="shared" si="646"/>
        <v>2.2902210444669593</v>
      </c>
      <c r="C766">
        <f t="shared" si="647"/>
        <v>0.85137160912283383</v>
      </c>
      <c r="D766">
        <f t="shared" si="648"/>
        <v>0.85137160912283383</v>
      </c>
      <c r="E766">
        <f t="shared" si="653"/>
        <v>0.75218493706411138</v>
      </c>
      <c r="F766">
        <f t="shared" si="654"/>
        <v>0.75218493706411127</v>
      </c>
      <c r="G766">
        <f t="shared" si="649"/>
        <v>2.2902210444669593</v>
      </c>
      <c r="H766">
        <f t="shared" si="650"/>
        <v>0.75218493706411138</v>
      </c>
      <c r="I766">
        <f t="shared" si="651"/>
        <v>0.75218493706411127</v>
      </c>
      <c r="J766">
        <f t="shared" si="699"/>
        <v>8.4636070332969206E+19</v>
      </c>
      <c r="K766">
        <f t="shared" si="700"/>
        <v>8.4636070332969206E+19</v>
      </c>
      <c r="L766" t="e">
        <f t="shared" si="655"/>
        <v>#NUM!</v>
      </c>
      <c r="M766">
        <f t="shared" si="652"/>
        <v>8.5137160912283382E-21</v>
      </c>
      <c r="N766" s="9" t="e">
        <f t="shared" si="701"/>
        <v>#NUM!</v>
      </c>
      <c r="O766" t="e">
        <f t="shared" si="702"/>
        <v>#NUM!</v>
      </c>
      <c r="Q766">
        <f t="shared" si="656"/>
        <v>45.884892212911872</v>
      </c>
      <c r="R766">
        <f t="shared" si="657"/>
        <v>-710542.73576010019</v>
      </c>
      <c r="S766">
        <f t="shared" si="679"/>
        <v>-46.212608432133948</v>
      </c>
      <c r="T766" s="9" t="e">
        <f t="shared" si="658"/>
        <v>#N/A</v>
      </c>
      <c r="U766">
        <f t="shared" si="680"/>
        <v>-1.0000000000000001E+300</v>
      </c>
      <c r="V766">
        <f t="shared" si="681"/>
        <v>0</v>
      </c>
      <c r="W766">
        <f t="shared" si="682"/>
        <v>0</v>
      </c>
      <c r="X766">
        <f t="shared" si="659"/>
        <v>0.85137160912283383</v>
      </c>
      <c r="Y766">
        <f t="shared" si="660"/>
        <v>7.8539816339744828</v>
      </c>
      <c r="Z766">
        <f t="shared" si="661"/>
        <v>-0.85137160912283383</v>
      </c>
      <c r="AA766">
        <f t="shared" si="683"/>
        <v>-0.74584460549500398</v>
      </c>
      <c r="AB766">
        <f t="shared" si="662"/>
        <v>7.1081370284794785</v>
      </c>
      <c r="AC766">
        <f t="shared" si="684"/>
        <v>-0.61248927754249094</v>
      </c>
      <c r="AD766">
        <f t="shared" si="663"/>
        <v>0.28477305832041527</v>
      </c>
      <c r="AE766" s="9">
        <f t="shared" si="685"/>
        <v>6.7804208092574028</v>
      </c>
      <c r="AF766">
        <f t="shared" si="686"/>
        <v>0</v>
      </c>
      <c r="AH766">
        <f t="shared" si="664"/>
        <v>7.8539816339744828</v>
      </c>
      <c r="AI766">
        <f t="shared" si="665"/>
        <v>-0.74584460549500409</v>
      </c>
      <c r="AJ766">
        <f t="shared" si="666"/>
        <v>-0.61248927754248683</v>
      </c>
      <c r="AK766">
        <f t="shared" si="667"/>
        <v>0.28477305832041527</v>
      </c>
      <c r="AL766" s="9">
        <f t="shared" si="687"/>
        <v>6.7804208092574072</v>
      </c>
      <c r="AM766" t="e">
        <f t="shared" si="668"/>
        <v>#N/A</v>
      </c>
      <c r="AN766" t="e">
        <f t="shared" si="688"/>
        <v>#N/A</v>
      </c>
      <c r="AO766">
        <f t="shared" si="669"/>
        <v>0</v>
      </c>
      <c r="AP766">
        <f t="shared" si="670"/>
        <v>0</v>
      </c>
      <c r="AQ766">
        <f t="shared" si="671"/>
        <v>4.1078251911130792E-15</v>
      </c>
      <c r="AR766">
        <f t="shared" si="689"/>
        <v>0</v>
      </c>
      <c r="AS766">
        <f t="shared" si="672"/>
        <v>0</v>
      </c>
      <c r="AT766">
        <f t="shared" si="690"/>
        <v>0</v>
      </c>
      <c r="AU766">
        <f t="shared" si="691"/>
        <v>0</v>
      </c>
      <c r="AV766">
        <f t="shared" si="673"/>
        <v>8.5137160912283382E-21</v>
      </c>
      <c r="AW766" t="b">
        <f t="shared" si="692"/>
        <v>1</v>
      </c>
      <c r="AX766">
        <f t="shared" si="674"/>
        <v>7.8539816339744828</v>
      </c>
      <c r="AY766">
        <f t="shared" si="675"/>
        <v>-0.74584460549500409</v>
      </c>
      <c r="AZ766">
        <f t="shared" si="676"/>
        <v>-0.61248927754249094</v>
      </c>
      <c r="BA766">
        <f t="shared" si="677"/>
        <v>0.28477305832041538</v>
      </c>
      <c r="BB766">
        <f t="shared" si="678"/>
        <v>-1.2337005501361696E-20</v>
      </c>
      <c r="BD766" s="15">
        <f t="shared" si="693"/>
        <v>6.7804208092574028</v>
      </c>
      <c r="BE766" s="10">
        <f t="shared" si="694"/>
        <v>0</v>
      </c>
      <c r="BF766">
        <f t="shared" si="695"/>
        <v>0</v>
      </c>
      <c r="BG766">
        <f t="shared" si="696"/>
        <v>0</v>
      </c>
      <c r="BH766">
        <f t="shared" si="697"/>
        <v>0</v>
      </c>
      <c r="BI766">
        <f t="shared" si="698"/>
        <v>0</v>
      </c>
    </row>
    <row r="767" spans="1:61" x14ac:dyDescent="0.3">
      <c r="A767">
        <f t="shared" si="703"/>
        <v>0.73</v>
      </c>
      <c r="B767">
        <f t="shared" si="646"/>
        <v>2.2933626371205489</v>
      </c>
      <c r="C767">
        <f t="shared" si="647"/>
        <v>0.84823001646924423</v>
      </c>
      <c r="D767">
        <f t="shared" si="648"/>
        <v>0.84823001646924423</v>
      </c>
      <c r="E767">
        <f t="shared" si="653"/>
        <v>0.7501110696304597</v>
      </c>
      <c r="F767">
        <f t="shared" si="654"/>
        <v>0.75011106963045959</v>
      </c>
      <c r="G767">
        <f t="shared" si="649"/>
        <v>2.2933626371205489</v>
      </c>
      <c r="H767">
        <f t="shared" si="650"/>
        <v>0.7501110696304597</v>
      </c>
      <c r="I767">
        <f t="shared" si="651"/>
        <v>0.75011106963045959</v>
      </c>
      <c r="J767">
        <f t="shared" si="699"/>
        <v>8.4870067666273812E+19</v>
      </c>
      <c r="K767">
        <f t="shared" si="700"/>
        <v>8.4870067666273812E+19</v>
      </c>
      <c r="L767">
        <f t="shared" si="655"/>
        <v>1</v>
      </c>
      <c r="M767">
        <f t="shared" si="652"/>
        <v>8.4823001646924416E-21</v>
      </c>
      <c r="N767" s="9">
        <f t="shared" si="701"/>
        <v>8.4823001646924416E-21</v>
      </c>
      <c r="O767">
        <f t="shared" si="702"/>
        <v>8.4823001646924416E-21</v>
      </c>
      <c r="Q767">
        <f t="shared" si="656"/>
        <v>45.887653145167292</v>
      </c>
      <c r="R767">
        <f t="shared" si="657"/>
        <v>0</v>
      </c>
      <c r="S767">
        <f t="shared" si="679"/>
        <v>-46.216305294015278</v>
      </c>
      <c r="T767" s="9" t="e">
        <f t="shared" si="658"/>
        <v>#N/A</v>
      </c>
      <c r="U767">
        <f t="shared" si="680"/>
        <v>-1.0000000000000001E+300</v>
      </c>
      <c r="V767">
        <f t="shared" si="681"/>
        <v>0</v>
      </c>
      <c r="W767">
        <f t="shared" si="682"/>
        <v>0</v>
      </c>
      <c r="X767">
        <f t="shared" si="659"/>
        <v>0.84823001646924423</v>
      </c>
      <c r="Y767">
        <f t="shared" si="660"/>
        <v>7.8539816339744828</v>
      </c>
      <c r="Z767">
        <f t="shared" si="661"/>
        <v>-0.84823001646924423</v>
      </c>
      <c r="AA767">
        <f t="shared" si="683"/>
        <v>-0.74781535311981973</v>
      </c>
      <c r="AB767">
        <f t="shared" si="662"/>
        <v>7.1061662808546631</v>
      </c>
      <c r="AC767">
        <f t="shared" si="684"/>
        <v>-0.61618613942381695</v>
      </c>
      <c r="AD767">
        <f t="shared" si="663"/>
        <v>0.28753399057583018</v>
      </c>
      <c r="AE767" s="9">
        <f t="shared" si="685"/>
        <v>6.7775141320066759</v>
      </c>
      <c r="AF767">
        <f t="shared" si="686"/>
        <v>0</v>
      </c>
      <c r="AH767">
        <f t="shared" si="664"/>
        <v>7.8539816339744828</v>
      </c>
      <c r="AI767">
        <f t="shared" si="665"/>
        <v>-0.7478153531198195</v>
      </c>
      <c r="AJ767">
        <f t="shared" si="666"/>
        <v>-0.61618613942381728</v>
      </c>
      <c r="AK767">
        <f t="shared" si="667"/>
        <v>0.28753399057583018</v>
      </c>
      <c r="AL767" s="9">
        <f t="shared" si="687"/>
        <v>6.7775141320066759</v>
      </c>
      <c r="AM767" t="e">
        <f t="shared" si="668"/>
        <v>#N/A</v>
      </c>
      <c r="AN767" t="e">
        <f t="shared" si="688"/>
        <v>#N/A</v>
      </c>
      <c r="AO767">
        <f t="shared" si="669"/>
        <v>0</v>
      </c>
      <c r="AP767">
        <f t="shared" si="670"/>
        <v>0</v>
      </c>
      <c r="AQ767">
        <f t="shared" si="671"/>
        <v>0</v>
      </c>
      <c r="AR767">
        <f t="shared" si="689"/>
        <v>0</v>
      </c>
      <c r="AS767">
        <f t="shared" si="672"/>
        <v>0</v>
      </c>
      <c r="AT767">
        <f t="shared" si="690"/>
        <v>0</v>
      </c>
      <c r="AU767">
        <f t="shared" si="691"/>
        <v>0</v>
      </c>
      <c r="AV767">
        <f t="shared" si="673"/>
        <v>8.4823001646924416E-21</v>
      </c>
      <c r="AW767" t="b">
        <f t="shared" si="692"/>
        <v>1</v>
      </c>
      <c r="AX767">
        <f t="shared" si="674"/>
        <v>7.8539816339744828</v>
      </c>
      <c r="AY767">
        <f t="shared" si="675"/>
        <v>-0.74781535311981961</v>
      </c>
      <c r="AZ767">
        <f t="shared" si="676"/>
        <v>-0.61618613942381695</v>
      </c>
      <c r="BA767">
        <f t="shared" si="677"/>
        <v>0.28753399057583034</v>
      </c>
      <c r="BB767">
        <f t="shared" si="678"/>
        <v>-1.2337005501361696E-20</v>
      </c>
      <c r="BD767" s="15">
        <f t="shared" si="693"/>
        <v>6.7775141320066759</v>
      </c>
      <c r="BE767" s="10">
        <f t="shared" si="694"/>
        <v>0</v>
      </c>
      <c r="BF767">
        <f t="shared" si="695"/>
        <v>0</v>
      </c>
      <c r="BG767">
        <f t="shared" si="696"/>
        <v>0</v>
      </c>
      <c r="BH767">
        <f t="shared" si="697"/>
        <v>0</v>
      </c>
      <c r="BI767">
        <f t="shared" si="698"/>
        <v>0</v>
      </c>
    </row>
    <row r="768" spans="1:61" x14ac:dyDescent="0.3">
      <c r="A768">
        <f t="shared" si="703"/>
        <v>0.73099999999999998</v>
      </c>
      <c r="B768">
        <f t="shared" si="646"/>
        <v>2.2965042297741389</v>
      </c>
      <c r="C768">
        <f t="shared" si="647"/>
        <v>0.84508842381565419</v>
      </c>
      <c r="D768">
        <f t="shared" si="648"/>
        <v>0.84508842381565419</v>
      </c>
      <c r="E768">
        <f t="shared" si="653"/>
        <v>0.7480297989033825</v>
      </c>
      <c r="F768">
        <f t="shared" si="654"/>
        <v>0.74802979890338239</v>
      </c>
      <c r="G768">
        <f t="shared" si="649"/>
        <v>2.2965042297741389</v>
      </c>
      <c r="H768">
        <f t="shared" si="650"/>
        <v>0.7480297989033825</v>
      </c>
      <c r="I768">
        <f t="shared" si="651"/>
        <v>0.74802979890338239</v>
      </c>
      <c r="J768">
        <f t="shared" si="699"/>
        <v>8.5106204766290182E+19</v>
      </c>
      <c r="K768">
        <f t="shared" si="700"/>
        <v>8.5106204766290182E+19</v>
      </c>
      <c r="L768">
        <f t="shared" si="655"/>
        <v>1</v>
      </c>
      <c r="M768">
        <f t="shared" si="652"/>
        <v>8.450884238156542E-21</v>
      </c>
      <c r="N768" s="9">
        <f t="shared" si="701"/>
        <v>8.450884238156542E-21</v>
      </c>
      <c r="O768">
        <f t="shared" si="702"/>
        <v>8.450884238156542E-21</v>
      </c>
      <c r="Q768">
        <f t="shared" si="656"/>
        <v>45.890431618286506</v>
      </c>
      <c r="R768">
        <f t="shared" si="657"/>
        <v>-710542.73576010019</v>
      </c>
      <c r="S768">
        <f t="shared" si="679"/>
        <v>-46.220015873411811</v>
      </c>
      <c r="T768" s="9" t="e">
        <f t="shared" si="658"/>
        <v>#N/A</v>
      </c>
      <c r="U768">
        <f t="shared" si="680"/>
        <v>-1.0000000000000001E+300</v>
      </c>
      <c r="V768">
        <f t="shared" si="681"/>
        <v>0</v>
      </c>
      <c r="W768">
        <f t="shared" si="682"/>
        <v>0</v>
      </c>
      <c r="X768">
        <f t="shared" si="659"/>
        <v>0.84508842381565419</v>
      </c>
      <c r="Y768">
        <f t="shared" si="660"/>
        <v>7.8539816339744828</v>
      </c>
      <c r="Z768">
        <f t="shared" si="661"/>
        <v>-0.84508842381565419</v>
      </c>
      <c r="AA768">
        <f t="shared" si="683"/>
        <v>-0.74977725370936898</v>
      </c>
      <c r="AB768">
        <f t="shared" si="662"/>
        <v>7.1042043802651138</v>
      </c>
      <c r="AC768">
        <f t="shared" si="684"/>
        <v>-0.6198967188203528</v>
      </c>
      <c r="AD768">
        <f t="shared" si="663"/>
        <v>0.29031246369504976</v>
      </c>
      <c r="AE768" s="9">
        <f t="shared" si="685"/>
        <v>6.774620125139811</v>
      </c>
      <c r="AF768">
        <f t="shared" si="686"/>
        <v>0</v>
      </c>
      <c r="AH768">
        <f t="shared" si="664"/>
        <v>7.8539816339744828</v>
      </c>
      <c r="AI768">
        <f t="shared" si="665"/>
        <v>-0.74977725370936887</v>
      </c>
      <c r="AJ768">
        <f t="shared" si="666"/>
        <v>-0.61989671882034969</v>
      </c>
      <c r="AK768">
        <f t="shared" si="667"/>
        <v>0.29031246369504976</v>
      </c>
      <c r="AL768" s="9">
        <f t="shared" si="687"/>
        <v>6.7746201251398137</v>
      </c>
      <c r="AM768" t="e">
        <f t="shared" si="668"/>
        <v>#N/A</v>
      </c>
      <c r="AN768" t="e">
        <f t="shared" si="688"/>
        <v>#N/A</v>
      </c>
      <c r="AO768">
        <f t="shared" si="669"/>
        <v>0</v>
      </c>
      <c r="AP768">
        <f t="shared" si="670"/>
        <v>0</v>
      </c>
      <c r="AQ768">
        <f t="shared" si="671"/>
        <v>3.1086244689504383E-15</v>
      </c>
      <c r="AR768">
        <f t="shared" si="689"/>
        <v>0</v>
      </c>
      <c r="AS768">
        <f t="shared" si="672"/>
        <v>0</v>
      </c>
      <c r="AT768">
        <f t="shared" si="690"/>
        <v>0</v>
      </c>
      <c r="AU768">
        <f t="shared" si="691"/>
        <v>0</v>
      </c>
      <c r="AV768">
        <f t="shared" si="673"/>
        <v>8.450884238156542E-21</v>
      </c>
      <c r="AW768" t="b">
        <f t="shared" si="692"/>
        <v>1</v>
      </c>
      <c r="AX768">
        <f t="shared" si="674"/>
        <v>7.8539816339744828</v>
      </c>
      <c r="AY768">
        <f t="shared" si="675"/>
        <v>-0.74977725370936921</v>
      </c>
      <c r="AZ768">
        <f t="shared" si="676"/>
        <v>-0.6198967188203528</v>
      </c>
      <c r="BA768">
        <f t="shared" si="677"/>
        <v>0.29031246369504987</v>
      </c>
      <c r="BB768">
        <f t="shared" si="678"/>
        <v>-1.2337005501361696E-20</v>
      </c>
      <c r="BD768" s="15">
        <f t="shared" si="693"/>
        <v>6.774620125139811</v>
      </c>
      <c r="BE768" s="10">
        <f t="shared" si="694"/>
        <v>0</v>
      </c>
      <c r="BF768">
        <f t="shared" si="695"/>
        <v>0</v>
      </c>
      <c r="BG768">
        <f t="shared" si="696"/>
        <v>0</v>
      </c>
      <c r="BH768">
        <f t="shared" si="697"/>
        <v>0</v>
      </c>
      <c r="BI768">
        <f t="shared" si="698"/>
        <v>0</v>
      </c>
    </row>
    <row r="769" spans="1:61" x14ac:dyDescent="0.3">
      <c r="A769">
        <f t="shared" si="703"/>
        <v>0.73199999999999998</v>
      </c>
      <c r="B769">
        <f t="shared" si="646"/>
        <v>2.2996458224277285</v>
      </c>
      <c r="C769">
        <f t="shared" si="647"/>
        <v>0.84194683116206459</v>
      </c>
      <c r="D769">
        <f t="shared" si="648"/>
        <v>0.84194683116206459</v>
      </c>
      <c r="E769">
        <f t="shared" si="653"/>
        <v>0.74594114542418222</v>
      </c>
      <c r="F769">
        <f t="shared" si="654"/>
        <v>0.74594114542418211</v>
      </c>
      <c r="G769">
        <f t="shared" si="649"/>
        <v>2.2996458224277285</v>
      </c>
      <c r="H769">
        <f t="shared" si="650"/>
        <v>0.74594114542418222</v>
      </c>
      <c r="I769">
        <f t="shared" si="651"/>
        <v>0.74594114542418211</v>
      </c>
      <c r="J769">
        <f t="shared" si="699"/>
        <v>8.53445042243333E+19</v>
      </c>
      <c r="K769">
        <f t="shared" si="700"/>
        <v>8.53445042243333E+19</v>
      </c>
      <c r="L769">
        <f t="shared" si="655"/>
        <v>1</v>
      </c>
      <c r="M769">
        <f t="shared" si="652"/>
        <v>8.4194683116206454E-21</v>
      </c>
      <c r="N769" s="9">
        <f t="shared" si="701"/>
        <v>8.4194683116206454E-21</v>
      </c>
      <c r="O769">
        <f t="shared" si="702"/>
        <v>8.4194683116206454E-21</v>
      </c>
      <c r="Q769">
        <f t="shared" si="656"/>
        <v>45.893227730015361</v>
      </c>
      <c r="R769">
        <f t="shared" si="657"/>
        <v>0</v>
      </c>
      <c r="S769">
        <f t="shared" si="679"/>
        <v>-46.223740272502795</v>
      </c>
      <c r="T769" s="9" t="e">
        <f t="shared" si="658"/>
        <v>#N/A</v>
      </c>
      <c r="U769">
        <f t="shared" si="680"/>
        <v>-1.0000000000000001E+300</v>
      </c>
      <c r="V769">
        <f t="shared" si="681"/>
        <v>0</v>
      </c>
      <c r="W769">
        <f t="shared" si="682"/>
        <v>0</v>
      </c>
      <c r="X769">
        <f t="shared" si="659"/>
        <v>0.84194683116206459</v>
      </c>
      <c r="Y769">
        <f t="shared" si="660"/>
        <v>7.8539816339744828</v>
      </c>
      <c r="Z769">
        <f t="shared" si="661"/>
        <v>-0.84194683116206459</v>
      </c>
      <c r="AA769">
        <f t="shared" si="683"/>
        <v>-0.75173032717444022</v>
      </c>
      <c r="AB769">
        <f t="shared" si="662"/>
        <v>7.1022513068000421</v>
      </c>
      <c r="AC769">
        <f t="shared" si="684"/>
        <v>-0.62362111791133501</v>
      </c>
      <c r="AD769">
        <f t="shared" si="663"/>
        <v>0.29310857542390251</v>
      </c>
      <c r="AE769" s="9">
        <f t="shared" si="685"/>
        <v>6.7717387643126097</v>
      </c>
      <c r="AF769">
        <f t="shared" si="686"/>
        <v>0</v>
      </c>
      <c r="AH769">
        <f t="shared" si="664"/>
        <v>7.8539816339744828</v>
      </c>
      <c r="AI769">
        <f t="shared" si="665"/>
        <v>-0.75173032717444033</v>
      </c>
      <c r="AJ769">
        <f t="shared" si="666"/>
        <v>-0.62362111791133401</v>
      </c>
      <c r="AK769">
        <f t="shared" si="667"/>
        <v>0.29310857542390251</v>
      </c>
      <c r="AL769" s="9">
        <f t="shared" si="687"/>
        <v>6.7717387643126106</v>
      </c>
      <c r="AM769" t="e">
        <f t="shared" si="668"/>
        <v>#N/A</v>
      </c>
      <c r="AN769" t="e">
        <f t="shared" si="688"/>
        <v>#N/A</v>
      </c>
      <c r="AO769">
        <f t="shared" si="669"/>
        <v>0</v>
      </c>
      <c r="AP769">
        <f t="shared" si="670"/>
        <v>0</v>
      </c>
      <c r="AQ769">
        <f t="shared" si="671"/>
        <v>9.9920072216264089E-16</v>
      </c>
      <c r="AR769">
        <f t="shared" si="689"/>
        <v>0</v>
      </c>
      <c r="AS769">
        <f t="shared" si="672"/>
        <v>0</v>
      </c>
      <c r="AT769">
        <f t="shared" si="690"/>
        <v>0</v>
      </c>
      <c r="AU769">
        <f t="shared" si="691"/>
        <v>0</v>
      </c>
      <c r="AV769">
        <f t="shared" si="673"/>
        <v>8.4194683116206454E-21</v>
      </c>
      <c r="AW769" t="b">
        <f t="shared" si="692"/>
        <v>1</v>
      </c>
      <c r="AX769">
        <f t="shared" si="674"/>
        <v>7.8539816339744828</v>
      </c>
      <c r="AY769">
        <f t="shared" si="675"/>
        <v>-0.75173032717444022</v>
      </c>
      <c r="AZ769">
        <f t="shared" si="676"/>
        <v>-0.62362111791133501</v>
      </c>
      <c r="BA769">
        <f t="shared" si="677"/>
        <v>0.29310857542390262</v>
      </c>
      <c r="BB769">
        <f t="shared" si="678"/>
        <v>-1.2337005501361696E-20</v>
      </c>
      <c r="BD769" s="15">
        <f t="shared" si="693"/>
        <v>6.7717387643126097</v>
      </c>
      <c r="BE769" s="10">
        <f t="shared" si="694"/>
        <v>0</v>
      </c>
      <c r="BF769">
        <f t="shared" si="695"/>
        <v>0</v>
      </c>
      <c r="BG769">
        <f t="shared" si="696"/>
        <v>0</v>
      </c>
      <c r="BH769">
        <f t="shared" si="697"/>
        <v>0</v>
      </c>
      <c r="BI769">
        <f t="shared" si="698"/>
        <v>0</v>
      </c>
    </row>
    <row r="770" spans="1:61" x14ac:dyDescent="0.3">
      <c r="A770">
        <f t="shared" si="703"/>
        <v>0.73299999999999998</v>
      </c>
      <c r="B770">
        <f t="shared" si="646"/>
        <v>2.3027874150813181</v>
      </c>
      <c r="C770">
        <f t="shared" si="647"/>
        <v>0.83880523850847499</v>
      </c>
      <c r="D770">
        <f t="shared" si="648"/>
        <v>0.83880523850847499</v>
      </c>
      <c r="E770">
        <f t="shared" si="653"/>
        <v>0.74384512980702522</v>
      </c>
      <c r="F770">
        <f t="shared" si="654"/>
        <v>0.74384512980702522</v>
      </c>
      <c r="G770">
        <f t="shared" si="649"/>
        <v>2.3027874150813181</v>
      </c>
      <c r="H770">
        <f t="shared" si="650"/>
        <v>0.74384512980702522</v>
      </c>
      <c r="I770">
        <f t="shared" si="651"/>
        <v>0.74384512980702522</v>
      </c>
      <c r="J770">
        <f t="shared" si="699"/>
        <v>8.5584988979189645E+19</v>
      </c>
      <c r="K770">
        <f t="shared" si="700"/>
        <v>8.5584988979189645E+19</v>
      </c>
      <c r="L770" t="e">
        <f t="shared" si="655"/>
        <v>#NUM!</v>
      </c>
      <c r="M770">
        <f t="shared" si="652"/>
        <v>8.3880523850847488E-21</v>
      </c>
      <c r="N770" s="9" t="e">
        <f t="shared" si="701"/>
        <v>#NUM!</v>
      </c>
      <c r="O770" t="e">
        <f t="shared" si="702"/>
        <v>#NUM!</v>
      </c>
      <c r="Q770">
        <f t="shared" si="656"/>
        <v>45.89604157927009</v>
      </c>
      <c r="R770">
        <f t="shared" si="657"/>
        <v>-710542.73576010019</v>
      </c>
      <c r="S770">
        <f t="shared" si="679"/>
        <v>-46.227478594613402</v>
      </c>
      <c r="T770" s="9" t="e">
        <f t="shared" si="658"/>
        <v>#N/A</v>
      </c>
      <c r="U770">
        <f t="shared" si="680"/>
        <v>-1.0000000000000001E+300</v>
      </c>
      <c r="V770">
        <f t="shared" si="681"/>
        <v>0</v>
      </c>
      <c r="W770">
        <f t="shared" si="682"/>
        <v>0</v>
      </c>
      <c r="X770">
        <f t="shared" si="659"/>
        <v>0.83880523850847499</v>
      </c>
      <c r="Y770">
        <f t="shared" si="660"/>
        <v>7.8539816339744828</v>
      </c>
      <c r="Z770">
        <f t="shared" si="661"/>
        <v>-0.83880523850847499</v>
      </c>
      <c r="AA770">
        <f t="shared" si="683"/>
        <v>-0.75367459329861686</v>
      </c>
      <c r="AB770">
        <f t="shared" si="662"/>
        <v>7.1003070406758662</v>
      </c>
      <c r="AC770">
        <f t="shared" si="684"/>
        <v>-0.62735944002194199</v>
      </c>
      <c r="AD770">
        <f t="shared" si="663"/>
        <v>0.29592242467863322</v>
      </c>
      <c r="AE770" s="9">
        <f t="shared" si="685"/>
        <v>6.768870025332558</v>
      </c>
      <c r="AF770">
        <f t="shared" si="686"/>
        <v>0</v>
      </c>
      <c r="AH770">
        <f t="shared" si="664"/>
        <v>7.8539816339744828</v>
      </c>
      <c r="AI770">
        <f t="shared" si="665"/>
        <v>-0.75367459329861652</v>
      </c>
      <c r="AJ770">
        <f t="shared" si="666"/>
        <v>-0.62735944002194088</v>
      </c>
      <c r="AK770">
        <f t="shared" si="667"/>
        <v>0.29592242467863322</v>
      </c>
      <c r="AL770" s="9">
        <f t="shared" si="687"/>
        <v>6.7688700253325589</v>
      </c>
      <c r="AM770" t="e">
        <f t="shared" si="668"/>
        <v>#N/A</v>
      </c>
      <c r="AN770" t="e">
        <f t="shared" si="688"/>
        <v>#N/A</v>
      </c>
      <c r="AO770">
        <f t="shared" si="669"/>
        <v>0</v>
      </c>
      <c r="AP770">
        <f t="shared" si="670"/>
        <v>0</v>
      </c>
      <c r="AQ770">
        <f t="shared" si="671"/>
        <v>1.1102230246251565E-15</v>
      </c>
      <c r="AR770">
        <f t="shared" si="689"/>
        <v>0</v>
      </c>
      <c r="AS770">
        <f t="shared" si="672"/>
        <v>0</v>
      </c>
      <c r="AT770">
        <f t="shared" si="690"/>
        <v>0</v>
      </c>
      <c r="AU770">
        <f t="shared" si="691"/>
        <v>0</v>
      </c>
      <c r="AV770">
        <f t="shared" si="673"/>
        <v>8.3880523850847488E-21</v>
      </c>
      <c r="AW770" t="b">
        <f t="shared" si="692"/>
        <v>1</v>
      </c>
      <c r="AX770">
        <f t="shared" si="674"/>
        <v>7.8539816339744828</v>
      </c>
      <c r="AY770">
        <f t="shared" si="675"/>
        <v>-0.75367459329861686</v>
      </c>
      <c r="AZ770">
        <f t="shared" si="676"/>
        <v>-0.62735944002194199</v>
      </c>
      <c r="BA770">
        <f t="shared" si="677"/>
        <v>0.29592242467863322</v>
      </c>
      <c r="BB770">
        <f t="shared" si="678"/>
        <v>-1.2337005501361696E-20</v>
      </c>
      <c r="BD770" s="15">
        <f t="shared" si="693"/>
        <v>6.768870025332558</v>
      </c>
      <c r="BE770" s="10">
        <f t="shared" si="694"/>
        <v>0</v>
      </c>
      <c r="BF770">
        <f t="shared" si="695"/>
        <v>0</v>
      </c>
      <c r="BG770">
        <f t="shared" si="696"/>
        <v>0</v>
      </c>
      <c r="BH770">
        <f t="shared" si="697"/>
        <v>0</v>
      </c>
      <c r="BI770">
        <f t="shared" si="698"/>
        <v>0</v>
      </c>
    </row>
    <row r="771" spans="1:61" x14ac:dyDescent="0.3">
      <c r="A771">
        <f t="shared" si="703"/>
        <v>0.73399999999999999</v>
      </c>
      <c r="B771">
        <f t="shared" si="646"/>
        <v>2.3059290077349082</v>
      </c>
      <c r="C771">
        <f t="shared" si="647"/>
        <v>0.83566364585488495</v>
      </c>
      <c r="D771">
        <f t="shared" si="648"/>
        <v>0.83566364585488495</v>
      </c>
      <c r="E771">
        <f t="shared" si="653"/>
        <v>0.7417417727387392</v>
      </c>
      <c r="F771">
        <f t="shared" si="654"/>
        <v>0.7417417727387392</v>
      </c>
      <c r="G771">
        <f t="shared" si="649"/>
        <v>2.3059290077349082</v>
      </c>
      <c r="H771">
        <f t="shared" si="650"/>
        <v>0.7417417727387392</v>
      </c>
      <c r="I771">
        <f t="shared" si="651"/>
        <v>0.7417417727387392</v>
      </c>
      <c r="J771">
        <f t="shared" si="699"/>
        <v>8.5827682323591545E+19</v>
      </c>
      <c r="K771">
        <f t="shared" si="700"/>
        <v>8.5827682323591545E+19</v>
      </c>
      <c r="L771">
        <f t="shared" si="655"/>
        <v>1</v>
      </c>
      <c r="M771">
        <f t="shared" si="652"/>
        <v>8.3566364585488492E-21</v>
      </c>
      <c r="N771" s="9">
        <f t="shared" si="701"/>
        <v>8.3566364585488492E-21</v>
      </c>
      <c r="O771">
        <f t="shared" si="702"/>
        <v>8.3566364585488492E-21</v>
      </c>
      <c r="Q771">
        <f t="shared" si="656"/>
        <v>45.898873266154453</v>
      </c>
      <c r="R771">
        <f t="shared" si="657"/>
        <v>0</v>
      </c>
      <c r="S771">
        <f t="shared" si="679"/>
        <v>-46.231230944231953</v>
      </c>
      <c r="T771" s="9" t="e">
        <f t="shared" si="658"/>
        <v>#N/A</v>
      </c>
      <c r="U771">
        <f t="shared" si="680"/>
        <v>-1.0000000000000001E+300</v>
      </c>
      <c r="V771">
        <f t="shared" si="681"/>
        <v>0</v>
      </c>
      <c r="W771">
        <f t="shared" si="682"/>
        <v>0</v>
      </c>
      <c r="X771">
        <f t="shared" si="659"/>
        <v>0.83566364585488495</v>
      </c>
      <c r="Y771">
        <f t="shared" si="660"/>
        <v>7.8539816339744828</v>
      </c>
      <c r="Z771">
        <f t="shared" si="661"/>
        <v>-0.83566364585488495</v>
      </c>
      <c r="AA771">
        <f t="shared" si="683"/>
        <v>-0.75561007173903938</v>
      </c>
      <c r="AB771">
        <f t="shared" si="662"/>
        <v>7.0983715622354433</v>
      </c>
      <c r="AC771">
        <f t="shared" si="684"/>
        <v>-0.63111178964049264</v>
      </c>
      <c r="AD771">
        <f t="shared" si="663"/>
        <v>0.2987541115629932</v>
      </c>
      <c r="AE771" s="9">
        <f t="shared" si="685"/>
        <v>6.7660138841579442</v>
      </c>
      <c r="AF771">
        <f t="shared" si="686"/>
        <v>0</v>
      </c>
      <c r="AH771">
        <f t="shared" si="664"/>
        <v>7.8539816339744828</v>
      </c>
      <c r="AI771">
        <f t="shared" si="665"/>
        <v>-0.75561007173903894</v>
      </c>
      <c r="AJ771">
        <f t="shared" si="666"/>
        <v>-0.6311117896404923</v>
      </c>
      <c r="AK771">
        <f t="shared" si="667"/>
        <v>0.2987541115629932</v>
      </c>
      <c r="AL771" s="9">
        <f t="shared" si="687"/>
        <v>6.7660138841579451</v>
      </c>
      <c r="AM771" t="e">
        <f t="shared" si="668"/>
        <v>#N/A</v>
      </c>
      <c r="AN771" t="e">
        <f t="shared" si="688"/>
        <v>#N/A</v>
      </c>
      <c r="AO771">
        <f t="shared" si="669"/>
        <v>0</v>
      </c>
      <c r="AP771">
        <f t="shared" si="670"/>
        <v>0</v>
      </c>
      <c r="AQ771">
        <f t="shared" si="671"/>
        <v>0</v>
      </c>
      <c r="AR771">
        <f t="shared" si="689"/>
        <v>0</v>
      </c>
      <c r="AS771">
        <f t="shared" si="672"/>
        <v>0</v>
      </c>
      <c r="AT771">
        <f t="shared" si="690"/>
        <v>0</v>
      </c>
      <c r="AU771">
        <f t="shared" si="691"/>
        <v>0</v>
      </c>
      <c r="AV771">
        <f t="shared" si="673"/>
        <v>8.3566364585488492E-21</v>
      </c>
      <c r="AW771" t="b">
        <f t="shared" si="692"/>
        <v>1</v>
      </c>
      <c r="AX771">
        <f t="shared" si="674"/>
        <v>7.8539816339744828</v>
      </c>
      <c r="AY771">
        <f t="shared" si="675"/>
        <v>-0.75561007173903938</v>
      </c>
      <c r="AZ771">
        <f t="shared" si="676"/>
        <v>-0.63111178964049264</v>
      </c>
      <c r="BA771">
        <f t="shared" si="677"/>
        <v>0.2987541115629932</v>
      </c>
      <c r="BB771">
        <f t="shared" si="678"/>
        <v>-1.2337005501361696E-20</v>
      </c>
      <c r="BD771" s="15">
        <f t="shared" si="693"/>
        <v>6.7660138841579442</v>
      </c>
      <c r="BE771" s="10">
        <f t="shared" si="694"/>
        <v>0</v>
      </c>
      <c r="BF771">
        <f t="shared" si="695"/>
        <v>0</v>
      </c>
      <c r="BG771">
        <f t="shared" si="696"/>
        <v>0</v>
      </c>
      <c r="BH771">
        <f t="shared" si="697"/>
        <v>0</v>
      </c>
      <c r="BI771">
        <f t="shared" si="698"/>
        <v>0</v>
      </c>
    </row>
    <row r="772" spans="1:61" x14ac:dyDescent="0.3">
      <c r="A772">
        <f t="shared" si="703"/>
        <v>0.73499999999999999</v>
      </c>
      <c r="B772">
        <f t="shared" si="646"/>
        <v>2.3090706003884978</v>
      </c>
      <c r="C772">
        <f t="shared" si="647"/>
        <v>0.83252205320129535</v>
      </c>
      <c r="D772">
        <f t="shared" si="648"/>
        <v>0.83252205320129535</v>
      </c>
      <c r="E772">
        <f t="shared" si="653"/>
        <v>0.7396310949786099</v>
      </c>
      <c r="F772">
        <f t="shared" si="654"/>
        <v>0.73963109497860979</v>
      </c>
      <c r="G772">
        <f t="shared" si="649"/>
        <v>2.3090706003884978</v>
      </c>
      <c r="H772">
        <f t="shared" si="650"/>
        <v>0.7396310949786099</v>
      </c>
      <c r="I772">
        <f t="shared" si="651"/>
        <v>0.73963109497860979</v>
      </c>
      <c r="J772">
        <f t="shared" si="699"/>
        <v>8.6072607910838632E+19</v>
      </c>
      <c r="K772">
        <f t="shared" si="700"/>
        <v>8.6072607910838632E+19</v>
      </c>
      <c r="L772">
        <f t="shared" si="655"/>
        <v>1</v>
      </c>
      <c r="M772">
        <f t="shared" si="652"/>
        <v>8.3252205320129526E-21</v>
      </c>
      <c r="N772" s="9">
        <f t="shared" si="701"/>
        <v>8.3252205320129526E-21</v>
      </c>
      <c r="O772">
        <f t="shared" si="702"/>
        <v>8.3252205320129526E-21</v>
      </c>
      <c r="Q772">
        <f t="shared" si="656"/>
        <v>45.901722891977116</v>
      </c>
      <c r="R772">
        <f t="shared" si="657"/>
        <v>0</v>
      </c>
      <c r="S772">
        <f t="shared" si="679"/>
        <v>-46.23499742702743</v>
      </c>
      <c r="T772" s="9" t="e">
        <f t="shared" si="658"/>
        <v>#N/A</v>
      </c>
      <c r="U772">
        <f t="shared" si="680"/>
        <v>-1.0000000000000001E+300</v>
      </c>
      <c r="V772">
        <f t="shared" si="681"/>
        <v>0</v>
      </c>
      <c r="W772">
        <f t="shared" si="682"/>
        <v>0</v>
      </c>
      <c r="X772">
        <f t="shared" si="659"/>
        <v>0.83252205320129535</v>
      </c>
      <c r="Y772">
        <f t="shared" si="660"/>
        <v>7.8539816339744828</v>
      </c>
      <c r="Z772">
        <f t="shared" si="661"/>
        <v>-0.83252205320129535</v>
      </c>
      <c r="AA772">
        <f t="shared" si="683"/>
        <v>-0.75753678202716013</v>
      </c>
      <c r="AB772">
        <f t="shared" si="662"/>
        <v>7.0964448519473224</v>
      </c>
      <c r="AC772">
        <f t="shared" si="684"/>
        <v>-0.63487827243596928</v>
      </c>
      <c r="AD772">
        <f t="shared" si="663"/>
        <v>0.30160373738565505</v>
      </c>
      <c r="AE772" s="9">
        <f t="shared" si="685"/>
        <v>6.7631703168970079</v>
      </c>
      <c r="AF772">
        <f t="shared" si="686"/>
        <v>0</v>
      </c>
      <c r="AH772">
        <f t="shared" si="664"/>
        <v>7.8539816339744828</v>
      </c>
      <c r="AI772">
        <f t="shared" si="665"/>
        <v>-0.75753678202715991</v>
      </c>
      <c r="AJ772">
        <f t="shared" si="666"/>
        <v>-0.63487827243596939</v>
      </c>
      <c r="AK772">
        <f t="shared" si="667"/>
        <v>0.30160373738565505</v>
      </c>
      <c r="AL772" s="9">
        <f t="shared" si="687"/>
        <v>6.7631703168970088</v>
      </c>
      <c r="AM772" t="e">
        <f t="shared" si="668"/>
        <v>#N/A</v>
      </c>
      <c r="AN772" t="e">
        <f t="shared" si="688"/>
        <v>#N/A</v>
      </c>
      <c r="AO772">
        <f t="shared" si="669"/>
        <v>0</v>
      </c>
      <c r="AP772">
        <f t="shared" si="670"/>
        <v>0</v>
      </c>
      <c r="AQ772">
        <f t="shared" si="671"/>
        <v>0</v>
      </c>
      <c r="AR772">
        <f t="shared" si="689"/>
        <v>0</v>
      </c>
      <c r="AS772">
        <f t="shared" si="672"/>
        <v>0</v>
      </c>
      <c r="AT772">
        <f t="shared" si="690"/>
        <v>0</v>
      </c>
      <c r="AU772">
        <f t="shared" si="691"/>
        <v>0</v>
      </c>
      <c r="AV772">
        <f t="shared" si="673"/>
        <v>8.3252205320129526E-21</v>
      </c>
      <c r="AW772" t="b">
        <f t="shared" si="692"/>
        <v>1</v>
      </c>
      <c r="AX772">
        <f t="shared" si="674"/>
        <v>7.8539816339744828</v>
      </c>
      <c r="AY772">
        <f t="shared" si="675"/>
        <v>-0.75753678202716013</v>
      </c>
      <c r="AZ772">
        <f t="shared" si="676"/>
        <v>-0.63487827243596928</v>
      </c>
      <c r="BA772">
        <f t="shared" si="677"/>
        <v>0.30160373738565521</v>
      </c>
      <c r="BB772">
        <f t="shared" si="678"/>
        <v>-1.2337005501361696E-20</v>
      </c>
      <c r="BD772" s="15">
        <f t="shared" si="693"/>
        <v>6.7631703168970079</v>
      </c>
      <c r="BE772" s="10">
        <f t="shared" si="694"/>
        <v>0</v>
      </c>
      <c r="BF772">
        <f t="shared" si="695"/>
        <v>0</v>
      </c>
      <c r="BG772">
        <f t="shared" si="696"/>
        <v>0</v>
      </c>
      <c r="BH772">
        <f t="shared" si="697"/>
        <v>0</v>
      </c>
      <c r="BI772">
        <f t="shared" si="698"/>
        <v>0</v>
      </c>
    </row>
    <row r="773" spans="1:61" x14ac:dyDescent="0.3">
      <c r="A773">
        <f t="shared" si="703"/>
        <v>0.73599999999999999</v>
      </c>
      <c r="B773">
        <f t="shared" si="646"/>
        <v>2.3122121930420878</v>
      </c>
      <c r="C773">
        <f t="shared" si="647"/>
        <v>0.82938046054770531</v>
      </c>
      <c r="D773">
        <f t="shared" si="648"/>
        <v>0.82938046054770531</v>
      </c>
      <c r="E773">
        <f t="shared" si="653"/>
        <v>0.73751311735817393</v>
      </c>
      <c r="F773">
        <f t="shared" si="654"/>
        <v>0.73751311735817382</v>
      </c>
      <c r="G773">
        <f t="shared" si="649"/>
        <v>2.3122121930420878</v>
      </c>
      <c r="H773">
        <f t="shared" si="650"/>
        <v>0.73751311735817393</v>
      </c>
      <c r="I773">
        <f t="shared" si="651"/>
        <v>0.73751311735817382</v>
      </c>
      <c r="J773">
        <f t="shared" si="699"/>
        <v>8.6319789761570636E+19</v>
      </c>
      <c r="K773">
        <f t="shared" si="700"/>
        <v>8.6319789761570636E+19</v>
      </c>
      <c r="L773">
        <f t="shared" si="655"/>
        <v>1</v>
      </c>
      <c r="M773">
        <f t="shared" si="652"/>
        <v>8.293804605477053E-21</v>
      </c>
      <c r="N773" s="9">
        <f t="shared" si="701"/>
        <v>8.293804605477053E-21</v>
      </c>
      <c r="O773">
        <f t="shared" si="702"/>
        <v>8.293804605477053E-21</v>
      </c>
      <c r="Q773">
        <f t="shared" si="656"/>
        <v>45.904590559269423</v>
      </c>
      <c r="R773">
        <f t="shared" si="657"/>
        <v>0</v>
      </c>
      <c r="S773">
        <f t="shared" si="679"/>
        <v>-46.238778149867336</v>
      </c>
      <c r="T773" s="9" t="e">
        <f t="shared" si="658"/>
        <v>#N/A</v>
      </c>
      <c r="U773">
        <f t="shared" si="680"/>
        <v>-1.0000000000000001E+300</v>
      </c>
      <c r="V773">
        <f t="shared" si="681"/>
        <v>0</v>
      </c>
      <c r="W773">
        <f t="shared" si="682"/>
        <v>0</v>
      </c>
      <c r="X773">
        <f t="shared" si="659"/>
        <v>0.82938046054770531</v>
      </c>
      <c r="Y773">
        <f t="shared" si="660"/>
        <v>7.8539816339744828</v>
      </c>
      <c r="Z773">
        <f t="shared" si="661"/>
        <v>-0.82938046054770531</v>
      </c>
      <c r="AA773">
        <f t="shared" si="683"/>
        <v>-0.75945474356949438</v>
      </c>
      <c r="AB773">
        <f t="shared" si="662"/>
        <v>7.0945268904049881</v>
      </c>
      <c r="AC773">
        <f t="shared" si="684"/>
        <v>-0.63865899527587577</v>
      </c>
      <c r="AD773">
        <f t="shared" si="663"/>
        <v>0.30447140467796419</v>
      </c>
      <c r="AE773" s="9">
        <f t="shared" si="685"/>
        <v>6.760339299807077</v>
      </c>
      <c r="AF773">
        <f t="shared" si="686"/>
        <v>0</v>
      </c>
      <c r="AH773">
        <f t="shared" si="664"/>
        <v>7.8539816339744828</v>
      </c>
      <c r="AI773">
        <f t="shared" si="665"/>
        <v>-0.75945474356949449</v>
      </c>
      <c r="AJ773">
        <f t="shared" si="666"/>
        <v>-0.63865899527587544</v>
      </c>
      <c r="AK773">
        <f t="shared" si="667"/>
        <v>0.30447140467796419</v>
      </c>
      <c r="AL773" s="9">
        <f t="shared" si="687"/>
        <v>6.760339299807077</v>
      </c>
      <c r="AM773" t="e">
        <f t="shared" si="668"/>
        <v>#N/A</v>
      </c>
      <c r="AN773" t="e">
        <f t="shared" si="688"/>
        <v>#N/A</v>
      </c>
      <c r="AO773">
        <f t="shared" si="669"/>
        <v>0</v>
      </c>
      <c r="AP773">
        <f t="shared" si="670"/>
        <v>0</v>
      </c>
      <c r="AQ773">
        <f t="shared" si="671"/>
        <v>0</v>
      </c>
      <c r="AR773">
        <f t="shared" si="689"/>
        <v>0</v>
      </c>
      <c r="AS773">
        <f t="shared" si="672"/>
        <v>0</v>
      </c>
      <c r="AT773">
        <f t="shared" si="690"/>
        <v>0</v>
      </c>
      <c r="AU773">
        <f t="shared" si="691"/>
        <v>0</v>
      </c>
      <c r="AV773">
        <f t="shared" si="673"/>
        <v>8.293804605477053E-21</v>
      </c>
      <c r="AW773" t="b">
        <f t="shared" si="692"/>
        <v>1</v>
      </c>
      <c r="AX773">
        <f t="shared" si="674"/>
        <v>7.8539816339744828</v>
      </c>
      <c r="AY773">
        <f t="shared" si="675"/>
        <v>-0.75945474356949449</v>
      </c>
      <c r="AZ773">
        <f t="shared" si="676"/>
        <v>-0.63865899527587555</v>
      </c>
      <c r="BA773">
        <f t="shared" si="677"/>
        <v>0.3044714046779643</v>
      </c>
      <c r="BB773">
        <f t="shared" si="678"/>
        <v>-1.2337005501361696E-20</v>
      </c>
      <c r="BD773" s="15">
        <f t="shared" si="693"/>
        <v>6.760339299807077</v>
      </c>
      <c r="BE773" s="10">
        <f t="shared" si="694"/>
        <v>0</v>
      </c>
      <c r="BF773">
        <f t="shared" si="695"/>
        <v>0</v>
      </c>
      <c r="BG773">
        <f t="shared" si="696"/>
        <v>0</v>
      </c>
      <c r="BH773">
        <f t="shared" si="697"/>
        <v>0</v>
      </c>
      <c r="BI773">
        <f t="shared" si="698"/>
        <v>0</v>
      </c>
    </row>
    <row r="774" spans="1:61" x14ac:dyDescent="0.3">
      <c r="A774">
        <f t="shared" si="703"/>
        <v>0.73699999999999999</v>
      </c>
      <c r="B774">
        <f t="shared" si="646"/>
        <v>2.3153537856956774</v>
      </c>
      <c r="C774">
        <f t="shared" si="647"/>
        <v>0.82623886789411571</v>
      </c>
      <c r="D774">
        <f t="shared" si="648"/>
        <v>0.82623886789411571</v>
      </c>
      <c r="E774">
        <f t="shared" si="653"/>
        <v>0.73538786078101603</v>
      </c>
      <c r="F774">
        <f t="shared" si="654"/>
        <v>0.73538786078101592</v>
      </c>
      <c r="G774">
        <f t="shared" si="649"/>
        <v>2.3153537856956774</v>
      </c>
      <c r="H774">
        <f t="shared" si="650"/>
        <v>0.73538786078101603</v>
      </c>
      <c r="I774">
        <f t="shared" si="651"/>
        <v>0.73538786078101592</v>
      </c>
      <c r="J774">
        <f t="shared" si="699"/>
        <v>8.6569252270694498E+19</v>
      </c>
      <c r="K774">
        <f t="shared" si="700"/>
        <v>8.6569252270694498E+19</v>
      </c>
      <c r="L774">
        <f t="shared" si="655"/>
        <v>1</v>
      </c>
      <c r="M774">
        <f t="shared" si="652"/>
        <v>8.2623886789411563E-21</v>
      </c>
      <c r="N774" s="9">
        <f t="shared" si="701"/>
        <v>8.2623886789411563E-21</v>
      </c>
      <c r="O774">
        <f t="shared" si="702"/>
        <v>8.2623886789411563E-21</v>
      </c>
      <c r="Q774">
        <f t="shared" si="656"/>
        <v>45.907476371803483</v>
      </c>
      <c r="R774">
        <f t="shared" si="657"/>
        <v>0</v>
      </c>
      <c r="S774">
        <f t="shared" si="679"/>
        <v>-46.242573220835887</v>
      </c>
      <c r="T774" s="9" t="e">
        <f t="shared" si="658"/>
        <v>#N/A</v>
      </c>
      <c r="U774">
        <f t="shared" si="680"/>
        <v>-1.0000000000000001E+300</v>
      </c>
      <c r="V774">
        <f t="shared" si="681"/>
        <v>0</v>
      </c>
      <c r="W774">
        <f t="shared" si="682"/>
        <v>0</v>
      </c>
      <c r="X774">
        <f t="shared" si="659"/>
        <v>0.82623886789411571</v>
      </c>
      <c r="Y774">
        <f t="shared" si="660"/>
        <v>7.8539816339744828</v>
      </c>
      <c r="Z774">
        <f t="shared" si="661"/>
        <v>-0.82623886789411571</v>
      </c>
      <c r="AA774">
        <f t="shared" si="683"/>
        <v>-0.76136397564836122</v>
      </c>
      <c r="AB774">
        <f t="shared" si="662"/>
        <v>7.0926176583261213</v>
      </c>
      <c r="AC774">
        <f t="shared" si="684"/>
        <v>-0.64245406624442691</v>
      </c>
      <c r="AD774">
        <f t="shared" si="663"/>
        <v>0.30735721721202264</v>
      </c>
      <c r="AE774" s="9">
        <f t="shared" si="685"/>
        <v>6.7575208092937169</v>
      </c>
      <c r="AF774">
        <f t="shared" si="686"/>
        <v>0</v>
      </c>
      <c r="AH774">
        <f t="shared" si="664"/>
        <v>7.8539816339744828</v>
      </c>
      <c r="AI774">
        <f t="shared" si="665"/>
        <v>-0.76136397564836067</v>
      </c>
      <c r="AJ774">
        <f t="shared" si="666"/>
        <v>-0.6424540662444258</v>
      </c>
      <c r="AK774">
        <f t="shared" si="667"/>
        <v>0.30735721721202264</v>
      </c>
      <c r="AL774" s="9">
        <f t="shared" si="687"/>
        <v>6.7575208092937187</v>
      </c>
      <c r="AM774" t="e">
        <f t="shared" si="668"/>
        <v>#N/A</v>
      </c>
      <c r="AN774" t="e">
        <f t="shared" si="688"/>
        <v>#N/A</v>
      </c>
      <c r="AO774">
        <f t="shared" si="669"/>
        <v>0</v>
      </c>
      <c r="AP774">
        <f t="shared" si="670"/>
        <v>0</v>
      </c>
      <c r="AQ774">
        <f t="shared" si="671"/>
        <v>1.1102230246251565E-15</v>
      </c>
      <c r="AR774">
        <f t="shared" si="689"/>
        <v>0</v>
      </c>
      <c r="AS774">
        <f t="shared" si="672"/>
        <v>0</v>
      </c>
      <c r="AT774">
        <f t="shared" si="690"/>
        <v>0</v>
      </c>
      <c r="AU774">
        <f t="shared" si="691"/>
        <v>0</v>
      </c>
      <c r="AV774">
        <f t="shared" si="673"/>
        <v>8.2623886789411563E-21</v>
      </c>
      <c r="AW774" t="b">
        <f t="shared" si="692"/>
        <v>1</v>
      </c>
      <c r="AX774">
        <f t="shared" si="674"/>
        <v>7.8539816339744828</v>
      </c>
      <c r="AY774">
        <f t="shared" si="675"/>
        <v>-0.76136397564836111</v>
      </c>
      <c r="AZ774">
        <f t="shared" si="676"/>
        <v>-0.64245406624442691</v>
      </c>
      <c r="BA774">
        <f t="shared" si="677"/>
        <v>0.3073572172120228</v>
      </c>
      <c r="BB774">
        <f t="shared" si="678"/>
        <v>-1.2337005501361696E-20</v>
      </c>
      <c r="BD774" s="15">
        <f t="shared" si="693"/>
        <v>6.7575208092937178</v>
      </c>
      <c r="BE774" s="10">
        <f t="shared" si="694"/>
        <v>0</v>
      </c>
      <c r="BF774">
        <f t="shared" si="695"/>
        <v>0</v>
      </c>
      <c r="BG774">
        <f t="shared" si="696"/>
        <v>0</v>
      </c>
      <c r="BH774">
        <f t="shared" si="697"/>
        <v>0</v>
      </c>
      <c r="BI774">
        <f t="shared" si="698"/>
        <v>0</v>
      </c>
    </row>
    <row r="775" spans="1:61" x14ac:dyDescent="0.3">
      <c r="A775">
        <f t="shared" si="703"/>
        <v>0.73799999999999999</v>
      </c>
      <c r="B775">
        <f t="shared" si="646"/>
        <v>2.3184953783492674</v>
      </c>
      <c r="C775">
        <f t="shared" si="647"/>
        <v>0.82309727524052567</v>
      </c>
      <c r="D775">
        <f t="shared" si="648"/>
        <v>0.82309727524052567</v>
      </c>
      <c r="E775">
        <f t="shared" si="653"/>
        <v>0.73325534622255994</v>
      </c>
      <c r="F775">
        <f t="shared" si="654"/>
        <v>0.73325534622255994</v>
      </c>
      <c r="G775">
        <f t="shared" si="649"/>
        <v>2.3184953783492674</v>
      </c>
      <c r="H775">
        <f t="shared" si="650"/>
        <v>0.73325534622255994</v>
      </c>
      <c r="I775">
        <f t="shared" si="651"/>
        <v>0.73325534622255994</v>
      </c>
      <c r="J775">
        <f t="shared" si="699"/>
        <v>8.6821020214471459E+19</v>
      </c>
      <c r="K775">
        <f t="shared" si="700"/>
        <v>8.6821020214471459E+19</v>
      </c>
      <c r="L775">
        <f t="shared" si="655"/>
        <v>1</v>
      </c>
      <c r="M775">
        <f t="shared" si="652"/>
        <v>8.2309727524052567E-21</v>
      </c>
      <c r="N775" s="9">
        <f t="shared" si="701"/>
        <v>8.2309727524052567E-21</v>
      </c>
      <c r="O775">
        <f t="shared" si="702"/>
        <v>8.2309727524052567E-21</v>
      </c>
      <c r="Q775">
        <f t="shared" si="656"/>
        <v>45.910380434610587</v>
      </c>
      <c r="R775">
        <f t="shared" si="657"/>
        <v>0</v>
      </c>
      <c r="S775">
        <f t="shared" si="679"/>
        <v>-46.246382749252554</v>
      </c>
      <c r="T775" s="9" t="e">
        <f t="shared" si="658"/>
        <v>#N/A</v>
      </c>
      <c r="U775">
        <f t="shared" si="680"/>
        <v>-1.0000000000000001E+300</v>
      </c>
      <c r="V775">
        <f t="shared" si="681"/>
        <v>0</v>
      </c>
      <c r="W775">
        <f t="shared" si="682"/>
        <v>0</v>
      </c>
      <c r="X775">
        <f t="shared" si="659"/>
        <v>0.82309727524052567</v>
      </c>
      <c r="Y775">
        <f t="shared" si="660"/>
        <v>7.8539816339744828</v>
      </c>
      <c r="Z775">
        <f t="shared" si="661"/>
        <v>-0.82309727524052567</v>
      </c>
      <c r="AA775">
        <f t="shared" si="683"/>
        <v>-0.76326449742262148</v>
      </c>
      <c r="AB775">
        <f t="shared" si="662"/>
        <v>7.0907171365518611</v>
      </c>
      <c r="AC775">
        <f t="shared" si="684"/>
        <v>-0.64626359466109506</v>
      </c>
      <c r="AD775">
        <f t="shared" si="663"/>
        <v>0.31026128001912823</v>
      </c>
      <c r="AE775" s="9">
        <f t="shared" si="685"/>
        <v>6.7547148219098947</v>
      </c>
      <c r="AF775">
        <f t="shared" si="686"/>
        <v>0</v>
      </c>
      <c r="AH775">
        <f t="shared" si="664"/>
        <v>7.8539816339744828</v>
      </c>
      <c r="AI775">
        <f t="shared" si="665"/>
        <v>-0.76326449742262159</v>
      </c>
      <c r="AJ775">
        <f t="shared" si="666"/>
        <v>-0.64626359466109307</v>
      </c>
      <c r="AK775">
        <f t="shared" si="667"/>
        <v>0.31026128001912823</v>
      </c>
      <c r="AL775" s="9">
        <f t="shared" si="687"/>
        <v>6.7547148219098965</v>
      </c>
      <c r="AM775" t="e">
        <f t="shared" si="668"/>
        <v>#N/A</v>
      </c>
      <c r="AN775" t="e">
        <f t="shared" si="688"/>
        <v>#N/A</v>
      </c>
      <c r="AO775">
        <f t="shared" si="669"/>
        <v>0</v>
      </c>
      <c r="AP775">
        <f t="shared" si="670"/>
        <v>0</v>
      </c>
      <c r="AQ775">
        <f t="shared" si="671"/>
        <v>1.9984014443252818E-15</v>
      </c>
      <c r="AR775">
        <f t="shared" si="689"/>
        <v>0</v>
      </c>
      <c r="AS775">
        <f t="shared" si="672"/>
        <v>0</v>
      </c>
      <c r="AT775">
        <f t="shared" si="690"/>
        <v>0</v>
      </c>
      <c r="AU775">
        <f t="shared" si="691"/>
        <v>0</v>
      </c>
      <c r="AV775">
        <f t="shared" si="673"/>
        <v>8.2309727524052567E-21</v>
      </c>
      <c r="AW775" t="b">
        <f t="shared" si="692"/>
        <v>1</v>
      </c>
      <c r="AX775">
        <f t="shared" si="674"/>
        <v>7.8539816339744828</v>
      </c>
      <c r="AY775">
        <f t="shared" si="675"/>
        <v>-0.76326449742262148</v>
      </c>
      <c r="AZ775">
        <f t="shared" si="676"/>
        <v>-0.64626359466109484</v>
      </c>
      <c r="BA775">
        <f t="shared" si="677"/>
        <v>0.31026128001912823</v>
      </c>
      <c r="BB775">
        <f t="shared" si="678"/>
        <v>-1.2337005501361696E-20</v>
      </c>
      <c r="BD775" s="15">
        <f t="shared" si="693"/>
        <v>6.7547148219098947</v>
      </c>
      <c r="BE775" s="10">
        <f t="shared" si="694"/>
        <v>0</v>
      </c>
      <c r="BF775">
        <f t="shared" si="695"/>
        <v>0</v>
      </c>
      <c r="BG775">
        <f t="shared" si="696"/>
        <v>0</v>
      </c>
      <c r="BH775">
        <f t="shared" si="697"/>
        <v>0</v>
      </c>
      <c r="BI775">
        <f t="shared" si="698"/>
        <v>0</v>
      </c>
    </row>
    <row r="776" spans="1:61" x14ac:dyDescent="0.3">
      <c r="A776">
        <f t="shared" si="703"/>
        <v>0.73899999999999999</v>
      </c>
      <c r="B776">
        <f t="shared" si="646"/>
        <v>2.321636971002857</v>
      </c>
      <c r="C776">
        <f t="shared" si="647"/>
        <v>0.81995568258693607</v>
      </c>
      <c r="D776">
        <f t="shared" si="648"/>
        <v>0.81995568258693607</v>
      </c>
      <c r="E776">
        <f t="shared" si="653"/>
        <v>0.7311155947298642</v>
      </c>
      <c r="F776">
        <f t="shared" si="654"/>
        <v>0.73111559472986409</v>
      </c>
      <c r="G776">
        <f t="shared" si="649"/>
        <v>2.321636971002857</v>
      </c>
      <c r="H776">
        <f t="shared" si="650"/>
        <v>0.7311155947298642</v>
      </c>
      <c r="I776">
        <f t="shared" si="651"/>
        <v>0.73111559472986409</v>
      </c>
      <c r="J776">
        <f t="shared" si="699"/>
        <v>8.7075118757766676E+19</v>
      </c>
      <c r="K776">
        <f t="shared" si="700"/>
        <v>8.7075118757766676E+19</v>
      </c>
      <c r="L776">
        <f t="shared" si="655"/>
        <v>1</v>
      </c>
      <c r="M776">
        <f t="shared" si="652"/>
        <v>8.1995568258693601E-21</v>
      </c>
      <c r="N776" s="9">
        <f t="shared" si="701"/>
        <v>8.1995568258693601E-21</v>
      </c>
      <c r="O776">
        <f t="shared" si="702"/>
        <v>8.1995568258693601E-21</v>
      </c>
      <c r="Q776">
        <f t="shared" si="656"/>
        <v>45.913302854000023</v>
      </c>
      <c r="R776">
        <f t="shared" si="657"/>
        <v>0</v>
      </c>
      <c r="S776">
        <f t="shared" si="679"/>
        <v>-46.250206845690954</v>
      </c>
      <c r="T776" s="9" t="e">
        <f t="shared" si="658"/>
        <v>#N/A</v>
      </c>
      <c r="U776">
        <f t="shared" si="680"/>
        <v>-1.0000000000000001E+300</v>
      </c>
      <c r="V776">
        <f t="shared" si="681"/>
        <v>0</v>
      </c>
      <c r="W776">
        <f t="shared" si="682"/>
        <v>0</v>
      </c>
      <c r="X776">
        <f t="shared" si="659"/>
        <v>0.81995568258693607</v>
      </c>
      <c r="Y776">
        <f t="shared" si="660"/>
        <v>7.8539816339744828</v>
      </c>
      <c r="Z776">
        <f t="shared" si="661"/>
        <v>-0.81995568258693607</v>
      </c>
      <c r="AA776">
        <f t="shared" si="683"/>
        <v>-0.76515632792840627</v>
      </c>
      <c r="AB776">
        <f t="shared" si="662"/>
        <v>7.0888253060460764</v>
      </c>
      <c r="AC776">
        <f t="shared" si="684"/>
        <v>-0.65008769109949827</v>
      </c>
      <c r="AD776">
        <f t="shared" si="663"/>
        <v>0.31318369940856117</v>
      </c>
      <c r="AE776" s="9">
        <f t="shared" si="685"/>
        <v>6.7519213143551386</v>
      </c>
      <c r="AF776">
        <f t="shared" si="686"/>
        <v>0</v>
      </c>
      <c r="AH776">
        <f t="shared" si="664"/>
        <v>7.8539816339744828</v>
      </c>
      <c r="AI776">
        <f t="shared" si="665"/>
        <v>-0.76515632792840593</v>
      </c>
      <c r="AJ776">
        <f t="shared" si="666"/>
        <v>-0.65008769109949327</v>
      </c>
      <c r="AK776">
        <f t="shared" si="667"/>
        <v>0.31318369940856117</v>
      </c>
      <c r="AL776" s="9">
        <f t="shared" si="687"/>
        <v>6.7519213143551449</v>
      </c>
      <c r="AM776" t="e">
        <f t="shared" si="668"/>
        <v>#N/A</v>
      </c>
      <c r="AN776" t="e">
        <f t="shared" si="688"/>
        <v>#N/A</v>
      </c>
      <c r="AO776">
        <f t="shared" si="669"/>
        <v>0</v>
      </c>
      <c r="AP776">
        <f t="shared" si="670"/>
        <v>0</v>
      </c>
      <c r="AQ776">
        <f t="shared" si="671"/>
        <v>4.9960036108132044E-15</v>
      </c>
      <c r="AR776">
        <f t="shared" si="689"/>
        <v>0</v>
      </c>
      <c r="AS776">
        <f t="shared" si="672"/>
        <v>0</v>
      </c>
      <c r="AT776">
        <f t="shared" si="690"/>
        <v>0</v>
      </c>
      <c r="AU776">
        <f t="shared" si="691"/>
        <v>0</v>
      </c>
      <c r="AV776">
        <f t="shared" si="673"/>
        <v>8.1995568258693601E-21</v>
      </c>
      <c r="AW776" t="b">
        <f t="shared" si="692"/>
        <v>1</v>
      </c>
      <c r="AX776">
        <f t="shared" si="674"/>
        <v>7.8539816339744828</v>
      </c>
      <c r="AY776">
        <f t="shared" si="675"/>
        <v>-0.76515632792840638</v>
      </c>
      <c r="AZ776">
        <f t="shared" si="676"/>
        <v>-0.65008769109949827</v>
      </c>
      <c r="BA776">
        <f t="shared" si="677"/>
        <v>0.31318369940856133</v>
      </c>
      <c r="BB776">
        <f t="shared" si="678"/>
        <v>-1.2337005501361696E-20</v>
      </c>
      <c r="BD776" s="15">
        <f t="shared" si="693"/>
        <v>6.7519213143551395</v>
      </c>
      <c r="BE776" s="10">
        <f t="shared" si="694"/>
        <v>0</v>
      </c>
      <c r="BF776">
        <f t="shared" si="695"/>
        <v>0</v>
      </c>
      <c r="BG776">
        <f t="shared" si="696"/>
        <v>0</v>
      </c>
      <c r="BH776">
        <f t="shared" si="697"/>
        <v>0</v>
      </c>
      <c r="BI776">
        <f t="shared" si="698"/>
        <v>0</v>
      </c>
    </row>
    <row r="777" spans="1:61" x14ac:dyDescent="0.3">
      <c r="A777">
        <f t="shared" si="703"/>
        <v>0.74</v>
      </c>
      <c r="B777">
        <f t="shared" si="646"/>
        <v>2.3247785636564471</v>
      </c>
      <c r="C777">
        <f t="shared" si="647"/>
        <v>0.81681408993334603</v>
      </c>
      <c r="D777">
        <f t="shared" si="648"/>
        <v>0.81681408993334603</v>
      </c>
      <c r="E777">
        <f t="shared" si="653"/>
        <v>0.72896862742141144</v>
      </c>
      <c r="F777">
        <f t="shared" si="654"/>
        <v>0.72896862742141133</v>
      </c>
      <c r="G777">
        <f t="shared" si="649"/>
        <v>2.3247785636564471</v>
      </c>
      <c r="H777">
        <f t="shared" si="650"/>
        <v>0.72896862742141144</v>
      </c>
      <c r="I777">
        <f t="shared" si="651"/>
        <v>0.72896862742141133</v>
      </c>
      <c r="J777">
        <f t="shared" si="699"/>
        <v>8.7331573461467529E+19</v>
      </c>
      <c r="K777">
        <f t="shared" si="700"/>
        <v>8.7331573461467529E+19</v>
      </c>
      <c r="L777">
        <f t="shared" si="655"/>
        <v>1</v>
      </c>
      <c r="M777">
        <f t="shared" si="652"/>
        <v>8.1681408993334605E-21</v>
      </c>
      <c r="N777" s="9">
        <f t="shared" si="701"/>
        <v>8.1681408993334605E-21</v>
      </c>
      <c r="O777">
        <f t="shared" si="702"/>
        <v>8.1681408993334605E-21</v>
      </c>
      <c r="Q777">
        <f t="shared" si="656"/>
        <v>45.916243737578199</v>
      </c>
      <c r="R777">
        <f t="shared" si="657"/>
        <v>-710542.73576010019</v>
      </c>
      <c r="S777">
        <f t="shared" si="679"/>
        <v>-46.254045621998124</v>
      </c>
      <c r="T777" s="9" t="e">
        <f t="shared" si="658"/>
        <v>#N/A</v>
      </c>
      <c r="U777">
        <f t="shared" si="680"/>
        <v>-1.0000000000000001E+300</v>
      </c>
      <c r="V777">
        <f t="shared" si="681"/>
        <v>0</v>
      </c>
      <c r="W777">
        <f t="shared" si="682"/>
        <v>0</v>
      </c>
      <c r="X777">
        <f t="shared" si="659"/>
        <v>0.81681408993334603</v>
      </c>
      <c r="Y777">
        <f t="shared" si="660"/>
        <v>7.8539816339744828</v>
      </c>
      <c r="Z777">
        <f t="shared" si="661"/>
        <v>-0.81681408993334603</v>
      </c>
      <c r="AA777">
        <f t="shared" si="683"/>
        <v>-0.76703948607984274</v>
      </c>
      <c r="AB777">
        <f t="shared" si="662"/>
        <v>7.0869421478946402</v>
      </c>
      <c r="AC777">
        <f t="shared" si="684"/>
        <v>-0.65392646740666416</v>
      </c>
      <c r="AD777">
        <f t="shared" si="663"/>
        <v>0.31612458298674195</v>
      </c>
      <c r="AE777" s="9">
        <f t="shared" si="685"/>
        <v>6.7491402634747182</v>
      </c>
      <c r="AF777">
        <f t="shared" si="686"/>
        <v>0</v>
      </c>
      <c r="AH777">
        <f t="shared" si="664"/>
        <v>7.8539816339744828</v>
      </c>
      <c r="AI777">
        <f t="shared" si="665"/>
        <v>-0.7670394860798424</v>
      </c>
      <c r="AJ777">
        <f t="shared" si="666"/>
        <v>-0.65392646740666294</v>
      </c>
      <c r="AK777">
        <f t="shared" si="667"/>
        <v>0.31612458298674195</v>
      </c>
      <c r="AL777" s="9">
        <f t="shared" si="687"/>
        <v>6.7491402634747191</v>
      </c>
      <c r="AM777" t="e">
        <f t="shared" si="668"/>
        <v>#N/A</v>
      </c>
      <c r="AN777" t="e">
        <f t="shared" si="688"/>
        <v>#N/A</v>
      </c>
      <c r="AO777">
        <f t="shared" si="669"/>
        <v>0</v>
      </c>
      <c r="AP777">
        <f t="shared" si="670"/>
        <v>0</v>
      </c>
      <c r="AQ777">
        <f t="shared" si="671"/>
        <v>1.2212453270876722E-15</v>
      </c>
      <c r="AR777">
        <f t="shared" si="689"/>
        <v>0</v>
      </c>
      <c r="AS777">
        <f t="shared" si="672"/>
        <v>0</v>
      </c>
      <c r="AT777">
        <f t="shared" si="690"/>
        <v>0</v>
      </c>
      <c r="AU777">
        <f t="shared" si="691"/>
        <v>0</v>
      </c>
      <c r="AV777">
        <f t="shared" si="673"/>
        <v>8.1681408993334605E-21</v>
      </c>
      <c r="AW777" t="b">
        <f t="shared" si="692"/>
        <v>1</v>
      </c>
      <c r="AX777">
        <f t="shared" si="674"/>
        <v>7.8539816339744828</v>
      </c>
      <c r="AY777">
        <f t="shared" si="675"/>
        <v>-0.76703948607984285</v>
      </c>
      <c r="AZ777">
        <f t="shared" si="676"/>
        <v>-0.65392646740666416</v>
      </c>
      <c r="BA777">
        <f t="shared" si="677"/>
        <v>0.31612458298674212</v>
      </c>
      <c r="BB777">
        <f t="shared" si="678"/>
        <v>-1.2337005501361696E-20</v>
      </c>
      <c r="BD777" s="15">
        <f t="shared" si="693"/>
        <v>6.7491402634747182</v>
      </c>
      <c r="BE777" s="10">
        <f t="shared" si="694"/>
        <v>0</v>
      </c>
      <c r="BF777">
        <f t="shared" si="695"/>
        <v>0</v>
      </c>
      <c r="BG777">
        <f t="shared" si="696"/>
        <v>0</v>
      </c>
      <c r="BH777">
        <f t="shared" si="697"/>
        <v>0</v>
      </c>
      <c r="BI777">
        <f t="shared" si="698"/>
        <v>0</v>
      </c>
    </row>
    <row r="778" spans="1:61" x14ac:dyDescent="0.3">
      <c r="A778">
        <f t="shared" si="703"/>
        <v>0.74099999999999999</v>
      </c>
      <c r="B778">
        <f t="shared" si="646"/>
        <v>2.3279201563100367</v>
      </c>
      <c r="C778">
        <f t="shared" si="647"/>
        <v>0.81367249727975643</v>
      </c>
      <c r="D778">
        <f t="shared" si="648"/>
        <v>0.81367249727975643</v>
      </c>
      <c r="E778">
        <f t="shared" si="653"/>
        <v>0.72681446548690287</v>
      </c>
      <c r="F778">
        <f t="shared" si="654"/>
        <v>0.72681446548690287</v>
      </c>
      <c r="G778">
        <f t="shared" si="649"/>
        <v>2.3279201563100367</v>
      </c>
      <c r="H778">
        <f t="shared" si="650"/>
        <v>0.72681446548690287</v>
      </c>
      <c r="I778">
        <f t="shared" si="651"/>
        <v>0.72681446548690287</v>
      </c>
      <c r="J778">
        <f t="shared" si="699"/>
        <v>8.7590410290073305E+19</v>
      </c>
      <c r="K778">
        <f t="shared" si="700"/>
        <v>8.7590410290073305E+19</v>
      </c>
      <c r="L778">
        <f t="shared" si="655"/>
        <v>1</v>
      </c>
      <c r="M778">
        <f t="shared" si="652"/>
        <v>8.1367249727975639E-21</v>
      </c>
      <c r="N778" s="9">
        <f t="shared" si="701"/>
        <v>8.1367249727975639E-21</v>
      </c>
      <c r="O778">
        <f t="shared" si="702"/>
        <v>8.1367249727975639E-21</v>
      </c>
      <c r="Q778">
        <f t="shared" si="656"/>
        <v>45.919203194268214</v>
      </c>
      <c r="R778">
        <f t="shared" si="657"/>
        <v>0</v>
      </c>
      <c r="S778">
        <f t="shared" si="679"/>
        <v>-46.25789919131411</v>
      </c>
      <c r="T778" s="9" t="e">
        <f t="shared" si="658"/>
        <v>#N/A</v>
      </c>
      <c r="U778">
        <f t="shared" si="680"/>
        <v>-1.0000000000000001E+300</v>
      </c>
      <c r="V778">
        <f t="shared" si="681"/>
        <v>0</v>
      </c>
      <c r="W778">
        <f t="shared" si="682"/>
        <v>0</v>
      </c>
      <c r="X778">
        <f t="shared" si="659"/>
        <v>0.81367249727975643</v>
      </c>
      <c r="Y778">
        <f t="shared" si="660"/>
        <v>7.8539816339744828</v>
      </c>
      <c r="Z778">
        <f t="shared" si="661"/>
        <v>-0.81367249727975643</v>
      </c>
      <c r="AA778">
        <f t="shared" si="683"/>
        <v>-0.76891399066976907</v>
      </c>
      <c r="AB778">
        <f t="shared" si="662"/>
        <v>7.0850676433047139</v>
      </c>
      <c r="AC778">
        <f t="shared" si="684"/>
        <v>-0.65778003672265395</v>
      </c>
      <c r="AD778">
        <f t="shared" si="663"/>
        <v>0.31908403967675325</v>
      </c>
      <c r="AE778" s="9">
        <f t="shared" si="685"/>
        <v>6.7463716462588135</v>
      </c>
      <c r="AF778">
        <f t="shared" si="686"/>
        <v>0</v>
      </c>
      <c r="AH778">
        <f t="shared" si="664"/>
        <v>7.8539816339744828</v>
      </c>
      <c r="AI778">
        <f t="shared" si="665"/>
        <v>-0.76891399066976862</v>
      </c>
      <c r="AJ778">
        <f t="shared" si="666"/>
        <v>-0.65778003672264873</v>
      </c>
      <c r="AK778">
        <f t="shared" si="667"/>
        <v>0.31908403967675325</v>
      </c>
      <c r="AL778" s="9">
        <f t="shared" si="687"/>
        <v>6.7463716462588188</v>
      </c>
      <c r="AM778" t="e">
        <f t="shared" si="668"/>
        <v>#N/A</v>
      </c>
      <c r="AN778" t="e">
        <f t="shared" si="688"/>
        <v>#N/A</v>
      </c>
      <c r="AO778">
        <f t="shared" si="669"/>
        <v>0</v>
      </c>
      <c r="AP778">
        <f t="shared" si="670"/>
        <v>0</v>
      </c>
      <c r="AQ778">
        <f t="shared" si="671"/>
        <v>5.2180482157382357E-15</v>
      </c>
      <c r="AR778">
        <f t="shared" si="689"/>
        <v>0</v>
      </c>
      <c r="AS778">
        <f t="shared" si="672"/>
        <v>0</v>
      </c>
      <c r="AT778">
        <f t="shared" si="690"/>
        <v>0</v>
      </c>
      <c r="AU778">
        <f t="shared" si="691"/>
        <v>0</v>
      </c>
      <c r="AV778">
        <f t="shared" si="673"/>
        <v>8.1367249727975639E-21</v>
      </c>
      <c r="AW778" t="b">
        <f t="shared" si="692"/>
        <v>1</v>
      </c>
      <c r="AX778">
        <f t="shared" si="674"/>
        <v>7.8539816339744828</v>
      </c>
      <c r="AY778">
        <f t="shared" si="675"/>
        <v>-0.76891399066976918</v>
      </c>
      <c r="AZ778">
        <f t="shared" si="676"/>
        <v>-0.65778003672265395</v>
      </c>
      <c r="BA778">
        <f t="shared" si="677"/>
        <v>0.31908403967675325</v>
      </c>
      <c r="BB778">
        <f t="shared" si="678"/>
        <v>-1.2337005501361696E-20</v>
      </c>
      <c r="BD778" s="15">
        <f t="shared" si="693"/>
        <v>6.7463716462588135</v>
      </c>
      <c r="BE778" s="10">
        <f t="shared" si="694"/>
        <v>0</v>
      </c>
      <c r="BF778">
        <f t="shared" si="695"/>
        <v>0</v>
      </c>
      <c r="BG778">
        <f t="shared" si="696"/>
        <v>0</v>
      </c>
      <c r="BH778">
        <f t="shared" si="697"/>
        <v>0</v>
      </c>
      <c r="BI778">
        <f t="shared" si="698"/>
        <v>0</v>
      </c>
    </row>
    <row r="779" spans="1:61" x14ac:dyDescent="0.3">
      <c r="A779">
        <f t="shared" si="703"/>
        <v>0.74199999999999999</v>
      </c>
      <c r="B779">
        <f t="shared" si="646"/>
        <v>2.3310617489636263</v>
      </c>
      <c r="C779">
        <f t="shared" si="647"/>
        <v>0.81053090462616684</v>
      </c>
      <c r="D779">
        <f t="shared" si="648"/>
        <v>0.81053090462616684</v>
      </c>
      <c r="E779">
        <f t="shared" si="653"/>
        <v>0.72465313018704691</v>
      </c>
      <c r="F779">
        <f t="shared" si="654"/>
        <v>0.7246531301870468</v>
      </c>
      <c r="G779">
        <f t="shared" si="649"/>
        <v>2.3310617489636263</v>
      </c>
      <c r="H779">
        <f t="shared" si="650"/>
        <v>0.72465313018704691</v>
      </c>
      <c r="I779">
        <f t="shared" si="651"/>
        <v>0.7246531301870468</v>
      </c>
      <c r="J779">
        <f t="shared" si="699"/>
        <v>8.7851655619462742E+19</v>
      </c>
      <c r="K779">
        <f t="shared" si="700"/>
        <v>8.7851655619462742E+19</v>
      </c>
      <c r="L779">
        <f t="shared" si="655"/>
        <v>1</v>
      </c>
      <c r="M779">
        <f t="shared" si="652"/>
        <v>8.1053090462616673E-21</v>
      </c>
      <c r="N779" s="9">
        <f t="shared" si="701"/>
        <v>8.1053090462616673E-21</v>
      </c>
      <c r="O779">
        <f t="shared" si="702"/>
        <v>8.1053090462616673E-21</v>
      </c>
      <c r="Q779">
        <f t="shared" si="656"/>
        <v>45.922181334329707</v>
      </c>
      <c r="R779">
        <f t="shared" si="657"/>
        <v>0</v>
      </c>
      <c r="S779">
        <f t="shared" si="679"/>
        <v>-46.261767668092034</v>
      </c>
      <c r="T779" s="9" t="e">
        <f t="shared" si="658"/>
        <v>#N/A</v>
      </c>
      <c r="U779">
        <f t="shared" si="680"/>
        <v>-1.0000000000000001E+300</v>
      </c>
      <c r="V779">
        <f t="shared" si="681"/>
        <v>0</v>
      </c>
      <c r="W779">
        <f t="shared" si="682"/>
        <v>0</v>
      </c>
      <c r="X779">
        <f t="shared" si="659"/>
        <v>0.81053090462616684</v>
      </c>
      <c r="Y779">
        <f t="shared" si="660"/>
        <v>7.8539816339744828</v>
      </c>
      <c r="Z779">
        <f t="shared" si="661"/>
        <v>-0.81053090462616684</v>
      </c>
      <c r="AA779">
        <f t="shared" si="683"/>
        <v>-0.77077986037044854</v>
      </c>
      <c r="AB779">
        <f t="shared" si="662"/>
        <v>7.083201773604034</v>
      </c>
      <c r="AC779">
        <f t="shared" si="684"/>
        <v>-0.66164851350057408</v>
      </c>
      <c r="AD779">
        <f t="shared" si="663"/>
        <v>0.32206217973824924</v>
      </c>
      <c r="AE779" s="9">
        <f t="shared" si="685"/>
        <v>6.743615439841709</v>
      </c>
      <c r="AF779">
        <f t="shared" si="686"/>
        <v>0</v>
      </c>
      <c r="AH779">
        <f t="shared" si="664"/>
        <v>7.8539816339744828</v>
      </c>
      <c r="AI779">
        <f t="shared" si="665"/>
        <v>-0.77077986037044832</v>
      </c>
      <c r="AJ779">
        <f t="shared" si="666"/>
        <v>-0.66164851350057319</v>
      </c>
      <c r="AK779">
        <f t="shared" si="667"/>
        <v>0.32206217973824924</v>
      </c>
      <c r="AL779" s="9">
        <f t="shared" si="687"/>
        <v>6.7436154398417107</v>
      </c>
      <c r="AM779" t="e">
        <f t="shared" si="668"/>
        <v>#N/A</v>
      </c>
      <c r="AN779" t="e">
        <f t="shared" si="688"/>
        <v>#N/A</v>
      </c>
      <c r="AO779">
        <f t="shared" si="669"/>
        <v>0</v>
      </c>
      <c r="AP779">
        <f t="shared" si="670"/>
        <v>0</v>
      </c>
      <c r="AQ779">
        <f t="shared" si="671"/>
        <v>8.8817841970012523E-16</v>
      </c>
      <c r="AR779">
        <f t="shared" si="689"/>
        <v>0</v>
      </c>
      <c r="AS779">
        <f t="shared" si="672"/>
        <v>0</v>
      </c>
      <c r="AT779">
        <f t="shared" si="690"/>
        <v>0</v>
      </c>
      <c r="AU779">
        <f t="shared" si="691"/>
        <v>0</v>
      </c>
      <c r="AV779">
        <f t="shared" si="673"/>
        <v>8.1053090462616673E-21</v>
      </c>
      <c r="AW779" t="b">
        <f t="shared" si="692"/>
        <v>1</v>
      </c>
      <c r="AX779">
        <f t="shared" si="674"/>
        <v>7.8539816339744828</v>
      </c>
      <c r="AY779">
        <f t="shared" si="675"/>
        <v>-0.77077986037044832</v>
      </c>
      <c r="AZ779">
        <f t="shared" si="676"/>
        <v>-0.66164851350057408</v>
      </c>
      <c r="BA779">
        <f t="shared" si="677"/>
        <v>0.32206217973824941</v>
      </c>
      <c r="BB779">
        <f t="shared" si="678"/>
        <v>-1.2337005501361696E-20</v>
      </c>
      <c r="BD779" s="15">
        <f t="shared" si="693"/>
        <v>6.7436154398417099</v>
      </c>
      <c r="BE779" s="10">
        <f t="shared" si="694"/>
        <v>0</v>
      </c>
      <c r="BF779">
        <f t="shared" si="695"/>
        <v>0</v>
      </c>
      <c r="BG779">
        <f t="shared" si="696"/>
        <v>0</v>
      </c>
      <c r="BH779">
        <f t="shared" si="697"/>
        <v>0</v>
      </c>
      <c r="BI779">
        <f t="shared" si="698"/>
        <v>0</v>
      </c>
    </row>
    <row r="780" spans="1:61" x14ac:dyDescent="0.3">
      <c r="A780">
        <f t="shared" si="703"/>
        <v>0.74299999999999999</v>
      </c>
      <c r="B780">
        <f t="shared" si="646"/>
        <v>2.3342033416172163</v>
      </c>
      <c r="C780">
        <f t="shared" si="647"/>
        <v>0.8073893119725768</v>
      </c>
      <c r="D780">
        <f t="shared" si="648"/>
        <v>0.8073893119725768</v>
      </c>
      <c r="E780">
        <f t="shared" si="653"/>
        <v>0.7224846428533499</v>
      </c>
      <c r="F780">
        <f t="shared" si="654"/>
        <v>0.72248464285334979</v>
      </c>
      <c r="G780">
        <f t="shared" si="649"/>
        <v>2.3342033416172163</v>
      </c>
      <c r="H780">
        <f t="shared" si="650"/>
        <v>0.7224846428533499</v>
      </c>
      <c r="I780">
        <f t="shared" si="651"/>
        <v>0.72248464285334979</v>
      </c>
      <c r="J780">
        <f t="shared" si="699"/>
        <v>8.8115336244842873E+19</v>
      </c>
      <c r="K780">
        <f t="shared" si="700"/>
        <v>8.8115336244842873E+19</v>
      </c>
      <c r="L780">
        <f t="shared" si="655"/>
        <v>1</v>
      </c>
      <c r="M780">
        <f t="shared" si="652"/>
        <v>8.0738931197257677E-21</v>
      </c>
      <c r="N780" s="9">
        <f t="shared" si="701"/>
        <v>8.0738931197257677E-21</v>
      </c>
      <c r="O780">
        <f t="shared" si="702"/>
        <v>8.0738931197257677E-21</v>
      </c>
      <c r="Q780">
        <f t="shared" si="656"/>
        <v>45.925178269379209</v>
      </c>
      <c r="R780">
        <f t="shared" si="657"/>
        <v>0</v>
      </c>
      <c r="S780">
        <f t="shared" si="679"/>
        <v>-46.265651168118431</v>
      </c>
      <c r="T780" s="9" t="e">
        <f t="shared" si="658"/>
        <v>#N/A</v>
      </c>
      <c r="U780">
        <f t="shared" si="680"/>
        <v>-1.0000000000000001E+300</v>
      </c>
      <c r="V780">
        <f t="shared" si="681"/>
        <v>0</v>
      </c>
      <c r="W780">
        <f t="shared" si="682"/>
        <v>0</v>
      </c>
      <c r="X780">
        <f t="shared" si="659"/>
        <v>0.8073893119725768</v>
      </c>
      <c r="Y780">
        <f t="shared" si="660"/>
        <v>7.8539816339744828</v>
      </c>
      <c r="Z780">
        <f t="shared" si="661"/>
        <v>-0.8073893119725768</v>
      </c>
      <c r="AA780">
        <f t="shared" si="683"/>
        <v>-0.77263711373427324</v>
      </c>
      <c r="AB780">
        <f t="shared" si="662"/>
        <v>7.0813445202402097</v>
      </c>
      <c r="AC780">
        <f t="shared" si="684"/>
        <v>-0.66553201352697189</v>
      </c>
      <c r="AD780">
        <f t="shared" si="663"/>
        <v>0.32505911478775029</v>
      </c>
      <c r="AE780" s="9">
        <f t="shared" si="685"/>
        <v>6.7408716215009878</v>
      </c>
      <c r="AF780">
        <f t="shared" si="686"/>
        <v>0</v>
      </c>
      <c r="AH780">
        <f t="shared" si="664"/>
        <v>7.8539816339744828</v>
      </c>
      <c r="AI780">
        <f t="shared" si="665"/>
        <v>-0.77263711373427346</v>
      </c>
      <c r="AJ780">
        <f t="shared" si="666"/>
        <v>-0.66553201352697045</v>
      </c>
      <c r="AK780">
        <f t="shared" si="667"/>
        <v>0.32505911478775029</v>
      </c>
      <c r="AL780" s="9">
        <f t="shared" si="687"/>
        <v>6.7408716215009896</v>
      </c>
      <c r="AM780" t="e">
        <f t="shared" si="668"/>
        <v>#N/A</v>
      </c>
      <c r="AN780" t="e">
        <f t="shared" si="688"/>
        <v>#N/A</v>
      </c>
      <c r="AO780">
        <f t="shared" si="669"/>
        <v>0</v>
      </c>
      <c r="AP780">
        <f t="shared" si="670"/>
        <v>0</v>
      </c>
      <c r="AQ780">
        <f t="shared" si="671"/>
        <v>1.4432899320127035E-15</v>
      </c>
      <c r="AR780">
        <f t="shared" si="689"/>
        <v>0</v>
      </c>
      <c r="AS780">
        <f t="shared" si="672"/>
        <v>0</v>
      </c>
      <c r="AT780">
        <f t="shared" si="690"/>
        <v>0</v>
      </c>
      <c r="AU780">
        <f t="shared" si="691"/>
        <v>0</v>
      </c>
      <c r="AV780">
        <f t="shared" si="673"/>
        <v>8.0738931197257677E-21</v>
      </c>
      <c r="AW780" t="b">
        <f t="shared" si="692"/>
        <v>1</v>
      </c>
      <c r="AX780">
        <f t="shared" si="674"/>
        <v>7.8539816339744828</v>
      </c>
      <c r="AY780">
        <f t="shared" si="675"/>
        <v>-0.77263711373427335</v>
      </c>
      <c r="AZ780">
        <f t="shared" si="676"/>
        <v>-0.66553201352697189</v>
      </c>
      <c r="BA780">
        <f t="shared" si="677"/>
        <v>0.32505911478775046</v>
      </c>
      <c r="BB780">
        <f t="shared" si="678"/>
        <v>-1.2337005501361696E-20</v>
      </c>
      <c r="BD780" s="15">
        <f t="shared" si="693"/>
        <v>6.7408716215009878</v>
      </c>
      <c r="BE780" s="10">
        <f t="shared" si="694"/>
        <v>0</v>
      </c>
      <c r="BF780">
        <f t="shared" si="695"/>
        <v>0</v>
      </c>
      <c r="BG780">
        <f t="shared" si="696"/>
        <v>0</v>
      </c>
      <c r="BH780">
        <f t="shared" si="697"/>
        <v>0</v>
      </c>
      <c r="BI780">
        <f t="shared" si="698"/>
        <v>0</v>
      </c>
    </row>
    <row r="781" spans="1:61" x14ac:dyDescent="0.3">
      <c r="A781">
        <f t="shared" si="703"/>
        <v>0.74399999999999999</v>
      </c>
      <c r="B781">
        <f t="shared" si="646"/>
        <v>2.3373449342708059</v>
      </c>
      <c r="C781">
        <f t="shared" si="647"/>
        <v>0.8042477193189872</v>
      </c>
      <c r="D781">
        <f t="shared" si="648"/>
        <v>0.8042477193189872</v>
      </c>
      <c r="E781">
        <f t="shared" si="653"/>
        <v>0.72030902488790705</v>
      </c>
      <c r="F781">
        <f t="shared" si="654"/>
        <v>0.72030902488790693</v>
      </c>
      <c r="G781">
        <f t="shared" si="649"/>
        <v>2.3373449342708059</v>
      </c>
      <c r="H781">
        <f t="shared" si="650"/>
        <v>0.72030902488790705</v>
      </c>
      <c r="I781">
        <f t="shared" si="651"/>
        <v>0.72030902488790693</v>
      </c>
      <c r="J781">
        <f t="shared" si="699"/>
        <v>8.8381479388884632E+19</v>
      </c>
      <c r="K781">
        <f t="shared" si="700"/>
        <v>8.8381479388884632E+19</v>
      </c>
      <c r="L781">
        <f t="shared" si="655"/>
        <v>1</v>
      </c>
      <c r="M781">
        <f t="shared" si="652"/>
        <v>8.0424771931898711E-21</v>
      </c>
      <c r="N781" s="9">
        <f t="shared" si="701"/>
        <v>8.0424771931898711E-21</v>
      </c>
      <c r="O781">
        <f t="shared" si="702"/>
        <v>8.0424771931898711E-21</v>
      </c>
      <c r="Q781">
        <f t="shared" si="656"/>
        <v>45.928194112410793</v>
      </c>
      <c r="R781">
        <f t="shared" si="657"/>
        <v>0</v>
      </c>
      <c r="S781">
        <f t="shared" si="679"/>
        <v>-46.269549808534087</v>
      </c>
      <c r="T781" s="9" t="e">
        <f t="shared" si="658"/>
        <v>#N/A</v>
      </c>
      <c r="U781">
        <f t="shared" si="680"/>
        <v>-1.0000000000000001E+300</v>
      </c>
      <c r="V781">
        <f t="shared" si="681"/>
        <v>0</v>
      </c>
      <c r="W781">
        <f t="shared" si="682"/>
        <v>0</v>
      </c>
      <c r="X781">
        <f t="shared" si="659"/>
        <v>0.8042477193189872</v>
      </c>
      <c r="Y781">
        <f t="shared" si="660"/>
        <v>7.8539816339744828</v>
      </c>
      <c r="Z781">
        <f t="shared" si="661"/>
        <v>-0.8042477193189872</v>
      </c>
      <c r="AA781">
        <f t="shared" si="683"/>
        <v>-0.77448576919446299</v>
      </c>
      <c r="AB781">
        <f t="shared" si="662"/>
        <v>7.0794958647800197</v>
      </c>
      <c r="AC781">
        <f t="shared" si="684"/>
        <v>-0.66943065394262902</v>
      </c>
      <c r="AD781">
        <f t="shared" si="663"/>
        <v>0.32807495781933471</v>
      </c>
      <c r="AE781" s="9">
        <f t="shared" si="685"/>
        <v>6.7381401686567255</v>
      </c>
      <c r="AF781">
        <f t="shared" si="686"/>
        <v>0</v>
      </c>
      <c r="AH781">
        <f t="shared" si="664"/>
        <v>7.8539816339744828</v>
      </c>
      <c r="AI781">
        <f t="shared" si="665"/>
        <v>-0.77448576919446288</v>
      </c>
      <c r="AJ781">
        <f t="shared" si="666"/>
        <v>-0.66943065394262646</v>
      </c>
      <c r="AK781">
        <f t="shared" si="667"/>
        <v>0.32807495781933471</v>
      </c>
      <c r="AL781" s="9">
        <f t="shared" si="687"/>
        <v>6.7381401686567282</v>
      </c>
      <c r="AM781" t="e">
        <f t="shared" si="668"/>
        <v>#N/A</v>
      </c>
      <c r="AN781" t="e">
        <f t="shared" si="688"/>
        <v>#N/A</v>
      </c>
      <c r="AO781">
        <f t="shared" si="669"/>
        <v>0</v>
      </c>
      <c r="AP781">
        <f t="shared" si="670"/>
        <v>0</v>
      </c>
      <c r="AQ781">
        <f t="shared" si="671"/>
        <v>2.55351295663786E-15</v>
      </c>
      <c r="AR781">
        <f t="shared" si="689"/>
        <v>0</v>
      </c>
      <c r="AS781">
        <f t="shared" si="672"/>
        <v>0</v>
      </c>
      <c r="AT781">
        <f t="shared" si="690"/>
        <v>0</v>
      </c>
      <c r="AU781">
        <f t="shared" si="691"/>
        <v>0</v>
      </c>
      <c r="AV781">
        <f t="shared" si="673"/>
        <v>8.0424771931898711E-21</v>
      </c>
      <c r="AW781" t="b">
        <f t="shared" si="692"/>
        <v>1</v>
      </c>
      <c r="AX781">
        <f t="shared" si="674"/>
        <v>7.8539816339744828</v>
      </c>
      <c r="AY781">
        <f t="shared" si="675"/>
        <v>-0.77448576919446299</v>
      </c>
      <c r="AZ781">
        <f t="shared" si="676"/>
        <v>-0.66943065394262902</v>
      </c>
      <c r="BA781">
        <f t="shared" si="677"/>
        <v>0.32807495781933482</v>
      </c>
      <c r="BB781">
        <f t="shared" si="678"/>
        <v>-1.2337005501361696E-20</v>
      </c>
      <c r="BD781" s="15">
        <f t="shared" si="693"/>
        <v>6.7381401686567255</v>
      </c>
      <c r="BE781" s="10">
        <f t="shared" si="694"/>
        <v>0</v>
      </c>
      <c r="BF781">
        <f t="shared" si="695"/>
        <v>0</v>
      </c>
      <c r="BG781">
        <f t="shared" si="696"/>
        <v>0</v>
      </c>
      <c r="BH781">
        <f t="shared" si="697"/>
        <v>0</v>
      </c>
      <c r="BI781">
        <f t="shared" si="698"/>
        <v>0</v>
      </c>
    </row>
    <row r="782" spans="1:61" x14ac:dyDescent="0.3">
      <c r="A782">
        <f t="shared" si="703"/>
        <v>0.745</v>
      </c>
      <c r="B782">
        <f t="shared" si="646"/>
        <v>2.340486526924396</v>
      </c>
      <c r="C782">
        <f t="shared" si="647"/>
        <v>0.80110612666539716</v>
      </c>
      <c r="D782">
        <f t="shared" si="648"/>
        <v>0.80110612666539716</v>
      </c>
      <c r="E782">
        <f t="shared" si="653"/>
        <v>0.71812629776318881</v>
      </c>
      <c r="F782">
        <f t="shared" si="654"/>
        <v>0.7181262977631887</v>
      </c>
      <c r="G782">
        <f t="shared" si="649"/>
        <v>2.340486526924396</v>
      </c>
      <c r="H782">
        <f t="shared" si="650"/>
        <v>0.71812629776318881</v>
      </c>
      <c r="I782">
        <f t="shared" si="651"/>
        <v>0.7181262977631887</v>
      </c>
      <c r="J782">
        <f t="shared" si="699"/>
        <v>8.8650112710050742E+19</v>
      </c>
      <c r="K782">
        <f t="shared" si="700"/>
        <v>8.8650112710050742E+19</v>
      </c>
      <c r="L782" t="e">
        <f t="shared" si="655"/>
        <v>#NUM!</v>
      </c>
      <c r="M782">
        <f t="shared" si="652"/>
        <v>8.0110612666539715E-21</v>
      </c>
      <c r="N782" s="9" t="e">
        <f t="shared" si="701"/>
        <v>#NUM!</v>
      </c>
      <c r="O782" t="e">
        <f t="shared" si="702"/>
        <v>#NUM!</v>
      </c>
      <c r="Q782">
        <f t="shared" si="656"/>
        <v>45.931228977817206</v>
      </c>
      <c r="R782">
        <f t="shared" si="657"/>
        <v>0</v>
      </c>
      <c r="S782">
        <f t="shared" si="679"/>
        <v>-46.273463707855221</v>
      </c>
      <c r="T782" s="9" t="e">
        <f t="shared" si="658"/>
        <v>#N/A</v>
      </c>
      <c r="U782">
        <f t="shared" si="680"/>
        <v>-1.0000000000000001E+300</v>
      </c>
      <c r="V782">
        <f t="shared" si="681"/>
        <v>0</v>
      </c>
      <c r="W782">
        <f t="shared" si="682"/>
        <v>0</v>
      </c>
      <c r="X782">
        <f t="shared" si="659"/>
        <v>0.80110612666539716</v>
      </c>
      <c r="Y782">
        <f t="shared" si="660"/>
        <v>7.8539816339744828</v>
      </c>
      <c r="Z782">
        <f t="shared" si="661"/>
        <v>-0.80110612666539716</v>
      </c>
      <c r="AA782">
        <f t="shared" si="683"/>
        <v>-0.7763258450657603</v>
      </c>
      <c r="AB782">
        <f t="shared" si="662"/>
        <v>7.0776557889087224</v>
      </c>
      <c r="AC782">
        <f t="shared" si="684"/>
        <v>-0.67334455326376574</v>
      </c>
      <c r="AD782">
        <f t="shared" si="663"/>
        <v>0.33110982322574367</v>
      </c>
      <c r="AE782" s="9">
        <f t="shared" si="685"/>
        <v>6.7354210588707009</v>
      </c>
      <c r="AF782">
        <f t="shared" si="686"/>
        <v>0</v>
      </c>
      <c r="AH782">
        <f t="shared" si="664"/>
        <v>7.8539816339744828</v>
      </c>
      <c r="AI782">
        <f t="shared" si="665"/>
        <v>-0.77632584506576019</v>
      </c>
      <c r="AJ782">
        <f t="shared" si="666"/>
        <v>-0.6733445532637603</v>
      </c>
      <c r="AK782">
        <f t="shared" si="667"/>
        <v>0.33110982322574367</v>
      </c>
      <c r="AL782" s="9">
        <f t="shared" si="687"/>
        <v>6.7354210588707062</v>
      </c>
      <c r="AM782" t="e">
        <f t="shared" si="668"/>
        <v>#N/A</v>
      </c>
      <c r="AN782" t="e">
        <f t="shared" si="688"/>
        <v>#N/A</v>
      </c>
      <c r="AO782">
        <f t="shared" si="669"/>
        <v>0</v>
      </c>
      <c r="AP782">
        <f t="shared" si="670"/>
        <v>0</v>
      </c>
      <c r="AQ782">
        <f t="shared" si="671"/>
        <v>5.440092820663267E-15</v>
      </c>
      <c r="AR782">
        <f t="shared" si="689"/>
        <v>0</v>
      </c>
      <c r="AS782">
        <f t="shared" si="672"/>
        <v>0</v>
      </c>
      <c r="AT782">
        <f t="shared" si="690"/>
        <v>0</v>
      </c>
      <c r="AU782">
        <f t="shared" si="691"/>
        <v>0</v>
      </c>
      <c r="AV782">
        <f t="shared" si="673"/>
        <v>8.0110612666539715E-21</v>
      </c>
      <c r="AW782" t="b">
        <f t="shared" si="692"/>
        <v>1</v>
      </c>
      <c r="AX782">
        <f t="shared" si="674"/>
        <v>7.8539816339744828</v>
      </c>
      <c r="AY782">
        <f t="shared" si="675"/>
        <v>-0.77632584506576041</v>
      </c>
      <c r="AZ782">
        <f t="shared" si="676"/>
        <v>-0.67334455326376563</v>
      </c>
      <c r="BA782">
        <f t="shared" si="677"/>
        <v>0.33110982322574378</v>
      </c>
      <c r="BB782">
        <f t="shared" si="678"/>
        <v>-1.2337005501361696E-20</v>
      </c>
      <c r="BD782" s="15">
        <f t="shared" si="693"/>
        <v>6.7354210588707009</v>
      </c>
      <c r="BE782" s="10">
        <f t="shared" si="694"/>
        <v>0</v>
      </c>
      <c r="BF782">
        <f t="shared" si="695"/>
        <v>0</v>
      </c>
      <c r="BG782">
        <f t="shared" si="696"/>
        <v>0</v>
      </c>
      <c r="BH782">
        <f t="shared" si="697"/>
        <v>0</v>
      </c>
      <c r="BI782">
        <f t="shared" si="698"/>
        <v>0</v>
      </c>
    </row>
    <row r="783" spans="1:61" x14ac:dyDescent="0.3">
      <c r="A783">
        <f t="shared" si="703"/>
        <v>0.746</v>
      </c>
      <c r="B783">
        <f t="shared" si="646"/>
        <v>2.3436281195779856</v>
      </c>
      <c r="C783">
        <f t="shared" si="647"/>
        <v>0.79796453401180756</v>
      </c>
      <c r="D783">
        <f t="shared" si="648"/>
        <v>0.79796453401180756</v>
      </c>
      <c r="E783">
        <f t="shared" si="653"/>
        <v>0.71593648302183133</v>
      </c>
      <c r="F783">
        <f t="shared" si="654"/>
        <v>0.71593648302183122</v>
      </c>
      <c r="G783">
        <f t="shared" si="649"/>
        <v>2.3436281195779856</v>
      </c>
      <c r="H783">
        <f t="shared" si="650"/>
        <v>0.71593648302183133</v>
      </c>
      <c r="I783">
        <f t="shared" si="651"/>
        <v>0.71593648302183122</v>
      </c>
      <c r="J783">
        <f t="shared" si="699"/>
        <v>8.8921264311120282E+19</v>
      </c>
      <c r="K783">
        <f t="shared" si="700"/>
        <v>8.8921264311120282E+19</v>
      </c>
      <c r="L783">
        <f t="shared" si="655"/>
        <v>1</v>
      </c>
      <c r="M783">
        <f t="shared" si="652"/>
        <v>7.9796453401180749E-21</v>
      </c>
      <c r="N783" s="9">
        <f t="shared" si="701"/>
        <v>7.9796453401180749E-21</v>
      </c>
      <c r="O783">
        <f t="shared" si="702"/>
        <v>7.9796453401180749E-21</v>
      </c>
      <c r="Q783">
        <f t="shared" si="656"/>
        <v>45.934282981411357</v>
      </c>
      <c r="R783">
        <f t="shared" si="657"/>
        <v>0</v>
      </c>
      <c r="S783">
        <f t="shared" si="679"/>
        <v>-46.277392985995114</v>
      </c>
      <c r="T783" s="9" t="e">
        <f t="shared" si="658"/>
        <v>#N/A</v>
      </c>
      <c r="U783">
        <f t="shared" si="680"/>
        <v>-1.0000000000000001E+300</v>
      </c>
      <c r="V783">
        <f t="shared" si="681"/>
        <v>0</v>
      </c>
      <c r="W783">
        <f t="shared" si="682"/>
        <v>0</v>
      </c>
      <c r="X783">
        <f t="shared" si="659"/>
        <v>0.79796453401180756</v>
      </c>
      <c r="Y783">
        <f t="shared" si="660"/>
        <v>7.8539816339744828</v>
      </c>
      <c r="Z783">
        <f t="shared" si="661"/>
        <v>-0.79796453401180756</v>
      </c>
      <c r="AA783">
        <f t="shared" si="683"/>
        <v>-0.77815735954511567</v>
      </c>
      <c r="AB783">
        <f t="shared" si="662"/>
        <v>7.0758242744293671</v>
      </c>
      <c r="AC783">
        <f t="shared" si="684"/>
        <v>-0.67727383140365494</v>
      </c>
      <c r="AD783">
        <f t="shared" si="663"/>
        <v>0.33416382681989687</v>
      </c>
      <c r="AE783" s="9">
        <f t="shared" si="685"/>
        <v>6.7327142698456095</v>
      </c>
      <c r="AF783">
        <f t="shared" si="686"/>
        <v>0</v>
      </c>
      <c r="AH783">
        <f t="shared" si="664"/>
        <v>7.8539816339744828</v>
      </c>
      <c r="AI783">
        <f t="shared" si="665"/>
        <v>-0.77815735954511545</v>
      </c>
      <c r="AJ783">
        <f t="shared" si="666"/>
        <v>-0.67727383140365305</v>
      </c>
      <c r="AK783">
        <f t="shared" si="667"/>
        <v>0.33416382681989687</v>
      </c>
      <c r="AL783" s="9">
        <f t="shared" si="687"/>
        <v>6.7327142698456113</v>
      </c>
      <c r="AM783" t="e">
        <f t="shared" si="668"/>
        <v>#N/A</v>
      </c>
      <c r="AN783" t="e">
        <f t="shared" si="688"/>
        <v>#N/A</v>
      </c>
      <c r="AO783">
        <f t="shared" si="669"/>
        <v>0</v>
      </c>
      <c r="AP783">
        <f t="shared" si="670"/>
        <v>0</v>
      </c>
      <c r="AQ783">
        <f t="shared" si="671"/>
        <v>1.8873791418627661E-15</v>
      </c>
      <c r="AR783">
        <f t="shared" si="689"/>
        <v>0</v>
      </c>
      <c r="AS783">
        <f t="shared" si="672"/>
        <v>0</v>
      </c>
      <c r="AT783">
        <f t="shared" si="690"/>
        <v>0</v>
      </c>
      <c r="AU783">
        <f t="shared" si="691"/>
        <v>0</v>
      </c>
      <c r="AV783">
        <f t="shared" si="673"/>
        <v>7.9796453401180749E-21</v>
      </c>
      <c r="AW783" t="b">
        <f t="shared" si="692"/>
        <v>1</v>
      </c>
      <c r="AX783">
        <f t="shared" si="674"/>
        <v>7.8539816339744828</v>
      </c>
      <c r="AY783">
        <f t="shared" si="675"/>
        <v>-0.77815735954511556</v>
      </c>
      <c r="AZ783">
        <f t="shared" si="676"/>
        <v>-0.67727383140365494</v>
      </c>
      <c r="BA783">
        <f t="shared" si="677"/>
        <v>0.33416382681989704</v>
      </c>
      <c r="BB783">
        <f t="shared" si="678"/>
        <v>-1.2337005501361696E-20</v>
      </c>
      <c r="BD783" s="15">
        <f t="shared" si="693"/>
        <v>6.7327142698456095</v>
      </c>
      <c r="BE783" s="10">
        <f t="shared" si="694"/>
        <v>0</v>
      </c>
      <c r="BF783">
        <f t="shared" si="695"/>
        <v>0</v>
      </c>
      <c r="BG783">
        <f t="shared" si="696"/>
        <v>0</v>
      </c>
      <c r="BH783">
        <f t="shared" si="697"/>
        <v>0</v>
      </c>
      <c r="BI783">
        <f t="shared" si="698"/>
        <v>0</v>
      </c>
    </row>
    <row r="784" spans="1:61" x14ac:dyDescent="0.3">
      <c r="A784">
        <f t="shared" si="703"/>
        <v>0.747</v>
      </c>
      <c r="B784">
        <f t="shared" si="646"/>
        <v>2.3467697122315756</v>
      </c>
      <c r="C784">
        <f t="shared" si="647"/>
        <v>0.79482294135821752</v>
      </c>
      <c r="D784">
        <f t="shared" si="648"/>
        <v>0.79482294135821752</v>
      </c>
      <c r="E784">
        <f t="shared" si="653"/>
        <v>0.7137396022764213</v>
      </c>
      <c r="F784">
        <f t="shared" si="654"/>
        <v>0.71373960227642119</v>
      </c>
      <c r="G784">
        <f t="shared" si="649"/>
        <v>2.3467697122315756</v>
      </c>
      <c r="H784">
        <f t="shared" si="650"/>
        <v>0.7137396022764213</v>
      </c>
      <c r="I784">
        <f t="shared" si="651"/>
        <v>0.71373960227642119</v>
      </c>
      <c r="J784">
        <f t="shared" si="699"/>
        <v>8.9194962747916501E+19</v>
      </c>
      <c r="K784">
        <f t="shared" si="700"/>
        <v>8.9194962747916501E+19</v>
      </c>
      <c r="L784">
        <f t="shared" si="655"/>
        <v>1</v>
      </c>
      <c r="M784">
        <f t="shared" si="652"/>
        <v>7.9482294135821752E-21</v>
      </c>
      <c r="N784" s="9">
        <f t="shared" si="701"/>
        <v>7.9482294135821752E-21</v>
      </c>
      <c r="O784">
        <f t="shared" si="702"/>
        <v>7.9482294135821752E-21</v>
      </c>
      <c r="Q784">
        <f t="shared" si="656"/>
        <v>45.937356240448302</v>
      </c>
      <c r="R784">
        <f t="shared" si="657"/>
        <v>0</v>
      </c>
      <c r="S784">
        <f t="shared" si="679"/>
        <v>-46.281337764286128</v>
      </c>
      <c r="T784" s="9" t="e">
        <f t="shared" si="658"/>
        <v>#N/A</v>
      </c>
      <c r="U784">
        <f t="shared" si="680"/>
        <v>-1.0000000000000001E+300</v>
      </c>
      <c r="V784">
        <f t="shared" si="681"/>
        <v>0</v>
      </c>
      <c r="W784">
        <f t="shared" si="682"/>
        <v>0</v>
      </c>
      <c r="X784">
        <f t="shared" si="659"/>
        <v>0.79482294135821752</v>
      </c>
      <c r="Y784">
        <f t="shared" si="660"/>
        <v>7.8539816339744828</v>
      </c>
      <c r="Z784">
        <f t="shared" si="661"/>
        <v>-0.79482294135821752</v>
      </c>
      <c r="AA784">
        <f t="shared" si="683"/>
        <v>-0.77998033071237083</v>
      </c>
      <c r="AB784">
        <f t="shared" si="662"/>
        <v>7.0740013032621123</v>
      </c>
      <c r="AC784">
        <f t="shared" si="684"/>
        <v>-0.68121860969467174</v>
      </c>
      <c r="AD784">
        <f t="shared" si="663"/>
        <v>0.33723708585684192</v>
      </c>
      <c r="AE784" s="9">
        <f t="shared" si="685"/>
        <v>6.730019779424282</v>
      </c>
      <c r="AF784">
        <f t="shared" si="686"/>
        <v>0</v>
      </c>
      <c r="AH784">
        <f t="shared" si="664"/>
        <v>7.8539816339744828</v>
      </c>
      <c r="AI784">
        <f t="shared" si="665"/>
        <v>-0.77998033071237072</v>
      </c>
      <c r="AJ784">
        <f t="shared" si="666"/>
        <v>-0.68121860969466752</v>
      </c>
      <c r="AK784">
        <f t="shared" si="667"/>
        <v>0.33723708585684192</v>
      </c>
      <c r="AL784" s="9">
        <f t="shared" si="687"/>
        <v>6.7300197794242864</v>
      </c>
      <c r="AM784" t="e">
        <f t="shared" si="668"/>
        <v>#N/A</v>
      </c>
      <c r="AN784" t="e">
        <f t="shared" si="688"/>
        <v>#N/A</v>
      </c>
      <c r="AO784">
        <f t="shared" si="669"/>
        <v>0</v>
      </c>
      <c r="AP784">
        <f t="shared" si="670"/>
        <v>0</v>
      </c>
      <c r="AQ784">
        <f t="shared" si="671"/>
        <v>4.2188474935755949E-15</v>
      </c>
      <c r="AR784">
        <f t="shared" si="689"/>
        <v>0</v>
      </c>
      <c r="AS784">
        <f t="shared" si="672"/>
        <v>0</v>
      </c>
      <c r="AT784">
        <f t="shared" si="690"/>
        <v>0</v>
      </c>
      <c r="AU784">
        <f t="shared" si="691"/>
        <v>0</v>
      </c>
      <c r="AV784">
        <f t="shared" si="673"/>
        <v>7.9482294135821752E-21</v>
      </c>
      <c r="AW784" t="b">
        <f t="shared" si="692"/>
        <v>1</v>
      </c>
      <c r="AX784">
        <f t="shared" si="674"/>
        <v>7.8539816339744828</v>
      </c>
      <c r="AY784">
        <f t="shared" si="675"/>
        <v>-0.77998033071237083</v>
      </c>
      <c r="AZ784">
        <f t="shared" si="676"/>
        <v>-0.68121860969467152</v>
      </c>
      <c r="BA784">
        <f t="shared" si="677"/>
        <v>0.33723708585684203</v>
      </c>
      <c r="BB784">
        <f t="shared" si="678"/>
        <v>-1.2337005501361696E-20</v>
      </c>
      <c r="BD784" s="15">
        <f t="shared" si="693"/>
        <v>6.730019779424282</v>
      </c>
      <c r="BE784" s="10">
        <f t="shared" si="694"/>
        <v>0</v>
      </c>
      <c r="BF784">
        <f t="shared" si="695"/>
        <v>0</v>
      </c>
      <c r="BG784">
        <f t="shared" si="696"/>
        <v>0</v>
      </c>
      <c r="BH784">
        <f t="shared" si="697"/>
        <v>0</v>
      </c>
      <c r="BI784">
        <f t="shared" si="698"/>
        <v>0</v>
      </c>
    </row>
    <row r="785" spans="1:61" x14ac:dyDescent="0.3">
      <c r="A785">
        <f t="shared" si="703"/>
        <v>0.748</v>
      </c>
      <c r="B785">
        <f t="shared" si="646"/>
        <v>2.3499113048851652</v>
      </c>
      <c r="C785">
        <f t="shared" si="647"/>
        <v>0.79168134870462792</v>
      </c>
      <c r="D785">
        <f t="shared" si="648"/>
        <v>0.79168134870462792</v>
      </c>
      <c r="E785">
        <f t="shared" si="653"/>
        <v>0.71153567720928546</v>
      </c>
      <c r="F785">
        <f t="shared" si="654"/>
        <v>0.71153567720928534</v>
      </c>
      <c r="G785">
        <f t="shared" si="649"/>
        <v>2.3499113048851652</v>
      </c>
      <c r="H785">
        <f t="shared" si="650"/>
        <v>0.71153567720928546</v>
      </c>
      <c r="I785">
        <f t="shared" si="651"/>
        <v>0.71153567720928534</v>
      </c>
      <c r="J785">
        <f t="shared" si="699"/>
        <v>8.9471237038242169E+19</v>
      </c>
      <c r="K785">
        <f t="shared" si="700"/>
        <v>8.9471237038242169E+19</v>
      </c>
      <c r="L785">
        <f t="shared" si="655"/>
        <v>1</v>
      </c>
      <c r="M785">
        <f t="shared" si="652"/>
        <v>7.9168134870462786E-21</v>
      </c>
      <c r="N785" s="9">
        <f t="shared" si="701"/>
        <v>7.9168134870462786E-21</v>
      </c>
      <c r="O785">
        <f t="shared" si="702"/>
        <v>7.9168134870462786E-21</v>
      </c>
      <c r="Q785">
        <f t="shared" si="656"/>
        <v>45.94044887364759</v>
      </c>
      <c r="R785">
        <f t="shared" si="657"/>
        <v>-710542.73576010019</v>
      </c>
      <c r="S785">
        <f t="shared" si="679"/>
        <v>-46.285298165502226</v>
      </c>
      <c r="T785" s="9" t="e">
        <f t="shared" si="658"/>
        <v>#N/A</v>
      </c>
      <c r="U785">
        <f t="shared" si="680"/>
        <v>-1.0000000000000001E+300</v>
      </c>
      <c r="V785">
        <f t="shared" si="681"/>
        <v>0</v>
      </c>
      <c r="W785">
        <f t="shared" si="682"/>
        <v>0</v>
      </c>
      <c r="X785">
        <f t="shared" si="659"/>
        <v>0.79168134870462792</v>
      </c>
      <c r="Y785">
        <f t="shared" si="660"/>
        <v>7.8539816339744828</v>
      </c>
      <c r="Z785">
        <f t="shared" si="661"/>
        <v>-0.79168134870462792</v>
      </c>
      <c r="AA785">
        <f t="shared" si="683"/>
        <v>-0.78179477653093243</v>
      </c>
      <c r="AB785">
        <f t="shared" si="662"/>
        <v>7.0721868574435502</v>
      </c>
      <c r="AC785">
        <f t="shared" si="684"/>
        <v>-0.68517901091076838</v>
      </c>
      <c r="AD785">
        <f t="shared" si="663"/>
        <v>0.34032971905613363</v>
      </c>
      <c r="AE785" s="9">
        <f t="shared" si="685"/>
        <v>6.7273375655889156</v>
      </c>
      <c r="AF785">
        <f t="shared" si="686"/>
        <v>0</v>
      </c>
      <c r="AH785">
        <f t="shared" si="664"/>
        <v>7.8539816339744828</v>
      </c>
      <c r="AI785">
        <f t="shared" si="665"/>
        <v>-0.78179477653093254</v>
      </c>
      <c r="AJ785">
        <f t="shared" si="666"/>
        <v>-0.68517901091076538</v>
      </c>
      <c r="AK785">
        <f t="shared" si="667"/>
        <v>0.34032971905613363</v>
      </c>
      <c r="AL785" s="9">
        <f t="shared" si="687"/>
        <v>6.7273375655889183</v>
      </c>
      <c r="AM785" t="e">
        <f t="shared" si="668"/>
        <v>#N/A</v>
      </c>
      <c r="AN785" t="e">
        <f t="shared" si="688"/>
        <v>#N/A</v>
      </c>
      <c r="AO785">
        <f t="shared" si="669"/>
        <v>0</v>
      </c>
      <c r="AP785">
        <f t="shared" si="670"/>
        <v>0</v>
      </c>
      <c r="AQ785">
        <f t="shared" si="671"/>
        <v>2.9976021664879227E-15</v>
      </c>
      <c r="AR785">
        <f t="shared" si="689"/>
        <v>0</v>
      </c>
      <c r="AS785">
        <f t="shared" si="672"/>
        <v>0</v>
      </c>
      <c r="AT785">
        <f t="shared" si="690"/>
        <v>0</v>
      </c>
      <c r="AU785">
        <f t="shared" si="691"/>
        <v>0</v>
      </c>
      <c r="AV785">
        <f t="shared" si="673"/>
        <v>7.9168134870462786E-21</v>
      </c>
      <c r="AW785" t="b">
        <f t="shared" si="692"/>
        <v>1</v>
      </c>
      <c r="AX785">
        <f t="shared" si="674"/>
        <v>7.8539816339744828</v>
      </c>
      <c r="AY785">
        <f t="shared" si="675"/>
        <v>-0.78179477653093254</v>
      </c>
      <c r="AZ785">
        <f t="shared" si="676"/>
        <v>-0.68517901091076838</v>
      </c>
      <c r="BA785">
        <f t="shared" si="677"/>
        <v>0.34032971905613379</v>
      </c>
      <c r="BB785">
        <f t="shared" si="678"/>
        <v>-1.2337005501361696E-20</v>
      </c>
      <c r="BD785" s="15">
        <f t="shared" si="693"/>
        <v>6.7273375655889156</v>
      </c>
      <c r="BE785" s="10">
        <f t="shared" si="694"/>
        <v>0</v>
      </c>
      <c r="BF785">
        <f t="shared" si="695"/>
        <v>0</v>
      </c>
      <c r="BG785">
        <f t="shared" si="696"/>
        <v>0</v>
      </c>
      <c r="BH785">
        <f t="shared" si="697"/>
        <v>0</v>
      </c>
      <c r="BI785">
        <f t="shared" si="698"/>
        <v>0</v>
      </c>
    </row>
    <row r="786" spans="1:61" x14ac:dyDescent="0.3">
      <c r="A786">
        <f t="shared" si="703"/>
        <v>0.749</v>
      </c>
      <c r="B786">
        <f t="shared" si="646"/>
        <v>2.3530528975387552</v>
      </c>
      <c r="C786">
        <f t="shared" si="647"/>
        <v>0.78853975605103788</v>
      </c>
      <c r="D786">
        <f t="shared" si="648"/>
        <v>0.78853975605103788</v>
      </c>
      <c r="E786">
        <f t="shared" si="653"/>
        <v>0.70932472957227377</v>
      </c>
      <c r="F786">
        <f t="shared" si="654"/>
        <v>0.70932472957227377</v>
      </c>
      <c r="G786">
        <f t="shared" si="649"/>
        <v>2.3530528975387552</v>
      </c>
      <c r="H786">
        <f t="shared" si="650"/>
        <v>0.70932472957227377</v>
      </c>
      <c r="I786">
        <f t="shared" si="651"/>
        <v>0.70932472957227377</v>
      </c>
      <c r="J786">
        <f t="shared" si="699"/>
        <v>8.9750116671029674E+19</v>
      </c>
      <c r="K786">
        <f t="shared" si="700"/>
        <v>8.9750116671029674E+19</v>
      </c>
      <c r="L786">
        <f t="shared" si="655"/>
        <v>1</v>
      </c>
      <c r="M786">
        <f t="shared" si="652"/>
        <v>7.885397560510379E-21</v>
      </c>
      <c r="N786" s="9">
        <f t="shared" si="701"/>
        <v>7.885397560510379E-21</v>
      </c>
      <c r="O786">
        <f t="shared" si="702"/>
        <v>7.885397560510379E-21</v>
      </c>
      <c r="Q786">
        <f t="shared" si="656"/>
        <v>45.943561001216125</v>
      </c>
      <c r="R786">
        <f t="shared" si="657"/>
        <v>-710542.73576010019</v>
      </c>
      <c r="S786">
        <f t="shared" si="679"/>
        <v>-46.289274313881869</v>
      </c>
      <c r="T786" s="9" t="e">
        <f t="shared" si="658"/>
        <v>#N/A</v>
      </c>
      <c r="U786">
        <f t="shared" si="680"/>
        <v>-1.0000000000000001E+300</v>
      </c>
      <c r="V786">
        <f t="shared" si="681"/>
        <v>0</v>
      </c>
      <c r="W786">
        <f t="shared" si="682"/>
        <v>0</v>
      </c>
      <c r="X786">
        <f t="shared" si="659"/>
        <v>0.78853975605103788</v>
      </c>
      <c r="Y786">
        <f t="shared" si="660"/>
        <v>7.8539816339744828</v>
      </c>
      <c r="Z786">
        <f t="shared" si="661"/>
        <v>-0.78853975605103788</v>
      </c>
      <c r="AA786">
        <f t="shared" si="683"/>
        <v>-0.78360071484844418</v>
      </c>
      <c r="AB786">
        <f t="shared" si="662"/>
        <v>7.0703809191260385</v>
      </c>
      <c r="AC786">
        <f t="shared" si="684"/>
        <v>-0.68915515929040805</v>
      </c>
      <c r="AD786">
        <f t="shared" si="663"/>
        <v>0.34344184662466903</v>
      </c>
      <c r="AE786" s="9">
        <f t="shared" si="685"/>
        <v>6.7246676064602999</v>
      </c>
      <c r="AF786">
        <f t="shared" si="686"/>
        <v>0</v>
      </c>
      <c r="AH786">
        <f t="shared" si="664"/>
        <v>7.8539816339744828</v>
      </c>
      <c r="AI786">
        <f t="shared" si="665"/>
        <v>-0.78360071484844385</v>
      </c>
      <c r="AJ786">
        <f t="shared" si="666"/>
        <v>-0.68915515929040794</v>
      </c>
      <c r="AK786">
        <f t="shared" si="667"/>
        <v>0.34344184662466903</v>
      </c>
      <c r="AL786" s="9">
        <f t="shared" si="687"/>
        <v>6.7246676064603008</v>
      </c>
      <c r="AM786" t="e">
        <f t="shared" si="668"/>
        <v>#N/A</v>
      </c>
      <c r="AN786" t="e">
        <f t="shared" si="688"/>
        <v>#N/A</v>
      </c>
      <c r="AO786">
        <f t="shared" si="669"/>
        <v>0</v>
      </c>
      <c r="AP786">
        <f t="shared" si="670"/>
        <v>0</v>
      </c>
      <c r="AQ786">
        <f t="shared" si="671"/>
        <v>0</v>
      </c>
      <c r="AR786">
        <f t="shared" si="689"/>
        <v>0</v>
      </c>
      <c r="AS786">
        <f t="shared" si="672"/>
        <v>0</v>
      </c>
      <c r="AT786">
        <f t="shared" si="690"/>
        <v>0</v>
      </c>
      <c r="AU786">
        <f t="shared" si="691"/>
        <v>0</v>
      </c>
      <c r="AV786">
        <f t="shared" si="673"/>
        <v>7.885397560510379E-21</v>
      </c>
      <c r="AW786" t="b">
        <f t="shared" si="692"/>
        <v>1</v>
      </c>
      <c r="AX786">
        <f t="shared" si="674"/>
        <v>7.8539816339744828</v>
      </c>
      <c r="AY786">
        <f t="shared" si="675"/>
        <v>-0.78360071484844429</v>
      </c>
      <c r="AZ786">
        <f t="shared" si="676"/>
        <v>-0.68915515929040805</v>
      </c>
      <c r="BA786">
        <f t="shared" si="677"/>
        <v>0.34344184662466903</v>
      </c>
      <c r="BB786">
        <f t="shared" si="678"/>
        <v>-1.2337005501361696E-20</v>
      </c>
      <c r="BD786" s="15">
        <f t="shared" si="693"/>
        <v>6.7246676064602999</v>
      </c>
      <c r="BE786" s="10">
        <f t="shared" si="694"/>
        <v>0</v>
      </c>
      <c r="BF786">
        <f t="shared" si="695"/>
        <v>0</v>
      </c>
      <c r="BG786">
        <f t="shared" si="696"/>
        <v>0</v>
      </c>
      <c r="BH786">
        <f t="shared" si="697"/>
        <v>0</v>
      </c>
      <c r="BI786">
        <f t="shared" si="698"/>
        <v>0</v>
      </c>
    </row>
    <row r="787" spans="1:61" x14ac:dyDescent="0.3">
      <c r="A787">
        <f t="shared" si="703"/>
        <v>0.75</v>
      </c>
      <c r="B787">
        <f t="shared" si="646"/>
        <v>2.3561944901923448</v>
      </c>
      <c r="C787">
        <f t="shared" si="647"/>
        <v>0.78539816339744828</v>
      </c>
      <c r="D787">
        <f t="shared" si="648"/>
        <v>0.78539816339744828</v>
      </c>
      <c r="E787">
        <f t="shared" si="653"/>
        <v>0.70710678118654757</v>
      </c>
      <c r="F787">
        <f t="shared" si="654"/>
        <v>0.70710678118654746</v>
      </c>
      <c r="G787">
        <f t="shared" si="649"/>
        <v>2.3561944901923448</v>
      </c>
      <c r="H787">
        <f t="shared" si="650"/>
        <v>0.70710678118654757</v>
      </c>
      <c r="I787">
        <f t="shared" si="651"/>
        <v>0.70710678118654746</v>
      </c>
      <c r="J787">
        <f t="shared" si="699"/>
        <v>9.0031631615710609E+19</v>
      </c>
      <c r="K787">
        <f t="shared" si="700"/>
        <v>9.0031631615710609E+19</v>
      </c>
      <c r="L787">
        <f t="shared" si="655"/>
        <v>1</v>
      </c>
      <c r="M787">
        <f t="shared" si="652"/>
        <v>7.8539816339744824E-21</v>
      </c>
      <c r="N787" s="9">
        <f t="shared" si="701"/>
        <v>7.8539816339744824E-21</v>
      </c>
      <c r="O787">
        <f t="shared" si="702"/>
        <v>7.8539816339744824E-21</v>
      </c>
      <c r="Q787">
        <f t="shared" si="656"/>
        <v>45.946692744871434</v>
      </c>
      <c r="R787">
        <f t="shared" si="657"/>
        <v>0</v>
      </c>
      <c r="S787">
        <f t="shared" si="679"/>
        <v>-46.293266335151401</v>
      </c>
      <c r="T787" s="9" t="e">
        <f t="shared" si="658"/>
        <v>#N/A</v>
      </c>
      <c r="U787">
        <f t="shared" si="680"/>
        <v>-1.0000000000000001E+300</v>
      </c>
      <c r="V787">
        <f t="shared" si="681"/>
        <v>0</v>
      </c>
      <c r="W787">
        <f t="shared" si="682"/>
        <v>0</v>
      </c>
      <c r="X787">
        <f t="shared" si="659"/>
        <v>0.78539816339744828</v>
      </c>
      <c r="Y787">
        <f t="shared" si="660"/>
        <v>7.8539816339744828</v>
      </c>
      <c r="Z787">
        <f t="shared" si="661"/>
        <v>-0.78539816339744828</v>
      </c>
      <c r="AA787">
        <f t="shared" si="683"/>
        <v>-0.78539816339744817</v>
      </c>
      <c r="AB787">
        <f t="shared" si="662"/>
        <v>7.0685834705770345</v>
      </c>
      <c r="AC787">
        <f t="shared" si="684"/>
        <v>-0.69314718055994529</v>
      </c>
      <c r="AD787">
        <f t="shared" si="663"/>
        <v>0.34657359027997259</v>
      </c>
      <c r="AE787" s="9">
        <f t="shared" si="685"/>
        <v>6.7220098802970618</v>
      </c>
      <c r="AF787">
        <f t="shared" si="686"/>
        <v>0</v>
      </c>
      <c r="AH787">
        <f t="shared" si="664"/>
        <v>7.8539816339744828</v>
      </c>
      <c r="AI787">
        <f t="shared" si="665"/>
        <v>-0.78539816339744828</v>
      </c>
      <c r="AJ787">
        <f t="shared" si="666"/>
        <v>-0.69314718055994007</v>
      </c>
      <c r="AK787">
        <f t="shared" si="667"/>
        <v>0.34657359027997259</v>
      </c>
      <c r="AL787" s="9">
        <f t="shared" si="687"/>
        <v>6.7220098802970671</v>
      </c>
      <c r="AM787" t="e">
        <f t="shared" si="668"/>
        <v>#N/A</v>
      </c>
      <c r="AN787" t="e">
        <f t="shared" si="688"/>
        <v>#N/A</v>
      </c>
      <c r="AO787">
        <f t="shared" si="669"/>
        <v>0</v>
      </c>
      <c r="AP787">
        <f t="shared" si="670"/>
        <v>0</v>
      </c>
      <c r="AQ787">
        <f t="shared" si="671"/>
        <v>5.2180482157382357E-15</v>
      </c>
      <c r="AR787">
        <f t="shared" si="689"/>
        <v>0</v>
      </c>
      <c r="AS787">
        <f t="shared" si="672"/>
        <v>0</v>
      </c>
      <c r="AT787">
        <f t="shared" si="690"/>
        <v>0</v>
      </c>
      <c r="AU787">
        <f t="shared" si="691"/>
        <v>0</v>
      </c>
      <c r="AV787">
        <f t="shared" si="673"/>
        <v>7.8539816339744824E-21</v>
      </c>
      <c r="AW787" t="b">
        <f t="shared" si="692"/>
        <v>1</v>
      </c>
      <c r="AX787">
        <f t="shared" si="674"/>
        <v>7.8539816339744828</v>
      </c>
      <c r="AY787">
        <f t="shared" si="675"/>
        <v>-0.78539816339744828</v>
      </c>
      <c r="AZ787">
        <f t="shared" si="676"/>
        <v>-0.69314718055994529</v>
      </c>
      <c r="BA787">
        <f t="shared" si="677"/>
        <v>0.34657359027997275</v>
      </c>
      <c r="BB787">
        <f t="shared" si="678"/>
        <v>-1.2337005501361696E-20</v>
      </c>
      <c r="BD787" s="15">
        <f t="shared" si="693"/>
        <v>6.7220098802970618</v>
      </c>
      <c r="BE787" s="10">
        <f t="shared" si="694"/>
        <v>0</v>
      </c>
      <c r="BF787">
        <f t="shared" si="695"/>
        <v>0</v>
      </c>
      <c r="BG787">
        <f t="shared" si="696"/>
        <v>0</v>
      </c>
      <c r="BH787">
        <f t="shared" si="697"/>
        <v>0</v>
      </c>
      <c r="BI787">
        <f t="shared" si="698"/>
        <v>0</v>
      </c>
    </row>
    <row r="788" spans="1:61" x14ac:dyDescent="0.3">
      <c r="A788">
        <f t="shared" si="703"/>
        <v>0.751</v>
      </c>
      <c r="B788">
        <f t="shared" si="646"/>
        <v>2.3593360828459344</v>
      </c>
      <c r="C788">
        <f t="shared" si="647"/>
        <v>0.78225657074385868</v>
      </c>
      <c r="D788">
        <f t="shared" si="648"/>
        <v>0.78225657074385868</v>
      </c>
      <c r="E788">
        <f t="shared" si="653"/>
        <v>0.70488185394236158</v>
      </c>
      <c r="F788">
        <f t="shared" si="654"/>
        <v>0.70488185394236158</v>
      </c>
      <c r="G788">
        <f t="shared" si="649"/>
        <v>2.3593360828459344</v>
      </c>
      <c r="H788">
        <f t="shared" si="650"/>
        <v>0.70488185394236158</v>
      </c>
      <c r="I788">
        <f t="shared" si="651"/>
        <v>0.70488185394236158</v>
      </c>
      <c r="J788">
        <f t="shared" si="699"/>
        <v>9.0315812331812143E+19</v>
      </c>
      <c r="K788">
        <f t="shared" si="700"/>
        <v>9.0315812331812143E+19</v>
      </c>
      <c r="L788">
        <f t="shared" si="655"/>
        <v>1</v>
      </c>
      <c r="M788">
        <f t="shared" si="652"/>
        <v>7.8225657074385858E-21</v>
      </c>
      <c r="N788" s="9">
        <f t="shared" si="701"/>
        <v>7.8225657074385858E-21</v>
      </c>
      <c r="O788">
        <f t="shared" si="702"/>
        <v>7.8225657074385858E-21</v>
      </c>
      <c r="Q788">
        <f t="shared" si="656"/>
        <v>45.94984422786542</v>
      </c>
      <c r="R788">
        <f t="shared" si="657"/>
        <v>0</v>
      </c>
      <c r="S788">
        <f t="shared" si="679"/>
        <v>-46.29727435654894</v>
      </c>
      <c r="T788" s="9" t="e">
        <f t="shared" si="658"/>
        <v>#N/A</v>
      </c>
      <c r="U788">
        <f t="shared" si="680"/>
        <v>-1.0000000000000001E+300</v>
      </c>
      <c r="V788">
        <f t="shared" si="681"/>
        <v>0</v>
      </c>
      <c r="W788">
        <f t="shared" si="682"/>
        <v>0</v>
      </c>
      <c r="X788">
        <f t="shared" si="659"/>
        <v>0.78225657074385868</v>
      </c>
      <c r="Y788">
        <f t="shared" si="660"/>
        <v>7.8539816339744828</v>
      </c>
      <c r="Z788">
        <f t="shared" si="661"/>
        <v>-0.78225657074385868</v>
      </c>
      <c r="AA788">
        <f t="shared" si="683"/>
        <v>-0.78718713979604582</v>
      </c>
      <c r="AB788">
        <f t="shared" si="662"/>
        <v>7.0667944941784366</v>
      </c>
      <c r="AC788">
        <f t="shared" si="684"/>
        <v>-0.69715520195748393</v>
      </c>
      <c r="AD788">
        <f t="shared" si="663"/>
        <v>0.34972507327395852</v>
      </c>
      <c r="AE788" s="9">
        <f t="shared" si="685"/>
        <v>6.7193643654949113</v>
      </c>
      <c r="AF788">
        <f t="shared" si="686"/>
        <v>0</v>
      </c>
      <c r="AH788">
        <f t="shared" si="664"/>
        <v>7.8539816339744828</v>
      </c>
      <c r="AI788">
        <f t="shared" si="665"/>
        <v>-0.78718713979604582</v>
      </c>
      <c r="AJ788">
        <f t="shared" si="666"/>
        <v>-0.69715520195747871</v>
      </c>
      <c r="AK788">
        <f t="shared" si="667"/>
        <v>0.34972507327395852</v>
      </c>
      <c r="AL788" s="9">
        <f t="shared" si="687"/>
        <v>6.7193643654949167</v>
      </c>
      <c r="AM788" t="e">
        <f t="shared" si="668"/>
        <v>#N/A</v>
      </c>
      <c r="AN788" t="e">
        <f t="shared" si="688"/>
        <v>#N/A</v>
      </c>
      <c r="AO788">
        <f t="shared" si="669"/>
        <v>0</v>
      </c>
      <c r="AP788">
        <f t="shared" si="670"/>
        <v>0</v>
      </c>
      <c r="AQ788">
        <f t="shared" si="671"/>
        <v>5.2180482157382357E-15</v>
      </c>
      <c r="AR788">
        <f t="shared" si="689"/>
        <v>0</v>
      </c>
      <c r="AS788">
        <f t="shared" si="672"/>
        <v>0</v>
      </c>
      <c r="AT788">
        <f t="shared" si="690"/>
        <v>0</v>
      </c>
      <c r="AU788">
        <f t="shared" si="691"/>
        <v>0</v>
      </c>
      <c r="AV788">
        <f t="shared" si="673"/>
        <v>7.8225657074385858E-21</v>
      </c>
      <c r="AW788" t="b">
        <f t="shared" si="692"/>
        <v>1</v>
      </c>
      <c r="AX788">
        <f t="shared" si="674"/>
        <v>7.8539816339744828</v>
      </c>
      <c r="AY788">
        <f t="shared" si="675"/>
        <v>-0.78718713979604582</v>
      </c>
      <c r="AZ788">
        <f t="shared" si="676"/>
        <v>-0.69715520195748393</v>
      </c>
      <c r="BA788">
        <f t="shared" si="677"/>
        <v>0.34972507327395852</v>
      </c>
      <c r="BB788">
        <f t="shared" si="678"/>
        <v>-1.2337005501361696E-20</v>
      </c>
      <c r="BD788" s="15">
        <f t="shared" si="693"/>
        <v>6.7193643654949113</v>
      </c>
      <c r="BE788" s="10">
        <f t="shared" si="694"/>
        <v>0</v>
      </c>
      <c r="BF788">
        <f t="shared" si="695"/>
        <v>0</v>
      </c>
      <c r="BG788">
        <f t="shared" si="696"/>
        <v>0</v>
      </c>
      <c r="BH788">
        <f t="shared" si="697"/>
        <v>0</v>
      </c>
      <c r="BI788">
        <f t="shared" si="698"/>
        <v>0</v>
      </c>
    </row>
    <row r="789" spans="1:61" x14ac:dyDescent="0.3">
      <c r="A789">
        <f t="shared" si="703"/>
        <v>0.752</v>
      </c>
      <c r="B789">
        <f t="shared" si="646"/>
        <v>2.3624776754995245</v>
      </c>
      <c r="C789">
        <f t="shared" si="647"/>
        <v>0.77911497809026864</v>
      </c>
      <c r="D789">
        <f t="shared" si="648"/>
        <v>0.77911497809026864</v>
      </c>
      <c r="E789">
        <f t="shared" si="653"/>
        <v>0.70264996979884919</v>
      </c>
      <c r="F789">
        <f t="shared" si="654"/>
        <v>0.70264996979884919</v>
      </c>
      <c r="G789">
        <f t="shared" si="649"/>
        <v>2.3624776754995245</v>
      </c>
      <c r="H789">
        <f t="shared" si="650"/>
        <v>0.70264996979884919</v>
      </c>
      <c r="I789">
        <f t="shared" si="651"/>
        <v>0.70264996979884919</v>
      </c>
      <c r="J789">
        <f t="shared" si="699"/>
        <v>9.0602689778785518E+19</v>
      </c>
      <c r="K789">
        <f t="shared" si="700"/>
        <v>9.0602689778785518E+19</v>
      </c>
      <c r="L789">
        <f t="shared" si="655"/>
        <v>1</v>
      </c>
      <c r="M789">
        <f t="shared" si="652"/>
        <v>7.7911497809026862E-21</v>
      </c>
      <c r="N789" s="9">
        <f t="shared" si="701"/>
        <v>7.7911497809026862E-21</v>
      </c>
      <c r="O789">
        <f t="shared" si="702"/>
        <v>7.7911497809026862E-21</v>
      </c>
      <c r="Q789">
        <f t="shared" si="656"/>
        <v>45.953015575008628</v>
      </c>
      <c r="R789">
        <f t="shared" si="657"/>
        <v>0</v>
      </c>
      <c r="S789">
        <f t="shared" si="679"/>
        <v>-46.301298506848667</v>
      </c>
      <c r="T789" s="9" t="e">
        <f t="shared" si="658"/>
        <v>#N/A</v>
      </c>
      <c r="U789">
        <f t="shared" si="680"/>
        <v>-1.0000000000000001E+300</v>
      </c>
      <c r="V789">
        <f t="shared" si="681"/>
        <v>0</v>
      </c>
      <c r="W789">
        <f t="shared" si="682"/>
        <v>0</v>
      </c>
      <c r="X789">
        <f t="shared" si="659"/>
        <v>0.77911497809026864</v>
      </c>
      <c r="Y789">
        <f t="shared" si="660"/>
        <v>7.8539816339744828</v>
      </c>
      <c r="Z789">
        <f t="shared" si="661"/>
        <v>-0.77911497809026864</v>
      </c>
      <c r="AA789">
        <f t="shared" si="683"/>
        <v>-0.78896766154854925</v>
      </c>
      <c r="AB789">
        <f t="shared" si="662"/>
        <v>7.065013972425934</v>
      </c>
      <c r="AC789">
        <f t="shared" si="684"/>
        <v>-0.70117935225720973</v>
      </c>
      <c r="AD789">
        <f t="shared" si="663"/>
        <v>0.35289642041716834</v>
      </c>
      <c r="AE789" s="9">
        <f t="shared" si="685"/>
        <v>6.7167310405858922</v>
      </c>
      <c r="AF789">
        <f t="shared" si="686"/>
        <v>0</v>
      </c>
      <c r="AH789">
        <f t="shared" si="664"/>
        <v>7.8539816339744828</v>
      </c>
      <c r="AI789">
        <f t="shared" si="665"/>
        <v>-0.78896766154854925</v>
      </c>
      <c r="AJ789">
        <f t="shared" si="666"/>
        <v>-0.70117935225720629</v>
      </c>
      <c r="AK789">
        <f t="shared" si="667"/>
        <v>0.35289642041716834</v>
      </c>
      <c r="AL789" s="9">
        <f t="shared" si="687"/>
        <v>6.7167310405858958</v>
      </c>
      <c r="AM789" t="e">
        <f t="shared" si="668"/>
        <v>#N/A</v>
      </c>
      <c r="AN789" t="e">
        <f t="shared" si="688"/>
        <v>#N/A</v>
      </c>
      <c r="AO789">
        <f t="shared" si="669"/>
        <v>0</v>
      </c>
      <c r="AP789">
        <f t="shared" si="670"/>
        <v>0</v>
      </c>
      <c r="AQ789">
        <f t="shared" si="671"/>
        <v>3.4416913763379853E-15</v>
      </c>
      <c r="AR789">
        <f t="shared" si="689"/>
        <v>0</v>
      </c>
      <c r="AS789">
        <f t="shared" si="672"/>
        <v>0</v>
      </c>
      <c r="AT789">
        <f t="shared" si="690"/>
        <v>0</v>
      </c>
      <c r="AU789">
        <f t="shared" si="691"/>
        <v>0</v>
      </c>
      <c r="AV789">
        <f t="shared" si="673"/>
        <v>7.7911497809026862E-21</v>
      </c>
      <c r="AW789" t="b">
        <f t="shared" si="692"/>
        <v>1</v>
      </c>
      <c r="AX789">
        <f t="shared" si="674"/>
        <v>7.8539816339744828</v>
      </c>
      <c r="AY789">
        <f t="shared" si="675"/>
        <v>-0.78896766154854925</v>
      </c>
      <c r="AZ789">
        <f t="shared" si="676"/>
        <v>-0.70117935225720962</v>
      </c>
      <c r="BA789">
        <f t="shared" si="677"/>
        <v>0.35289642041716834</v>
      </c>
      <c r="BB789">
        <f t="shared" si="678"/>
        <v>-1.2337005501361696E-20</v>
      </c>
      <c r="BD789" s="15">
        <f t="shared" si="693"/>
        <v>6.7167310405858922</v>
      </c>
      <c r="BE789" s="10">
        <f t="shared" si="694"/>
        <v>0</v>
      </c>
      <c r="BF789">
        <f t="shared" si="695"/>
        <v>0</v>
      </c>
      <c r="BG789">
        <f t="shared" si="696"/>
        <v>0</v>
      </c>
      <c r="BH789">
        <f t="shared" si="697"/>
        <v>0</v>
      </c>
      <c r="BI789">
        <f t="shared" si="698"/>
        <v>0</v>
      </c>
    </row>
    <row r="790" spans="1:61" x14ac:dyDescent="0.3">
      <c r="A790">
        <f t="shared" si="703"/>
        <v>0.753</v>
      </c>
      <c r="B790">
        <f t="shared" si="646"/>
        <v>2.3656192681531141</v>
      </c>
      <c r="C790">
        <f t="shared" si="647"/>
        <v>0.77597338543667904</v>
      </c>
      <c r="D790">
        <f t="shared" si="648"/>
        <v>0.77597338543667904</v>
      </c>
      <c r="E790">
        <f t="shared" si="653"/>
        <v>0.70041115078380656</v>
      </c>
      <c r="F790">
        <f t="shared" si="654"/>
        <v>0.70041115078380645</v>
      </c>
      <c r="G790">
        <f t="shared" si="649"/>
        <v>2.3656192681531141</v>
      </c>
      <c r="H790">
        <f t="shared" si="650"/>
        <v>0.70041115078380656</v>
      </c>
      <c r="I790">
        <f t="shared" si="651"/>
        <v>0.70041115078380645</v>
      </c>
      <c r="J790">
        <f t="shared" si="699"/>
        <v>9.0892295426073903E+19</v>
      </c>
      <c r="K790">
        <f t="shared" si="700"/>
        <v>9.0892295426073903E+19</v>
      </c>
      <c r="L790">
        <f t="shared" si="655"/>
        <v>1</v>
      </c>
      <c r="M790">
        <f t="shared" si="652"/>
        <v>7.7597338543667896E-21</v>
      </c>
      <c r="N790" s="9">
        <f t="shared" si="701"/>
        <v>7.7597338543667896E-21</v>
      </c>
      <c r="O790">
        <f t="shared" si="702"/>
        <v>7.7597338543667896E-21</v>
      </c>
      <c r="Q790">
        <f t="shared" si="656"/>
        <v>45.956206912694959</v>
      </c>
      <c r="R790">
        <f t="shared" si="657"/>
        <v>0</v>
      </c>
      <c r="S790">
        <f t="shared" si="679"/>
        <v>-46.305338916385672</v>
      </c>
      <c r="T790" s="9" t="e">
        <f t="shared" si="658"/>
        <v>#N/A</v>
      </c>
      <c r="U790">
        <f t="shared" si="680"/>
        <v>-1.0000000000000001E+300</v>
      </c>
      <c r="V790">
        <f t="shared" si="681"/>
        <v>0</v>
      </c>
      <c r="W790">
        <f t="shared" si="682"/>
        <v>0</v>
      </c>
      <c r="X790">
        <f t="shared" si="659"/>
        <v>0.77597338543667904</v>
      </c>
      <c r="Y790">
        <f t="shared" si="660"/>
        <v>7.8539816339744828</v>
      </c>
      <c r="Z790">
        <f t="shared" si="661"/>
        <v>-0.77597338543667904</v>
      </c>
      <c r="AA790">
        <f t="shared" si="683"/>
        <v>-0.79073974604612796</v>
      </c>
      <c r="AB790">
        <f t="shared" si="662"/>
        <v>7.0632418879283545</v>
      </c>
      <c r="AC790">
        <f t="shared" si="684"/>
        <v>-0.70521976179421431</v>
      </c>
      <c r="AD790">
        <f t="shared" si="663"/>
        <v>0.35608775810350146</v>
      </c>
      <c r="AE790" s="9">
        <f t="shared" si="685"/>
        <v>6.7141098842376419</v>
      </c>
      <c r="AF790">
        <f t="shared" si="686"/>
        <v>0</v>
      </c>
      <c r="AH790">
        <f t="shared" si="664"/>
        <v>7.8539816339744828</v>
      </c>
      <c r="AI790">
        <f t="shared" si="665"/>
        <v>-0.79073974604612762</v>
      </c>
      <c r="AJ790">
        <f t="shared" si="666"/>
        <v>-0.70521976179421131</v>
      </c>
      <c r="AK790">
        <f t="shared" si="667"/>
        <v>0.35608775810350146</v>
      </c>
      <c r="AL790" s="9">
        <f t="shared" si="687"/>
        <v>6.7141098842376454</v>
      </c>
      <c r="AM790" t="e">
        <f t="shared" si="668"/>
        <v>#N/A</v>
      </c>
      <c r="AN790" t="e">
        <f t="shared" si="688"/>
        <v>#N/A</v>
      </c>
      <c r="AO790">
        <f t="shared" si="669"/>
        <v>0</v>
      </c>
      <c r="AP790">
        <f t="shared" si="670"/>
        <v>0</v>
      </c>
      <c r="AQ790">
        <f t="shared" si="671"/>
        <v>2.9976021664879227E-15</v>
      </c>
      <c r="AR790">
        <f t="shared" si="689"/>
        <v>0</v>
      </c>
      <c r="AS790">
        <f t="shared" si="672"/>
        <v>0</v>
      </c>
      <c r="AT790">
        <f t="shared" si="690"/>
        <v>0</v>
      </c>
      <c r="AU790">
        <f t="shared" si="691"/>
        <v>0</v>
      </c>
      <c r="AV790">
        <f t="shared" si="673"/>
        <v>7.7597338543667896E-21</v>
      </c>
      <c r="AW790" t="b">
        <f t="shared" si="692"/>
        <v>1</v>
      </c>
      <c r="AX790">
        <f t="shared" si="674"/>
        <v>7.8539816339744828</v>
      </c>
      <c r="AY790">
        <f t="shared" si="675"/>
        <v>-0.79073974604612807</v>
      </c>
      <c r="AZ790">
        <f t="shared" si="676"/>
        <v>-0.70521976179421431</v>
      </c>
      <c r="BA790">
        <f t="shared" si="677"/>
        <v>0.35608775810350163</v>
      </c>
      <c r="BB790">
        <f t="shared" si="678"/>
        <v>-1.2337005501361696E-20</v>
      </c>
      <c r="BD790" s="15">
        <f t="shared" si="693"/>
        <v>6.7141098842376419</v>
      </c>
      <c r="BE790" s="10">
        <f t="shared" si="694"/>
        <v>0</v>
      </c>
      <c r="BF790">
        <f t="shared" si="695"/>
        <v>0</v>
      </c>
      <c r="BG790">
        <f t="shared" si="696"/>
        <v>0</v>
      </c>
      <c r="BH790">
        <f t="shared" si="697"/>
        <v>0</v>
      </c>
      <c r="BI790">
        <f t="shared" si="698"/>
        <v>0</v>
      </c>
    </row>
    <row r="791" spans="1:61" x14ac:dyDescent="0.3">
      <c r="A791">
        <f t="shared" si="703"/>
        <v>0.754</v>
      </c>
      <c r="B791">
        <f t="shared" si="646"/>
        <v>2.3687608608067041</v>
      </c>
      <c r="C791">
        <f t="shared" si="647"/>
        <v>0.772831792783089</v>
      </c>
      <c r="D791">
        <f t="shared" si="648"/>
        <v>0.772831792783089</v>
      </c>
      <c r="E791">
        <f t="shared" si="653"/>
        <v>0.69816541899347262</v>
      </c>
      <c r="F791">
        <f t="shared" si="654"/>
        <v>0.69816541899347262</v>
      </c>
      <c r="G791">
        <f t="shared" si="649"/>
        <v>2.3687608608067041</v>
      </c>
      <c r="H791">
        <f t="shared" si="650"/>
        <v>0.69816541899347262</v>
      </c>
      <c r="I791">
        <f t="shared" si="651"/>
        <v>0.69816541899347262</v>
      </c>
      <c r="J791">
        <f t="shared" si="699"/>
        <v>9.118466126342665E+19</v>
      </c>
      <c r="K791">
        <f t="shared" si="700"/>
        <v>9.118466126342665E+19</v>
      </c>
      <c r="L791">
        <f t="shared" si="655"/>
        <v>0</v>
      </c>
      <c r="M791">
        <f t="shared" si="652"/>
        <v>7.72831792783089E-21</v>
      </c>
      <c r="N791" s="9">
        <f t="shared" si="701"/>
        <v>0</v>
      </c>
      <c r="O791">
        <f t="shared" si="702"/>
        <v>0</v>
      </c>
      <c r="Q791">
        <f t="shared" si="656"/>
        <v>45.959418368926912</v>
      </c>
      <c r="R791">
        <f t="shared" si="657"/>
        <v>-710542.73576010019</v>
      </c>
      <c r="S791">
        <f t="shared" si="679"/>
        <v>-46.309395717081287</v>
      </c>
      <c r="T791" s="9" t="e">
        <f t="shared" si="658"/>
        <v>#N/A</v>
      </c>
      <c r="U791">
        <f t="shared" si="680"/>
        <v>-1.0000000000000001E+300</v>
      </c>
      <c r="V791">
        <f t="shared" si="681"/>
        <v>0</v>
      </c>
      <c r="W791">
        <f t="shared" si="682"/>
        <v>0</v>
      </c>
      <c r="X791">
        <f t="shared" si="659"/>
        <v>0.772831792783089</v>
      </c>
      <c r="Y791">
        <f t="shared" si="660"/>
        <v>7.8539816339744828</v>
      </c>
      <c r="Z791">
        <f t="shared" si="661"/>
        <v>-0.772831792783089</v>
      </c>
      <c r="AA791">
        <f t="shared" si="683"/>
        <v>-0.79250341056745233</v>
      </c>
      <c r="AB791">
        <f t="shared" si="662"/>
        <v>7.0614782234070308</v>
      </c>
      <c r="AC791">
        <f t="shared" si="684"/>
        <v>-0.70927656248982907</v>
      </c>
      <c r="AD791">
        <f t="shared" si="663"/>
        <v>0.35929921433545448</v>
      </c>
      <c r="AE791" s="9">
        <f t="shared" si="685"/>
        <v>6.7115008752526562</v>
      </c>
      <c r="AF791">
        <f t="shared" si="686"/>
        <v>0</v>
      </c>
      <c r="AH791">
        <f t="shared" si="664"/>
        <v>7.8539816339744828</v>
      </c>
      <c r="AI791">
        <f t="shared" si="665"/>
        <v>-0.79250341056745188</v>
      </c>
      <c r="AJ791">
        <f t="shared" si="666"/>
        <v>-0.70927656248982629</v>
      </c>
      <c r="AK791">
        <f t="shared" si="667"/>
        <v>0.35929921433545448</v>
      </c>
      <c r="AL791" s="9">
        <f t="shared" si="687"/>
        <v>6.7115008752526588</v>
      </c>
      <c r="AM791" t="e">
        <f t="shared" si="668"/>
        <v>#N/A</v>
      </c>
      <c r="AN791" t="e">
        <f t="shared" si="688"/>
        <v>#N/A</v>
      </c>
      <c r="AO791">
        <f t="shared" si="669"/>
        <v>0</v>
      </c>
      <c r="AP791">
        <f t="shared" si="670"/>
        <v>0</v>
      </c>
      <c r="AQ791">
        <f t="shared" si="671"/>
        <v>2.7755575615628914E-15</v>
      </c>
      <c r="AR791">
        <f t="shared" si="689"/>
        <v>0</v>
      </c>
      <c r="AS791">
        <f t="shared" si="672"/>
        <v>0</v>
      </c>
      <c r="AT791">
        <f t="shared" si="690"/>
        <v>0</v>
      </c>
      <c r="AU791">
        <f t="shared" si="691"/>
        <v>0</v>
      </c>
      <c r="AV791">
        <f t="shared" si="673"/>
        <v>7.72831792783089E-21</v>
      </c>
      <c r="AW791" t="b">
        <f t="shared" si="692"/>
        <v>1</v>
      </c>
      <c r="AX791">
        <f t="shared" si="674"/>
        <v>7.8539816339744828</v>
      </c>
      <c r="AY791">
        <f t="shared" si="675"/>
        <v>-0.79250341056745233</v>
      </c>
      <c r="AZ791">
        <f t="shared" si="676"/>
        <v>-0.70927656248982895</v>
      </c>
      <c r="BA791">
        <f t="shared" si="677"/>
        <v>0.35929921433545448</v>
      </c>
      <c r="BB791">
        <f t="shared" si="678"/>
        <v>-1.2337005501361696E-20</v>
      </c>
      <c r="BD791" s="15">
        <f t="shared" si="693"/>
        <v>6.7115008752526562</v>
      </c>
      <c r="BE791" s="10">
        <f t="shared" si="694"/>
        <v>0</v>
      </c>
      <c r="BF791">
        <f t="shared" si="695"/>
        <v>0</v>
      </c>
      <c r="BG791">
        <f t="shared" si="696"/>
        <v>0</v>
      </c>
      <c r="BH791">
        <f t="shared" si="697"/>
        <v>0</v>
      </c>
      <c r="BI791">
        <f t="shared" si="698"/>
        <v>0</v>
      </c>
    </row>
    <row r="792" spans="1:61" x14ac:dyDescent="0.3">
      <c r="A792">
        <f t="shared" si="703"/>
        <v>0.755</v>
      </c>
      <c r="B792">
        <f t="shared" ref="B792:B855" si="704">th_max*A792</f>
        <v>2.3719024534602937</v>
      </c>
      <c r="C792">
        <f t="shared" ref="C792:C855" si="705">th_max-B792</f>
        <v>0.7696902001294994</v>
      </c>
      <c r="D792">
        <f t="shared" ref="D792:D855" si="706">IF(use_th_l,B792,C792)</f>
        <v>0.7696902001294994</v>
      </c>
      <c r="E792">
        <f t="shared" si="653"/>
        <v>0.69591279659231442</v>
      </c>
      <c r="F792">
        <f t="shared" si="654"/>
        <v>0.69591279659231442</v>
      </c>
      <c r="G792">
        <f t="shared" ref="G792:G855" si="707">alpha*B792</f>
        <v>2.3719024534602937</v>
      </c>
      <c r="H792">
        <f t="shared" ref="H792:H855" si="708">SIN(G792)</f>
        <v>0.69591279659231442</v>
      </c>
      <c r="I792">
        <f t="shared" ref="I792:I855" si="709">SIN(alpha*C792+add_r)</f>
        <v>0.69591279659231442</v>
      </c>
      <c r="J792">
        <f t="shared" si="699"/>
        <v>9.1479819811465757E+19</v>
      </c>
      <c r="K792">
        <f t="shared" si="700"/>
        <v>9.1479819811465757E+19</v>
      </c>
      <c r="L792">
        <f t="shared" si="655"/>
        <v>1</v>
      </c>
      <c r="M792">
        <f t="shared" ref="M792:M855" si="710">-SIN((alpha_m_1)*B792+add_l)</f>
        <v>7.6969020012949934E-21</v>
      </c>
      <c r="N792" s="9">
        <f t="shared" si="701"/>
        <v>7.6969020012949934E-21</v>
      </c>
      <c r="O792">
        <f t="shared" si="702"/>
        <v>7.6969020012949934E-21</v>
      </c>
      <c r="Q792">
        <f t="shared" si="656"/>
        <v>45.962650073341329</v>
      </c>
      <c r="R792">
        <f t="shared" si="657"/>
        <v>0</v>
      </c>
      <c r="S792">
        <f t="shared" si="679"/>
        <v>-46.313469042468924</v>
      </c>
      <c r="T792" s="9" t="e">
        <f t="shared" si="658"/>
        <v>#N/A</v>
      </c>
      <c r="U792">
        <f t="shared" si="680"/>
        <v>-1.0000000000000001E+300</v>
      </c>
      <c r="V792">
        <f t="shared" si="681"/>
        <v>0</v>
      </c>
      <c r="W792">
        <f t="shared" si="682"/>
        <v>0</v>
      </c>
      <c r="X792">
        <f t="shared" si="659"/>
        <v>0.7696902001294994</v>
      </c>
      <c r="Y792">
        <f t="shared" si="660"/>
        <v>7.8539816339744828</v>
      </c>
      <c r="Z792">
        <f t="shared" si="661"/>
        <v>-0.7696902001294994</v>
      </c>
      <c r="AA792">
        <f t="shared" si="683"/>
        <v>-0.79425867227932734</v>
      </c>
      <c r="AB792">
        <f t="shared" si="662"/>
        <v>7.0597229616951553</v>
      </c>
      <c r="AC792">
        <f t="shared" si="684"/>
        <v>-0.71334988787746467</v>
      </c>
      <c r="AD792">
        <f t="shared" si="663"/>
        <v>0.36253091874986915</v>
      </c>
      <c r="AE792" s="9">
        <f t="shared" si="685"/>
        <v>6.70890399256756</v>
      </c>
      <c r="AF792">
        <f t="shared" si="686"/>
        <v>0</v>
      </c>
      <c r="AH792">
        <f t="shared" si="664"/>
        <v>7.8539816339744828</v>
      </c>
      <c r="AI792">
        <f t="shared" si="665"/>
        <v>-0.79425867227932723</v>
      </c>
      <c r="AJ792">
        <f t="shared" si="666"/>
        <v>-0.71334988787746312</v>
      </c>
      <c r="AK792">
        <f t="shared" si="667"/>
        <v>0.36253091874986915</v>
      </c>
      <c r="AL792" s="9">
        <f t="shared" si="687"/>
        <v>6.7089039925675618</v>
      </c>
      <c r="AM792" t="e">
        <f t="shared" si="668"/>
        <v>#N/A</v>
      </c>
      <c r="AN792" t="e">
        <f t="shared" si="688"/>
        <v>#N/A</v>
      </c>
      <c r="AO792">
        <f t="shared" si="669"/>
        <v>0</v>
      </c>
      <c r="AP792">
        <f t="shared" si="670"/>
        <v>0</v>
      </c>
      <c r="AQ792">
        <f t="shared" si="671"/>
        <v>1.5543122344752192E-15</v>
      </c>
      <c r="AR792">
        <f t="shared" si="689"/>
        <v>0</v>
      </c>
      <c r="AS792">
        <f t="shared" si="672"/>
        <v>0</v>
      </c>
      <c r="AT792">
        <f t="shared" si="690"/>
        <v>0</v>
      </c>
      <c r="AU792">
        <f t="shared" si="691"/>
        <v>0</v>
      </c>
      <c r="AV792">
        <f t="shared" si="673"/>
        <v>7.6969020012949934E-21</v>
      </c>
      <c r="AW792" t="b">
        <f t="shared" si="692"/>
        <v>1</v>
      </c>
      <c r="AX792">
        <f t="shared" si="674"/>
        <v>7.8539816339744828</v>
      </c>
      <c r="AY792">
        <f t="shared" si="675"/>
        <v>-0.79425867227932734</v>
      </c>
      <c r="AZ792">
        <f t="shared" si="676"/>
        <v>-0.71334988787746467</v>
      </c>
      <c r="BA792">
        <f t="shared" si="677"/>
        <v>0.36253091874986915</v>
      </c>
      <c r="BB792">
        <f t="shared" si="678"/>
        <v>-1.2337005501361696E-20</v>
      </c>
      <c r="BD792" s="15">
        <f t="shared" si="693"/>
        <v>6.70890399256756</v>
      </c>
      <c r="BE792" s="10">
        <f t="shared" si="694"/>
        <v>0</v>
      </c>
      <c r="BF792">
        <f t="shared" si="695"/>
        <v>0</v>
      </c>
      <c r="BG792">
        <f t="shared" si="696"/>
        <v>0</v>
      </c>
      <c r="BH792">
        <f t="shared" si="697"/>
        <v>0</v>
      </c>
      <c r="BI792">
        <f t="shared" si="698"/>
        <v>0</v>
      </c>
    </row>
    <row r="793" spans="1:61" x14ac:dyDescent="0.3">
      <c r="A793">
        <f t="shared" si="703"/>
        <v>0.75600000000000001</v>
      </c>
      <c r="B793">
        <f t="shared" si="704"/>
        <v>2.3750440461138838</v>
      </c>
      <c r="C793">
        <f t="shared" si="705"/>
        <v>0.76654860747590936</v>
      </c>
      <c r="D793">
        <f t="shared" si="706"/>
        <v>0.76654860747590936</v>
      </c>
      <c r="E793">
        <f t="shared" ref="E793:E856" si="711">SIN(B793-add_l)</f>
        <v>0.69365330581280493</v>
      </c>
      <c r="F793">
        <f t="shared" ref="F793:F856" si="712">SIN(C793)</f>
        <v>0.69365330581280482</v>
      </c>
      <c r="G793">
        <f t="shared" si="707"/>
        <v>2.3750440461138838</v>
      </c>
      <c r="H793">
        <f t="shared" si="708"/>
        <v>0.69365330581280493</v>
      </c>
      <c r="I793">
        <f t="shared" si="709"/>
        <v>0.69365330581280482</v>
      </c>
      <c r="J793">
        <f t="shared" si="699"/>
        <v>9.1777804132513563E+19</v>
      </c>
      <c r="K793">
        <f t="shared" si="700"/>
        <v>9.1777804132513563E+19</v>
      </c>
      <c r="L793">
        <f t="shared" ref="L793:L856" si="713">(cat0*E793*K793)^(1/(alpha_m_1))</f>
        <v>1</v>
      </c>
      <c r="M793">
        <f t="shared" si="710"/>
        <v>7.6654860747590938E-21</v>
      </c>
      <c r="N793" s="9">
        <f t="shared" si="701"/>
        <v>7.6654860747590938E-21</v>
      </c>
      <c r="O793">
        <f t="shared" si="702"/>
        <v>7.6654860747590938E-21</v>
      </c>
      <c r="Q793">
        <f t="shared" ref="Q793:Q856" si="714">alpha*LN(J793)</f>
        <v>45.965902157235675</v>
      </c>
      <c r="R793">
        <f t="shared" ref="R793:R856" si="715">(LN(cat0)+LN(E793)+Q793)/(alpha_m_1)</f>
        <v>-710542.73576010019</v>
      </c>
      <c r="S793">
        <f t="shared" si="679"/>
        <v>-46.317559027720449</v>
      </c>
      <c r="T793" s="9" t="e">
        <f t="shared" ref="T793:T856" si="716">IF(ABS(alpha_m_1)&gt;0.00000000000001,R793+S793,NA())</f>
        <v>#N/A</v>
      </c>
      <c r="U793">
        <f t="shared" si="680"/>
        <v>-1.0000000000000001E+300</v>
      </c>
      <c r="V793">
        <f t="shared" si="681"/>
        <v>0</v>
      </c>
      <c r="W793">
        <f t="shared" si="682"/>
        <v>0</v>
      </c>
      <c r="X793">
        <f t="shared" ref="X793:X856" si="717">C793</f>
        <v>0.76654860747590936</v>
      </c>
      <c r="Y793">
        <f t="shared" ref="Y793:Y856" si="718">ea</f>
        <v>7.8539816339744828</v>
      </c>
      <c r="Z793">
        <f t="shared" ref="Z793:Z856" si="719">p2b+PI()/2-X793</f>
        <v>-0.76654860747590936</v>
      </c>
      <c r="AA793">
        <f t="shared" si="683"/>
        <v>-0.79600554823732594</v>
      </c>
      <c r="AB793">
        <f t="shared" ref="AB793:AB856" si="720">$AA$7+AA793</f>
        <v>7.057976085737157</v>
      </c>
      <c r="AC793">
        <f t="shared" si="684"/>
        <v>-0.71743987312899016</v>
      </c>
      <c r="AD793">
        <f t="shared" ref="AD793:AD856" si="721">-LN(SIN(A793*PI()))</f>
        <v>0.36578300264421892</v>
      </c>
      <c r="AE793" s="9">
        <f t="shared" si="685"/>
        <v>6.7063192152523854</v>
      </c>
      <c r="AF793">
        <f t="shared" si="686"/>
        <v>0</v>
      </c>
      <c r="AH793">
        <f t="shared" ref="AH793:AH856" si="722">IF(use_alpha_near_1,$D$18,NA())</f>
        <v>7.8539816339744828</v>
      </c>
      <c r="AI793">
        <f t="shared" ref="AI793:AI856" si="723">IF(use_alpha_near_1,alpha/(alpha_m_1)*(log1p(-SIN(add_l)*_xlfn.COT(B793)-2*SIN(add_l/2)^2)-log1p(SIN(alpha_m_1*B793)*_xlfn.COT(B793)-2*SIN(alpha_m_1*B793/2)^2)),NA())</f>
        <v>-0.79600554823732539</v>
      </c>
      <c r="AJ793">
        <f t="shared" ref="AJ793:AJ856" si="724">IF(use_alpha_near_1,$D$21+LN(M793),NA())</f>
        <v>-0.71743987312898838</v>
      </c>
      <c r="AK793">
        <f t="shared" ref="AK793:AK856" si="725">IF(use_alpha_near_1,-LN(E793),NA())</f>
        <v>0.36578300264421892</v>
      </c>
      <c r="AL793" s="9">
        <f t="shared" si="687"/>
        <v>6.7063192152523881</v>
      </c>
      <c r="AM793" t="e">
        <f t="shared" ref="AM793:AM856" si="726">AL793-T793</f>
        <v>#N/A</v>
      </c>
      <c r="AN793" t="e">
        <f t="shared" si="688"/>
        <v>#N/A</v>
      </c>
      <c r="AO793">
        <f t="shared" ref="AO793:AO856" si="727">AH793-Y793</f>
        <v>0</v>
      </c>
      <c r="AP793">
        <f t="shared" ref="AP793:AP856" si="728">AI793-AA793</f>
        <v>0</v>
      </c>
      <c r="AQ793">
        <f t="shared" ref="AQ793:AQ856" si="729">AJ793-AC793</f>
        <v>1.7763568394002505E-15</v>
      </c>
      <c r="AR793">
        <f t="shared" si="689"/>
        <v>0</v>
      </c>
      <c r="AS793">
        <f t="shared" ref="AS793:AS856" si="730">AL793-AE793</f>
        <v>0</v>
      </c>
      <c r="AT793">
        <f t="shared" si="690"/>
        <v>0</v>
      </c>
      <c r="AU793">
        <f t="shared" si="691"/>
        <v>0</v>
      </c>
      <c r="AV793">
        <f t="shared" ref="AV793:AV856" si="731">alpha_m_1*C793+add_r</f>
        <v>7.6654860747590938E-21</v>
      </c>
      <c r="AW793" t="b">
        <f t="shared" si="692"/>
        <v>1</v>
      </c>
      <c r="AX793">
        <f t="shared" ref="AX793:AX856" si="732">IF(use_alpha_near_1,$D$18,NA())</f>
        <v>7.8539816339744828</v>
      </c>
      <c r="AY793">
        <f t="shared" ref="AY793:AY856" si="733">-alpha/alpha_m_1*log1p(_xlfn.COT(C793)*SIN(AV793)-2*SIN(AV793/2)^2)</f>
        <v>-0.79600554823732594</v>
      </c>
      <c r="AZ793">
        <f t="shared" ref="AZ793:AZ856" si="734">LN(ABS(zeta)*SIN(AV793))</f>
        <v>-0.71743987312899005</v>
      </c>
      <c r="BA793">
        <f t="shared" ref="BA793:BA856" si="735">-LN(SIN(C793))</f>
        <v>0.36578300264421909</v>
      </c>
      <c r="BB793">
        <f t="shared" ref="BB793:BB856" si="736">-log1p(zeta^-2)/(2*alpha_m_1)</f>
        <v>-1.2337005501361696E-20</v>
      </c>
      <c r="BD793" s="15">
        <f t="shared" si="693"/>
        <v>6.7063192152523863</v>
      </c>
      <c r="BE793" s="10">
        <f t="shared" si="694"/>
        <v>0</v>
      </c>
      <c r="BF793">
        <f t="shared" si="695"/>
        <v>0</v>
      </c>
      <c r="BG793">
        <f t="shared" si="696"/>
        <v>0</v>
      </c>
      <c r="BH793">
        <f t="shared" si="697"/>
        <v>0</v>
      </c>
      <c r="BI793">
        <f t="shared" si="698"/>
        <v>0</v>
      </c>
    </row>
    <row r="794" spans="1:61" x14ac:dyDescent="0.3">
      <c r="A794">
        <f t="shared" si="703"/>
        <v>0.75700000000000001</v>
      </c>
      <c r="B794">
        <f t="shared" si="704"/>
        <v>2.3781856387674734</v>
      </c>
      <c r="C794">
        <f t="shared" si="705"/>
        <v>0.76340701482231976</v>
      </c>
      <c r="D794">
        <f t="shared" si="706"/>
        <v>0.76340701482231976</v>
      </c>
      <c r="E794">
        <f t="shared" si="711"/>
        <v>0.69138696895520646</v>
      </c>
      <c r="F794">
        <f t="shared" si="712"/>
        <v>0.69138696895520646</v>
      </c>
      <c r="G794">
        <f t="shared" si="707"/>
        <v>2.3781856387674734</v>
      </c>
      <c r="H794">
        <f t="shared" si="708"/>
        <v>0.69138696895520646</v>
      </c>
      <c r="I794">
        <f t="shared" si="709"/>
        <v>0.69138696895520646</v>
      </c>
      <c r="J794">
        <f t="shared" si="699"/>
        <v>9.2078647841687437E+19</v>
      </c>
      <c r="K794">
        <f t="shared" si="700"/>
        <v>9.2078647841687437E+19</v>
      </c>
      <c r="L794">
        <f t="shared" si="713"/>
        <v>1</v>
      </c>
      <c r="M794">
        <f t="shared" si="710"/>
        <v>7.6340701482231972E-21</v>
      </c>
      <c r="N794" s="9">
        <f t="shared" si="701"/>
        <v>7.6340701482231972E-21</v>
      </c>
      <c r="O794">
        <f t="shared" si="702"/>
        <v>7.6340701482231972E-21</v>
      </c>
      <c r="Q794">
        <f t="shared" si="714"/>
        <v>45.969174753594885</v>
      </c>
      <c r="R794">
        <f t="shared" si="715"/>
        <v>-710542.73576010019</v>
      </c>
      <c r="S794">
        <f t="shared" ref="S794:S857" si="737">LN(M794)</f>
        <v>-46.3216658096731</v>
      </c>
      <c r="T794" s="9" t="e">
        <f t="shared" si="716"/>
        <v>#N/A</v>
      </c>
      <c r="U794">
        <f t="shared" ref="U794:U857" si="738">IFERROR(T794-EXP(T794),-1E+300)</f>
        <v>-1.0000000000000001E+300</v>
      </c>
      <c r="V794">
        <f t="shared" ref="V794:V857" si="739">EXP(U794)</f>
        <v>0</v>
      </c>
      <c r="W794">
        <f t="shared" ref="W794:W857" si="740">IFERROR(T794-LN(N794),0)</f>
        <v>0</v>
      </c>
      <c r="X794">
        <f t="shared" si="717"/>
        <v>0.76340701482231976</v>
      </c>
      <c r="Y794">
        <f t="shared" si="718"/>
        <v>7.8539816339744828</v>
      </c>
      <c r="Z794">
        <f t="shared" si="719"/>
        <v>-0.76340701482231976</v>
      </c>
      <c r="AA794">
        <f t="shared" ref="AA794:AA857" si="741">Z794*TAN(PI()/2-X794)</f>
        <v>-0.79774405538641191</v>
      </c>
      <c r="AB794">
        <f t="shared" si="720"/>
        <v>7.0562375785880711</v>
      </c>
      <c r="AC794">
        <f t="shared" ref="AC794:AC857" si="742">LN(Z794/$AA$6)</f>
        <v>-0.72154665508164317</v>
      </c>
      <c r="AD794">
        <f t="shared" si="721"/>
        <v>0.36905559900342877</v>
      </c>
      <c r="AE794" s="9">
        <f t="shared" ref="AE794:AE857" si="743">AB794+AC794+AD794</f>
        <v>6.7037465225098565</v>
      </c>
      <c r="AF794">
        <f t="shared" ref="AF794:AF857" si="744">IFERROR(EXP(AE794)*EXP(-EXP(AE794)),0)</f>
        <v>0</v>
      </c>
      <c r="AH794">
        <f t="shared" si="722"/>
        <v>7.8539816339744828</v>
      </c>
      <c r="AI794">
        <f t="shared" si="723"/>
        <v>-0.79774405538641191</v>
      </c>
      <c r="AJ794">
        <f t="shared" si="724"/>
        <v>-0.72154665508163873</v>
      </c>
      <c r="AK794">
        <f t="shared" si="725"/>
        <v>0.36905559900342877</v>
      </c>
      <c r="AL794" s="9">
        <f t="shared" ref="AL794:AL857" si="745">SUM(AH794:AK794)</f>
        <v>6.7037465225098609</v>
      </c>
      <c r="AM794" t="e">
        <f t="shared" si="726"/>
        <v>#N/A</v>
      </c>
      <c r="AN794" t="e">
        <f t="shared" ref="AN794:AN857" si="746">AM794/AL794</f>
        <v>#N/A</v>
      </c>
      <c r="AO794">
        <f t="shared" si="727"/>
        <v>0</v>
      </c>
      <c r="AP794">
        <f t="shared" si="728"/>
        <v>0</v>
      </c>
      <c r="AQ794">
        <f t="shared" si="729"/>
        <v>4.4408920985006262E-15</v>
      </c>
      <c r="AR794">
        <f t="shared" ref="AR794:AR857" si="747">AP794/AI794</f>
        <v>0</v>
      </c>
      <c r="AS794">
        <f t="shared" si="730"/>
        <v>0</v>
      </c>
      <c r="AT794">
        <f t="shared" ref="AT794:AT857" si="748">AS794/AL794</f>
        <v>0</v>
      </c>
      <c r="AU794">
        <f t="shared" ref="AU794:AU857" si="749">IFERROR(EXP(AL794)*EXP(-EXP(AL794)),0)</f>
        <v>0</v>
      </c>
      <c r="AV794">
        <f t="shared" si="731"/>
        <v>7.6340701482231972E-21</v>
      </c>
      <c r="AW794" t="b">
        <f t="shared" ref="AW794:AW857" si="750">(ABS(_xlfn.COT(C794)*SIN(AV794))&lt;0.00000001)</f>
        <v>1</v>
      </c>
      <c r="AX794">
        <f t="shared" si="732"/>
        <v>7.8539816339744828</v>
      </c>
      <c r="AY794">
        <f t="shared" si="733"/>
        <v>-0.79774405538641191</v>
      </c>
      <c r="AZ794">
        <f t="shared" si="734"/>
        <v>-0.72154665508164317</v>
      </c>
      <c r="BA794">
        <f t="shared" si="735"/>
        <v>0.36905559900342877</v>
      </c>
      <c r="BB794">
        <f t="shared" si="736"/>
        <v>-1.2337005501361696E-20</v>
      </c>
      <c r="BD794" s="15">
        <f t="shared" ref="BD794:BD857" si="751">SUM(AX794:BB794)</f>
        <v>6.7037465225098565</v>
      </c>
      <c r="BE794" s="10">
        <f t="shared" ref="BE794:BE857" si="752">BD794-AL794</f>
        <v>0</v>
      </c>
      <c r="BF794">
        <f t="shared" ref="BF794:BF857" si="753">BD794-AE794</f>
        <v>0</v>
      </c>
      <c r="BG794">
        <f t="shared" ref="BG794:BG857" si="754">AX794-Y794</f>
        <v>0</v>
      </c>
      <c r="BH794">
        <f t="shared" ref="BH794:BH857" si="755">AY794-AA794</f>
        <v>0</v>
      </c>
      <c r="BI794">
        <f t="shared" ref="BI794:BI857" si="756">AZ794-AC794</f>
        <v>0</v>
      </c>
    </row>
    <row r="795" spans="1:61" x14ac:dyDescent="0.3">
      <c r="A795">
        <f t="shared" si="703"/>
        <v>0.75800000000000001</v>
      </c>
      <c r="B795">
        <f t="shared" si="704"/>
        <v>2.3813272314210634</v>
      </c>
      <c r="C795">
        <f t="shared" si="705"/>
        <v>0.76026542216872972</v>
      </c>
      <c r="D795">
        <f t="shared" si="706"/>
        <v>0.76026542216872972</v>
      </c>
      <c r="E795">
        <f t="shared" si="711"/>
        <v>0.68911380838734837</v>
      </c>
      <c r="F795">
        <f t="shared" si="712"/>
        <v>0.68911380838734826</v>
      </c>
      <c r="G795">
        <f t="shared" si="707"/>
        <v>2.3813272314210634</v>
      </c>
      <c r="H795">
        <f t="shared" si="708"/>
        <v>0.68911380838734837</v>
      </c>
      <c r="I795">
        <f t="shared" si="709"/>
        <v>0.68911380838734826</v>
      </c>
      <c r="J795">
        <f t="shared" si="699"/>
        <v>9.2382385118270587E+19</v>
      </c>
      <c r="K795">
        <f t="shared" si="700"/>
        <v>9.2382385118270587E+19</v>
      </c>
      <c r="L795">
        <f t="shared" si="713"/>
        <v>1</v>
      </c>
      <c r="M795">
        <f t="shared" si="710"/>
        <v>7.6026542216872975E-21</v>
      </c>
      <c r="N795" s="9">
        <f t="shared" si="701"/>
        <v>7.6026542216872975E-21</v>
      </c>
      <c r="O795">
        <f t="shared" si="702"/>
        <v>7.6026542216872975E-21</v>
      </c>
      <c r="Q795">
        <f t="shared" si="714"/>
        <v>45.97246799711872</v>
      </c>
      <c r="R795">
        <f t="shared" si="715"/>
        <v>0</v>
      </c>
      <c r="S795">
        <f t="shared" si="737"/>
        <v>-46.325789526856965</v>
      </c>
      <c r="T795" s="9" t="e">
        <f t="shared" si="716"/>
        <v>#N/A</v>
      </c>
      <c r="U795">
        <f t="shared" si="738"/>
        <v>-1.0000000000000001E+300</v>
      </c>
      <c r="V795">
        <f t="shared" si="739"/>
        <v>0</v>
      </c>
      <c r="W795">
        <f t="shared" si="740"/>
        <v>0</v>
      </c>
      <c r="X795">
        <f t="shared" si="717"/>
        <v>0.76026542216872972</v>
      </c>
      <c r="Y795">
        <f t="shared" si="718"/>
        <v>7.8539816339744828</v>
      </c>
      <c r="Z795">
        <f t="shared" si="719"/>
        <v>-0.76026542216872972</v>
      </c>
      <c r="AA795">
        <f t="shared" si="741"/>
        <v>-0.79947421056156176</v>
      </c>
      <c r="AB795">
        <f t="shared" si="720"/>
        <v>7.0545074234129208</v>
      </c>
      <c r="AC795">
        <f t="shared" si="742"/>
        <v>-0.72567037226550557</v>
      </c>
      <c r="AD795">
        <f t="shared" si="721"/>
        <v>0.37234884252725808</v>
      </c>
      <c r="AE795" s="9">
        <f t="shared" si="743"/>
        <v>6.7011858936746735</v>
      </c>
      <c r="AF795">
        <f t="shared" si="744"/>
        <v>0</v>
      </c>
      <c r="AH795">
        <f t="shared" si="722"/>
        <v>7.8539816339744828</v>
      </c>
      <c r="AI795">
        <f t="shared" si="723"/>
        <v>-0.79947421056156165</v>
      </c>
      <c r="AJ795">
        <f t="shared" si="724"/>
        <v>-0.72567037226550468</v>
      </c>
      <c r="AK795">
        <f t="shared" si="725"/>
        <v>0.37234884252725808</v>
      </c>
      <c r="AL795" s="9">
        <f t="shared" si="745"/>
        <v>6.7011858936746744</v>
      </c>
      <c r="AM795" t="e">
        <f t="shared" si="726"/>
        <v>#N/A</v>
      </c>
      <c r="AN795" t="e">
        <f t="shared" si="746"/>
        <v>#N/A</v>
      </c>
      <c r="AO795">
        <f t="shared" si="727"/>
        <v>0</v>
      </c>
      <c r="AP795">
        <f t="shared" si="728"/>
        <v>0</v>
      </c>
      <c r="AQ795">
        <f t="shared" si="729"/>
        <v>8.8817841970012523E-16</v>
      </c>
      <c r="AR795">
        <f t="shared" si="747"/>
        <v>0</v>
      </c>
      <c r="AS795">
        <f t="shared" si="730"/>
        <v>0</v>
      </c>
      <c r="AT795">
        <f t="shared" si="748"/>
        <v>0</v>
      </c>
      <c r="AU795">
        <f t="shared" si="749"/>
        <v>0</v>
      </c>
      <c r="AV795">
        <f t="shared" si="731"/>
        <v>7.6026542216872975E-21</v>
      </c>
      <c r="AW795" t="b">
        <f t="shared" si="750"/>
        <v>1</v>
      </c>
      <c r="AX795">
        <f t="shared" si="732"/>
        <v>7.8539816339744828</v>
      </c>
      <c r="AY795">
        <f t="shared" si="733"/>
        <v>-0.79947421056156176</v>
      </c>
      <c r="AZ795">
        <f t="shared" si="734"/>
        <v>-0.72567037226550546</v>
      </c>
      <c r="BA795">
        <f t="shared" si="735"/>
        <v>0.37234884252725825</v>
      </c>
      <c r="BB795">
        <f t="shared" si="736"/>
        <v>-1.2337005501361696E-20</v>
      </c>
      <c r="BD795" s="15">
        <f t="shared" si="751"/>
        <v>6.7011858936746735</v>
      </c>
      <c r="BE795" s="10">
        <f t="shared" si="752"/>
        <v>0</v>
      </c>
      <c r="BF795">
        <f t="shared" si="753"/>
        <v>0</v>
      </c>
      <c r="BG795">
        <f t="shared" si="754"/>
        <v>0</v>
      </c>
      <c r="BH795">
        <f t="shared" si="755"/>
        <v>0</v>
      </c>
      <c r="BI795">
        <f t="shared" si="756"/>
        <v>0</v>
      </c>
    </row>
    <row r="796" spans="1:61" x14ac:dyDescent="0.3">
      <c r="A796">
        <f t="shared" si="703"/>
        <v>0.75900000000000001</v>
      </c>
      <c r="B796">
        <f t="shared" si="704"/>
        <v>2.384468824074653</v>
      </c>
      <c r="C796">
        <f t="shared" si="705"/>
        <v>0.75712382951514012</v>
      </c>
      <c r="D796">
        <f t="shared" si="706"/>
        <v>0.75712382951514012</v>
      </c>
      <c r="E796">
        <f t="shared" si="711"/>
        <v>0.68683384654440827</v>
      </c>
      <c r="F796">
        <f t="shared" si="712"/>
        <v>0.68683384654440827</v>
      </c>
      <c r="G796">
        <f t="shared" si="707"/>
        <v>2.384468824074653</v>
      </c>
      <c r="H796">
        <f t="shared" si="708"/>
        <v>0.68683384654440827</v>
      </c>
      <c r="I796">
        <f t="shared" si="709"/>
        <v>0.68683384654440827</v>
      </c>
      <c r="J796">
        <f t="shared" si="699"/>
        <v>9.2689050717365862E+19</v>
      </c>
      <c r="K796">
        <f t="shared" si="700"/>
        <v>9.2689050717365862E+19</v>
      </c>
      <c r="L796">
        <f t="shared" si="713"/>
        <v>1</v>
      </c>
      <c r="M796">
        <f t="shared" si="710"/>
        <v>7.5712382951514009E-21</v>
      </c>
      <c r="N796" s="9">
        <f t="shared" si="701"/>
        <v>7.5712382951514009E-21</v>
      </c>
      <c r="O796">
        <f t="shared" si="702"/>
        <v>7.5712382951514009E-21</v>
      </c>
      <c r="Q796">
        <f t="shared" si="714"/>
        <v>45.975782024249703</v>
      </c>
      <c r="R796">
        <f t="shared" si="715"/>
        <v>-710542.73576010019</v>
      </c>
      <c r="S796">
        <f t="shared" si="737"/>
        <v>-46.329930319522994</v>
      </c>
      <c r="T796" s="9" t="e">
        <f t="shared" si="716"/>
        <v>#N/A</v>
      </c>
      <c r="U796">
        <f t="shared" si="738"/>
        <v>-1.0000000000000001E+300</v>
      </c>
      <c r="V796">
        <f t="shared" si="739"/>
        <v>0</v>
      </c>
      <c r="W796">
        <f t="shared" si="740"/>
        <v>0</v>
      </c>
      <c r="X796">
        <f t="shared" si="717"/>
        <v>0.75712382951514012</v>
      </c>
      <c r="Y796">
        <f t="shared" si="718"/>
        <v>7.8539816339744828</v>
      </c>
      <c r="Z796">
        <f t="shared" si="719"/>
        <v>-0.75712382951514012</v>
      </c>
      <c r="AA796">
        <f t="shared" si="741"/>
        <v>-0.80119603048837773</v>
      </c>
      <c r="AB796">
        <f t="shared" si="720"/>
        <v>7.0527856034861047</v>
      </c>
      <c r="AC796">
        <f t="shared" si="742"/>
        <v>-0.72981116493153675</v>
      </c>
      <c r="AD796">
        <f t="shared" si="721"/>
        <v>0.37566286965824702</v>
      </c>
      <c r="AE796" s="9">
        <f t="shared" si="743"/>
        <v>6.698637308212815</v>
      </c>
      <c r="AF796">
        <f t="shared" si="744"/>
        <v>0</v>
      </c>
      <c r="AH796">
        <f t="shared" si="722"/>
        <v>7.8539816339744828</v>
      </c>
      <c r="AI796">
        <f t="shared" si="723"/>
        <v>-0.80119603048837751</v>
      </c>
      <c r="AJ796">
        <f t="shared" si="724"/>
        <v>-0.72981116493153309</v>
      </c>
      <c r="AK796">
        <f t="shared" si="725"/>
        <v>0.37566286965824702</v>
      </c>
      <c r="AL796" s="9">
        <f t="shared" si="745"/>
        <v>6.6986373082128194</v>
      </c>
      <c r="AM796" t="e">
        <f t="shared" si="726"/>
        <v>#N/A</v>
      </c>
      <c r="AN796" t="e">
        <f t="shared" si="746"/>
        <v>#N/A</v>
      </c>
      <c r="AO796">
        <f t="shared" si="727"/>
        <v>0</v>
      </c>
      <c r="AP796">
        <f t="shared" si="728"/>
        <v>0</v>
      </c>
      <c r="AQ796">
        <f t="shared" si="729"/>
        <v>3.6637359812630166E-15</v>
      </c>
      <c r="AR796">
        <f t="shared" si="747"/>
        <v>0</v>
      </c>
      <c r="AS796">
        <f t="shared" si="730"/>
        <v>0</v>
      </c>
      <c r="AT796">
        <f t="shared" si="748"/>
        <v>0</v>
      </c>
      <c r="AU796">
        <f t="shared" si="749"/>
        <v>0</v>
      </c>
      <c r="AV796">
        <f t="shared" si="731"/>
        <v>7.5712382951514009E-21</v>
      </c>
      <c r="AW796" t="b">
        <f t="shared" si="750"/>
        <v>1</v>
      </c>
      <c r="AX796">
        <f t="shared" si="732"/>
        <v>7.8539816339744828</v>
      </c>
      <c r="AY796">
        <f t="shared" si="733"/>
        <v>-0.80119603048837795</v>
      </c>
      <c r="AZ796">
        <f t="shared" si="734"/>
        <v>-0.72981116493153664</v>
      </c>
      <c r="BA796">
        <f t="shared" si="735"/>
        <v>0.37566286965824702</v>
      </c>
      <c r="BB796">
        <f t="shared" si="736"/>
        <v>-1.2337005501361696E-20</v>
      </c>
      <c r="BD796" s="15">
        <f t="shared" si="751"/>
        <v>6.698637308212815</v>
      </c>
      <c r="BE796" s="10">
        <f t="shared" si="752"/>
        <v>0</v>
      </c>
      <c r="BF796">
        <f t="shared" si="753"/>
        <v>0</v>
      </c>
      <c r="BG796">
        <f t="shared" si="754"/>
        <v>0</v>
      </c>
      <c r="BH796">
        <f t="shared" si="755"/>
        <v>0</v>
      </c>
      <c r="BI796">
        <f t="shared" si="756"/>
        <v>0</v>
      </c>
    </row>
    <row r="797" spans="1:61" x14ac:dyDescent="0.3">
      <c r="A797">
        <f t="shared" si="703"/>
        <v>0.76</v>
      </c>
      <c r="B797">
        <f t="shared" si="704"/>
        <v>2.3876104167282426</v>
      </c>
      <c r="C797">
        <f t="shared" si="705"/>
        <v>0.75398223686155053</v>
      </c>
      <c r="D797">
        <f t="shared" si="706"/>
        <v>0.75398223686155053</v>
      </c>
      <c r="E797">
        <f t="shared" si="711"/>
        <v>0.68454710592868884</v>
      </c>
      <c r="F797">
        <f t="shared" si="712"/>
        <v>0.68454710592868884</v>
      </c>
      <c r="G797">
        <f t="shared" si="707"/>
        <v>2.3876104167282426</v>
      </c>
      <c r="H797">
        <f t="shared" si="708"/>
        <v>0.68454710592868884</v>
      </c>
      <c r="I797">
        <f t="shared" si="709"/>
        <v>0.68454710592868884</v>
      </c>
      <c r="J797">
        <f t="shared" si="699"/>
        <v>9.2998679981841875E+19</v>
      </c>
      <c r="K797">
        <f t="shared" si="700"/>
        <v>9.2998679981841875E+19</v>
      </c>
      <c r="L797" t="e">
        <f t="shared" si="713"/>
        <v>#NUM!</v>
      </c>
      <c r="M797">
        <f t="shared" si="710"/>
        <v>7.5398223686155043E-21</v>
      </c>
      <c r="N797" s="9" t="e">
        <f t="shared" si="701"/>
        <v>#NUM!</v>
      </c>
      <c r="O797" t="e">
        <f t="shared" si="702"/>
        <v>#NUM!</v>
      </c>
      <c r="Q797">
        <f t="shared" si="714"/>
        <v>45.979116973201712</v>
      </c>
      <c r="R797">
        <f t="shared" si="715"/>
        <v>0</v>
      </c>
      <c r="S797">
        <f t="shared" si="737"/>
        <v>-46.334088329671658</v>
      </c>
      <c r="T797" s="9" t="e">
        <f t="shared" si="716"/>
        <v>#N/A</v>
      </c>
      <c r="U797">
        <f t="shared" si="738"/>
        <v>-1.0000000000000001E+300</v>
      </c>
      <c r="V797">
        <f t="shared" si="739"/>
        <v>0</v>
      </c>
      <c r="W797">
        <f t="shared" si="740"/>
        <v>0</v>
      </c>
      <c r="X797">
        <f t="shared" si="717"/>
        <v>0.75398223686155053</v>
      </c>
      <c r="Y797">
        <f t="shared" si="718"/>
        <v>7.8539816339744828</v>
      </c>
      <c r="Z797">
        <f t="shared" si="719"/>
        <v>-0.75398223686155053</v>
      </c>
      <c r="AA797">
        <f t="shared" si="741"/>
        <v>-0.80290953178369928</v>
      </c>
      <c r="AB797">
        <f t="shared" si="720"/>
        <v>7.0510721021907834</v>
      </c>
      <c r="AC797">
        <f t="shared" si="742"/>
        <v>-0.73396917508020021</v>
      </c>
      <c r="AD797">
        <f t="shared" si="721"/>
        <v>0.37899781861025139</v>
      </c>
      <c r="AE797" s="9">
        <f t="shared" si="743"/>
        <v>6.6961007457208348</v>
      </c>
      <c r="AF797">
        <f t="shared" si="744"/>
        <v>0</v>
      </c>
      <c r="AH797">
        <f t="shared" si="722"/>
        <v>7.8539816339744828</v>
      </c>
      <c r="AI797">
        <f t="shared" si="723"/>
        <v>-0.80290953178369939</v>
      </c>
      <c r="AJ797">
        <f t="shared" si="724"/>
        <v>-0.73396917508019754</v>
      </c>
      <c r="AK797">
        <f t="shared" si="725"/>
        <v>0.37899781861025139</v>
      </c>
      <c r="AL797" s="9">
        <f t="shared" si="745"/>
        <v>6.6961007457208375</v>
      </c>
      <c r="AM797" t="e">
        <f t="shared" si="726"/>
        <v>#N/A</v>
      </c>
      <c r="AN797" t="e">
        <f t="shared" si="746"/>
        <v>#N/A</v>
      </c>
      <c r="AO797">
        <f t="shared" si="727"/>
        <v>0</v>
      </c>
      <c r="AP797">
        <f t="shared" si="728"/>
        <v>0</v>
      </c>
      <c r="AQ797">
        <f t="shared" si="729"/>
        <v>2.6645352591003757E-15</v>
      </c>
      <c r="AR797">
        <f t="shared" si="747"/>
        <v>0</v>
      </c>
      <c r="AS797">
        <f t="shared" si="730"/>
        <v>0</v>
      </c>
      <c r="AT797">
        <f t="shared" si="748"/>
        <v>0</v>
      </c>
      <c r="AU797">
        <f t="shared" si="749"/>
        <v>0</v>
      </c>
      <c r="AV797">
        <f t="shared" si="731"/>
        <v>7.5398223686155043E-21</v>
      </c>
      <c r="AW797" t="b">
        <f t="shared" si="750"/>
        <v>1</v>
      </c>
      <c r="AX797">
        <f t="shared" si="732"/>
        <v>7.8539816339744828</v>
      </c>
      <c r="AY797">
        <f t="shared" si="733"/>
        <v>-0.80290953178369928</v>
      </c>
      <c r="AZ797">
        <f t="shared" si="734"/>
        <v>-0.73396917508020021</v>
      </c>
      <c r="BA797">
        <f t="shared" si="735"/>
        <v>0.37899781861025139</v>
      </c>
      <c r="BB797">
        <f t="shared" si="736"/>
        <v>-1.2337005501361696E-20</v>
      </c>
      <c r="BD797" s="15">
        <f t="shared" si="751"/>
        <v>6.6961007457208348</v>
      </c>
      <c r="BE797" s="10">
        <f t="shared" si="752"/>
        <v>0</v>
      </c>
      <c r="BF797">
        <f t="shared" si="753"/>
        <v>0</v>
      </c>
      <c r="BG797">
        <f t="shared" si="754"/>
        <v>0</v>
      </c>
      <c r="BH797">
        <f t="shared" si="755"/>
        <v>0</v>
      </c>
      <c r="BI797">
        <f t="shared" si="756"/>
        <v>0</v>
      </c>
    </row>
    <row r="798" spans="1:61" x14ac:dyDescent="0.3">
      <c r="A798">
        <f t="shared" si="703"/>
        <v>0.76100000000000001</v>
      </c>
      <c r="B798">
        <f t="shared" si="704"/>
        <v>2.3907520093818326</v>
      </c>
      <c r="C798">
        <f t="shared" si="705"/>
        <v>0.75084064420796048</v>
      </c>
      <c r="D798">
        <f t="shared" si="706"/>
        <v>0.75084064420796048</v>
      </c>
      <c r="E798">
        <f t="shared" si="711"/>
        <v>0.68225360910939647</v>
      </c>
      <c r="F798">
        <f t="shared" si="712"/>
        <v>0.68225360910939636</v>
      </c>
      <c r="G798">
        <f t="shared" si="707"/>
        <v>2.3907520093818326</v>
      </c>
      <c r="H798">
        <f t="shared" si="708"/>
        <v>0.68225360910939647</v>
      </c>
      <c r="I798">
        <f t="shared" si="709"/>
        <v>0.68225360910939636</v>
      </c>
      <c r="J798">
        <f t="shared" si="699"/>
        <v>9.3311308854579053E+19</v>
      </c>
      <c r="K798">
        <f t="shared" si="700"/>
        <v>9.3311308854579053E+19</v>
      </c>
      <c r="L798">
        <f t="shared" si="713"/>
        <v>1</v>
      </c>
      <c r="M798">
        <f t="shared" si="710"/>
        <v>7.5084064420796047E-21</v>
      </c>
      <c r="N798" s="9">
        <f t="shared" si="701"/>
        <v>7.5084064420796047E-21</v>
      </c>
      <c r="O798">
        <f t="shared" si="702"/>
        <v>7.5084064420796047E-21</v>
      </c>
      <c r="Q798">
        <f t="shared" si="714"/>
        <v>45.982472983989034</v>
      </c>
      <c r="R798">
        <f t="shared" si="715"/>
        <v>0</v>
      </c>
      <c r="S798">
        <f t="shared" si="737"/>
        <v>-46.338263701082141</v>
      </c>
      <c r="T798" s="9" t="e">
        <f t="shared" si="716"/>
        <v>#N/A</v>
      </c>
      <c r="U798">
        <f t="shared" si="738"/>
        <v>-1.0000000000000001E+300</v>
      </c>
      <c r="V798">
        <f t="shared" si="739"/>
        <v>0</v>
      </c>
      <c r="W798">
        <f t="shared" si="740"/>
        <v>0</v>
      </c>
      <c r="X798">
        <f t="shared" si="717"/>
        <v>0.75084064420796048</v>
      </c>
      <c r="Y798">
        <f t="shared" si="718"/>
        <v>7.8539816339744828</v>
      </c>
      <c r="Z798">
        <f t="shared" si="719"/>
        <v>-0.75084064420796048</v>
      </c>
      <c r="AA798">
        <f t="shared" si="741"/>
        <v>-0.80461473095620573</v>
      </c>
      <c r="AB798">
        <f t="shared" si="720"/>
        <v>7.0493669030182771</v>
      </c>
      <c r="AC798">
        <f t="shared" si="742"/>
        <v>-0.73814454649068106</v>
      </c>
      <c r="AD798">
        <f t="shared" si="721"/>
        <v>0.38235382939757284</v>
      </c>
      <c r="AE798" s="9">
        <f t="shared" si="743"/>
        <v>6.6935761859251688</v>
      </c>
      <c r="AF798">
        <f t="shared" si="744"/>
        <v>0</v>
      </c>
      <c r="AH798">
        <f t="shared" si="722"/>
        <v>7.8539816339744828</v>
      </c>
      <c r="AI798">
        <f t="shared" si="723"/>
        <v>-0.80461473095620584</v>
      </c>
      <c r="AJ798">
        <f t="shared" si="724"/>
        <v>-0.7381445464906804</v>
      </c>
      <c r="AK798">
        <f t="shared" si="725"/>
        <v>0.38235382939757284</v>
      </c>
      <c r="AL798" s="9">
        <f t="shared" si="745"/>
        <v>6.6935761859251697</v>
      </c>
      <c r="AM798" t="e">
        <f t="shared" si="726"/>
        <v>#N/A</v>
      </c>
      <c r="AN798" t="e">
        <f t="shared" si="746"/>
        <v>#N/A</v>
      </c>
      <c r="AO798">
        <f t="shared" si="727"/>
        <v>0</v>
      </c>
      <c r="AP798">
        <f t="shared" si="728"/>
        <v>0</v>
      </c>
      <c r="AQ798">
        <f t="shared" si="729"/>
        <v>0</v>
      </c>
      <c r="AR798">
        <f t="shared" si="747"/>
        <v>0</v>
      </c>
      <c r="AS798">
        <f t="shared" si="730"/>
        <v>0</v>
      </c>
      <c r="AT798">
        <f t="shared" si="748"/>
        <v>0</v>
      </c>
      <c r="AU798">
        <f t="shared" si="749"/>
        <v>0</v>
      </c>
      <c r="AV798">
        <f t="shared" si="731"/>
        <v>7.5084064420796047E-21</v>
      </c>
      <c r="AW798" t="b">
        <f t="shared" si="750"/>
        <v>1</v>
      </c>
      <c r="AX798">
        <f t="shared" si="732"/>
        <v>7.8539816339744828</v>
      </c>
      <c r="AY798">
        <f t="shared" si="733"/>
        <v>-0.80461473095620584</v>
      </c>
      <c r="AZ798">
        <f t="shared" si="734"/>
        <v>-0.73814454649068106</v>
      </c>
      <c r="BA798">
        <f t="shared" si="735"/>
        <v>0.38235382939757301</v>
      </c>
      <c r="BB798">
        <f t="shared" si="736"/>
        <v>-1.2337005501361696E-20</v>
      </c>
      <c r="BD798" s="15">
        <f t="shared" si="751"/>
        <v>6.6935761859251688</v>
      </c>
      <c r="BE798" s="10">
        <f t="shared" si="752"/>
        <v>0</v>
      </c>
      <c r="BF798">
        <f t="shared" si="753"/>
        <v>0</v>
      </c>
      <c r="BG798">
        <f t="shared" si="754"/>
        <v>0</v>
      </c>
      <c r="BH798">
        <f t="shared" si="755"/>
        <v>0</v>
      </c>
      <c r="BI798">
        <f t="shared" si="756"/>
        <v>0</v>
      </c>
    </row>
    <row r="799" spans="1:61" x14ac:dyDescent="0.3">
      <c r="A799">
        <f t="shared" si="703"/>
        <v>0.76200000000000001</v>
      </c>
      <c r="B799">
        <f t="shared" si="704"/>
        <v>2.3938936020354222</v>
      </c>
      <c r="C799">
        <f t="shared" si="705"/>
        <v>0.74769905155437089</v>
      </c>
      <c r="D799">
        <f t="shared" si="706"/>
        <v>0.74769905155437089</v>
      </c>
      <c r="E799">
        <f t="shared" si="711"/>
        <v>0.67995337872241934</v>
      </c>
      <c r="F799">
        <f t="shared" si="712"/>
        <v>0.67995337872241923</v>
      </c>
      <c r="G799">
        <f t="shared" si="707"/>
        <v>2.3938936020354222</v>
      </c>
      <c r="H799">
        <f t="shared" si="708"/>
        <v>0.67995337872241934</v>
      </c>
      <c r="I799">
        <f t="shared" si="709"/>
        <v>0.67995337872241923</v>
      </c>
      <c r="J799">
        <f t="shared" si="699"/>
        <v>9.3626973891024929E+19</v>
      </c>
      <c r="K799">
        <f t="shared" si="700"/>
        <v>9.3626973891024929E+19</v>
      </c>
      <c r="L799">
        <f t="shared" si="713"/>
        <v>1</v>
      </c>
      <c r="M799">
        <f t="shared" si="710"/>
        <v>7.4769905155437081E-21</v>
      </c>
      <c r="N799" s="9">
        <f t="shared" si="701"/>
        <v>7.4769905155437081E-21</v>
      </c>
      <c r="O799">
        <f t="shared" si="702"/>
        <v>7.4769905155437081E-21</v>
      </c>
      <c r="Q799">
        <f t="shared" si="714"/>
        <v>45.985850198456163</v>
      </c>
      <c r="R799">
        <f t="shared" si="715"/>
        <v>0</v>
      </c>
      <c r="S799">
        <f t="shared" si="737"/>
        <v>-46.342456579342176</v>
      </c>
      <c r="T799" s="9" t="e">
        <f t="shared" si="716"/>
        <v>#N/A</v>
      </c>
      <c r="U799">
        <f t="shared" si="738"/>
        <v>-1.0000000000000001E+300</v>
      </c>
      <c r="V799">
        <f t="shared" si="739"/>
        <v>0</v>
      </c>
      <c r="W799">
        <f t="shared" si="740"/>
        <v>0</v>
      </c>
      <c r="X799">
        <f t="shared" si="717"/>
        <v>0.74769905155437089</v>
      </c>
      <c r="Y799">
        <f t="shared" si="718"/>
        <v>7.8539816339744828</v>
      </c>
      <c r="Z799">
        <f t="shared" si="719"/>
        <v>-0.74769905155437089</v>
      </c>
      <c r="AA799">
        <f t="shared" si="741"/>
        <v>-0.8063116444070153</v>
      </c>
      <c r="AB799">
        <f t="shared" si="720"/>
        <v>7.047669989567467</v>
      </c>
      <c r="AC799">
        <f t="shared" si="742"/>
        <v>-0.74233742475071685</v>
      </c>
      <c r="AD799">
        <f t="shared" si="721"/>
        <v>0.38573104386470153</v>
      </c>
      <c r="AE799" s="9">
        <f t="shared" si="743"/>
        <v>6.6910636086814517</v>
      </c>
      <c r="AF799">
        <f t="shared" si="744"/>
        <v>0</v>
      </c>
      <c r="AH799">
        <f t="shared" si="722"/>
        <v>7.8539816339744828</v>
      </c>
      <c r="AI799">
        <f t="shared" si="723"/>
        <v>-0.80631164440701542</v>
      </c>
      <c r="AJ799">
        <f t="shared" si="724"/>
        <v>-0.74233742475071551</v>
      </c>
      <c r="AK799">
        <f t="shared" si="725"/>
        <v>0.38573104386470153</v>
      </c>
      <c r="AL799" s="9">
        <f t="shared" si="745"/>
        <v>6.6910636086814534</v>
      </c>
      <c r="AM799" t="e">
        <f t="shared" si="726"/>
        <v>#N/A</v>
      </c>
      <c r="AN799" t="e">
        <f t="shared" si="746"/>
        <v>#N/A</v>
      </c>
      <c r="AO799">
        <f t="shared" si="727"/>
        <v>0</v>
      </c>
      <c r="AP799">
        <f t="shared" si="728"/>
        <v>0</v>
      </c>
      <c r="AQ799">
        <f t="shared" si="729"/>
        <v>1.3322676295501878E-15</v>
      </c>
      <c r="AR799">
        <f t="shared" si="747"/>
        <v>0</v>
      </c>
      <c r="AS799">
        <f t="shared" si="730"/>
        <v>0</v>
      </c>
      <c r="AT799">
        <f t="shared" si="748"/>
        <v>0</v>
      </c>
      <c r="AU799">
        <f t="shared" si="749"/>
        <v>0</v>
      </c>
      <c r="AV799">
        <f t="shared" si="731"/>
        <v>7.4769905155437081E-21</v>
      </c>
      <c r="AW799" t="b">
        <f t="shared" si="750"/>
        <v>1</v>
      </c>
      <c r="AX799">
        <f t="shared" si="732"/>
        <v>7.8539816339744828</v>
      </c>
      <c r="AY799">
        <f t="shared" si="733"/>
        <v>-0.80631164440701519</v>
      </c>
      <c r="AZ799">
        <f t="shared" si="734"/>
        <v>-0.74233742475071685</v>
      </c>
      <c r="BA799">
        <f t="shared" si="735"/>
        <v>0.38573104386470169</v>
      </c>
      <c r="BB799">
        <f t="shared" si="736"/>
        <v>-1.2337005501361696E-20</v>
      </c>
      <c r="BD799" s="15">
        <f t="shared" si="751"/>
        <v>6.6910636086814534</v>
      </c>
      <c r="BE799" s="10">
        <f t="shared" si="752"/>
        <v>0</v>
      </c>
      <c r="BF799">
        <f t="shared" si="753"/>
        <v>0</v>
      </c>
      <c r="BG799">
        <f t="shared" si="754"/>
        <v>0</v>
      </c>
      <c r="BH799">
        <f t="shared" si="755"/>
        <v>0</v>
      </c>
      <c r="BI799">
        <f t="shared" si="756"/>
        <v>0</v>
      </c>
    </row>
    <row r="800" spans="1:61" x14ac:dyDescent="0.3">
      <c r="A800">
        <f t="shared" si="703"/>
        <v>0.76300000000000001</v>
      </c>
      <c r="B800">
        <f t="shared" si="704"/>
        <v>2.3970351946890123</v>
      </c>
      <c r="C800">
        <f t="shared" si="705"/>
        <v>0.74455745890078084</v>
      </c>
      <c r="D800">
        <f t="shared" si="706"/>
        <v>0.74455745890078084</v>
      </c>
      <c r="E800">
        <f t="shared" si="711"/>
        <v>0.67764643747010223</v>
      </c>
      <c r="F800">
        <f t="shared" si="712"/>
        <v>0.67764643747010211</v>
      </c>
      <c r="G800">
        <f t="shared" si="707"/>
        <v>2.3970351946890123</v>
      </c>
      <c r="H800">
        <f t="shared" si="708"/>
        <v>0.67764643747010223</v>
      </c>
      <c r="I800">
        <f t="shared" si="709"/>
        <v>0.67764643747010211</v>
      </c>
      <c r="J800">
        <f t="shared" si="699"/>
        <v>9.3945712272068002E+19</v>
      </c>
      <c r="K800">
        <f t="shared" si="700"/>
        <v>9.3945712272068002E+19</v>
      </c>
      <c r="L800">
        <f t="shared" si="713"/>
        <v>1</v>
      </c>
      <c r="M800">
        <f t="shared" si="710"/>
        <v>7.4455745890078085E-21</v>
      </c>
      <c r="N800" s="9">
        <f t="shared" si="701"/>
        <v>7.4455745890078085E-21</v>
      </c>
      <c r="O800">
        <f t="shared" si="702"/>
        <v>7.4455745890078085E-21</v>
      </c>
      <c r="Q800">
        <f t="shared" si="714"/>
        <v>45.989248760308151</v>
      </c>
      <c r="R800">
        <f t="shared" si="715"/>
        <v>0</v>
      </c>
      <c r="S800">
        <f t="shared" si="737"/>
        <v>-46.346667111878517</v>
      </c>
      <c r="T800" s="9" t="e">
        <f t="shared" si="716"/>
        <v>#N/A</v>
      </c>
      <c r="U800">
        <f t="shared" si="738"/>
        <v>-1.0000000000000001E+300</v>
      </c>
      <c r="V800">
        <f t="shared" si="739"/>
        <v>0</v>
      </c>
      <c r="W800">
        <f t="shared" si="740"/>
        <v>0</v>
      </c>
      <c r="X800">
        <f t="shared" si="717"/>
        <v>0.74455745890078084</v>
      </c>
      <c r="Y800">
        <f t="shared" si="718"/>
        <v>7.8539816339744828</v>
      </c>
      <c r="Z800">
        <f t="shared" si="719"/>
        <v>-0.74455745890078084</v>
      </c>
      <c r="AA800">
        <f t="shared" si="741"/>
        <v>-0.80800028843028027</v>
      </c>
      <c r="AB800">
        <f t="shared" si="720"/>
        <v>7.0459813455442024</v>
      </c>
      <c r="AC800">
        <f t="shared" si="742"/>
        <v>-0.74654795728706069</v>
      </c>
      <c r="AD800">
        <f t="shared" si="721"/>
        <v>0.38912960571669181</v>
      </c>
      <c r="AE800" s="9">
        <f t="shared" si="743"/>
        <v>6.6885629939738331</v>
      </c>
      <c r="AF800">
        <f t="shared" si="744"/>
        <v>0</v>
      </c>
      <c r="AH800">
        <f t="shared" si="722"/>
        <v>7.8539816339744828</v>
      </c>
      <c r="AI800">
        <f t="shared" si="723"/>
        <v>-0.80800028843027982</v>
      </c>
      <c r="AJ800">
        <f t="shared" si="724"/>
        <v>-0.74654795728705636</v>
      </c>
      <c r="AK800">
        <f t="shared" si="725"/>
        <v>0.38912960571669181</v>
      </c>
      <c r="AL800" s="9">
        <f t="shared" si="745"/>
        <v>6.6885629939738385</v>
      </c>
      <c r="AM800" t="e">
        <f t="shared" si="726"/>
        <v>#N/A</v>
      </c>
      <c r="AN800" t="e">
        <f t="shared" si="746"/>
        <v>#N/A</v>
      </c>
      <c r="AO800">
        <f t="shared" si="727"/>
        <v>0</v>
      </c>
      <c r="AP800">
        <f t="shared" si="728"/>
        <v>0</v>
      </c>
      <c r="AQ800">
        <f t="shared" si="729"/>
        <v>4.3298697960381105E-15</v>
      </c>
      <c r="AR800">
        <f t="shared" si="747"/>
        <v>0</v>
      </c>
      <c r="AS800">
        <f t="shared" si="730"/>
        <v>0</v>
      </c>
      <c r="AT800">
        <f t="shared" si="748"/>
        <v>0</v>
      </c>
      <c r="AU800">
        <f t="shared" si="749"/>
        <v>0</v>
      </c>
      <c r="AV800">
        <f t="shared" si="731"/>
        <v>7.4455745890078085E-21</v>
      </c>
      <c r="AW800" t="b">
        <f t="shared" si="750"/>
        <v>1</v>
      </c>
      <c r="AX800">
        <f t="shared" si="732"/>
        <v>7.8539816339744828</v>
      </c>
      <c r="AY800">
        <f t="shared" si="733"/>
        <v>-0.80800028843028038</v>
      </c>
      <c r="AZ800">
        <f t="shared" si="734"/>
        <v>-0.74654795728706058</v>
      </c>
      <c r="BA800">
        <f t="shared" si="735"/>
        <v>0.38912960571669197</v>
      </c>
      <c r="BB800">
        <f t="shared" si="736"/>
        <v>-1.2337005501361696E-20</v>
      </c>
      <c r="BD800" s="15">
        <f t="shared" si="751"/>
        <v>6.688562993973834</v>
      </c>
      <c r="BE800" s="10">
        <f t="shared" si="752"/>
        <v>0</v>
      </c>
      <c r="BF800">
        <f t="shared" si="753"/>
        <v>0</v>
      </c>
      <c r="BG800">
        <f t="shared" si="754"/>
        <v>0</v>
      </c>
      <c r="BH800">
        <f t="shared" si="755"/>
        <v>0</v>
      </c>
      <c r="BI800">
        <f t="shared" si="756"/>
        <v>0</v>
      </c>
    </row>
    <row r="801" spans="1:61" x14ac:dyDescent="0.3">
      <c r="A801">
        <f t="shared" si="703"/>
        <v>0.76400000000000001</v>
      </c>
      <c r="B801">
        <f t="shared" si="704"/>
        <v>2.4001767873426019</v>
      </c>
      <c r="C801">
        <f t="shared" si="705"/>
        <v>0.74141586624719125</v>
      </c>
      <c r="D801">
        <f t="shared" si="706"/>
        <v>0.74141586624719125</v>
      </c>
      <c r="E801">
        <f t="shared" si="711"/>
        <v>0.67533280812102459</v>
      </c>
      <c r="F801">
        <f t="shared" si="712"/>
        <v>0.67533280812102447</v>
      </c>
      <c r="G801">
        <f t="shared" si="707"/>
        <v>2.4001767873426019</v>
      </c>
      <c r="H801">
        <f t="shared" si="708"/>
        <v>0.67533280812102459</v>
      </c>
      <c r="I801">
        <f t="shared" si="709"/>
        <v>0.67533280812102447</v>
      </c>
      <c r="J801">
        <f t="shared" si="699"/>
        <v>9.4267561817238782E+19</v>
      </c>
      <c r="K801">
        <f t="shared" si="700"/>
        <v>9.4267561817238782E+19</v>
      </c>
      <c r="L801">
        <f t="shared" si="713"/>
        <v>1</v>
      </c>
      <c r="M801">
        <f t="shared" si="710"/>
        <v>7.4141586624719119E-21</v>
      </c>
      <c r="N801" s="9">
        <f t="shared" si="701"/>
        <v>7.4141586624719119E-21</v>
      </c>
      <c r="O801">
        <f t="shared" si="702"/>
        <v>7.4141586624719119E-21</v>
      </c>
      <c r="Q801">
        <f t="shared" si="714"/>
        <v>45.992668815141634</v>
      </c>
      <c r="R801">
        <f t="shared" si="715"/>
        <v>0</v>
      </c>
      <c r="S801">
        <f t="shared" si="737"/>
        <v>-46.350895447988037</v>
      </c>
      <c r="T801" s="9" t="e">
        <f t="shared" si="716"/>
        <v>#N/A</v>
      </c>
      <c r="U801">
        <f t="shared" si="738"/>
        <v>-1.0000000000000001E+300</v>
      </c>
      <c r="V801">
        <f t="shared" si="739"/>
        <v>0</v>
      </c>
      <c r="W801">
        <f t="shared" si="740"/>
        <v>0</v>
      </c>
      <c r="X801">
        <f t="shared" si="717"/>
        <v>0.74141586624719125</v>
      </c>
      <c r="Y801">
        <f t="shared" si="718"/>
        <v>7.8539816339744828</v>
      </c>
      <c r="Z801">
        <f t="shared" si="719"/>
        <v>-0.74141586624719125</v>
      </c>
      <c r="AA801">
        <f t="shared" si="741"/>
        <v>-0.80968067921377473</v>
      </c>
      <c r="AB801">
        <f t="shared" si="720"/>
        <v>7.0443009547607076</v>
      </c>
      <c r="AC801">
        <f t="shared" si="742"/>
        <v>-0.75077629339658158</v>
      </c>
      <c r="AD801">
        <f t="shared" si="721"/>
        <v>0.39254966055017626</v>
      </c>
      <c r="AE801" s="9">
        <f t="shared" si="743"/>
        <v>6.686074321914302</v>
      </c>
      <c r="AF801">
        <f t="shared" si="744"/>
        <v>0</v>
      </c>
      <c r="AH801">
        <f t="shared" si="722"/>
        <v>7.8539816339744828</v>
      </c>
      <c r="AI801">
        <f t="shared" si="723"/>
        <v>-0.80968067921377418</v>
      </c>
      <c r="AJ801">
        <f t="shared" si="724"/>
        <v>-0.75077629339657648</v>
      </c>
      <c r="AK801">
        <f t="shared" si="725"/>
        <v>0.39254966055017626</v>
      </c>
      <c r="AL801" s="9">
        <f t="shared" si="745"/>
        <v>6.6860743219143082</v>
      </c>
      <c r="AM801" t="e">
        <f t="shared" si="726"/>
        <v>#N/A</v>
      </c>
      <c r="AN801" t="e">
        <f t="shared" si="746"/>
        <v>#N/A</v>
      </c>
      <c r="AO801">
        <f t="shared" si="727"/>
        <v>0</v>
      </c>
      <c r="AP801">
        <f t="shared" si="728"/>
        <v>0</v>
      </c>
      <c r="AQ801">
        <f t="shared" si="729"/>
        <v>5.1070259132757201E-15</v>
      </c>
      <c r="AR801">
        <f t="shared" si="747"/>
        <v>0</v>
      </c>
      <c r="AS801">
        <f t="shared" si="730"/>
        <v>0</v>
      </c>
      <c r="AT801">
        <f t="shared" si="748"/>
        <v>0</v>
      </c>
      <c r="AU801">
        <f t="shared" si="749"/>
        <v>0</v>
      </c>
      <c r="AV801">
        <f t="shared" si="731"/>
        <v>7.4141586624719119E-21</v>
      </c>
      <c r="AW801" t="b">
        <f t="shared" si="750"/>
        <v>1</v>
      </c>
      <c r="AX801">
        <f t="shared" si="732"/>
        <v>7.8539816339744828</v>
      </c>
      <c r="AY801">
        <f t="shared" si="733"/>
        <v>-0.80968067921377462</v>
      </c>
      <c r="AZ801">
        <f t="shared" si="734"/>
        <v>-0.75077629339658158</v>
      </c>
      <c r="BA801">
        <f t="shared" si="735"/>
        <v>0.39254966055017643</v>
      </c>
      <c r="BB801">
        <f t="shared" si="736"/>
        <v>-1.2337005501361696E-20</v>
      </c>
      <c r="BD801" s="15">
        <f t="shared" si="751"/>
        <v>6.6860743219143028</v>
      </c>
      <c r="BE801" s="10">
        <f t="shared" si="752"/>
        <v>0</v>
      </c>
      <c r="BF801">
        <f t="shared" si="753"/>
        <v>0</v>
      </c>
      <c r="BG801">
        <f t="shared" si="754"/>
        <v>0</v>
      </c>
      <c r="BH801">
        <f t="shared" si="755"/>
        <v>0</v>
      </c>
      <c r="BI801">
        <f t="shared" si="756"/>
        <v>0</v>
      </c>
    </row>
    <row r="802" spans="1:61" x14ac:dyDescent="0.3">
      <c r="A802">
        <f t="shared" si="703"/>
        <v>0.76500000000000001</v>
      </c>
      <c r="B802">
        <f t="shared" si="704"/>
        <v>2.4033183799961919</v>
      </c>
      <c r="C802">
        <f t="shared" si="705"/>
        <v>0.7382742735936012</v>
      </c>
      <c r="D802">
        <f t="shared" si="706"/>
        <v>0.7382742735936012</v>
      </c>
      <c r="E802">
        <f t="shared" si="711"/>
        <v>0.67301251350977331</v>
      </c>
      <c r="F802">
        <f t="shared" si="712"/>
        <v>0.6730125135097732</v>
      </c>
      <c r="G802">
        <f t="shared" si="707"/>
        <v>2.4033183799961919</v>
      </c>
      <c r="H802">
        <f t="shared" si="708"/>
        <v>0.67301251350977331</v>
      </c>
      <c r="I802">
        <f t="shared" si="709"/>
        <v>0.6730125135097732</v>
      </c>
      <c r="J802">
        <f t="shared" si="699"/>
        <v>9.4592560998249054E+19</v>
      </c>
      <c r="K802">
        <f t="shared" si="700"/>
        <v>9.4592560998249054E+19</v>
      </c>
      <c r="L802" t="e">
        <f t="shared" si="713"/>
        <v>#NUM!</v>
      </c>
      <c r="M802">
        <f t="shared" si="710"/>
        <v>7.3827427359360123E-21</v>
      </c>
      <c r="N802" s="9" t="e">
        <f t="shared" si="701"/>
        <v>#NUM!</v>
      </c>
      <c r="O802" t="e">
        <f t="shared" si="702"/>
        <v>#NUM!</v>
      </c>
      <c r="Q802">
        <f t="shared" si="714"/>
        <v>45.996110510476505</v>
      </c>
      <c r="R802">
        <f t="shared" si="715"/>
        <v>-710542.73576010019</v>
      </c>
      <c r="S802">
        <f t="shared" si="737"/>
        <v>-46.355141738869492</v>
      </c>
      <c r="T802" s="9" t="e">
        <f t="shared" si="716"/>
        <v>#N/A</v>
      </c>
      <c r="U802">
        <f t="shared" si="738"/>
        <v>-1.0000000000000001E+300</v>
      </c>
      <c r="V802">
        <f t="shared" si="739"/>
        <v>0</v>
      </c>
      <c r="W802">
        <f t="shared" si="740"/>
        <v>0</v>
      </c>
      <c r="X802">
        <f t="shared" si="717"/>
        <v>0.7382742735936012</v>
      </c>
      <c r="Y802">
        <f t="shared" si="718"/>
        <v>7.8539816339744828</v>
      </c>
      <c r="Z802">
        <f t="shared" si="719"/>
        <v>-0.7382742735936012</v>
      </c>
      <c r="AA802">
        <f t="shared" si="741"/>
        <v>-0.81135283283947945</v>
      </c>
      <c r="AB802">
        <f t="shared" si="720"/>
        <v>7.0426288011350033</v>
      </c>
      <c r="AC802">
        <f t="shared" si="742"/>
        <v>-0.75502258427803304</v>
      </c>
      <c r="AD802">
        <f t="shared" si="721"/>
        <v>0.39599135588504819</v>
      </c>
      <c r="AE802" s="9">
        <f t="shared" si="743"/>
        <v>6.683597572742018</v>
      </c>
      <c r="AF802">
        <f t="shared" si="744"/>
        <v>0</v>
      </c>
      <c r="AH802">
        <f t="shared" si="722"/>
        <v>7.8539816339744828</v>
      </c>
      <c r="AI802">
        <f t="shared" si="723"/>
        <v>-0.81135283283947979</v>
      </c>
      <c r="AJ802">
        <f t="shared" si="724"/>
        <v>-0.75502258427803071</v>
      </c>
      <c r="AK802">
        <f t="shared" si="725"/>
        <v>0.39599135588504819</v>
      </c>
      <c r="AL802" s="9">
        <f t="shared" si="745"/>
        <v>6.6835975727420207</v>
      </c>
      <c r="AM802" t="e">
        <f t="shared" si="726"/>
        <v>#N/A</v>
      </c>
      <c r="AN802" t="e">
        <f t="shared" si="746"/>
        <v>#N/A</v>
      </c>
      <c r="AO802">
        <f t="shared" si="727"/>
        <v>0</v>
      </c>
      <c r="AP802">
        <f t="shared" si="728"/>
        <v>0</v>
      </c>
      <c r="AQ802">
        <f t="shared" si="729"/>
        <v>2.3314683517128287E-15</v>
      </c>
      <c r="AR802">
        <f t="shared" si="747"/>
        <v>0</v>
      </c>
      <c r="AS802">
        <f t="shared" si="730"/>
        <v>0</v>
      </c>
      <c r="AT802">
        <f t="shared" si="748"/>
        <v>0</v>
      </c>
      <c r="AU802">
        <f t="shared" si="749"/>
        <v>0</v>
      </c>
      <c r="AV802">
        <f t="shared" si="731"/>
        <v>7.3827427359360123E-21</v>
      </c>
      <c r="AW802" t="b">
        <f t="shared" si="750"/>
        <v>1</v>
      </c>
      <c r="AX802">
        <f t="shared" si="732"/>
        <v>7.8539816339744828</v>
      </c>
      <c r="AY802">
        <f t="shared" si="733"/>
        <v>-0.81135283283947968</v>
      </c>
      <c r="AZ802">
        <f t="shared" si="734"/>
        <v>-0.75502258427803282</v>
      </c>
      <c r="BA802">
        <f t="shared" si="735"/>
        <v>0.39599135588504836</v>
      </c>
      <c r="BB802">
        <f t="shared" si="736"/>
        <v>-1.2337005501361696E-20</v>
      </c>
      <c r="BD802" s="15">
        <f t="shared" si="751"/>
        <v>6.6835975727420189</v>
      </c>
      <c r="BE802" s="10">
        <f t="shared" si="752"/>
        <v>0</v>
      </c>
      <c r="BF802">
        <f t="shared" si="753"/>
        <v>0</v>
      </c>
      <c r="BG802">
        <f t="shared" si="754"/>
        <v>0</v>
      </c>
      <c r="BH802">
        <f t="shared" si="755"/>
        <v>0</v>
      </c>
      <c r="BI802">
        <f t="shared" si="756"/>
        <v>0</v>
      </c>
    </row>
    <row r="803" spans="1:61" x14ac:dyDescent="0.3">
      <c r="A803">
        <f t="shared" si="703"/>
        <v>0.76600000000000001</v>
      </c>
      <c r="B803">
        <f t="shared" si="704"/>
        <v>2.4064599726497815</v>
      </c>
      <c r="C803">
        <f t="shared" si="705"/>
        <v>0.73513268094001161</v>
      </c>
      <c r="D803">
        <f t="shared" si="706"/>
        <v>0.73513268094001161</v>
      </c>
      <c r="E803">
        <f t="shared" si="711"/>
        <v>0.67068557653672012</v>
      </c>
      <c r="F803">
        <f t="shared" si="712"/>
        <v>0.67068557653672001</v>
      </c>
      <c r="G803">
        <f t="shared" si="707"/>
        <v>2.4064599726497815</v>
      </c>
      <c r="H803">
        <f t="shared" si="708"/>
        <v>0.67068557653672012</v>
      </c>
      <c r="I803">
        <f t="shared" si="709"/>
        <v>0.67068557653672001</v>
      </c>
      <c r="J803">
        <f t="shared" si="699"/>
        <v>9.4920748952877842E+19</v>
      </c>
      <c r="K803">
        <f t="shared" si="700"/>
        <v>9.4920748952877842E+19</v>
      </c>
      <c r="L803">
        <f t="shared" si="713"/>
        <v>1</v>
      </c>
      <c r="M803">
        <f t="shared" si="710"/>
        <v>7.3513268094001157E-21</v>
      </c>
      <c r="N803" s="9">
        <f t="shared" si="701"/>
        <v>7.3513268094001157E-21</v>
      </c>
      <c r="O803">
        <f t="shared" si="702"/>
        <v>7.3513268094001157E-21</v>
      </c>
      <c r="Q803">
        <f t="shared" si="714"/>
        <v>45.999573995788275</v>
      </c>
      <c r="R803">
        <f t="shared" si="715"/>
        <v>0</v>
      </c>
      <c r="S803">
        <f t="shared" si="737"/>
        <v>-46.359406137655952</v>
      </c>
      <c r="T803" s="9" t="e">
        <f t="shared" si="716"/>
        <v>#N/A</v>
      </c>
      <c r="U803">
        <f t="shared" si="738"/>
        <v>-1.0000000000000001E+300</v>
      </c>
      <c r="V803">
        <f t="shared" si="739"/>
        <v>0</v>
      </c>
      <c r="W803">
        <f t="shared" si="740"/>
        <v>0</v>
      </c>
      <c r="X803">
        <f t="shared" si="717"/>
        <v>0.73513268094001161</v>
      </c>
      <c r="Y803">
        <f t="shared" si="718"/>
        <v>7.8539816339744828</v>
      </c>
      <c r="Z803">
        <f t="shared" si="719"/>
        <v>-0.73513268094001161</v>
      </c>
      <c r="AA803">
        <f t="shared" si="741"/>
        <v>-0.81301676528416011</v>
      </c>
      <c r="AB803">
        <f t="shared" si="720"/>
        <v>7.040964868690323</v>
      </c>
      <c r="AC803">
        <f t="shared" si="742"/>
        <v>-0.75928698306449027</v>
      </c>
      <c r="AD803">
        <f t="shared" si="721"/>
        <v>0.39945484119681385</v>
      </c>
      <c r="AE803" s="9">
        <f t="shared" si="743"/>
        <v>6.6811327268226464</v>
      </c>
      <c r="AF803">
        <f t="shared" si="744"/>
        <v>0</v>
      </c>
      <c r="AH803">
        <f t="shared" si="722"/>
        <v>7.8539816339744828</v>
      </c>
      <c r="AI803">
        <f t="shared" si="723"/>
        <v>-0.81301676528415989</v>
      </c>
      <c r="AJ803">
        <f t="shared" si="724"/>
        <v>-0.75928698306449149</v>
      </c>
      <c r="AK803">
        <f t="shared" si="725"/>
        <v>0.39945484119681385</v>
      </c>
      <c r="AL803" s="9">
        <f t="shared" si="745"/>
        <v>6.6811327268226455</v>
      </c>
      <c r="AM803" t="e">
        <f t="shared" si="726"/>
        <v>#N/A</v>
      </c>
      <c r="AN803" t="e">
        <f t="shared" si="746"/>
        <v>#N/A</v>
      </c>
      <c r="AO803">
        <f t="shared" si="727"/>
        <v>0</v>
      </c>
      <c r="AP803">
        <f t="shared" si="728"/>
        <v>0</v>
      </c>
      <c r="AQ803">
        <f t="shared" si="729"/>
        <v>-1.2212453270876722E-15</v>
      </c>
      <c r="AR803">
        <f t="shared" si="747"/>
        <v>0</v>
      </c>
      <c r="AS803">
        <f t="shared" si="730"/>
        <v>0</v>
      </c>
      <c r="AT803">
        <f t="shared" si="748"/>
        <v>0</v>
      </c>
      <c r="AU803">
        <f t="shared" si="749"/>
        <v>0</v>
      </c>
      <c r="AV803">
        <f t="shared" si="731"/>
        <v>7.3513268094001157E-21</v>
      </c>
      <c r="AW803" t="b">
        <f t="shared" si="750"/>
        <v>1</v>
      </c>
      <c r="AX803">
        <f t="shared" si="732"/>
        <v>7.8539816339744828</v>
      </c>
      <c r="AY803">
        <f t="shared" si="733"/>
        <v>-0.81301676528416</v>
      </c>
      <c r="AZ803">
        <f t="shared" si="734"/>
        <v>-0.75928698306449027</v>
      </c>
      <c r="BA803">
        <f t="shared" si="735"/>
        <v>0.39945484119681401</v>
      </c>
      <c r="BB803">
        <f t="shared" si="736"/>
        <v>-1.2337005501361696E-20</v>
      </c>
      <c r="BD803" s="15">
        <f t="shared" si="751"/>
        <v>6.6811327268226464</v>
      </c>
      <c r="BE803" s="10">
        <f t="shared" si="752"/>
        <v>0</v>
      </c>
      <c r="BF803">
        <f t="shared" si="753"/>
        <v>0</v>
      </c>
      <c r="BG803">
        <f t="shared" si="754"/>
        <v>0</v>
      </c>
      <c r="BH803">
        <f t="shared" si="755"/>
        <v>0</v>
      </c>
      <c r="BI803">
        <f t="shared" si="756"/>
        <v>0</v>
      </c>
    </row>
    <row r="804" spans="1:61" x14ac:dyDescent="0.3">
      <c r="A804">
        <f t="shared" si="703"/>
        <v>0.76700000000000002</v>
      </c>
      <c r="B804">
        <f t="shared" si="704"/>
        <v>2.4096015653033716</v>
      </c>
      <c r="C804">
        <f t="shared" si="705"/>
        <v>0.73199108828642157</v>
      </c>
      <c r="D804">
        <f t="shared" si="706"/>
        <v>0.73199108828642157</v>
      </c>
      <c r="E804">
        <f t="shared" si="711"/>
        <v>0.66835202016779294</v>
      </c>
      <c r="F804">
        <f t="shared" si="712"/>
        <v>0.66835202016779283</v>
      </c>
      <c r="G804">
        <f t="shared" si="707"/>
        <v>2.4096015653033716</v>
      </c>
      <c r="H804">
        <f t="shared" si="708"/>
        <v>0.66835202016779294</v>
      </c>
      <c r="I804">
        <f t="shared" si="709"/>
        <v>0.66835202016779283</v>
      </c>
      <c r="J804">
        <f t="shared" si="699"/>
        <v>9.5252165499216265E+19</v>
      </c>
      <c r="K804">
        <f t="shared" si="700"/>
        <v>9.5252165499216265E+19</v>
      </c>
      <c r="L804">
        <f t="shared" si="713"/>
        <v>1</v>
      </c>
      <c r="M804">
        <f t="shared" si="710"/>
        <v>7.3199108828642161E-21</v>
      </c>
      <c r="N804" s="9">
        <f t="shared" si="701"/>
        <v>7.3199108828642161E-21</v>
      </c>
      <c r="O804">
        <f t="shared" si="702"/>
        <v>7.3199108828642161E-21</v>
      </c>
      <c r="Q804">
        <f t="shared" si="714"/>
        <v>46.003059422541106</v>
      </c>
      <c r="R804">
        <f t="shared" si="715"/>
        <v>0</v>
      </c>
      <c r="S804">
        <f t="shared" si="737"/>
        <v>-46.363688799447949</v>
      </c>
      <c r="T804" s="9" t="e">
        <f t="shared" si="716"/>
        <v>#N/A</v>
      </c>
      <c r="U804">
        <f t="shared" si="738"/>
        <v>-1.0000000000000001E+300</v>
      </c>
      <c r="V804">
        <f t="shared" si="739"/>
        <v>0</v>
      </c>
      <c r="W804">
        <f t="shared" si="740"/>
        <v>0</v>
      </c>
      <c r="X804">
        <f t="shared" si="717"/>
        <v>0.73199108828642157</v>
      </c>
      <c r="Y804">
        <f t="shared" si="718"/>
        <v>7.8539816339744828</v>
      </c>
      <c r="Z804">
        <f t="shared" si="719"/>
        <v>-0.73199108828642157</v>
      </c>
      <c r="AA804">
        <f t="shared" si="741"/>
        <v>-0.81467249241994155</v>
      </c>
      <c r="AB804">
        <f t="shared" si="720"/>
        <v>7.0393091415545417</v>
      </c>
      <c r="AC804">
        <f t="shared" si="742"/>
        <v>-0.76356964485649148</v>
      </c>
      <c r="AD804">
        <f t="shared" si="721"/>
        <v>0.40294026794964816</v>
      </c>
      <c r="AE804" s="9">
        <f t="shared" si="743"/>
        <v>6.6786797646476987</v>
      </c>
      <c r="AF804">
        <f t="shared" si="744"/>
        <v>0</v>
      </c>
      <c r="AH804">
        <f t="shared" si="722"/>
        <v>7.8539816339744828</v>
      </c>
      <c r="AI804">
        <f t="shared" si="723"/>
        <v>-0.81467249241994177</v>
      </c>
      <c r="AJ804">
        <f t="shared" si="724"/>
        <v>-0.76356964485648859</v>
      </c>
      <c r="AK804">
        <f t="shared" si="725"/>
        <v>0.40294026794964816</v>
      </c>
      <c r="AL804" s="9">
        <f t="shared" si="745"/>
        <v>6.6786797646477005</v>
      </c>
      <c r="AM804" t="e">
        <f t="shared" si="726"/>
        <v>#N/A</v>
      </c>
      <c r="AN804" t="e">
        <f t="shared" si="746"/>
        <v>#N/A</v>
      </c>
      <c r="AO804">
        <f t="shared" si="727"/>
        <v>0</v>
      </c>
      <c r="AP804">
        <f t="shared" si="728"/>
        <v>0</v>
      </c>
      <c r="AQ804">
        <f t="shared" si="729"/>
        <v>2.886579864025407E-15</v>
      </c>
      <c r="AR804">
        <f t="shared" si="747"/>
        <v>0</v>
      </c>
      <c r="AS804">
        <f t="shared" si="730"/>
        <v>0</v>
      </c>
      <c r="AT804">
        <f t="shared" si="748"/>
        <v>0</v>
      </c>
      <c r="AU804">
        <f t="shared" si="749"/>
        <v>0</v>
      </c>
      <c r="AV804">
        <f t="shared" si="731"/>
        <v>7.3199108828642145E-21</v>
      </c>
      <c r="AW804" t="b">
        <f t="shared" si="750"/>
        <v>1</v>
      </c>
      <c r="AX804">
        <f t="shared" si="732"/>
        <v>7.8539816339744828</v>
      </c>
      <c r="AY804">
        <f t="shared" si="733"/>
        <v>-0.81467249241994155</v>
      </c>
      <c r="AZ804">
        <f t="shared" si="734"/>
        <v>-0.76356964485649159</v>
      </c>
      <c r="BA804">
        <f t="shared" si="735"/>
        <v>0.40294026794964832</v>
      </c>
      <c r="BB804">
        <f t="shared" si="736"/>
        <v>-1.2337005501361696E-20</v>
      </c>
      <c r="BD804" s="15">
        <f t="shared" si="751"/>
        <v>6.6786797646476987</v>
      </c>
      <c r="BE804" s="10">
        <f t="shared" si="752"/>
        <v>0</v>
      </c>
      <c r="BF804">
        <f t="shared" si="753"/>
        <v>0</v>
      </c>
      <c r="BG804">
        <f t="shared" si="754"/>
        <v>0</v>
      </c>
      <c r="BH804">
        <f t="shared" si="755"/>
        <v>0</v>
      </c>
      <c r="BI804">
        <f t="shared" si="756"/>
        <v>0</v>
      </c>
    </row>
    <row r="805" spans="1:61" x14ac:dyDescent="0.3">
      <c r="A805">
        <f t="shared" si="703"/>
        <v>0.76800000000000002</v>
      </c>
      <c r="B805">
        <f t="shared" si="704"/>
        <v>2.4127431579569611</v>
      </c>
      <c r="C805">
        <f t="shared" si="705"/>
        <v>0.72884949563283197</v>
      </c>
      <c r="D805">
        <f t="shared" si="706"/>
        <v>0.72884949563283197</v>
      </c>
      <c r="E805">
        <f t="shared" si="711"/>
        <v>0.66601186743425167</v>
      </c>
      <c r="F805">
        <f t="shared" si="712"/>
        <v>0.66601186743425156</v>
      </c>
      <c r="G805">
        <f t="shared" si="707"/>
        <v>2.4127431579569611</v>
      </c>
      <c r="H805">
        <f t="shared" si="708"/>
        <v>0.66601186743425167</v>
      </c>
      <c r="I805">
        <f t="shared" si="709"/>
        <v>0.66601186743425156</v>
      </c>
      <c r="J805">
        <f t="shared" ref="J805:J868" si="757">x_m_zeta/H805</f>
        <v>9.5586851150280475E+19</v>
      </c>
      <c r="K805">
        <f t="shared" ref="K805:K868" si="758">(J805)^alpha</f>
        <v>9.5586851150280475E+19</v>
      </c>
      <c r="L805" t="e">
        <f t="shared" si="713"/>
        <v>#NUM!</v>
      </c>
      <c r="M805">
        <f t="shared" si="710"/>
        <v>7.2884949563283194E-21</v>
      </c>
      <c r="N805" s="9" t="e">
        <f t="shared" si="701"/>
        <v>#NUM!</v>
      </c>
      <c r="O805" t="e">
        <f t="shared" si="702"/>
        <v>#NUM!</v>
      </c>
      <c r="Q805">
        <f t="shared" si="714"/>
        <v>46.006566944221618</v>
      </c>
      <c r="R805">
        <f t="shared" si="715"/>
        <v>0</v>
      </c>
      <c r="S805">
        <f t="shared" si="737"/>
        <v>-46.367989881347341</v>
      </c>
      <c r="T805" s="9" t="e">
        <f t="shared" si="716"/>
        <v>#N/A</v>
      </c>
      <c r="U805">
        <f t="shared" si="738"/>
        <v>-1.0000000000000001E+300</v>
      </c>
      <c r="V805">
        <f t="shared" si="739"/>
        <v>0</v>
      </c>
      <c r="W805">
        <f t="shared" si="740"/>
        <v>0</v>
      </c>
      <c r="X805">
        <f t="shared" si="717"/>
        <v>0.72884949563283197</v>
      </c>
      <c r="Y805">
        <f t="shared" si="718"/>
        <v>7.8539816339744828</v>
      </c>
      <c r="Z805">
        <f t="shared" si="719"/>
        <v>-0.72884949563283197</v>
      </c>
      <c r="AA805">
        <f t="shared" si="741"/>
        <v>-0.81632003001487641</v>
      </c>
      <c r="AB805">
        <f t="shared" si="720"/>
        <v>7.0376616039596067</v>
      </c>
      <c r="AC805">
        <f t="shared" si="742"/>
        <v>-0.76787072675588186</v>
      </c>
      <c r="AD805">
        <f t="shared" si="721"/>
        <v>0.40644778963015604</v>
      </c>
      <c r="AE805" s="9">
        <f t="shared" si="743"/>
        <v>6.6762386668338811</v>
      </c>
      <c r="AF805">
        <f t="shared" si="744"/>
        <v>0</v>
      </c>
      <c r="AH805">
        <f t="shared" si="722"/>
        <v>7.8539816339744828</v>
      </c>
      <c r="AI805">
        <f t="shared" si="723"/>
        <v>-0.8163200300148763</v>
      </c>
      <c r="AJ805">
        <f t="shared" si="724"/>
        <v>-0.76787072675588064</v>
      </c>
      <c r="AK805">
        <f t="shared" si="725"/>
        <v>0.40644778963015604</v>
      </c>
      <c r="AL805" s="9">
        <f t="shared" si="745"/>
        <v>6.676238666833882</v>
      </c>
      <c r="AM805" t="e">
        <f t="shared" si="726"/>
        <v>#N/A</v>
      </c>
      <c r="AN805" t="e">
        <f t="shared" si="746"/>
        <v>#N/A</v>
      </c>
      <c r="AO805">
        <f t="shared" si="727"/>
        <v>0</v>
      </c>
      <c r="AP805">
        <f t="shared" si="728"/>
        <v>0</v>
      </c>
      <c r="AQ805">
        <f t="shared" si="729"/>
        <v>1.2212453270876722E-15</v>
      </c>
      <c r="AR805">
        <f t="shared" si="747"/>
        <v>0</v>
      </c>
      <c r="AS805">
        <f t="shared" si="730"/>
        <v>0</v>
      </c>
      <c r="AT805">
        <f t="shared" si="748"/>
        <v>0</v>
      </c>
      <c r="AU805">
        <f t="shared" si="749"/>
        <v>0</v>
      </c>
      <c r="AV805">
        <f t="shared" si="731"/>
        <v>7.2884949563283194E-21</v>
      </c>
      <c r="AW805" t="b">
        <f t="shared" si="750"/>
        <v>1</v>
      </c>
      <c r="AX805">
        <f t="shared" si="732"/>
        <v>7.8539816339744828</v>
      </c>
      <c r="AY805">
        <f t="shared" si="733"/>
        <v>-0.8163200300148763</v>
      </c>
      <c r="AZ805">
        <f t="shared" si="734"/>
        <v>-0.76787072675588175</v>
      </c>
      <c r="BA805">
        <f t="shared" si="735"/>
        <v>0.40644778963015621</v>
      </c>
      <c r="BB805">
        <f t="shared" si="736"/>
        <v>-1.2337005501361696E-20</v>
      </c>
      <c r="BD805" s="15">
        <f t="shared" si="751"/>
        <v>6.6762386668338811</v>
      </c>
      <c r="BE805" s="10">
        <f t="shared" si="752"/>
        <v>0</v>
      </c>
      <c r="BF805">
        <f t="shared" si="753"/>
        <v>0</v>
      </c>
      <c r="BG805">
        <f t="shared" si="754"/>
        <v>0</v>
      </c>
      <c r="BH805">
        <f t="shared" si="755"/>
        <v>0</v>
      </c>
      <c r="BI805">
        <f t="shared" si="756"/>
        <v>0</v>
      </c>
    </row>
    <row r="806" spans="1:61" x14ac:dyDescent="0.3">
      <c r="A806">
        <f t="shared" si="703"/>
        <v>0.76900000000000002</v>
      </c>
      <c r="B806">
        <f t="shared" si="704"/>
        <v>2.4158847506105507</v>
      </c>
      <c r="C806">
        <f t="shared" si="705"/>
        <v>0.72570790297924237</v>
      </c>
      <c r="D806">
        <f t="shared" si="706"/>
        <v>0.72570790297924237</v>
      </c>
      <c r="E806">
        <f t="shared" si="711"/>
        <v>0.66366514143245869</v>
      </c>
      <c r="F806">
        <f t="shared" si="712"/>
        <v>0.66366514143245858</v>
      </c>
      <c r="G806">
        <f t="shared" si="707"/>
        <v>2.4158847506105507</v>
      </c>
      <c r="H806">
        <f t="shared" si="708"/>
        <v>0.66366514143245869</v>
      </c>
      <c r="I806">
        <f t="shared" si="709"/>
        <v>0.66366514143245858</v>
      </c>
      <c r="J806">
        <f t="shared" si="757"/>
        <v>9.5924847129005097E+19</v>
      </c>
      <c r="K806">
        <f t="shared" si="758"/>
        <v>9.5924847129005097E+19</v>
      </c>
      <c r="L806" t="e">
        <f t="shared" si="713"/>
        <v>#NUM!</v>
      </c>
      <c r="M806">
        <f t="shared" si="710"/>
        <v>7.2570790297924228E-21</v>
      </c>
      <c r="N806" s="9" t="e">
        <f t="shared" ref="N806:N869" si="759">L806*M806</f>
        <v>#NUM!</v>
      </c>
      <c r="O806" t="e">
        <f t="shared" ref="O806:O869" si="760">N806*EXP(-N806)</f>
        <v>#NUM!</v>
      </c>
      <c r="Q806">
        <f t="shared" si="714"/>
        <v>46.010096716373333</v>
      </c>
      <c r="R806">
        <f t="shared" si="715"/>
        <v>0</v>
      </c>
      <c r="S806">
        <f t="shared" si="737"/>
        <v>-46.372309542491855</v>
      </c>
      <c r="T806" s="9" t="e">
        <f t="shared" si="716"/>
        <v>#N/A</v>
      </c>
      <c r="U806">
        <f t="shared" si="738"/>
        <v>-1.0000000000000001E+300</v>
      </c>
      <c r="V806">
        <f t="shared" si="739"/>
        <v>0</v>
      </c>
      <c r="W806">
        <f t="shared" si="740"/>
        <v>0</v>
      </c>
      <c r="X806">
        <f t="shared" si="717"/>
        <v>0.72570790297924237</v>
      </c>
      <c r="Y806">
        <f t="shared" si="718"/>
        <v>7.8539816339744828</v>
      </c>
      <c r="Z806">
        <f t="shared" si="719"/>
        <v>-0.72570790297924237</v>
      </c>
      <c r="AA806">
        <f t="shared" si="741"/>
        <v>-0.8179593937335099</v>
      </c>
      <c r="AB806">
        <f t="shared" si="720"/>
        <v>7.0360222402409729</v>
      </c>
      <c r="AC806">
        <f t="shared" si="742"/>
        <v>-0.77219038790039807</v>
      </c>
      <c r="AD806">
        <f t="shared" si="721"/>
        <v>0.40997756178187256</v>
      </c>
      <c r="AE806" s="9">
        <f t="shared" si="743"/>
        <v>6.6738094141224469</v>
      </c>
      <c r="AF806">
        <f t="shared" si="744"/>
        <v>0</v>
      </c>
      <c r="AH806">
        <f t="shared" si="722"/>
        <v>7.8539816339744828</v>
      </c>
      <c r="AI806">
        <f t="shared" si="723"/>
        <v>-0.81795939373350945</v>
      </c>
      <c r="AJ806">
        <f t="shared" si="724"/>
        <v>-0.77219038790039463</v>
      </c>
      <c r="AK806">
        <f t="shared" si="725"/>
        <v>0.40997756178187256</v>
      </c>
      <c r="AL806" s="9">
        <f t="shared" si="745"/>
        <v>6.6738094141224504</v>
      </c>
      <c r="AM806" t="e">
        <f t="shared" si="726"/>
        <v>#N/A</v>
      </c>
      <c r="AN806" t="e">
        <f t="shared" si="746"/>
        <v>#N/A</v>
      </c>
      <c r="AO806">
        <f t="shared" si="727"/>
        <v>0</v>
      </c>
      <c r="AP806">
        <f t="shared" si="728"/>
        <v>0</v>
      </c>
      <c r="AQ806">
        <f t="shared" si="729"/>
        <v>3.4416913763379853E-15</v>
      </c>
      <c r="AR806">
        <f t="shared" si="747"/>
        <v>0</v>
      </c>
      <c r="AS806">
        <f t="shared" si="730"/>
        <v>0</v>
      </c>
      <c r="AT806">
        <f t="shared" si="748"/>
        <v>0</v>
      </c>
      <c r="AU806">
        <f t="shared" si="749"/>
        <v>0</v>
      </c>
      <c r="AV806">
        <f t="shared" si="731"/>
        <v>7.2570790297924228E-21</v>
      </c>
      <c r="AW806" t="b">
        <f t="shared" si="750"/>
        <v>1</v>
      </c>
      <c r="AX806">
        <f t="shared" si="732"/>
        <v>7.8539816339744828</v>
      </c>
      <c r="AY806">
        <f t="shared" si="733"/>
        <v>-0.81795939373351001</v>
      </c>
      <c r="AZ806">
        <f t="shared" si="734"/>
        <v>-0.77219038790039807</v>
      </c>
      <c r="BA806">
        <f t="shared" si="735"/>
        <v>0.40997756178187272</v>
      </c>
      <c r="BB806">
        <f t="shared" si="736"/>
        <v>-1.2337005501361696E-20</v>
      </c>
      <c r="BD806" s="15">
        <f t="shared" si="751"/>
        <v>6.6738094141224478</v>
      </c>
      <c r="BE806" s="10">
        <f t="shared" si="752"/>
        <v>0</v>
      </c>
      <c r="BF806">
        <f t="shared" si="753"/>
        <v>0</v>
      </c>
      <c r="BG806">
        <f t="shared" si="754"/>
        <v>0</v>
      </c>
      <c r="BH806">
        <f t="shared" si="755"/>
        <v>0</v>
      </c>
      <c r="BI806">
        <f t="shared" si="756"/>
        <v>0</v>
      </c>
    </row>
    <row r="807" spans="1:61" x14ac:dyDescent="0.3">
      <c r="A807">
        <f t="shared" ref="A807:A870" si="761">ROUND(A806+1/1000,3)</f>
        <v>0.77</v>
      </c>
      <c r="B807">
        <f t="shared" si="704"/>
        <v>2.4190263432641408</v>
      </c>
      <c r="C807">
        <f t="shared" si="705"/>
        <v>0.72256631032565233</v>
      </c>
      <c r="D807">
        <f t="shared" si="706"/>
        <v>0.72256631032565233</v>
      </c>
      <c r="E807">
        <f t="shared" si="711"/>
        <v>0.66131186532365183</v>
      </c>
      <c r="F807">
        <f t="shared" si="712"/>
        <v>0.66131186532365183</v>
      </c>
      <c r="G807">
        <f t="shared" si="707"/>
        <v>2.4190263432641408</v>
      </c>
      <c r="H807">
        <f t="shared" si="708"/>
        <v>0.66131186532365183</v>
      </c>
      <c r="I807">
        <f t="shared" si="709"/>
        <v>0.66131186532365183</v>
      </c>
      <c r="J807">
        <f t="shared" si="757"/>
        <v>9.6266195383627989E+19</v>
      </c>
      <c r="K807">
        <f t="shared" si="758"/>
        <v>9.6266195383627989E+19</v>
      </c>
      <c r="L807">
        <f t="shared" si="713"/>
        <v>1</v>
      </c>
      <c r="M807">
        <f t="shared" si="710"/>
        <v>7.2256631032565232E-21</v>
      </c>
      <c r="N807" s="9">
        <f t="shared" si="759"/>
        <v>7.2256631032565232E-21</v>
      </c>
      <c r="O807">
        <f t="shared" si="760"/>
        <v>7.2256631032565232E-21</v>
      </c>
      <c r="Q807">
        <f t="shared" si="714"/>
        <v>46.01364889663197</v>
      </c>
      <c r="R807">
        <f t="shared" si="715"/>
        <v>0</v>
      </c>
      <c r="S807">
        <f t="shared" si="737"/>
        <v>-46.376647944090458</v>
      </c>
      <c r="T807" s="9" t="e">
        <f t="shared" si="716"/>
        <v>#N/A</v>
      </c>
      <c r="U807">
        <f t="shared" si="738"/>
        <v>-1.0000000000000001E+300</v>
      </c>
      <c r="V807">
        <f t="shared" si="739"/>
        <v>0</v>
      </c>
      <c r="W807">
        <f t="shared" si="740"/>
        <v>0</v>
      </c>
      <c r="X807">
        <f t="shared" si="717"/>
        <v>0.72256631032565233</v>
      </c>
      <c r="Y807">
        <f t="shared" si="718"/>
        <v>7.8539816339744828</v>
      </c>
      <c r="Z807">
        <f t="shared" si="719"/>
        <v>-0.72256631032565233</v>
      </c>
      <c r="AA807">
        <f t="shared" si="741"/>
        <v>-0.81959059913743981</v>
      </c>
      <c r="AB807">
        <f t="shared" si="720"/>
        <v>7.0343910348370429</v>
      </c>
      <c r="AC807">
        <f t="shared" si="742"/>
        <v>-0.7765287894989964</v>
      </c>
      <c r="AD807">
        <f t="shared" si="721"/>
        <v>0.41352974204050907</v>
      </c>
      <c r="AE807" s="9">
        <f t="shared" si="743"/>
        <v>6.6713919873785557</v>
      </c>
      <c r="AF807">
        <f t="shared" si="744"/>
        <v>0</v>
      </c>
      <c r="AH807">
        <f t="shared" si="722"/>
        <v>7.8539816339744828</v>
      </c>
      <c r="AI807">
        <f t="shared" si="723"/>
        <v>-0.81959059913743926</v>
      </c>
      <c r="AJ807">
        <f t="shared" si="724"/>
        <v>-0.77652878949899673</v>
      </c>
      <c r="AK807">
        <f t="shared" si="725"/>
        <v>0.41352974204050907</v>
      </c>
      <c r="AL807" s="9">
        <f t="shared" si="745"/>
        <v>6.6713919873785557</v>
      </c>
      <c r="AM807" t="e">
        <f t="shared" si="726"/>
        <v>#N/A</v>
      </c>
      <c r="AN807" t="e">
        <f t="shared" si="746"/>
        <v>#N/A</v>
      </c>
      <c r="AO807">
        <f t="shared" si="727"/>
        <v>0</v>
      </c>
      <c r="AP807">
        <f t="shared" si="728"/>
        <v>0</v>
      </c>
      <c r="AQ807">
        <f t="shared" si="729"/>
        <v>0</v>
      </c>
      <c r="AR807">
        <f t="shared" si="747"/>
        <v>0</v>
      </c>
      <c r="AS807">
        <f t="shared" si="730"/>
        <v>0</v>
      </c>
      <c r="AT807">
        <f t="shared" si="748"/>
        <v>0</v>
      </c>
      <c r="AU807">
        <f t="shared" si="749"/>
        <v>0</v>
      </c>
      <c r="AV807">
        <f t="shared" si="731"/>
        <v>7.2256631032565232E-21</v>
      </c>
      <c r="AW807" t="b">
        <f t="shared" si="750"/>
        <v>1</v>
      </c>
      <c r="AX807">
        <f t="shared" si="732"/>
        <v>7.8539816339744828</v>
      </c>
      <c r="AY807">
        <f t="shared" si="733"/>
        <v>-0.8195905991374397</v>
      </c>
      <c r="AZ807">
        <f t="shared" si="734"/>
        <v>-0.7765287894989964</v>
      </c>
      <c r="BA807">
        <f t="shared" si="735"/>
        <v>0.41352974204050907</v>
      </c>
      <c r="BB807">
        <f t="shared" si="736"/>
        <v>-1.2337005501361696E-20</v>
      </c>
      <c r="BD807" s="15">
        <f t="shared" si="751"/>
        <v>6.6713919873785557</v>
      </c>
      <c r="BE807" s="10">
        <f t="shared" si="752"/>
        <v>0</v>
      </c>
      <c r="BF807">
        <f t="shared" si="753"/>
        <v>0</v>
      </c>
      <c r="BG807">
        <f t="shared" si="754"/>
        <v>0</v>
      </c>
      <c r="BH807">
        <f t="shared" si="755"/>
        <v>0</v>
      </c>
      <c r="BI807">
        <f t="shared" si="756"/>
        <v>0</v>
      </c>
    </row>
    <row r="808" spans="1:61" x14ac:dyDescent="0.3">
      <c r="A808">
        <f t="shared" si="761"/>
        <v>0.77100000000000002</v>
      </c>
      <c r="B808">
        <f t="shared" si="704"/>
        <v>2.4221679359177304</v>
      </c>
      <c r="C808">
        <f t="shared" si="705"/>
        <v>0.71942471767206273</v>
      </c>
      <c r="D808">
        <f t="shared" si="706"/>
        <v>0.71942471767206273</v>
      </c>
      <c r="E808">
        <f t="shared" si="711"/>
        <v>0.65895206233371706</v>
      </c>
      <c r="F808">
        <f t="shared" si="712"/>
        <v>0.65895206233371695</v>
      </c>
      <c r="G808">
        <f t="shared" si="707"/>
        <v>2.4221679359177304</v>
      </c>
      <c r="H808">
        <f t="shared" si="708"/>
        <v>0.65895206233371706</v>
      </c>
      <c r="I808">
        <f t="shared" si="709"/>
        <v>0.65895206233371695</v>
      </c>
      <c r="J808">
        <f t="shared" si="757"/>
        <v>9.6610938603478303E+19</v>
      </c>
      <c r="K808">
        <f t="shared" si="758"/>
        <v>9.6610938603478303E+19</v>
      </c>
      <c r="L808" t="e">
        <f t="shared" si="713"/>
        <v>#NUM!</v>
      </c>
      <c r="M808">
        <f t="shared" si="710"/>
        <v>7.1942471767206266E-21</v>
      </c>
      <c r="N808" s="9" t="e">
        <f t="shared" si="759"/>
        <v>#NUM!</v>
      </c>
      <c r="O808" t="e">
        <f t="shared" si="760"/>
        <v>#NUM!</v>
      </c>
      <c r="Q808">
        <f t="shared" si="714"/>
        <v>46.01722364476143</v>
      </c>
      <c r="R808">
        <f t="shared" si="715"/>
        <v>0</v>
      </c>
      <c r="S808">
        <f t="shared" si="737"/>
        <v>-46.381005249459413</v>
      </c>
      <c r="T808" s="9" t="e">
        <f t="shared" si="716"/>
        <v>#N/A</v>
      </c>
      <c r="U808">
        <f t="shared" si="738"/>
        <v>-1.0000000000000001E+300</v>
      </c>
      <c r="V808">
        <f t="shared" si="739"/>
        <v>0</v>
      </c>
      <c r="W808">
        <f t="shared" si="740"/>
        <v>0</v>
      </c>
      <c r="X808">
        <f t="shared" si="717"/>
        <v>0.71942471767206273</v>
      </c>
      <c r="Y808">
        <f t="shared" si="718"/>
        <v>7.8539816339744828</v>
      </c>
      <c r="Z808">
        <f t="shared" si="719"/>
        <v>-0.71942471767206273</v>
      </c>
      <c r="AA808">
        <f t="shared" si="741"/>
        <v>-0.82121366168586873</v>
      </c>
      <c r="AB808">
        <f t="shared" si="720"/>
        <v>7.0327679722886138</v>
      </c>
      <c r="AC808">
        <f t="shared" si="742"/>
        <v>-0.78088609486795191</v>
      </c>
      <c r="AD808">
        <f t="shared" si="721"/>
        <v>0.41710449016996881</v>
      </c>
      <c r="AE808" s="9">
        <f t="shared" si="743"/>
        <v>6.6689863675906302</v>
      </c>
      <c r="AF808">
        <f t="shared" si="744"/>
        <v>0</v>
      </c>
      <c r="AH808">
        <f t="shared" si="722"/>
        <v>7.8539816339744828</v>
      </c>
      <c r="AI808">
        <f t="shared" si="723"/>
        <v>-0.82121366168586873</v>
      </c>
      <c r="AJ808">
        <f t="shared" si="724"/>
        <v>-0.78088609486795235</v>
      </c>
      <c r="AK808">
        <f t="shared" si="725"/>
        <v>0.41710449016996881</v>
      </c>
      <c r="AL808" s="9">
        <f t="shared" si="745"/>
        <v>6.6689863675906302</v>
      </c>
      <c r="AM808" t="e">
        <f t="shared" si="726"/>
        <v>#N/A</v>
      </c>
      <c r="AN808" t="e">
        <f t="shared" si="746"/>
        <v>#N/A</v>
      </c>
      <c r="AO808">
        <f t="shared" si="727"/>
        <v>0</v>
      </c>
      <c r="AP808">
        <f t="shared" si="728"/>
        <v>0</v>
      </c>
      <c r="AQ808">
        <f t="shared" si="729"/>
        <v>0</v>
      </c>
      <c r="AR808">
        <f t="shared" si="747"/>
        <v>0</v>
      </c>
      <c r="AS808">
        <f t="shared" si="730"/>
        <v>0</v>
      </c>
      <c r="AT808">
        <f t="shared" si="748"/>
        <v>0</v>
      </c>
      <c r="AU808">
        <f t="shared" si="749"/>
        <v>0</v>
      </c>
      <c r="AV808">
        <f t="shared" si="731"/>
        <v>7.1942471767206266E-21</v>
      </c>
      <c r="AW808" t="b">
        <f t="shared" si="750"/>
        <v>1</v>
      </c>
      <c r="AX808">
        <f t="shared" si="732"/>
        <v>7.8539816339744828</v>
      </c>
      <c r="AY808">
        <f t="shared" si="733"/>
        <v>-0.82121366168586851</v>
      </c>
      <c r="AZ808">
        <f t="shared" si="734"/>
        <v>-0.78088609486795191</v>
      </c>
      <c r="BA808">
        <f t="shared" si="735"/>
        <v>0.41710449016996898</v>
      </c>
      <c r="BB808">
        <f t="shared" si="736"/>
        <v>-1.2337005501361696E-20</v>
      </c>
      <c r="BD808" s="15">
        <f t="shared" si="751"/>
        <v>6.6689863675906302</v>
      </c>
      <c r="BE808" s="10">
        <f t="shared" si="752"/>
        <v>0</v>
      </c>
      <c r="BF808">
        <f t="shared" si="753"/>
        <v>0</v>
      </c>
      <c r="BG808">
        <f t="shared" si="754"/>
        <v>0</v>
      </c>
      <c r="BH808">
        <f t="shared" si="755"/>
        <v>0</v>
      </c>
      <c r="BI808">
        <f t="shared" si="756"/>
        <v>0</v>
      </c>
    </row>
    <row r="809" spans="1:61" x14ac:dyDescent="0.3">
      <c r="A809">
        <f t="shared" si="761"/>
        <v>0.77200000000000002</v>
      </c>
      <c r="B809">
        <f t="shared" si="704"/>
        <v>2.4253095285713204</v>
      </c>
      <c r="C809">
        <f t="shared" si="705"/>
        <v>0.71628312501847269</v>
      </c>
      <c r="D809">
        <f t="shared" si="706"/>
        <v>0.71628312501847269</v>
      </c>
      <c r="E809">
        <f t="shared" si="711"/>
        <v>0.65658575575295641</v>
      </c>
      <c r="F809">
        <f t="shared" si="712"/>
        <v>0.6565857557529563</v>
      </c>
      <c r="G809">
        <f t="shared" si="707"/>
        <v>2.4253095285713204</v>
      </c>
      <c r="H809">
        <f t="shared" si="708"/>
        <v>0.65658575575295641</v>
      </c>
      <c r="I809">
        <f t="shared" si="709"/>
        <v>0.6565857557529563</v>
      </c>
      <c r="J809">
        <f t="shared" si="757"/>
        <v>9.6959120235181081E+19</v>
      </c>
      <c r="K809">
        <f t="shared" si="758"/>
        <v>9.6959120235181081E+19</v>
      </c>
      <c r="L809">
        <f t="shared" si="713"/>
        <v>1</v>
      </c>
      <c r="M809">
        <f t="shared" si="710"/>
        <v>7.162831250184727E-21</v>
      </c>
      <c r="N809" s="9">
        <f t="shared" si="759"/>
        <v>7.162831250184727E-21</v>
      </c>
      <c r="O809">
        <f t="shared" si="760"/>
        <v>7.162831250184727E-21</v>
      </c>
      <c r="Q809">
        <f t="shared" si="714"/>
        <v>46.02082112269062</v>
      </c>
      <c r="R809">
        <f t="shared" si="715"/>
        <v>0</v>
      </c>
      <c r="S809">
        <f t="shared" si="737"/>
        <v>-46.385381624059207</v>
      </c>
      <c r="T809" s="9" t="e">
        <f t="shared" si="716"/>
        <v>#N/A</v>
      </c>
      <c r="U809">
        <f t="shared" si="738"/>
        <v>-1.0000000000000001E+300</v>
      </c>
      <c r="V809">
        <f t="shared" si="739"/>
        <v>0</v>
      </c>
      <c r="W809">
        <f t="shared" si="740"/>
        <v>0</v>
      </c>
      <c r="X809">
        <f t="shared" si="717"/>
        <v>0.71628312501847269</v>
      </c>
      <c r="Y809">
        <f t="shared" si="718"/>
        <v>7.8539816339744828</v>
      </c>
      <c r="Z809">
        <f t="shared" si="719"/>
        <v>-0.71628312501847269</v>
      </c>
      <c r="AA809">
        <f t="shared" si="741"/>
        <v>-0.82282859673615716</v>
      </c>
      <c r="AB809">
        <f t="shared" si="720"/>
        <v>7.031153037238326</v>
      </c>
      <c r="AC809">
        <f t="shared" si="742"/>
        <v>-0.78526246946775113</v>
      </c>
      <c r="AD809">
        <f t="shared" si="721"/>
        <v>0.42070196809916016</v>
      </c>
      <c r="AE809" s="9">
        <f t="shared" si="743"/>
        <v>6.6665925358697349</v>
      </c>
      <c r="AF809">
        <f t="shared" si="744"/>
        <v>0</v>
      </c>
      <c r="AH809">
        <f t="shared" si="722"/>
        <v>7.8539816339744828</v>
      </c>
      <c r="AI809">
        <f t="shared" si="723"/>
        <v>-0.82282859673615705</v>
      </c>
      <c r="AJ809">
        <f t="shared" si="724"/>
        <v>-0.78526246946774592</v>
      </c>
      <c r="AK809">
        <f t="shared" si="725"/>
        <v>0.42070196809916016</v>
      </c>
      <c r="AL809" s="9">
        <f t="shared" si="745"/>
        <v>6.6665925358697402</v>
      </c>
      <c r="AM809" t="e">
        <f t="shared" si="726"/>
        <v>#N/A</v>
      </c>
      <c r="AN809" t="e">
        <f t="shared" si="746"/>
        <v>#N/A</v>
      </c>
      <c r="AO809">
        <f t="shared" si="727"/>
        <v>0</v>
      </c>
      <c r="AP809">
        <f t="shared" si="728"/>
        <v>0</v>
      </c>
      <c r="AQ809">
        <f t="shared" si="729"/>
        <v>5.2180482157382357E-15</v>
      </c>
      <c r="AR809">
        <f t="shared" si="747"/>
        <v>0</v>
      </c>
      <c r="AS809">
        <f t="shared" si="730"/>
        <v>0</v>
      </c>
      <c r="AT809">
        <f t="shared" si="748"/>
        <v>0</v>
      </c>
      <c r="AU809">
        <f t="shared" si="749"/>
        <v>0</v>
      </c>
      <c r="AV809">
        <f t="shared" si="731"/>
        <v>7.162831250184727E-21</v>
      </c>
      <c r="AW809" t="b">
        <f t="shared" si="750"/>
        <v>1</v>
      </c>
      <c r="AX809">
        <f t="shared" si="732"/>
        <v>7.8539816339744828</v>
      </c>
      <c r="AY809">
        <f t="shared" si="733"/>
        <v>-0.82282859673615738</v>
      </c>
      <c r="AZ809">
        <f t="shared" si="734"/>
        <v>-0.78526246946775102</v>
      </c>
      <c r="BA809">
        <f t="shared" si="735"/>
        <v>0.42070196809916033</v>
      </c>
      <c r="BB809">
        <f t="shared" si="736"/>
        <v>-1.2337005501361696E-20</v>
      </c>
      <c r="BD809" s="15">
        <f t="shared" si="751"/>
        <v>6.666592535869734</v>
      </c>
      <c r="BE809" s="10">
        <f t="shared" si="752"/>
        <v>0</v>
      </c>
      <c r="BF809">
        <f t="shared" si="753"/>
        <v>0</v>
      </c>
      <c r="BG809">
        <f t="shared" si="754"/>
        <v>0</v>
      </c>
      <c r="BH809">
        <f t="shared" si="755"/>
        <v>0</v>
      </c>
      <c r="BI809">
        <f t="shared" si="756"/>
        <v>0</v>
      </c>
    </row>
    <row r="810" spans="1:61" x14ac:dyDescent="0.3">
      <c r="A810">
        <f t="shared" si="761"/>
        <v>0.77300000000000002</v>
      </c>
      <c r="B810">
        <f t="shared" si="704"/>
        <v>2.42845112122491</v>
      </c>
      <c r="C810">
        <f t="shared" si="705"/>
        <v>0.71314153236488309</v>
      </c>
      <c r="D810">
        <f t="shared" si="706"/>
        <v>0.71314153236488309</v>
      </c>
      <c r="E810">
        <f t="shared" si="711"/>
        <v>0.65421296893586123</v>
      </c>
      <c r="F810">
        <f t="shared" si="712"/>
        <v>0.65421296893586112</v>
      </c>
      <c r="G810">
        <f t="shared" si="707"/>
        <v>2.42845112122491</v>
      </c>
      <c r="H810">
        <f t="shared" si="708"/>
        <v>0.65421296893586123</v>
      </c>
      <c r="I810">
        <f t="shared" si="709"/>
        <v>0.65421296893586112</v>
      </c>
      <c r="J810">
        <f t="shared" si="757"/>
        <v>9.7310784499289768E+19</v>
      </c>
      <c r="K810">
        <f t="shared" si="758"/>
        <v>9.7310784499289768E+19</v>
      </c>
      <c r="L810">
        <f t="shared" si="713"/>
        <v>1</v>
      </c>
      <c r="M810">
        <f t="shared" si="710"/>
        <v>7.1314153236488304E-21</v>
      </c>
      <c r="N810" s="9">
        <f t="shared" si="759"/>
        <v>7.1314153236488304E-21</v>
      </c>
      <c r="O810">
        <f t="shared" si="760"/>
        <v>7.1314153236488304E-21</v>
      </c>
      <c r="Q810">
        <f t="shared" si="714"/>
        <v>46.02444149455107</v>
      </c>
      <c r="R810">
        <f t="shared" si="715"/>
        <v>0</v>
      </c>
      <c r="S810">
        <f t="shared" si="737"/>
        <v>-46.38977723553225</v>
      </c>
      <c r="T810" s="9" t="e">
        <f t="shared" si="716"/>
        <v>#N/A</v>
      </c>
      <c r="U810">
        <f t="shared" si="738"/>
        <v>-1.0000000000000001E+300</v>
      </c>
      <c r="V810">
        <f t="shared" si="739"/>
        <v>0</v>
      </c>
      <c r="W810">
        <f t="shared" si="740"/>
        <v>0</v>
      </c>
      <c r="X810">
        <f t="shared" si="717"/>
        <v>0.71314153236488309</v>
      </c>
      <c r="Y810">
        <f t="shared" si="718"/>
        <v>7.8539816339744828</v>
      </c>
      <c r="Z810">
        <f t="shared" si="719"/>
        <v>-0.71314153236488309</v>
      </c>
      <c r="AA810">
        <f t="shared" si="741"/>
        <v>-0.82443541954436628</v>
      </c>
      <c r="AB810">
        <f t="shared" si="720"/>
        <v>7.0295462144301162</v>
      </c>
      <c r="AC810">
        <f t="shared" si="742"/>
        <v>-0.78965808094078904</v>
      </c>
      <c r="AD810">
        <f t="shared" si="721"/>
        <v>0.42432233995961127</v>
      </c>
      <c r="AE810" s="9">
        <f t="shared" si="743"/>
        <v>6.6642104734489385</v>
      </c>
      <c r="AF810">
        <f t="shared" si="744"/>
        <v>0</v>
      </c>
      <c r="AH810">
        <f t="shared" si="722"/>
        <v>7.8539816339744828</v>
      </c>
      <c r="AI810">
        <f t="shared" si="723"/>
        <v>-0.82443541954436583</v>
      </c>
      <c r="AJ810">
        <f t="shared" si="724"/>
        <v>-0.78965808094078938</v>
      </c>
      <c r="AK810">
        <f t="shared" si="725"/>
        <v>0.42432233995961127</v>
      </c>
      <c r="AL810" s="9">
        <f t="shared" si="745"/>
        <v>6.6642104734489394</v>
      </c>
      <c r="AM810" t="e">
        <f t="shared" si="726"/>
        <v>#N/A</v>
      </c>
      <c r="AN810" t="e">
        <f t="shared" si="746"/>
        <v>#N/A</v>
      </c>
      <c r="AO810">
        <f t="shared" si="727"/>
        <v>0</v>
      </c>
      <c r="AP810">
        <f t="shared" si="728"/>
        <v>0</v>
      </c>
      <c r="AQ810">
        <f t="shared" si="729"/>
        <v>0</v>
      </c>
      <c r="AR810">
        <f t="shared" si="747"/>
        <v>0</v>
      </c>
      <c r="AS810">
        <f t="shared" si="730"/>
        <v>0</v>
      </c>
      <c r="AT810">
        <f t="shared" si="748"/>
        <v>0</v>
      </c>
      <c r="AU810">
        <f t="shared" si="749"/>
        <v>0</v>
      </c>
      <c r="AV810">
        <f t="shared" si="731"/>
        <v>7.1314153236488304E-21</v>
      </c>
      <c r="AW810" t="b">
        <f t="shared" si="750"/>
        <v>1</v>
      </c>
      <c r="AX810">
        <f t="shared" si="732"/>
        <v>7.8539816339744828</v>
      </c>
      <c r="AY810">
        <f t="shared" si="733"/>
        <v>-0.82443541954436628</v>
      </c>
      <c r="AZ810">
        <f t="shared" si="734"/>
        <v>-0.78965808094078893</v>
      </c>
      <c r="BA810">
        <f t="shared" si="735"/>
        <v>0.42432233995961144</v>
      </c>
      <c r="BB810">
        <f t="shared" si="736"/>
        <v>-1.2337005501361696E-20</v>
      </c>
      <c r="BD810" s="15">
        <f t="shared" si="751"/>
        <v>6.6642104734489385</v>
      </c>
      <c r="BE810" s="10">
        <f t="shared" si="752"/>
        <v>0</v>
      </c>
      <c r="BF810">
        <f t="shared" si="753"/>
        <v>0</v>
      </c>
      <c r="BG810">
        <f t="shared" si="754"/>
        <v>0</v>
      </c>
      <c r="BH810">
        <f t="shared" si="755"/>
        <v>0</v>
      </c>
      <c r="BI810">
        <f t="shared" si="756"/>
        <v>0</v>
      </c>
    </row>
    <row r="811" spans="1:61" x14ac:dyDescent="0.3">
      <c r="A811">
        <f t="shared" si="761"/>
        <v>0.77400000000000002</v>
      </c>
      <c r="B811">
        <f t="shared" si="704"/>
        <v>2.4315927138785001</v>
      </c>
      <c r="C811">
        <f t="shared" si="705"/>
        <v>0.70999993971129305</v>
      </c>
      <c r="D811">
        <f t="shared" si="706"/>
        <v>0.70999993971129305</v>
      </c>
      <c r="E811">
        <f t="shared" si="711"/>
        <v>0.65183372530087869</v>
      </c>
      <c r="F811">
        <f t="shared" si="712"/>
        <v>0.65183372530087857</v>
      </c>
      <c r="G811">
        <f t="shared" si="707"/>
        <v>2.4315927138785001</v>
      </c>
      <c r="H811">
        <f t="shared" si="708"/>
        <v>0.65183372530087869</v>
      </c>
      <c r="I811">
        <f t="shared" si="709"/>
        <v>0.65183372530087857</v>
      </c>
      <c r="J811">
        <f t="shared" si="757"/>
        <v>9.7665976407361454E+19</v>
      </c>
      <c r="K811">
        <f t="shared" si="758"/>
        <v>9.7665976407361454E+19</v>
      </c>
      <c r="L811" t="e">
        <f t="shared" si="713"/>
        <v>#NUM!</v>
      </c>
      <c r="M811">
        <f t="shared" si="710"/>
        <v>7.0999993971129308E-21</v>
      </c>
      <c r="N811" s="9" t="e">
        <f t="shared" si="759"/>
        <v>#NUM!</v>
      </c>
      <c r="O811" t="e">
        <f t="shared" si="760"/>
        <v>#NUM!</v>
      </c>
      <c r="Q811">
        <f t="shared" si="714"/>
        <v>46.028084926715387</v>
      </c>
      <c r="R811">
        <f t="shared" si="715"/>
        <v>0</v>
      </c>
      <c r="S811">
        <f t="shared" si="737"/>
        <v>-46.394192253741366</v>
      </c>
      <c r="T811" s="9" t="e">
        <f t="shared" si="716"/>
        <v>#N/A</v>
      </c>
      <c r="U811">
        <f t="shared" si="738"/>
        <v>-1.0000000000000001E+300</v>
      </c>
      <c r="V811">
        <f t="shared" si="739"/>
        <v>0</v>
      </c>
      <c r="W811">
        <f t="shared" si="740"/>
        <v>0</v>
      </c>
      <c r="X811">
        <f t="shared" si="717"/>
        <v>0.70999993971129305</v>
      </c>
      <c r="Y811">
        <f t="shared" si="718"/>
        <v>7.8539816339744828</v>
      </c>
      <c r="Z811">
        <f t="shared" si="719"/>
        <v>-0.70999993971129305</v>
      </c>
      <c r="AA811">
        <f t="shared" si="741"/>
        <v>-0.82603414526579955</v>
      </c>
      <c r="AB811">
        <f t="shared" si="720"/>
        <v>7.0279474887086835</v>
      </c>
      <c r="AC811">
        <f t="shared" si="742"/>
        <v>-0.79407309914990609</v>
      </c>
      <c r="AD811">
        <f t="shared" si="721"/>
        <v>0.4279657721239275</v>
      </c>
      <c r="AE811" s="9">
        <f t="shared" si="743"/>
        <v>6.6618401616827052</v>
      </c>
      <c r="AF811">
        <f t="shared" si="744"/>
        <v>0</v>
      </c>
      <c r="AH811">
        <f t="shared" si="722"/>
        <v>7.8539816339744828</v>
      </c>
      <c r="AI811">
        <f t="shared" si="723"/>
        <v>-0.82603414526579899</v>
      </c>
      <c r="AJ811">
        <f t="shared" si="724"/>
        <v>-0.7940730991499052</v>
      </c>
      <c r="AK811">
        <f t="shared" si="725"/>
        <v>0.4279657721239275</v>
      </c>
      <c r="AL811" s="9">
        <f t="shared" si="745"/>
        <v>6.6618401616827061</v>
      </c>
      <c r="AM811" t="e">
        <f t="shared" si="726"/>
        <v>#N/A</v>
      </c>
      <c r="AN811" t="e">
        <f t="shared" si="746"/>
        <v>#N/A</v>
      </c>
      <c r="AO811">
        <f t="shared" si="727"/>
        <v>0</v>
      </c>
      <c r="AP811">
        <f t="shared" si="728"/>
        <v>0</v>
      </c>
      <c r="AQ811">
        <f t="shared" si="729"/>
        <v>8.8817841970012523E-16</v>
      </c>
      <c r="AR811">
        <f t="shared" si="747"/>
        <v>0</v>
      </c>
      <c r="AS811">
        <f t="shared" si="730"/>
        <v>0</v>
      </c>
      <c r="AT811">
        <f t="shared" si="748"/>
        <v>0</v>
      </c>
      <c r="AU811">
        <f t="shared" si="749"/>
        <v>0</v>
      </c>
      <c r="AV811">
        <f t="shared" si="731"/>
        <v>7.0999993971129308E-21</v>
      </c>
      <c r="AW811" t="b">
        <f t="shared" si="750"/>
        <v>1</v>
      </c>
      <c r="AX811">
        <f t="shared" si="732"/>
        <v>7.8539816339744828</v>
      </c>
      <c r="AY811">
        <f t="shared" si="733"/>
        <v>-0.82603414526579966</v>
      </c>
      <c r="AZ811">
        <f t="shared" si="734"/>
        <v>-0.79407309914990598</v>
      </c>
      <c r="BA811">
        <f t="shared" si="735"/>
        <v>0.42796577212392767</v>
      </c>
      <c r="BB811">
        <f t="shared" si="736"/>
        <v>-1.2337005501361696E-20</v>
      </c>
      <c r="BD811" s="15">
        <f t="shared" si="751"/>
        <v>6.6618401616827052</v>
      </c>
      <c r="BE811" s="10">
        <f t="shared" si="752"/>
        <v>0</v>
      </c>
      <c r="BF811">
        <f t="shared" si="753"/>
        <v>0</v>
      </c>
      <c r="BG811">
        <f t="shared" si="754"/>
        <v>0</v>
      </c>
      <c r="BH811">
        <f t="shared" si="755"/>
        <v>0</v>
      </c>
      <c r="BI811">
        <f t="shared" si="756"/>
        <v>0</v>
      </c>
    </row>
    <row r="812" spans="1:61" x14ac:dyDescent="0.3">
      <c r="A812">
        <f t="shared" si="761"/>
        <v>0.77500000000000002</v>
      </c>
      <c r="B812">
        <f t="shared" si="704"/>
        <v>2.4347343065320897</v>
      </c>
      <c r="C812">
        <f t="shared" si="705"/>
        <v>0.70685834705770345</v>
      </c>
      <c r="D812">
        <f t="shared" si="706"/>
        <v>0.70685834705770345</v>
      </c>
      <c r="E812">
        <f t="shared" si="711"/>
        <v>0.64944804833018377</v>
      </c>
      <c r="F812">
        <f t="shared" si="712"/>
        <v>0.64944804833018366</v>
      </c>
      <c r="G812">
        <f t="shared" si="707"/>
        <v>2.4347343065320897</v>
      </c>
      <c r="H812">
        <f t="shared" si="708"/>
        <v>0.64944804833018377</v>
      </c>
      <c r="I812">
        <f t="shared" si="709"/>
        <v>0.64944804833018366</v>
      </c>
      <c r="J812">
        <f t="shared" si="757"/>
        <v>9.802474177948713E+19</v>
      </c>
      <c r="K812">
        <f t="shared" si="758"/>
        <v>9.802474177948713E+19</v>
      </c>
      <c r="L812">
        <f t="shared" si="713"/>
        <v>1</v>
      </c>
      <c r="M812">
        <f t="shared" si="710"/>
        <v>7.0685834705770342E-21</v>
      </c>
      <c r="N812" s="9">
        <f t="shared" si="759"/>
        <v>7.0685834705770342E-21</v>
      </c>
      <c r="O812">
        <f t="shared" si="760"/>
        <v>7.0685834705770342E-21</v>
      </c>
      <c r="Q812">
        <f t="shared" si="714"/>
        <v>46.031751587836553</v>
      </c>
      <c r="R812">
        <f t="shared" si="715"/>
        <v>0</v>
      </c>
      <c r="S812">
        <f t="shared" si="737"/>
        <v>-46.398626850809229</v>
      </c>
      <c r="T812" s="9" t="e">
        <f t="shared" si="716"/>
        <v>#N/A</v>
      </c>
      <c r="U812">
        <f t="shared" si="738"/>
        <v>-1.0000000000000001E+300</v>
      </c>
      <c r="V812">
        <f t="shared" si="739"/>
        <v>0</v>
      </c>
      <c r="W812">
        <f t="shared" si="740"/>
        <v>0</v>
      </c>
      <c r="X812">
        <f t="shared" si="717"/>
        <v>0.70685834705770345</v>
      </c>
      <c r="Y812">
        <f t="shared" si="718"/>
        <v>7.8539816339744828</v>
      </c>
      <c r="Z812">
        <f t="shared" si="719"/>
        <v>-0.70685834705770345</v>
      </c>
      <c r="AA812">
        <f t="shared" si="741"/>
        <v>-0.8276247889555387</v>
      </c>
      <c r="AB812">
        <f t="shared" si="720"/>
        <v>7.0263568450189444</v>
      </c>
      <c r="AC812">
        <f t="shared" si="742"/>
        <v>-0.79850769621777162</v>
      </c>
      <c r="AD812">
        <f t="shared" si="721"/>
        <v>0.43163243324509432</v>
      </c>
      <c r="AE812" s="9">
        <f t="shared" si="743"/>
        <v>6.6594815820462676</v>
      </c>
      <c r="AF812">
        <f t="shared" si="744"/>
        <v>0</v>
      </c>
      <c r="AH812">
        <f t="shared" si="722"/>
        <v>7.8539816339744828</v>
      </c>
      <c r="AI812">
        <f t="shared" si="723"/>
        <v>-0.82762478895553881</v>
      </c>
      <c r="AJ812">
        <f t="shared" si="724"/>
        <v>-0.79850769621776863</v>
      </c>
      <c r="AK812">
        <f t="shared" si="725"/>
        <v>0.43163243324509432</v>
      </c>
      <c r="AL812" s="9">
        <f t="shared" si="745"/>
        <v>6.6594815820462694</v>
      </c>
      <c r="AM812" t="e">
        <f t="shared" si="726"/>
        <v>#N/A</v>
      </c>
      <c r="AN812" t="e">
        <f t="shared" si="746"/>
        <v>#N/A</v>
      </c>
      <c r="AO812">
        <f t="shared" si="727"/>
        <v>0</v>
      </c>
      <c r="AP812">
        <f t="shared" si="728"/>
        <v>0</v>
      </c>
      <c r="AQ812">
        <f t="shared" si="729"/>
        <v>2.9976021664879227E-15</v>
      </c>
      <c r="AR812">
        <f t="shared" si="747"/>
        <v>0</v>
      </c>
      <c r="AS812">
        <f t="shared" si="730"/>
        <v>0</v>
      </c>
      <c r="AT812">
        <f t="shared" si="748"/>
        <v>0</v>
      </c>
      <c r="AU812">
        <f t="shared" si="749"/>
        <v>0</v>
      </c>
      <c r="AV812">
        <f t="shared" si="731"/>
        <v>7.0685834705770342E-21</v>
      </c>
      <c r="AW812" t="b">
        <f t="shared" si="750"/>
        <v>1</v>
      </c>
      <c r="AX812">
        <f t="shared" si="732"/>
        <v>7.8539816339744828</v>
      </c>
      <c r="AY812">
        <f t="shared" si="733"/>
        <v>-0.82762478895553881</v>
      </c>
      <c r="AZ812">
        <f t="shared" si="734"/>
        <v>-0.79850769621777162</v>
      </c>
      <c r="BA812">
        <f t="shared" si="735"/>
        <v>0.43163243324509448</v>
      </c>
      <c r="BB812">
        <f t="shared" si="736"/>
        <v>-1.2337005501361696E-20</v>
      </c>
      <c r="BD812" s="15">
        <f t="shared" si="751"/>
        <v>6.6594815820462667</v>
      </c>
      <c r="BE812" s="10">
        <f t="shared" si="752"/>
        <v>0</v>
      </c>
      <c r="BF812">
        <f t="shared" si="753"/>
        <v>0</v>
      </c>
      <c r="BG812">
        <f t="shared" si="754"/>
        <v>0</v>
      </c>
      <c r="BH812">
        <f t="shared" si="755"/>
        <v>0</v>
      </c>
      <c r="BI812">
        <f t="shared" si="756"/>
        <v>0</v>
      </c>
    </row>
    <row r="813" spans="1:61" x14ac:dyDescent="0.3">
      <c r="A813">
        <f t="shared" si="761"/>
        <v>0.77600000000000002</v>
      </c>
      <c r="B813">
        <f t="shared" si="704"/>
        <v>2.4378758991856797</v>
      </c>
      <c r="C813">
        <f t="shared" si="705"/>
        <v>0.70371675440411341</v>
      </c>
      <c r="D813">
        <f t="shared" si="706"/>
        <v>0.70371675440411341</v>
      </c>
      <c r="E813">
        <f t="shared" si="711"/>
        <v>0.64705596156944423</v>
      </c>
      <c r="F813">
        <f t="shared" si="712"/>
        <v>0.64705596156944412</v>
      </c>
      <c r="G813">
        <f t="shared" si="707"/>
        <v>2.4378758991856797</v>
      </c>
      <c r="H813">
        <f t="shared" si="708"/>
        <v>0.64705596156944423</v>
      </c>
      <c r="I813">
        <f t="shared" si="709"/>
        <v>0.64705596156944412</v>
      </c>
      <c r="J813">
        <f t="shared" si="757"/>
        <v>9.8387127262292787E+19</v>
      </c>
      <c r="K813">
        <f t="shared" si="758"/>
        <v>9.8387127262292787E+19</v>
      </c>
      <c r="L813">
        <f t="shared" si="713"/>
        <v>1</v>
      </c>
      <c r="M813">
        <f t="shared" si="710"/>
        <v>7.0371675440411346E-21</v>
      </c>
      <c r="N813" s="9">
        <f t="shared" si="759"/>
        <v>7.0371675440411346E-21</v>
      </c>
      <c r="O813">
        <f t="shared" si="760"/>
        <v>7.0371675440411346E-21</v>
      </c>
      <c r="Q813">
        <f t="shared" si="714"/>
        <v>46.035441648888124</v>
      </c>
      <c r="R813">
        <f t="shared" si="715"/>
        <v>-710542.73576010019</v>
      </c>
      <c r="S813">
        <f t="shared" si="737"/>
        <v>-46.403081201158614</v>
      </c>
      <c r="T813" s="9" t="e">
        <f t="shared" si="716"/>
        <v>#N/A</v>
      </c>
      <c r="U813">
        <f t="shared" si="738"/>
        <v>-1.0000000000000001E+300</v>
      </c>
      <c r="V813">
        <f t="shared" si="739"/>
        <v>0</v>
      </c>
      <c r="W813">
        <f t="shared" si="740"/>
        <v>0</v>
      </c>
      <c r="X813">
        <f t="shared" si="717"/>
        <v>0.70371675440411341</v>
      </c>
      <c r="Y813">
        <f t="shared" si="718"/>
        <v>7.8539816339744828</v>
      </c>
      <c r="Z813">
        <f t="shared" si="719"/>
        <v>-0.70371675440411341</v>
      </c>
      <c r="AA813">
        <f t="shared" si="741"/>
        <v>-0.8292073655689749</v>
      </c>
      <c r="AB813">
        <f t="shared" si="720"/>
        <v>7.0247742684055083</v>
      </c>
      <c r="AC813">
        <f t="shared" si="742"/>
        <v>-0.8029620465671522</v>
      </c>
      <c r="AD813">
        <f t="shared" si="721"/>
        <v>0.43532249429666792</v>
      </c>
      <c r="AE813" s="9">
        <f t="shared" si="743"/>
        <v>6.6571347161350243</v>
      </c>
      <c r="AF813">
        <f t="shared" si="744"/>
        <v>0</v>
      </c>
      <c r="AH813">
        <f t="shared" si="722"/>
        <v>7.8539816339744828</v>
      </c>
      <c r="AI813">
        <f t="shared" si="723"/>
        <v>-0.82920736556897534</v>
      </c>
      <c r="AJ813">
        <f t="shared" si="724"/>
        <v>-0.80296204656715275</v>
      </c>
      <c r="AK813">
        <f t="shared" si="725"/>
        <v>0.43532249429666792</v>
      </c>
      <c r="AL813" s="9">
        <f t="shared" si="745"/>
        <v>6.6571347161350225</v>
      </c>
      <c r="AM813" t="e">
        <f t="shared" si="726"/>
        <v>#N/A</v>
      </c>
      <c r="AN813" t="e">
        <f t="shared" si="746"/>
        <v>#N/A</v>
      </c>
      <c r="AO813">
        <f t="shared" si="727"/>
        <v>0</v>
      </c>
      <c r="AP813">
        <f t="shared" si="728"/>
        <v>0</v>
      </c>
      <c r="AQ813">
        <f t="shared" si="729"/>
        <v>0</v>
      </c>
      <c r="AR813">
        <f t="shared" si="747"/>
        <v>0</v>
      </c>
      <c r="AS813">
        <f t="shared" si="730"/>
        <v>0</v>
      </c>
      <c r="AT813">
        <f t="shared" si="748"/>
        <v>0</v>
      </c>
      <c r="AU813">
        <f t="shared" si="749"/>
        <v>0</v>
      </c>
      <c r="AV813">
        <f t="shared" si="731"/>
        <v>7.0371675440411331E-21</v>
      </c>
      <c r="AW813" t="b">
        <f t="shared" si="750"/>
        <v>1</v>
      </c>
      <c r="AX813">
        <f t="shared" si="732"/>
        <v>7.8539816339744828</v>
      </c>
      <c r="AY813">
        <f t="shared" si="733"/>
        <v>-0.8292073655689749</v>
      </c>
      <c r="AZ813">
        <f t="shared" si="734"/>
        <v>-0.8029620465671522</v>
      </c>
      <c r="BA813">
        <f t="shared" si="735"/>
        <v>0.43532249429666808</v>
      </c>
      <c r="BB813">
        <f t="shared" si="736"/>
        <v>-1.2337005501361696E-20</v>
      </c>
      <c r="BD813" s="15">
        <f t="shared" si="751"/>
        <v>6.6571347161350243</v>
      </c>
      <c r="BE813" s="10">
        <f t="shared" si="752"/>
        <v>0</v>
      </c>
      <c r="BF813">
        <f t="shared" si="753"/>
        <v>0</v>
      </c>
      <c r="BG813">
        <f t="shared" si="754"/>
        <v>0</v>
      </c>
      <c r="BH813">
        <f t="shared" si="755"/>
        <v>0</v>
      </c>
      <c r="BI813">
        <f t="shared" si="756"/>
        <v>0</v>
      </c>
    </row>
    <row r="814" spans="1:61" x14ac:dyDescent="0.3">
      <c r="A814">
        <f t="shared" si="761"/>
        <v>0.77700000000000002</v>
      </c>
      <c r="B814">
        <f t="shared" si="704"/>
        <v>2.4410174918392693</v>
      </c>
      <c r="C814">
        <f t="shared" si="705"/>
        <v>0.70057516175052381</v>
      </c>
      <c r="D814">
        <f t="shared" si="706"/>
        <v>0.70057516175052381</v>
      </c>
      <c r="E814">
        <f t="shared" si="711"/>
        <v>0.64465748862759142</v>
      </c>
      <c r="F814">
        <f t="shared" si="712"/>
        <v>0.64465748862759131</v>
      </c>
      <c r="G814">
        <f t="shared" si="707"/>
        <v>2.4410174918392693</v>
      </c>
      <c r="H814">
        <f t="shared" si="708"/>
        <v>0.64465748862759142</v>
      </c>
      <c r="I814">
        <f t="shared" si="709"/>
        <v>0.64465748862759131</v>
      </c>
      <c r="J814">
        <f t="shared" si="757"/>
        <v>9.875318034742426E+19</v>
      </c>
      <c r="K814">
        <f t="shared" si="758"/>
        <v>9.875318034742426E+19</v>
      </c>
      <c r="L814">
        <f t="shared" si="713"/>
        <v>1</v>
      </c>
      <c r="M814">
        <f t="shared" si="710"/>
        <v>7.005751617505238E-21</v>
      </c>
      <c r="N814" s="9">
        <f t="shared" si="759"/>
        <v>7.005751617505238E-21</v>
      </c>
      <c r="O814">
        <f t="shared" si="760"/>
        <v>7.005751617505238E-21</v>
      </c>
      <c r="Q814">
        <f t="shared" si="714"/>
        <v>46.039155283205318</v>
      </c>
      <c r="R814">
        <f t="shared" si="715"/>
        <v>0</v>
      </c>
      <c r="S814">
        <f t="shared" si="737"/>
        <v>-46.40755548155353</v>
      </c>
      <c r="T814" s="9" t="e">
        <f t="shared" si="716"/>
        <v>#N/A</v>
      </c>
      <c r="U814">
        <f t="shared" si="738"/>
        <v>-1.0000000000000001E+300</v>
      </c>
      <c r="V814">
        <f t="shared" si="739"/>
        <v>0</v>
      </c>
      <c r="W814">
        <f t="shared" si="740"/>
        <v>0</v>
      </c>
      <c r="X814">
        <f t="shared" si="717"/>
        <v>0.70057516175052381</v>
      </c>
      <c r="Y814">
        <f t="shared" si="718"/>
        <v>7.8539816339744828</v>
      </c>
      <c r="Z814">
        <f t="shared" si="719"/>
        <v>-0.70057516175052381</v>
      </c>
      <c r="AA814">
        <f t="shared" si="741"/>
        <v>-0.83078188996233537</v>
      </c>
      <c r="AB814">
        <f t="shared" si="720"/>
        <v>7.0231997440121479</v>
      </c>
      <c r="AC814">
        <f t="shared" si="742"/>
        <v>-0.80743632696207313</v>
      </c>
      <c r="AD814">
        <f t="shared" si="721"/>
        <v>0.43903612861385688</v>
      </c>
      <c r="AE814" s="9">
        <f t="shared" si="743"/>
        <v>6.6547995456639315</v>
      </c>
      <c r="AF814">
        <f t="shared" si="744"/>
        <v>0</v>
      </c>
      <c r="AH814">
        <f t="shared" si="722"/>
        <v>7.8539816339744828</v>
      </c>
      <c r="AI814">
        <f t="shared" si="723"/>
        <v>-0.83078188996233571</v>
      </c>
      <c r="AJ814">
        <f t="shared" si="724"/>
        <v>-0.80743632696206902</v>
      </c>
      <c r="AK814">
        <f t="shared" si="725"/>
        <v>0.43903612861385688</v>
      </c>
      <c r="AL814" s="9">
        <f t="shared" si="745"/>
        <v>6.6547995456639351</v>
      </c>
      <c r="AM814" t="e">
        <f t="shared" si="726"/>
        <v>#N/A</v>
      </c>
      <c r="AN814" t="e">
        <f t="shared" si="746"/>
        <v>#N/A</v>
      </c>
      <c r="AO814">
        <f t="shared" si="727"/>
        <v>0</v>
      </c>
      <c r="AP814">
        <f t="shared" si="728"/>
        <v>0</v>
      </c>
      <c r="AQ814">
        <f t="shared" si="729"/>
        <v>4.1078251911130792E-15</v>
      </c>
      <c r="AR814">
        <f t="shared" si="747"/>
        <v>0</v>
      </c>
      <c r="AS814">
        <f t="shared" si="730"/>
        <v>0</v>
      </c>
      <c r="AT814">
        <f t="shared" si="748"/>
        <v>0</v>
      </c>
      <c r="AU814">
        <f t="shared" si="749"/>
        <v>0</v>
      </c>
      <c r="AV814">
        <f t="shared" si="731"/>
        <v>7.005751617505238E-21</v>
      </c>
      <c r="AW814" t="b">
        <f t="shared" si="750"/>
        <v>1</v>
      </c>
      <c r="AX814">
        <f t="shared" si="732"/>
        <v>7.8539816339744828</v>
      </c>
      <c r="AY814">
        <f t="shared" si="733"/>
        <v>-0.8307818899623356</v>
      </c>
      <c r="AZ814">
        <f t="shared" si="734"/>
        <v>-0.80743632696207301</v>
      </c>
      <c r="BA814">
        <f t="shared" si="735"/>
        <v>0.43903612861385705</v>
      </c>
      <c r="BB814">
        <f t="shared" si="736"/>
        <v>-1.2337005501361696E-20</v>
      </c>
      <c r="BD814" s="15">
        <f t="shared" si="751"/>
        <v>6.6547995456639306</v>
      </c>
      <c r="BE814" s="10">
        <f t="shared" si="752"/>
        <v>0</v>
      </c>
      <c r="BF814">
        <f t="shared" si="753"/>
        <v>0</v>
      </c>
      <c r="BG814">
        <f t="shared" si="754"/>
        <v>0</v>
      </c>
      <c r="BH814">
        <f t="shared" si="755"/>
        <v>0</v>
      </c>
      <c r="BI814">
        <f t="shared" si="756"/>
        <v>0</v>
      </c>
    </row>
    <row r="815" spans="1:61" x14ac:dyDescent="0.3">
      <c r="A815">
        <f t="shared" si="761"/>
        <v>0.77800000000000002</v>
      </c>
      <c r="B815">
        <f t="shared" si="704"/>
        <v>2.4441590844928589</v>
      </c>
      <c r="C815">
        <f t="shared" si="705"/>
        <v>0.69743356909693421</v>
      </c>
      <c r="D815">
        <f t="shared" si="706"/>
        <v>0.69743356909693421</v>
      </c>
      <c r="E815">
        <f t="shared" si="711"/>
        <v>0.64225265317658453</v>
      </c>
      <c r="F815">
        <f t="shared" si="712"/>
        <v>0.64225265317658442</v>
      </c>
      <c r="G815">
        <f t="shared" si="707"/>
        <v>2.4441590844928589</v>
      </c>
      <c r="H815">
        <f t="shared" si="708"/>
        <v>0.64225265317658453</v>
      </c>
      <c r="I815">
        <f t="shared" si="709"/>
        <v>0.64225265317658442</v>
      </c>
      <c r="J815">
        <f t="shared" si="757"/>
        <v>9.9122949390533018E+19</v>
      </c>
      <c r="K815">
        <f t="shared" si="758"/>
        <v>9.9122949390533018E+19</v>
      </c>
      <c r="L815">
        <f t="shared" si="713"/>
        <v>1</v>
      </c>
      <c r="M815">
        <f t="shared" si="710"/>
        <v>6.9743356909693414E-21</v>
      </c>
      <c r="N815" s="9">
        <f t="shared" si="759"/>
        <v>6.9743356909693414E-21</v>
      </c>
      <c r="O815">
        <f t="shared" si="760"/>
        <v>6.9743356909693414E-21</v>
      </c>
      <c r="Q815">
        <f t="shared" si="714"/>
        <v>46.042892666526996</v>
      </c>
      <c r="R815">
        <f t="shared" si="715"/>
        <v>-710542.73576010019</v>
      </c>
      <c r="S815">
        <f t="shared" si="737"/>
        <v>-46.41204987114137</v>
      </c>
      <c r="T815" s="9" t="e">
        <f t="shared" si="716"/>
        <v>#N/A</v>
      </c>
      <c r="U815">
        <f t="shared" si="738"/>
        <v>-1.0000000000000001E+300</v>
      </c>
      <c r="V815">
        <f t="shared" si="739"/>
        <v>0</v>
      </c>
      <c r="W815">
        <f t="shared" si="740"/>
        <v>0</v>
      </c>
      <c r="X815">
        <f t="shared" si="717"/>
        <v>0.69743356909693421</v>
      </c>
      <c r="Y815">
        <f t="shared" si="718"/>
        <v>7.8539816339744828</v>
      </c>
      <c r="Z815">
        <f t="shared" si="719"/>
        <v>-0.69743356909693421</v>
      </c>
      <c r="AA815">
        <f t="shared" si="741"/>
        <v>-0.83234837689320629</v>
      </c>
      <c r="AB815">
        <f t="shared" si="720"/>
        <v>7.0216332570812767</v>
      </c>
      <c r="AC815">
        <f t="shared" si="742"/>
        <v>-0.811930716549912</v>
      </c>
      <c r="AD815">
        <f t="shared" si="721"/>
        <v>0.44277351193553949</v>
      </c>
      <c r="AE815" s="9">
        <f t="shared" si="743"/>
        <v>6.6524760524669038</v>
      </c>
      <c r="AF815">
        <f t="shared" si="744"/>
        <v>0</v>
      </c>
      <c r="AH815">
        <f t="shared" si="722"/>
        <v>7.8539816339744828</v>
      </c>
      <c r="AI815">
        <f t="shared" si="723"/>
        <v>-0.83234837689320595</v>
      </c>
      <c r="AJ815">
        <f t="shared" si="724"/>
        <v>-0.81193071654990945</v>
      </c>
      <c r="AK815">
        <f t="shared" si="725"/>
        <v>0.44277351193553949</v>
      </c>
      <c r="AL815" s="9">
        <f t="shared" si="745"/>
        <v>6.6524760524669064</v>
      </c>
      <c r="AM815" t="e">
        <f t="shared" si="726"/>
        <v>#N/A</v>
      </c>
      <c r="AN815" t="e">
        <f t="shared" si="746"/>
        <v>#N/A</v>
      </c>
      <c r="AO815">
        <f t="shared" si="727"/>
        <v>0</v>
      </c>
      <c r="AP815">
        <f t="shared" si="728"/>
        <v>0</v>
      </c>
      <c r="AQ815">
        <f t="shared" si="729"/>
        <v>2.55351295663786E-15</v>
      </c>
      <c r="AR815">
        <f t="shared" si="747"/>
        <v>0</v>
      </c>
      <c r="AS815">
        <f t="shared" si="730"/>
        <v>0</v>
      </c>
      <c r="AT815">
        <f t="shared" si="748"/>
        <v>0</v>
      </c>
      <c r="AU815">
        <f t="shared" si="749"/>
        <v>0</v>
      </c>
      <c r="AV815">
        <f t="shared" si="731"/>
        <v>6.9743356909693414E-21</v>
      </c>
      <c r="AW815" t="b">
        <f t="shared" si="750"/>
        <v>1</v>
      </c>
      <c r="AX815">
        <f t="shared" si="732"/>
        <v>7.8539816339744828</v>
      </c>
      <c r="AY815">
        <f t="shared" si="733"/>
        <v>-0.83234837689320618</v>
      </c>
      <c r="AZ815">
        <f t="shared" si="734"/>
        <v>-0.81193071654991211</v>
      </c>
      <c r="BA815">
        <f t="shared" si="735"/>
        <v>0.44277351193553965</v>
      </c>
      <c r="BB815">
        <f t="shared" si="736"/>
        <v>-1.2337005501361696E-20</v>
      </c>
      <c r="BD815" s="15">
        <f t="shared" si="751"/>
        <v>6.6524760524669047</v>
      </c>
      <c r="BE815" s="10">
        <f t="shared" si="752"/>
        <v>0</v>
      </c>
      <c r="BF815">
        <f t="shared" si="753"/>
        <v>0</v>
      </c>
      <c r="BG815">
        <f t="shared" si="754"/>
        <v>0</v>
      </c>
      <c r="BH815">
        <f t="shared" si="755"/>
        <v>0</v>
      </c>
      <c r="BI815">
        <f t="shared" si="756"/>
        <v>0</v>
      </c>
    </row>
    <row r="816" spans="1:61" x14ac:dyDescent="0.3">
      <c r="A816">
        <f t="shared" si="761"/>
        <v>0.77900000000000003</v>
      </c>
      <c r="B816">
        <f t="shared" si="704"/>
        <v>2.4473006771464489</v>
      </c>
      <c r="C816">
        <f t="shared" si="705"/>
        <v>0.69429197644334417</v>
      </c>
      <c r="D816">
        <f t="shared" si="706"/>
        <v>0.69429197644334417</v>
      </c>
      <c r="E816">
        <f t="shared" si="711"/>
        <v>0.63984147895117838</v>
      </c>
      <c r="F816">
        <f t="shared" si="712"/>
        <v>0.63984147895117838</v>
      </c>
      <c r="G816">
        <f t="shared" si="707"/>
        <v>2.4473006771464489</v>
      </c>
      <c r="H816">
        <f t="shared" si="708"/>
        <v>0.63984147895117838</v>
      </c>
      <c r="I816">
        <f t="shared" si="709"/>
        <v>0.63984147895117838</v>
      </c>
      <c r="J816">
        <f t="shared" si="757"/>
        <v>9.9496483630777123E+19</v>
      </c>
      <c r="K816">
        <f t="shared" si="758"/>
        <v>9.9496483630777123E+19</v>
      </c>
      <c r="L816">
        <f t="shared" si="713"/>
        <v>1</v>
      </c>
      <c r="M816">
        <f t="shared" si="710"/>
        <v>6.9429197644334417E-21</v>
      </c>
      <c r="N816" s="9">
        <f t="shared" si="759"/>
        <v>6.9429197644334417E-21</v>
      </c>
      <c r="O816">
        <f t="shared" si="760"/>
        <v>6.9429197644334417E-21</v>
      </c>
      <c r="Q816">
        <f t="shared" si="714"/>
        <v>46.04665397703868</v>
      </c>
      <c r="R816">
        <f t="shared" si="715"/>
        <v>-710542.73576010019</v>
      </c>
      <c r="S816">
        <f t="shared" si="737"/>
        <v>-46.416564551495895</v>
      </c>
      <c r="T816" s="9" t="e">
        <f t="shared" si="716"/>
        <v>#N/A</v>
      </c>
      <c r="U816">
        <f t="shared" si="738"/>
        <v>-1.0000000000000001E+300</v>
      </c>
      <c r="V816">
        <f t="shared" si="739"/>
        <v>0</v>
      </c>
      <c r="W816">
        <f t="shared" si="740"/>
        <v>0</v>
      </c>
      <c r="X816">
        <f t="shared" si="717"/>
        <v>0.69429197644334417</v>
      </c>
      <c r="Y816">
        <f t="shared" si="718"/>
        <v>7.8539816339744828</v>
      </c>
      <c r="Z816">
        <f t="shared" si="719"/>
        <v>-0.69429197644334417</v>
      </c>
      <c r="AA816">
        <f t="shared" si="741"/>
        <v>-0.83390684102105062</v>
      </c>
      <c r="AB816">
        <f t="shared" si="720"/>
        <v>7.020074792953432</v>
      </c>
      <c r="AC816">
        <f t="shared" si="742"/>
        <v>-0.81644539690443907</v>
      </c>
      <c r="AD816">
        <f t="shared" si="721"/>
        <v>0.4465348224472242</v>
      </c>
      <c r="AE816" s="9">
        <f t="shared" si="743"/>
        <v>6.6501642184962169</v>
      </c>
      <c r="AF816">
        <f t="shared" si="744"/>
        <v>0</v>
      </c>
      <c r="AH816">
        <f t="shared" si="722"/>
        <v>7.8539816339744828</v>
      </c>
      <c r="AI816">
        <f t="shared" si="723"/>
        <v>-0.83390684102105062</v>
      </c>
      <c r="AJ816">
        <f t="shared" si="724"/>
        <v>-0.81644539690443452</v>
      </c>
      <c r="AK816">
        <f t="shared" si="725"/>
        <v>0.4465348224472242</v>
      </c>
      <c r="AL816" s="9">
        <f t="shared" si="745"/>
        <v>6.6501642184962213</v>
      </c>
      <c r="AM816" t="e">
        <f t="shared" si="726"/>
        <v>#N/A</v>
      </c>
      <c r="AN816" t="e">
        <f t="shared" si="746"/>
        <v>#N/A</v>
      </c>
      <c r="AO816">
        <f t="shared" si="727"/>
        <v>0</v>
      </c>
      <c r="AP816">
        <f t="shared" si="728"/>
        <v>0</v>
      </c>
      <c r="AQ816">
        <f t="shared" si="729"/>
        <v>4.5519144009631418E-15</v>
      </c>
      <c r="AR816">
        <f t="shared" si="747"/>
        <v>0</v>
      </c>
      <c r="AS816">
        <f t="shared" si="730"/>
        <v>0</v>
      </c>
      <c r="AT816">
        <f t="shared" si="748"/>
        <v>0</v>
      </c>
      <c r="AU816">
        <f t="shared" si="749"/>
        <v>0</v>
      </c>
      <c r="AV816">
        <f t="shared" si="731"/>
        <v>6.9429197644334417E-21</v>
      </c>
      <c r="AW816" t="b">
        <f t="shared" si="750"/>
        <v>1</v>
      </c>
      <c r="AX816">
        <f t="shared" si="732"/>
        <v>7.8539816339744828</v>
      </c>
      <c r="AY816">
        <f t="shared" si="733"/>
        <v>-0.83390684102105084</v>
      </c>
      <c r="AZ816">
        <f t="shared" si="734"/>
        <v>-0.81644539690443907</v>
      </c>
      <c r="BA816">
        <f t="shared" si="735"/>
        <v>0.4465348224472242</v>
      </c>
      <c r="BB816">
        <f t="shared" si="736"/>
        <v>-1.2337005501361696E-20</v>
      </c>
      <c r="BD816" s="15">
        <f t="shared" si="751"/>
        <v>6.6501642184962169</v>
      </c>
      <c r="BE816" s="10">
        <f t="shared" si="752"/>
        <v>0</v>
      </c>
      <c r="BF816">
        <f t="shared" si="753"/>
        <v>0</v>
      </c>
      <c r="BG816">
        <f t="shared" si="754"/>
        <v>0</v>
      </c>
      <c r="BH816">
        <f t="shared" si="755"/>
        <v>0</v>
      </c>
      <c r="BI816">
        <f t="shared" si="756"/>
        <v>0</v>
      </c>
    </row>
    <row r="817" spans="1:61" x14ac:dyDescent="0.3">
      <c r="A817">
        <f t="shared" si="761"/>
        <v>0.78</v>
      </c>
      <c r="B817">
        <f t="shared" si="704"/>
        <v>2.4504422698000385</v>
      </c>
      <c r="C817">
        <f t="shared" si="705"/>
        <v>0.69115038378975457</v>
      </c>
      <c r="D817">
        <f t="shared" si="706"/>
        <v>0.69115038378975457</v>
      </c>
      <c r="E817">
        <f t="shared" si="711"/>
        <v>0.63742398974868986</v>
      </c>
      <c r="F817">
        <f t="shared" si="712"/>
        <v>0.63742398974868975</v>
      </c>
      <c r="G817">
        <f t="shared" si="707"/>
        <v>2.4504422698000385</v>
      </c>
      <c r="H817">
        <f t="shared" si="708"/>
        <v>0.63742398974868986</v>
      </c>
      <c r="I817">
        <f t="shared" si="709"/>
        <v>0.63742398974868975</v>
      </c>
      <c r="J817">
        <f t="shared" si="757"/>
        <v>9.9873833210854605E+19</v>
      </c>
      <c r="K817">
        <f t="shared" si="758"/>
        <v>9.9873833210854605E+19</v>
      </c>
      <c r="L817">
        <f t="shared" si="713"/>
        <v>1</v>
      </c>
      <c r="M817">
        <f t="shared" si="710"/>
        <v>6.9115038378975451E-21</v>
      </c>
      <c r="N817" s="9">
        <f t="shared" si="759"/>
        <v>6.9115038378975451E-21</v>
      </c>
      <c r="O817">
        <f t="shared" si="760"/>
        <v>6.9115038378975451E-21</v>
      </c>
      <c r="Q817">
        <f t="shared" si="714"/>
        <v>46.050439395416447</v>
      </c>
      <c r="R817">
        <f t="shared" si="715"/>
        <v>0</v>
      </c>
      <c r="S817">
        <f t="shared" si="737"/>
        <v>-46.421099706661288</v>
      </c>
      <c r="T817" s="9" t="e">
        <f t="shared" si="716"/>
        <v>#N/A</v>
      </c>
      <c r="U817">
        <f t="shared" si="738"/>
        <v>-1.0000000000000001E+300</v>
      </c>
      <c r="V817">
        <f t="shared" si="739"/>
        <v>0</v>
      </c>
      <c r="W817">
        <f t="shared" si="740"/>
        <v>0</v>
      </c>
      <c r="X817">
        <f t="shared" si="717"/>
        <v>0.69115038378975457</v>
      </c>
      <c r="Y817">
        <f t="shared" si="718"/>
        <v>7.8539816339744828</v>
      </c>
      <c r="Z817">
        <f t="shared" si="719"/>
        <v>-0.69115038378975457</v>
      </c>
      <c r="AA817">
        <f t="shared" si="741"/>
        <v>-0.83545729690772064</v>
      </c>
      <c r="AB817">
        <f t="shared" si="720"/>
        <v>7.0185243370667623</v>
      </c>
      <c r="AC817">
        <f t="shared" si="742"/>
        <v>-0.82098055206983012</v>
      </c>
      <c r="AD817">
        <f t="shared" si="721"/>
        <v>0.450320240824989</v>
      </c>
      <c r="AE817" s="9">
        <f t="shared" si="743"/>
        <v>6.6478640258219208</v>
      </c>
      <c r="AF817">
        <f t="shared" si="744"/>
        <v>0</v>
      </c>
      <c r="AH817">
        <f t="shared" si="722"/>
        <v>7.8539816339744828</v>
      </c>
      <c r="AI817">
        <f t="shared" si="723"/>
        <v>-0.83545729690772053</v>
      </c>
      <c r="AJ817">
        <f t="shared" si="724"/>
        <v>-0.82098055206982679</v>
      </c>
      <c r="AK817">
        <f t="shared" si="725"/>
        <v>0.450320240824989</v>
      </c>
      <c r="AL817" s="9">
        <f t="shared" si="745"/>
        <v>6.6478640258219244</v>
      </c>
      <c r="AM817" t="e">
        <f t="shared" si="726"/>
        <v>#N/A</v>
      </c>
      <c r="AN817" t="e">
        <f t="shared" si="746"/>
        <v>#N/A</v>
      </c>
      <c r="AO817">
        <f t="shared" si="727"/>
        <v>0</v>
      </c>
      <c r="AP817">
        <f t="shared" si="728"/>
        <v>0</v>
      </c>
      <c r="AQ817">
        <f t="shared" si="729"/>
        <v>3.3306690738754696E-15</v>
      </c>
      <c r="AR817">
        <f t="shared" si="747"/>
        <v>0</v>
      </c>
      <c r="AS817">
        <f t="shared" si="730"/>
        <v>0</v>
      </c>
      <c r="AT817">
        <f t="shared" si="748"/>
        <v>0</v>
      </c>
      <c r="AU817">
        <f t="shared" si="749"/>
        <v>0</v>
      </c>
      <c r="AV817">
        <f t="shared" si="731"/>
        <v>6.9115038378975451E-21</v>
      </c>
      <c r="AW817" t="b">
        <f t="shared" si="750"/>
        <v>1</v>
      </c>
      <c r="AX817">
        <f t="shared" si="732"/>
        <v>7.8539816339744828</v>
      </c>
      <c r="AY817">
        <f t="shared" si="733"/>
        <v>-0.83545729690772075</v>
      </c>
      <c r="AZ817">
        <f t="shared" si="734"/>
        <v>-0.82098055206983012</v>
      </c>
      <c r="BA817">
        <f t="shared" si="735"/>
        <v>0.45032024082498917</v>
      </c>
      <c r="BB817">
        <f t="shared" si="736"/>
        <v>-1.2337005501361696E-20</v>
      </c>
      <c r="BD817" s="15">
        <f t="shared" si="751"/>
        <v>6.6478640258219208</v>
      </c>
      <c r="BE817" s="10">
        <f t="shared" si="752"/>
        <v>0</v>
      </c>
      <c r="BF817">
        <f t="shared" si="753"/>
        <v>0</v>
      </c>
      <c r="BG817">
        <f t="shared" si="754"/>
        <v>0</v>
      </c>
      <c r="BH817">
        <f t="shared" si="755"/>
        <v>0</v>
      </c>
      <c r="BI817">
        <f t="shared" si="756"/>
        <v>0</v>
      </c>
    </row>
    <row r="818" spans="1:61" x14ac:dyDescent="0.3">
      <c r="A818">
        <f t="shared" si="761"/>
        <v>0.78100000000000003</v>
      </c>
      <c r="B818">
        <f t="shared" si="704"/>
        <v>2.4535838624536286</v>
      </c>
      <c r="C818">
        <f t="shared" si="705"/>
        <v>0.68800879113616453</v>
      </c>
      <c r="D818">
        <f t="shared" si="706"/>
        <v>0.68800879113616453</v>
      </c>
      <c r="E818">
        <f t="shared" si="711"/>
        <v>0.63500020942876056</v>
      </c>
      <c r="F818">
        <f t="shared" si="712"/>
        <v>0.63500020942876045</v>
      </c>
      <c r="G818">
        <f t="shared" si="707"/>
        <v>2.4535838624536286</v>
      </c>
      <c r="H818">
        <f t="shared" si="708"/>
        <v>0.63500020942876056</v>
      </c>
      <c r="I818">
        <f t="shared" si="709"/>
        <v>0.63500020942876045</v>
      </c>
      <c r="J818">
        <f t="shared" si="757"/>
        <v>1.0025504919758653E+20</v>
      </c>
      <c r="K818">
        <f t="shared" si="758"/>
        <v>1.0025504919758653E+20</v>
      </c>
      <c r="L818">
        <f t="shared" si="713"/>
        <v>1</v>
      </c>
      <c r="M818">
        <f t="shared" si="710"/>
        <v>6.8800879113616455E-21</v>
      </c>
      <c r="N818" s="9">
        <f t="shared" si="759"/>
        <v>6.8800879113616455E-21</v>
      </c>
      <c r="O818">
        <f t="shared" si="760"/>
        <v>6.8800879113616455E-21</v>
      </c>
      <c r="Q818">
        <f t="shared" si="714"/>
        <v>46.054249104871886</v>
      </c>
      <c r="R818">
        <f t="shared" si="715"/>
        <v>0</v>
      </c>
      <c r="S818">
        <f t="shared" si="737"/>
        <v>-46.42565552319715</v>
      </c>
      <c r="T818" s="9" t="e">
        <f t="shared" si="716"/>
        <v>#N/A</v>
      </c>
      <c r="U818">
        <f t="shared" si="738"/>
        <v>-1.0000000000000001E+300</v>
      </c>
      <c r="V818">
        <f t="shared" si="739"/>
        <v>0</v>
      </c>
      <c r="W818">
        <f t="shared" si="740"/>
        <v>0</v>
      </c>
      <c r="X818">
        <f t="shared" si="717"/>
        <v>0.68800879113616453</v>
      </c>
      <c r="Y818">
        <f t="shared" si="718"/>
        <v>7.8539816339744828</v>
      </c>
      <c r="Z818">
        <f t="shared" si="719"/>
        <v>-0.68800879113616453</v>
      </c>
      <c r="AA818">
        <f t="shared" si="741"/>
        <v>-0.83699975901796864</v>
      </c>
      <c r="AB818">
        <f t="shared" si="720"/>
        <v>7.0169818749565138</v>
      </c>
      <c r="AC818">
        <f t="shared" si="742"/>
        <v>-0.82553636860569113</v>
      </c>
      <c r="AD818">
        <f t="shared" si="721"/>
        <v>0.45412995028042802</v>
      </c>
      <c r="AE818" s="9">
        <f t="shared" si="743"/>
        <v>6.6455754566312502</v>
      </c>
      <c r="AF818">
        <f t="shared" si="744"/>
        <v>0</v>
      </c>
      <c r="AH818">
        <f t="shared" si="722"/>
        <v>7.8539816339744828</v>
      </c>
      <c r="AI818">
        <f t="shared" si="723"/>
        <v>-0.83699975901796864</v>
      </c>
      <c r="AJ818">
        <f t="shared" si="724"/>
        <v>-0.82553636860568957</v>
      </c>
      <c r="AK818">
        <f t="shared" si="725"/>
        <v>0.45412995028042802</v>
      </c>
      <c r="AL818" s="9">
        <f t="shared" si="745"/>
        <v>6.6455754566312519</v>
      </c>
      <c r="AM818" t="e">
        <f t="shared" si="726"/>
        <v>#N/A</v>
      </c>
      <c r="AN818" t="e">
        <f t="shared" si="746"/>
        <v>#N/A</v>
      </c>
      <c r="AO818">
        <f t="shared" si="727"/>
        <v>0</v>
      </c>
      <c r="AP818">
        <f t="shared" si="728"/>
        <v>0</v>
      </c>
      <c r="AQ818">
        <f t="shared" si="729"/>
        <v>1.5543122344752192E-15</v>
      </c>
      <c r="AR818">
        <f t="shared" si="747"/>
        <v>0</v>
      </c>
      <c r="AS818">
        <f t="shared" si="730"/>
        <v>0</v>
      </c>
      <c r="AT818">
        <f t="shared" si="748"/>
        <v>0</v>
      </c>
      <c r="AU818">
        <f t="shared" si="749"/>
        <v>0</v>
      </c>
      <c r="AV818">
        <f t="shared" si="731"/>
        <v>6.8800879113616455E-21</v>
      </c>
      <c r="AW818" t="b">
        <f t="shared" si="750"/>
        <v>1</v>
      </c>
      <c r="AX818">
        <f t="shared" si="732"/>
        <v>7.8539816339744828</v>
      </c>
      <c r="AY818">
        <f t="shared" si="733"/>
        <v>-0.83699975901796875</v>
      </c>
      <c r="AZ818">
        <f t="shared" si="734"/>
        <v>-0.82553636860569102</v>
      </c>
      <c r="BA818">
        <f t="shared" si="735"/>
        <v>0.45412995028042819</v>
      </c>
      <c r="BB818">
        <f t="shared" si="736"/>
        <v>-1.2337005501361696E-20</v>
      </c>
      <c r="BD818" s="15">
        <f t="shared" si="751"/>
        <v>6.645575456631251</v>
      </c>
      <c r="BE818" s="10">
        <f t="shared" si="752"/>
        <v>0</v>
      </c>
      <c r="BF818">
        <f t="shared" si="753"/>
        <v>0</v>
      </c>
      <c r="BG818">
        <f t="shared" si="754"/>
        <v>0</v>
      </c>
      <c r="BH818">
        <f t="shared" si="755"/>
        <v>0</v>
      </c>
      <c r="BI818">
        <f t="shared" si="756"/>
        <v>0</v>
      </c>
    </row>
    <row r="819" spans="1:61" x14ac:dyDescent="0.3">
      <c r="A819">
        <f t="shared" si="761"/>
        <v>0.78200000000000003</v>
      </c>
      <c r="B819">
        <f t="shared" si="704"/>
        <v>2.4567254551072182</v>
      </c>
      <c r="C819">
        <f t="shared" si="705"/>
        <v>0.68486719848257493</v>
      </c>
      <c r="D819">
        <f t="shared" si="706"/>
        <v>0.68486719848257493</v>
      </c>
      <c r="E819">
        <f t="shared" si="711"/>
        <v>0.63257016191312454</v>
      </c>
      <c r="F819">
        <f t="shared" si="712"/>
        <v>0.63257016191312443</v>
      </c>
      <c r="G819">
        <f t="shared" si="707"/>
        <v>2.4567254551072182</v>
      </c>
      <c r="H819">
        <f t="shared" si="708"/>
        <v>0.63257016191312454</v>
      </c>
      <c r="I819">
        <f t="shared" si="709"/>
        <v>0.63257016191312443</v>
      </c>
      <c r="J819">
        <f t="shared" si="757"/>
        <v>1.0064018360306616E+20</v>
      </c>
      <c r="K819">
        <f t="shared" si="758"/>
        <v>1.0064018360306616E+20</v>
      </c>
      <c r="L819">
        <f t="shared" si="713"/>
        <v>1</v>
      </c>
      <c r="M819">
        <f t="shared" si="710"/>
        <v>6.8486719848257489E-21</v>
      </c>
      <c r="N819" s="9">
        <f t="shared" si="759"/>
        <v>6.8486719848257489E-21</v>
      </c>
      <c r="O819">
        <f t="shared" si="760"/>
        <v>6.8486719848257489E-21</v>
      </c>
      <c r="Q819">
        <f t="shared" si="714"/>
        <v>46.058083291198081</v>
      </c>
      <c r="R819">
        <f t="shared" si="715"/>
        <v>0</v>
      </c>
      <c r="S819">
        <f t="shared" si="737"/>
        <v>-46.430232190224558</v>
      </c>
      <c r="T819" s="9" t="e">
        <f t="shared" si="716"/>
        <v>#N/A</v>
      </c>
      <c r="U819">
        <f t="shared" si="738"/>
        <v>-1.0000000000000001E+300</v>
      </c>
      <c r="V819">
        <f t="shared" si="739"/>
        <v>0</v>
      </c>
      <c r="W819">
        <f t="shared" si="740"/>
        <v>0</v>
      </c>
      <c r="X819">
        <f t="shared" si="717"/>
        <v>0.68486719848257493</v>
      </c>
      <c r="Y819">
        <f t="shared" si="718"/>
        <v>7.8539816339744828</v>
      </c>
      <c r="Z819">
        <f t="shared" si="719"/>
        <v>-0.68486719848257493</v>
      </c>
      <c r="AA819">
        <f t="shared" si="741"/>
        <v>-0.83853424171995017</v>
      </c>
      <c r="AB819">
        <f t="shared" si="720"/>
        <v>7.0154473922545328</v>
      </c>
      <c r="AC819">
        <f t="shared" si="742"/>
        <v>-0.83011303563310268</v>
      </c>
      <c r="AD819">
        <f t="shared" si="721"/>
        <v>0.45796413660662055</v>
      </c>
      <c r="AE819" s="9">
        <f t="shared" si="743"/>
        <v>6.643298493228051</v>
      </c>
      <c r="AF819">
        <f t="shared" si="744"/>
        <v>0</v>
      </c>
      <c r="AH819">
        <f t="shared" si="722"/>
        <v>7.8539816339744828</v>
      </c>
      <c r="AI819">
        <f t="shared" si="723"/>
        <v>-0.83853424171995017</v>
      </c>
      <c r="AJ819">
        <f t="shared" si="724"/>
        <v>-0.83011303563309724</v>
      </c>
      <c r="AK819">
        <f t="shared" si="725"/>
        <v>0.45796413660662055</v>
      </c>
      <c r="AL819" s="9">
        <f t="shared" si="745"/>
        <v>6.6432984932280563</v>
      </c>
      <c r="AM819" t="e">
        <f t="shared" si="726"/>
        <v>#N/A</v>
      </c>
      <c r="AN819" t="e">
        <f t="shared" si="746"/>
        <v>#N/A</v>
      </c>
      <c r="AO819">
        <f t="shared" si="727"/>
        <v>0</v>
      </c>
      <c r="AP819">
        <f t="shared" si="728"/>
        <v>0</v>
      </c>
      <c r="AQ819">
        <f t="shared" si="729"/>
        <v>5.440092820663267E-15</v>
      </c>
      <c r="AR819">
        <f t="shared" si="747"/>
        <v>0</v>
      </c>
      <c r="AS819">
        <f t="shared" si="730"/>
        <v>0</v>
      </c>
      <c r="AT819">
        <f t="shared" si="748"/>
        <v>0</v>
      </c>
      <c r="AU819">
        <f t="shared" si="749"/>
        <v>0</v>
      </c>
      <c r="AV819">
        <f t="shared" si="731"/>
        <v>6.8486719848257489E-21</v>
      </c>
      <c r="AW819" t="b">
        <f t="shared" si="750"/>
        <v>1</v>
      </c>
      <c r="AX819">
        <f t="shared" si="732"/>
        <v>7.8539816339744828</v>
      </c>
      <c r="AY819">
        <f t="shared" si="733"/>
        <v>-0.83853424171995006</v>
      </c>
      <c r="AZ819">
        <f t="shared" si="734"/>
        <v>-0.83011303563310257</v>
      </c>
      <c r="BA819">
        <f t="shared" si="735"/>
        <v>0.45796413660662072</v>
      </c>
      <c r="BB819">
        <f t="shared" si="736"/>
        <v>-1.2337005501361696E-20</v>
      </c>
      <c r="BD819" s="15">
        <f t="shared" si="751"/>
        <v>6.643298493228051</v>
      </c>
      <c r="BE819" s="10">
        <f t="shared" si="752"/>
        <v>0</v>
      </c>
      <c r="BF819">
        <f t="shared" si="753"/>
        <v>0</v>
      </c>
      <c r="BG819">
        <f t="shared" si="754"/>
        <v>0</v>
      </c>
      <c r="BH819">
        <f t="shared" si="755"/>
        <v>0</v>
      </c>
      <c r="BI819">
        <f t="shared" si="756"/>
        <v>0</v>
      </c>
    </row>
    <row r="820" spans="1:61" x14ac:dyDescent="0.3">
      <c r="A820">
        <f t="shared" si="761"/>
        <v>0.78300000000000003</v>
      </c>
      <c r="B820">
        <f t="shared" si="704"/>
        <v>2.4598670477608082</v>
      </c>
      <c r="C820">
        <f t="shared" si="705"/>
        <v>0.68172560582898489</v>
      </c>
      <c r="D820">
        <f t="shared" si="706"/>
        <v>0.68172560582898489</v>
      </c>
      <c r="E820">
        <f t="shared" si="711"/>
        <v>0.63013387118536901</v>
      </c>
      <c r="F820">
        <f t="shared" si="712"/>
        <v>0.6301338711853689</v>
      </c>
      <c r="G820">
        <f t="shared" si="707"/>
        <v>2.4598670477608082</v>
      </c>
      <c r="H820">
        <f t="shared" si="708"/>
        <v>0.63013387118536901</v>
      </c>
      <c r="I820">
        <f t="shared" si="709"/>
        <v>0.6301338711853689</v>
      </c>
      <c r="J820">
        <f t="shared" si="757"/>
        <v>1.0102928940639416E+20</v>
      </c>
      <c r="K820">
        <f t="shared" si="758"/>
        <v>1.0102928940639416E+20</v>
      </c>
      <c r="L820">
        <f t="shared" si="713"/>
        <v>0</v>
      </c>
      <c r="M820">
        <f t="shared" si="710"/>
        <v>6.8172560582898493E-21</v>
      </c>
      <c r="N820" s="9">
        <f t="shared" si="759"/>
        <v>0</v>
      </c>
      <c r="O820">
        <f t="shared" si="760"/>
        <v>0</v>
      </c>
      <c r="Q820">
        <f t="shared" si="714"/>
        <v>46.061942142816626</v>
      </c>
      <c r="R820">
        <f t="shared" si="715"/>
        <v>-710542.73576010019</v>
      </c>
      <c r="S820">
        <f t="shared" si="737"/>
        <v>-46.434829899473193</v>
      </c>
      <c r="T820" s="9" t="e">
        <f t="shared" si="716"/>
        <v>#N/A</v>
      </c>
      <c r="U820">
        <f t="shared" si="738"/>
        <v>-1.0000000000000001E+300</v>
      </c>
      <c r="V820">
        <f t="shared" si="739"/>
        <v>0</v>
      </c>
      <c r="W820">
        <f t="shared" si="740"/>
        <v>0</v>
      </c>
      <c r="X820">
        <f t="shared" si="717"/>
        <v>0.68172560582898489</v>
      </c>
      <c r="Y820">
        <f t="shared" si="718"/>
        <v>7.8539816339744828</v>
      </c>
      <c r="Z820">
        <f t="shared" si="719"/>
        <v>-0.68172560582898489</v>
      </c>
      <c r="AA820">
        <f t="shared" si="741"/>
        <v>-0.84006075928572532</v>
      </c>
      <c r="AB820">
        <f t="shared" si="720"/>
        <v>7.0139208746887576</v>
      </c>
      <c r="AC820">
        <f t="shared" si="742"/>
        <v>-0.83471074488173247</v>
      </c>
      <c r="AD820">
        <f t="shared" si="721"/>
        <v>0.46182298822516904</v>
      </c>
      <c r="AE820" s="9">
        <f t="shared" si="743"/>
        <v>6.641033118032194</v>
      </c>
      <c r="AF820">
        <f t="shared" si="744"/>
        <v>0</v>
      </c>
      <c r="AH820">
        <f t="shared" si="722"/>
        <v>7.8539816339744828</v>
      </c>
      <c r="AI820">
        <f t="shared" si="723"/>
        <v>-0.84006075928572521</v>
      </c>
      <c r="AJ820">
        <f t="shared" si="724"/>
        <v>-0.83471074488173258</v>
      </c>
      <c r="AK820">
        <f t="shared" si="725"/>
        <v>0.46182298822516904</v>
      </c>
      <c r="AL820" s="9">
        <f t="shared" si="745"/>
        <v>6.641033118032194</v>
      </c>
      <c r="AM820" t="e">
        <f t="shared" si="726"/>
        <v>#N/A</v>
      </c>
      <c r="AN820" t="e">
        <f t="shared" si="746"/>
        <v>#N/A</v>
      </c>
      <c r="AO820">
        <f t="shared" si="727"/>
        <v>0</v>
      </c>
      <c r="AP820">
        <f t="shared" si="728"/>
        <v>0</v>
      </c>
      <c r="AQ820">
        <f t="shared" si="729"/>
        <v>0</v>
      </c>
      <c r="AR820">
        <f t="shared" si="747"/>
        <v>0</v>
      </c>
      <c r="AS820">
        <f t="shared" si="730"/>
        <v>0</v>
      </c>
      <c r="AT820">
        <f t="shared" si="748"/>
        <v>0</v>
      </c>
      <c r="AU820">
        <f t="shared" si="749"/>
        <v>0</v>
      </c>
      <c r="AV820">
        <f t="shared" si="731"/>
        <v>6.8172560582898493E-21</v>
      </c>
      <c r="AW820" t="b">
        <f t="shared" si="750"/>
        <v>1</v>
      </c>
      <c r="AX820">
        <f t="shared" si="732"/>
        <v>7.8539816339744828</v>
      </c>
      <c r="AY820">
        <f t="shared" si="733"/>
        <v>-0.84006075928572554</v>
      </c>
      <c r="AZ820">
        <f t="shared" si="734"/>
        <v>-0.83471074488173236</v>
      </c>
      <c r="BA820">
        <f t="shared" si="735"/>
        <v>0.46182298822516926</v>
      </c>
      <c r="BB820">
        <f t="shared" si="736"/>
        <v>-1.2337005501361696E-20</v>
      </c>
      <c r="BD820" s="15">
        <f t="shared" si="751"/>
        <v>6.641033118032194</v>
      </c>
      <c r="BE820" s="10">
        <f t="shared" si="752"/>
        <v>0</v>
      </c>
      <c r="BF820">
        <f t="shared" si="753"/>
        <v>0</v>
      </c>
      <c r="BG820">
        <f t="shared" si="754"/>
        <v>0</v>
      </c>
      <c r="BH820">
        <f t="shared" si="755"/>
        <v>0</v>
      </c>
      <c r="BI820">
        <f t="shared" si="756"/>
        <v>0</v>
      </c>
    </row>
    <row r="821" spans="1:61" x14ac:dyDescent="0.3">
      <c r="A821">
        <f t="shared" si="761"/>
        <v>0.78400000000000003</v>
      </c>
      <c r="B821">
        <f t="shared" si="704"/>
        <v>2.4630086404143978</v>
      </c>
      <c r="C821">
        <f t="shared" si="705"/>
        <v>0.6785840131753953</v>
      </c>
      <c r="D821">
        <f t="shared" si="706"/>
        <v>0.6785840131753953</v>
      </c>
      <c r="E821">
        <f t="shared" si="711"/>
        <v>0.62769136129070058</v>
      </c>
      <c r="F821">
        <f t="shared" si="712"/>
        <v>0.62769136129070047</v>
      </c>
      <c r="G821">
        <f t="shared" si="707"/>
        <v>2.4630086404143978</v>
      </c>
      <c r="H821">
        <f t="shared" si="708"/>
        <v>0.62769136129070058</v>
      </c>
      <c r="I821">
        <f t="shared" si="709"/>
        <v>0.62769136129070047</v>
      </c>
      <c r="J821">
        <f t="shared" si="757"/>
        <v>1.0142242057601712E+20</v>
      </c>
      <c r="K821">
        <f t="shared" si="758"/>
        <v>1.0142242057601712E+20</v>
      </c>
      <c r="L821">
        <f t="shared" si="713"/>
        <v>1</v>
      </c>
      <c r="M821">
        <f t="shared" si="710"/>
        <v>6.7858401317539527E-21</v>
      </c>
      <c r="N821" s="9">
        <f t="shared" si="759"/>
        <v>6.7858401317539527E-21</v>
      </c>
      <c r="O821">
        <f t="shared" si="760"/>
        <v>6.7858401317539527E-21</v>
      </c>
      <c r="Q821">
        <f t="shared" si="714"/>
        <v>46.065825850825775</v>
      </c>
      <c r="R821">
        <f t="shared" si="715"/>
        <v>0</v>
      </c>
      <c r="S821">
        <f t="shared" si="737"/>
        <v>-46.439448845329487</v>
      </c>
      <c r="T821" s="9" t="e">
        <f t="shared" si="716"/>
        <v>#N/A</v>
      </c>
      <c r="U821">
        <f t="shared" si="738"/>
        <v>-1.0000000000000001E+300</v>
      </c>
      <c r="V821">
        <f t="shared" si="739"/>
        <v>0</v>
      </c>
      <c r="W821">
        <f t="shared" si="740"/>
        <v>0</v>
      </c>
      <c r="X821">
        <f t="shared" si="717"/>
        <v>0.6785840131753953</v>
      </c>
      <c r="Y821">
        <f t="shared" si="718"/>
        <v>7.8539816339744828</v>
      </c>
      <c r="Z821">
        <f t="shared" si="719"/>
        <v>-0.6785840131753953</v>
      </c>
      <c r="AA821">
        <f t="shared" si="741"/>
        <v>-0.84157932589175477</v>
      </c>
      <c r="AB821">
        <f t="shared" si="720"/>
        <v>7.012402308082728</v>
      </c>
      <c r="AC821">
        <f t="shared" si="742"/>
        <v>-0.83932969073802677</v>
      </c>
      <c r="AD821">
        <f t="shared" si="721"/>
        <v>0.46570669623431615</v>
      </c>
      <c r="AE821" s="9">
        <f t="shared" si="743"/>
        <v>6.6387793135790174</v>
      </c>
      <c r="AF821">
        <f t="shared" si="744"/>
        <v>0</v>
      </c>
      <c r="AH821">
        <f t="shared" si="722"/>
        <v>7.8539816339744828</v>
      </c>
      <c r="AI821">
        <f t="shared" si="723"/>
        <v>-0.84157932589175466</v>
      </c>
      <c r="AJ821">
        <f t="shared" si="724"/>
        <v>-0.8393296907380261</v>
      </c>
      <c r="AK821">
        <f t="shared" si="725"/>
        <v>0.46570669623431615</v>
      </c>
      <c r="AL821" s="9">
        <f t="shared" si="745"/>
        <v>6.6387793135790183</v>
      </c>
      <c r="AM821" t="e">
        <f t="shared" si="726"/>
        <v>#N/A</v>
      </c>
      <c r="AN821" t="e">
        <f t="shared" si="746"/>
        <v>#N/A</v>
      </c>
      <c r="AO821">
        <f t="shared" si="727"/>
        <v>0</v>
      </c>
      <c r="AP821">
        <f t="shared" si="728"/>
        <v>0</v>
      </c>
      <c r="AQ821">
        <f t="shared" si="729"/>
        <v>0</v>
      </c>
      <c r="AR821">
        <f t="shared" si="747"/>
        <v>0</v>
      </c>
      <c r="AS821">
        <f t="shared" si="730"/>
        <v>0</v>
      </c>
      <c r="AT821">
        <f t="shared" si="748"/>
        <v>0</v>
      </c>
      <c r="AU821">
        <f t="shared" si="749"/>
        <v>0</v>
      </c>
      <c r="AV821">
        <f t="shared" si="731"/>
        <v>6.7858401317539527E-21</v>
      </c>
      <c r="AW821" t="b">
        <f t="shared" si="750"/>
        <v>1</v>
      </c>
      <c r="AX821">
        <f t="shared" si="732"/>
        <v>7.8539816339744828</v>
      </c>
      <c r="AY821">
        <f t="shared" si="733"/>
        <v>-0.84157932589175466</v>
      </c>
      <c r="AZ821">
        <f t="shared" si="734"/>
        <v>-0.83932969073802677</v>
      </c>
      <c r="BA821">
        <f t="shared" si="735"/>
        <v>0.46570669623431632</v>
      </c>
      <c r="BB821">
        <f t="shared" si="736"/>
        <v>-1.2337005501361696E-20</v>
      </c>
      <c r="BD821" s="15">
        <f t="shared" si="751"/>
        <v>6.6387793135790174</v>
      </c>
      <c r="BE821" s="10">
        <f t="shared" si="752"/>
        <v>0</v>
      </c>
      <c r="BF821">
        <f t="shared" si="753"/>
        <v>0</v>
      </c>
      <c r="BG821">
        <f t="shared" si="754"/>
        <v>0</v>
      </c>
      <c r="BH821">
        <f t="shared" si="755"/>
        <v>0</v>
      </c>
      <c r="BI821">
        <f t="shared" si="756"/>
        <v>0</v>
      </c>
    </row>
    <row r="822" spans="1:61" x14ac:dyDescent="0.3">
      <c r="A822">
        <f t="shared" si="761"/>
        <v>0.78500000000000003</v>
      </c>
      <c r="B822">
        <f t="shared" si="704"/>
        <v>2.4661502330679879</v>
      </c>
      <c r="C822">
        <f t="shared" si="705"/>
        <v>0.67544242052180525</v>
      </c>
      <c r="D822">
        <f t="shared" si="706"/>
        <v>0.67544242052180525</v>
      </c>
      <c r="E822">
        <f t="shared" si="711"/>
        <v>0.62524265633570508</v>
      </c>
      <c r="F822">
        <f t="shared" si="712"/>
        <v>0.62524265633570497</v>
      </c>
      <c r="G822">
        <f t="shared" si="707"/>
        <v>2.4661502330679879</v>
      </c>
      <c r="H822">
        <f t="shared" si="708"/>
        <v>0.62524265633570508</v>
      </c>
      <c r="I822">
        <f t="shared" si="709"/>
        <v>0.62524265633570497</v>
      </c>
      <c r="J822">
        <f t="shared" si="757"/>
        <v>1.0181963209269071E+20</v>
      </c>
      <c r="K822">
        <f t="shared" si="758"/>
        <v>1.0181963209269071E+20</v>
      </c>
      <c r="L822" t="e">
        <f t="shared" si="713"/>
        <v>#NUM!</v>
      </c>
      <c r="M822">
        <f t="shared" si="710"/>
        <v>6.7544242052180531E-21</v>
      </c>
      <c r="N822" s="9" t="e">
        <f t="shared" si="759"/>
        <v>#NUM!</v>
      </c>
      <c r="O822" t="e">
        <f t="shared" si="760"/>
        <v>#NUM!</v>
      </c>
      <c r="Q822">
        <f t="shared" si="714"/>
        <v>46.069734609049647</v>
      </c>
      <c r="R822">
        <f t="shared" si="715"/>
        <v>-710542.73576010019</v>
      </c>
      <c r="S822">
        <f t="shared" si="737"/>
        <v>-46.444089224885985</v>
      </c>
      <c r="T822" s="9" t="e">
        <f t="shared" si="716"/>
        <v>#N/A</v>
      </c>
      <c r="U822">
        <f t="shared" si="738"/>
        <v>-1.0000000000000001E+300</v>
      </c>
      <c r="V822">
        <f t="shared" si="739"/>
        <v>0</v>
      </c>
      <c r="W822">
        <f t="shared" si="740"/>
        <v>0</v>
      </c>
      <c r="X822">
        <f t="shared" si="717"/>
        <v>0.67544242052180525</v>
      </c>
      <c r="Y822">
        <f t="shared" si="718"/>
        <v>7.8539816339744828</v>
      </c>
      <c r="Z822">
        <f t="shared" si="719"/>
        <v>-0.67544242052180525</v>
      </c>
      <c r="AA822">
        <f t="shared" si="741"/>
        <v>-0.84308995561939148</v>
      </c>
      <c r="AB822">
        <f t="shared" si="720"/>
        <v>7.0108916783550912</v>
      </c>
      <c r="AC822">
        <f t="shared" si="742"/>
        <v>-0.84397007029452931</v>
      </c>
      <c r="AD822">
        <f t="shared" si="721"/>
        <v>0.46961545445818953</v>
      </c>
      <c r="AE822" s="9">
        <f t="shared" si="743"/>
        <v>6.6365370625187516</v>
      </c>
      <c r="AF822">
        <f t="shared" si="744"/>
        <v>0</v>
      </c>
      <c r="AH822">
        <f t="shared" si="722"/>
        <v>7.8539816339744828</v>
      </c>
      <c r="AI822">
        <f t="shared" si="723"/>
        <v>-0.8430899556193916</v>
      </c>
      <c r="AJ822">
        <f t="shared" si="724"/>
        <v>-0.84397007029452453</v>
      </c>
      <c r="AK822">
        <f t="shared" si="725"/>
        <v>0.46961545445818953</v>
      </c>
      <c r="AL822" s="9">
        <f t="shared" si="745"/>
        <v>6.6365370625187561</v>
      </c>
      <c r="AM822" t="e">
        <f t="shared" si="726"/>
        <v>#N/A</v>
      </c>
      <c r="AN822" t="e">
        <f t="shared" si="746"/>
        <v>#N/A</v>
      </c>
      <c r="AO822">
        <f t="shared" si="727"/>
        <v>0</v>
      </c>
      <c r="AP822">
        <f t="shared" si="728"/>
        <v>0</v>
      </c>
      <c r="AQ822">
        <f t="shared" si="729"/>
        <v>4.7739590058881731E-15</v>
      </c>
      <c r="AR822">
        <f t="shared" si="747"/>
        <v>0</v>
      </c>
      <c r="AS822">
        <f t="shared" si="730"/>
        <v>0</v>
      </c>
      <c r="AT822">
        <f t="shared" si="748"/>
        <v>0</v>
      </c>
      <c r="AU822">
        <f t="shared" si="749"/>
        <v>0</v>
      </c>
      <c r="AV822">
        <f t="shared" si="731"/>
        <v>6.7544242052180523E-21</v>
      </c>
      <c r="AW822" t="b">
        <f t="shared" si="750"/>
        <v>1</v>
      </c>
      <c r="AX822">
        <f t="shared" si="732"/>
        <v>7.8539816339744828</v>
      </c>
      <c r="AY822">
        <f t="shared" si="733"/>
        <v>-0.8430899556193916</v>
      </c>
      <c r="AZ822">
        <f t="shared" si="734"/>
        <v>-0.8439700702945292</v>
      </c>
      <c r="BA822">
        <f t="shared" si="735"/>
        <v>0.46961545445818975</v>
      </c>
      <c r="BB822">
        <f t="shared" si="736"/>
        <v>-1.2337005501361696E-20</v>
      </c>
      <c r="BD822" s="15">
        <f t="shared" si="751"/>
        <v>6.6365370625187516</v>
      </c>
      <c r="BE822" s="10">
        <f t="shared" si="752"/>
        <v>0</v>
      </c>
      <c r="BF822">
        <f t="shared" si="753"/>
        <v>0</v>
      </c>
      <c r="BG822">
        <f t="shared" si="754"/>
        <v>0</v>
      </c>
      <c r="BH822">
        <f t="shared" si="755"/>
        <v>0</v>
      </c>
      <c r="BI822">
        <f t="shared" si="756"/>
        <v>0</v>
      </c>
    </row>
    <row r="823" spans="1:61" x14ac:dyDescent="0.3">
      <c r="A823">
        <f t="shared" si="761"/>
        <v>0.78600000000000003</v>
      </c>
      <c r="B823">
        <f t="shared" si="704"/>
        <v>2.4692918257215775</v>
      </c>
      <c r="C823">
        <f t="shared" si="705"/>
        <v>0.67230082786821566</v>
      </c>
      <c r="D823">
        <f t="shared" si="706"/>
        <v>0.67230082786821566</v>
      </c>
      <c r="E823">
        <f t="shared" si="711"/>
        <v>0.62278778048811256</v>
      </c>
      <c r="F823">
        <f t="shared" si="712"/>
        <v>0.62278778048811245</v>
      </c>
      <c r="G823">
        <f t="shared" si="707"/>
        <v>2.4692918257215775</v>
      </c>
      <c r="H823">
        <f t="shared" si="708"/>
        <v>0.62278778048811256</v>
      </c>
      <c r="I823">
        <f t="shared" si="709"/>
        <v>0.62278778048811245</v>
      </c>
      <c r="J823">
        <f t="shared" si="757"/>
        <v>1.0222097997308617E+20</v>
      </c>
      <c r="K823">
        <f t="shared" si="758"/>
        <v>1.0222097997308617E+20</v>
      </c>
      <c r="L823">
        <f t="shared" si="713"/>
        <v>1</v>
      </c>
      <c r="M823">
        <f t="shared" si="710"/>
        <v>6.7230082786821565E-21</v>
      </c>
      <c r="N823" s="9">
        <f t="shared" si="759"/>
        <v>6.7230082786821565E-21</v>
      </c>
      <c r="O823">
        <f t="shared" si="760"/>
        <v>6.7230082786821565E-21</v>
      </c>
      <c r="Q823">
        <f t="shared" si="714"/>
        <v>46.073668614088646</v>
      </c>
      <c r="R823">
        <f t="shared" si="715"/>
        <v>0</v>
      </c>
      <c r="S823">
        <f t="shared" si="737"/>
        <v>-46.4487512379918</v>
      </c>
      <c r="T823" s="9" t="e">
        <f t="shared" si="716"/>
        <v>#N/A</v>
      </c>
      <c r="U823">
        <f t="shared" si="738"/>
        <v>-1.0000000000000001E+300</v>
      </c>
      <c r="V823">
        <f t="shared" si="739"/>
        <v>0</v>
      </c>
      <c r="W823">
        <f t="shared" si="740"/>
        <v>0</v>
      </c>
      <c r="X823">
        <f t="shared" si="717"/>
        <v>0.67230082786821566</v>
      </c>
      <c r="Y823">
        <f t="shared" si="718"/>
        <v>7.8539816339744828</v>
      </c>
      <c r="Z823">
        <f t="shared" si="719"/>
        <v>-0.67230082786821566</v>
      </c>
      <c r="AA823">
        <f t="shared" si="741"/>
        <v>-0.84459266245536846</v>
      </c>
      <c r="AB823">
        <f t="shared" si="720"/>
        <v>7.0093889715191144</v>
      </c>
      <c r="AC823">
        <f t="shared" si="742"/>
        <v>-0.84863208340034046</v>
      </c>
      <c r="AD823">
        <f t="shared" si="721"/>
        <v>0.47354945949718802</v>
      </c>
      <c r="AE823" s="9">
        <f t="shared" si="743"/>
        <v>6.6343063476159623</v>
      </c>
      <c r="AF823">
        <f t="shared" si="744"/>
        <v>0</v>
      </c>
      <c r="AH823">
        <f t="shared" si="722"/>
        <v>7.8539816339744828</v>
      </c>
      <c r="AI823">
        <f t="shared" si="723"/>
        <v>-0.84459266245536835</v>
      </c>
      <c r="AJ823">
        <f t="shared" si="724"/>
        <v>-0.84863208340033935</v>
      </c>
      <c r="AK823">
        <f t="shared" si="725"/>
        <v>0.47354945949718802</v>
      </c>
      <c r="AL823" s="9">
        <f t="shared" si="745"/>
        <v>6.6343063476159632</v>
      </c>
      <c r="AM823" t="e">
        <f t="shared" si="726"/>
        <v>#N/A</v>
      </c>
      <c r="AN823" t="e">
        <f t="shared" si="746"/>
        <v>#N/A</v>
      </c>
      <c r="AO823">
        <f t="shared" si="727"/>
        <v>0</v>
      </c>
      <c r="AP823">
        <f t="shared" si="728"/>
        <v>0</v>
      </c>
      <c r="AQ823">
        <f t="shared" si="729"/>
        <v>1.1102230246251565E-15</v>
      </c>
      <c r="AR823">
        <f t="shared" si="747"/>
        <v>0</v>
      </c>
      <c r="AS823">
        <f t="shared" si="730"/>
        <v>0</v>
      </c>
      <c r="AT823">
        <f t="shared" si="748"/>
        <v>0</v>
      </c>
      <c r="AU823">
        <f t="shared" si="749"/>
        <v>0</v>
      </c>
      <c r="AV823">
        <f t="shared" si="731"/>
        <v>6.7230082786821565E-21</v>
      </c>
      <c r="AW823" t="b">
        <f t="shared" si="750"/>
        <v>1</v>
      </c>
      <c r="AX823">
        <f t="shared" si="732"/>
        <v>7.8539816339744828</v>
      </c>
      <c r="AY823">
        <f t="shared" si="733"/>
        <v>-0.84459266245536857</v>
      </c>
      <c r="AZ823">
        <f t="shared" si="734"/>
        <v>-0.84863208340034024</v>
      </c>
      <c r="BA823">
        <f t="shared" si="735"/>
        <v>0.47354945949718824</v>
      </c>
      <c r="BB823">
        <f t="shared" si="736"/>
        <v>-1.2337005501361696E-20</v>
      </c>
      <c r="BD823" s="15">
        <f t="shared" si="751"/>
        <v>6.6343063476159623</v>
      </c>
      <c r="BE823" s="10">
        <f t="shared" si="752"/>
        <v>0</v>
      </c>
      <c r="BF823">
        <f t="shared" si="753"/>
        <v>0</v>
      </c>
      <c r="BG823">
        <f t="shared" si="754"/>
        <v>0</v>
      </c>
      <c r="BH823">
        <f t="shared" si="755"/>
        <v>0</v>
      </c>
      <c r="BI823">
        <f t="shared" si="756"/>
        <v>0</v>
      </c>
    </row>
    <row r="824" spans="1:61" x14ac:dyDescent="0.3">
      <c r="A824">
        <f t="shared" si="761"/>
        <v>0.78700000000000003</v>
      </c>
      <c r="B824">
        <f t="shared" si="704"/>
        <v>2.4724334183751675</v>
      </c>
      <c r="C824">
        <f t="shared" si="705"/>
        <v>0.66915923521462561</v>
      </c>
      <c r="D824">
        <f t="shared" si="706"/>
        <v>0.66915923521462561</v>
      </c>
      <c r="E824">
        <f t="shared" si="711"/>
        <v>0.6203267579765559</v>
      </c>
      <c r="F824">
        <f t="shared" si="712"/>
        <v>0.62032675797655579</v>
      </c>
      <c r="G824">
        <f t="shared" si="707"/>
        <v>2.4724334183751675</v>
      </c>
      <c r="H824">
        <f t="shared" si="708"/>
        <v>0.6203267579765559</v>
      </c>
      <c r="I824">
        <f t="shared" si="709"/>
        <v>0.62032675797655579</v>
      </c>
      <c r="J824">
        <f t="shared" si="757"/>
        <v>1.0262652129406311E+20</v>
      </c>
      <c r="K824">
        <f t="shared" si="758"/>
        <v>1.0262652129406311E+20</v>
      </c>
      <c r="L824">
        <f t="shared" si="713"/>
        <v>1</v>
      </c>
      <c r="M824">
        <f t="shared" si="710"/>
        <v>6.6915923521462569E-21</v>
      </c>
      <c r="N824" s="9">
        <f t="shared" si="759"/>
        <v>6.6915923521462569E-21</v>
      </c>
      <c r="O824">
        <f t="shared" si="760"/>
        <v>6.6915923521462569E-21</v>
      </c>
      <c r="Q824">
        <f t="shared" si="714"/>
        <v>46.077628065371016</v>
      </c>
      <c r="R824">
        <f t="shared" si="715"/>
        <v>-710542.73576010019</v>
      </c>
      <c r="S824">
        <f t="shared" si="737"/>
        <v>-46.453435087304229</v>
      </c>
      <c r="T824" s="9" t="e">
        <f t="shared" si="716"/>
        <v>#N/A</v>
      </c>
      <c r="U824">
        <f t="shared" si="738"/>
        <v>-1.0000000000000001E+300</v>
      </c>
      <c r="V824">
        <f t="shared" si="739"/>
        <v>0</v>
      </c>
      <c r="W824">
        <f t="shared" si="740"/>
        <v>0</v>
      </c>
      <c r="X824">
        <f t="shared" si="717"/>
        <v>0.66915923521462561</v>
      </c>
      <c r="Y824">
        <f t="shared" si="718"/>
        <v>7.8539816339744828</v>
      </c>
      <c r="Z824">
        <f t="shared" si="719"/>
        <v>-0.66915923521462561</v>
      </c>
      <c r="AA824">
        <f t="shared" si="741"/>
        <v>-0.84608746029228277</v>
      </c>
      <c r="AB824">
        <f t="shared" si="720"/>
        <v>7.0078941736821996</v>
      </c>
      <c r="AC824">
        <f t="shared" si="742"/>
        <v>-0.85331593271276707</v>
      </c>
      <c r="AD824">
        <f t="shared" si="721"/>
        <v>0.47750891077955882</v>
      </c>
      <c r="AE824" s="9">
        <f t="shared" si="743"/>
        <v>6.6320871517489914</v>
      </c>
      <c r="AF824">
        <f t="shared" si="744"/>
        <v>0</v>
      </c>
      <c r="AH824">
        <f t="shared" si="722"/>
        <v>7.8539816339744828</v>
      </c>
      <c r="AI824">
        <f t="shared" si="723"/>
        <v>-0.84608746029228288</v>
      </c>
      <c r="AJ824">
        <f t="shared" si="724"/>
        <v>-0.85331593271276773</v>
      </c>
      <c r="AK824">
        <f t="shared" si="725"/>
        <v>0.47750891077955882</v>
      </c>
      <c r="AL824" s="9">
        <f t="shared" si="745"/>
        <v>6.6320871517489906</v>
      </c>
      <c r="AM824" t="e">
        <f t="shared" si="726"/>
        <v>#N/A</v>
      </c>
      <c r="AN824" t="e">
        <f t="shared" si="746"/>
        <v>#N/A</v>
      </c>
      <c r="AO824">
        <f t="shared" si="727"/>
        <v>0</v>
      </c>
      <c r="AP824">
        <f t="shared" si="728"/>
        <v>0</v>
      </c>
      <c r="AQ824">
        <f t="shared" si="729"/>
        <v>0</v>
      </c>
      <c r="AR824">
        <f t="shared" si="747"/>
        <v>0</v>
      </c>
      <c r="AS824">
        <f t="shared" si="730"/>
        <v>0</v>
      </c>
      <c r="AT824">
        <f t="shared" si="748"/>
        <v>0</v>
      </c>
      <c r="AU824">
        <f t="shared" si="749"/>
        <v>0</v>
      </c>
      <c r="AV824">
        <f t="shared" si="731"/>
        <v>6.6915923521462561E-21</v>
      </c>
      <c r="AW824" t="b">
        <f t="shared" si="750"/>
        <v>1</v>
      </c>
      <c r="AX824">
        <f t="shared" si="732"/>
        <v>7.8539816339744828</v>
      </c>
      <c r="AY824">
        <f t="shared" si="733"/>
        <v>-0.84608746029228288</v>
      </c>
      <c r="AZ824">
        <f t="shared" si="734"/>
        <v>-0.85331593271276707</v>
      </c>
      <c r="BA824">
        <f t="shared" si="735"/>
        <v>0.47750891077955898</v>
      </c>
      <c r="BB824">
        <f t="shared" si="736"/>
        <v>-1.2337005501361696E-20</v>
      </c>
      <c r="BD824" s="15">
        <f t="shared" si="751"/>
        <v>6.6320871517489914</v>
      </c>
      <c r="BE824" s="10">
        <f t="shared" si="752"/>
        <v>0</v>
      </c>
      <c r="BF824">
        <f t="shared" si="753"/>
        <v>0</v>
      </c>
      <c r="BG824">
        <f t="shared" si="754"/>
        <v>0</v>
      </c>
      <c r="BH824">
        <f t="shared" si="755"/>
        <v>0</v>
      </c>
      <c r="BI824">
        <f t="shared" si="756"/>
        <v>0</v>
      </c>
    </row>
    <row r="825" spans="1:61" x14ac:dyDescent="0.3">
      <c r="A825">
        <f t="shared" si="761"/>
        <v>0.78800000000000003</v>
      </c>
      <c r="B825">
        <f t="shared" si="704"/>
        <v>2.4755750110287571</v>
      </c>
      <c r="C825">
        <f t="shared" si="705"/>
        <v>0.66601764256103602</v>
      </c>
      <c r="D825">
        <f t="shared" si="706"/>
        <v>0.66601764256103602</v>
      </c>
      <c r="E825">
        <f t="shared" si="711"/>
        <v>0.61785961309033433</v>
      </c>
      <c r="F825">
        <f t="shared" si="712"/>
        <v>0.61785961309033421</v>
      </c>
      <c r="G825">
        <f t="shared" si="707"/>
        <v>2.4755750110287571</v>
      </c>
      <c r="H825">
        <f t="shared" si="708"/>
        <v>0.61785961309033433</v>
      </c>
      <c r="I825">
        <f t="shared" si="709"/>
        <v>0.61785961309033421</v>
      </c>
      <c r="J825">
        <f t="shared" si="757"/>
        <v>1.0303631421762863E+20</v>
      </c>
      <c r="K825">
        <f t="shared" si="758"/>
        <v>1.0303631421762863E+20</v>
      </c>
      <c r="L825">
        <f t="shared" si="713"/>
        <v>1</v>
      </c>
      <c r="M825">
        <f t="shared" si="710"/>
        <v>6.6601764256103603E-21</v>
      </c>
      <c r="N825" s="9">
        <f t="shared" si="759"/>
        <v>6.6601764256103603E-21</v>
      </c>
      <c r="O825">
        <f t="shared" si="760"/>
        <v>6.6601764256103603E-21</v>
      </c>
      <c r="Q825">
        <f t="shared" si="714"/>
        <v>46.081613165205638</v>
      </c>
      <c r="R825">
        <f t="shared" si="715"/>
        <v>-710542.73576010019</v>
      </c>
      <c r="S825">
        <f t="shared" si="737"/>
        <v>-46.458140978341639</v>
      </c>
      <c r="T825" s="9" t="e">
        <f t="shared" si="716"/>
        <v>#N/A</v>
      </c>
      <c r="U825">
        <f t="shared" si="738"/>
        <v>-1.0000000000000001E+300</v>
      </c>
      <c r="V825">
        <f t="shared" si="739"/>
        <v>0</v>
      </c>
      <c r="W825">
        <f t="shared" si="740"/>
        <v>0</v>
      </c>
      <c r="X825">
        <f t="shared" si="717"/>
        <v>0.66601764256103602</v>
      </c>
      <c r="Y825">
        <f t="shared" si="718"/>
        <v>7.8539816339744828</v>
      </c>
      <c r="Z825">
        <f t="shared" si="719"/>
        <v>-0.66601764256103602</v>
      </c>
      <c r="AA825">
        <f t="shared" si="741"/>
        <v>-0.84757436292907384</v>
      </c>
      <c r="AB825">
        <f t="shared" si="720"/>
        <v>7.0064072710454086</v>
      </c>
      <c r="AC825">
        <f t="shared" si="742"/>
        <v>-0.85802182375017944</v>
      </c>
      <c r="AD825">
        <f t="shared" si="721"/>
        <v>0.4814940106141819</v>
      </c>
      <c r="AE825" s="9">
        <f t="shared" si="743"/>
        <v>6.6298794579094116</v>
      </c>
      <c r="AF825">
        <f t="shared" si="744"/>
        <v>0</v>
      </c>
      <c r="AH825">
        <f t="shared" si="722"/>
        <v>7.8539816339744828</v>
      </c>
      <c r="AI825">
        <f t="shared" si="723"/>
        <v>-0.84757436292907373</v>
      </c>
      <c r="AJ825">
        <f t="shared" si="724"/>
        <v>-0.85802182375017821</v>
      </c>
      <c r="AK825">
        <f t="shared" si="725"/>
        <v>0.4814940106141819</v>
      </c>
      <c r="AL825" s="9">
        <f t="shared" si="745"/>
        <v>6.6298794579094134</v>
      </c>
      <c r="AM825" t="e">
        <f t="shared" si="726"/>
        <v>#N/A</v>
      </c>
      <c r="AN825" t="e">
        <f t="shared" si="746"/>
        <v>#N/A</v>
      </c>
      <c r="AO825">
        <f t="shared" si="727"/>
        <v>0</v>
      </c>
      <c r="AP825">
        <f t="shared" si="728"/>
        <v>0</v>
      </c>
      <c r="AQ825">
        <f t="shared" si="729"/>
        <v>1.2212453270876722E-15</v>
      </c>
      <c r="AR825">
        <f t="shared" si="747"/>
        <v>0</v>
      </c>
      <c r="AS825">
        <f t="shared" si="730"/>
        <v>0</v>
      </c>
      <c r="AT825">
        <f t="shared" si="748"/>
        <v>0</v>
      </c>
      <c r="AU825">
        <f t="shared" si="749"/>
        <v>0</v>
      </c>
      <c r="AV825">
        <f t="shared" si="731"/>
        <v>6.6601764256103595E-21</v>
      </c>
      <c r="AW825" t="b">
        <f t="shared" si="750"/>
        <v>1</v>
      </c>
      <c r="AX825">
        <f t="shared" si="732"/>
        <v>7.8539816339744828</v>
      </c>
      <c r="AY825">
        <f t="shared" si="733"/>
        <v>-0.84757436292907373</v>
      </c>
      <c r="AZ825">
        <f t="shared" si="734"/>
        <v>-0.85802182375017944</v>
      </c>
      <c r="BA825">
        <f t="shared" si="735"/>
        <v>0.48149401061418207</v>
      </c>
      <c r="BB825">
        <f t="shared" si="736"/>
        <v>-1.2337005501361696E-20</v>
      </c>
      <c r="BD825" s="15">
        <f t="shared" si="751"/>
        <v>6.6298794579094125</v>
      </c>
      <c r="BE825" s="10">
        <f t="shared" si="752"/>
        <v>0</v>
      </c>
      <c r="BF825">
        <f t="shared" si="753"/>
        <v>0</v>
      </c>
      <c r="BG825">
        <f t="shared" si="754"/>
        <v>0</v>
      </c>
      <c r="BH825">
        <f t="shared" si="755"/>
        <v>0</v>
      </c>
      <c r="BI825">
        <f t="shared" si="756"/>
        <v>0</v>
      </c>
    </row>
    <row r="826" spans="1:61" x14ac:dyDescent="0.3">
      <c r="A826">
        <f t="shared" si="761"/>
        <v>0.78900000000000003</v>
      </c>
      <c r="B826">
        <f t="shared" si="704"/>
        <v>2.4787166036823467</v>
      </c>
      <c r="C826">
        <f t="shared" si="705"/>
        <v>0.66287604990744642</v>
      </c>
      <c r="D826">
        <f t="shared" si="706"/>
        <v>0.66287604990744642</v>
      </c>
      <c r="E826">
        <f t="shared" si="711"/>
        <v>0.61538637017917164</v>
      </c>
      <c r="F826">
        <f t="shared" si="712"/>
        <v>0.61538637017917153</v>
      </c>
      <c r="G826">
        <f t="shared" si="707"/>
        <v>2.4787166036823467</v>
      </c>
      <c r="H826">
        <f t="shared" si="708"/>
        <v>0.61538637017917164</v>
      </c>
      <c r="I826">
        <f t="shared" si="709"/>
        <v>0.61538637017917153</v>
      </c>
      <c r="J826">
        <f t="shared" si="757"/>
        <v>1.0345041801660762E+20</v>
      </c>
      <c r="K826">
        <f t="shared" si="758"/>
        <v>1.0345041801660762E+20</v>
      </c>
      <c r="L826">
        <f t="shared" si="713"/>
        <v>1</v>
      </c>
      <c r="M826">
        <f t="shared" si="710"/>
        <v>6.6287604990744636E-21</v>
      </c>
      <c r="N826" s="9">
        <f t="shared" si="759"/>
        <v>6.6287604990744636E-21</v>
      </c>
      <c r="O826">
        <f t="shared" si="760"/>
        <v>6.6287604990744636E-21</v>
      </c>
      <c r="Q826">
        <f t="shared" si="714"/>
        <v>46.085624118836073</v>
      </c>
      <c r="R826">
        <f t="shared" si="715"/>
        <v>0</v>
      </c>
      <c r="S826">
        <f t="shared" si="737"/>
        <v>-46.462869119537586</v>
      </c>
      <c r="T826" s="9" t="e">
        <f t="shared" si="716"/>
        <v>#N/A</v>
      </c>
      <c r="U826">
        <f t="shared" si="738"/>
        <v>-1.0000000000000001E+300</v>
      </c>
      <c r="V826">
        <f t="shared" si="739"/>
        <v>0</v>
      </c>
      <c r="W826">
        <f t="shared" si="740"/>
        <v>0</v>
      </c>
      <c r="X826">
        <f t="shared" si="717"/>
        <v>0.66287604990744642</v>
      </c>
      <c r="Y826">
        <f t="shared" si="718"/>
        <v>7.8539816339744828</v>
      </c>
      <c r="Z826">
        <f t="shared" si="719"/>
        <v>-0.66287604990744642</v>
      </c>
      <c r="AA826">
        <f t="shared" si="741"/>
        <v>-0.84905338407149999</v>
      </c>
      <c r="AB826">
        <f t="shared" si="720"/>
        <v>7.0049282499029832</v>
      </c>
      <c r="AC826">
        <f t="shared" si="742"/>
        <v>-0.8627499649461251</v>
      </c>
      <c r="AD826">
        <f t="shared" si="721"/>
        <v>0.48550496424461254</v>
      </c>
      <c r="AE826" s="9">
        <f t="shared" si="743"/>
        <v>6.6276832492014712</v>
      </c>
      <c r="AF826">
        <f t="shared" si="744"/>
        <v>0</v>
      </c>
      <c r="AH826">
        <f t="shared" si="722"/>
        <v>7.8539816339744828</v>
      </c>
      <c r="AI826">
        <f t="shared" si="723"/>
        <v>-0.84905338407149977</v>
      </c>
      <c r="AJ826">
        <f t="shared" si="724"/>
        <v>-0.86274996494612566</v>
      </c>
      <c r="AK826">
        <f t="shared" si="725"/>
        <v>0.48550496424461254</v>
      </c>
      <c r="AL826" s="9">
        <f t="shared" si="745"/>
        <v>6.6276832492014703</v>
      </c>
      <c r="AM826" t="e">
        <f t="shared" si="726"/>
        <v>#N/A</v>
      </c>
      <c r="AN826" t="e">
        <f t="shared" si="746"/>
        <v>#N/A</v>
      </c>
      <c r="AO826">
        <f t="shared" si="727"/>
        <v>0</v>
      </c>
      <c r="AP826">
        <f t="shared" si="728"/>
        <v>0</v>
      </c>
      <c r="AQ826">
        <f t="shared" si="729"/>
        <v>0</v>
      </c>
      <c r="AR826">
        <f t="shared" si="747"/>
        <v>0</v>
      </c>
      <c r="AS826">
        <f t="shared" si="730"/>
        <v>0</v>
      </c>
      <c r="AT826">
        <f t="shared" si="748"/>
        <v>0</v>
      </c>
      <c r="AU826">
        <f t="shared" si="749"/>
        <v>0</v>
      </c>
      <c r="AV826">
        <f t="shared" si="731"/>
        <v>6.6287604990744636E-21</v>
      </c>
      <c r="AW826" t="b">
        <f t="shared" si="750"/>
        <v>1</v>
      </c>
      <c r="AX826">
        <f t="shared" si="732"/>
        <v>7.8539816339744828</v>
      </c>
      <c r="AY826">
        <f t="shared" si="733"/>
        <v>-0.84905338407149988</v>
      </c>
      <c r="AZ826">
        <f t="shared" si="734"/>
        <v>-0.8627499649461251</v>
      </c>
      <c r="BA826">
        <f t="shared" si="735"/>
        <v>0.4855049642446127</v>
      </c>
      <c r="BB826">
        <f t="shared" si="736"/>
        <v>-1.2337005501361696E-20</v>
      </c>
      <c r="BD826" s="15">
        <f t="shared" si="751"/>
        <v>6.6276832492014712</v>
      </c>
      <c r="BE826" s="10">
        <f t="shared" si="752"/>
        <v>0</v>
      </c>
      <c r="BF826">
        <f t="shared" si="753"/>
        <v>0</v>
      </c>
      <c r="BG826">
        <f t="shared" si="754"/>
        <v>0</v>
      </c>
      <c r="BH826">
        <f t="shared" si="755"/>
        <v>0</v>
      </c>
      <c r="BI826">
        <f t="shared" si="756"/>
        <v>0</v>
      </c>
    </row>
    <row r="827" spans="1:61" x14ac:dyDescent="0.3">
      <c r="A827">
        <f t="shared" si="761"/>
        <v>0.79</v>
      </c>
      <c r="B827">
        <f t="shared" si="704"/>
        <v>2.4818581963359367</v>
      </c>
      <c r="C827">
        <f t="shared" si="705"/>
        <v>0.65973445725385638</v>
      </c>
      <c r="D827">
        <f t="shared" si="706"/>
        <v>0.65973445725385638</v>
      </c>
      <c r="E827">
        <f t="shared" si="711"/>
        <v>0.61290705365297637</v>
      </c>
      <c r="F827">
        <f t="shared" si="712"/>
        <v>0.61290705365297637</v>
      </c>
      <c r="G827">
        <f t="shared" si="707"/>
        <v>2.4818581963359367</v>
      </c>
      <c r="H827">
        <f t="shared" si="708"/>
        <v>0.61290705365297637</v>
      </c>
      <c r="I827">
        <f t="shared" si="709"/>
        <v>0.61290705365297637</v>
      </c>
      <c r="J827">
        <f t="shared" si="757"/>
        <v>1.0386889310104612E+20</v>
      </c>
      <c r="K827">
        <f t="shared" si="758"/>
        <v>1.0386889310104612E+20</v>
      </c>
      <c r="L827">
        <f t="shared" si="713"/>
        <v>1</v>
      </c>
      <c r="M827">
        <f t="shared" si="710"/>
        <v>6.597344572538564E-21</v>
      </c>
      <c r="N827" s="9">
        <f t="shared" si="759"/>
        <v>6.597344572538564E-21</v>
      </c>
      <c r="O827">
        <f t="shared" si="760"/>
        <v>6.597344572538564E-21</v>
      </c>
      <c r="Q827">
        <f t="shared" si="714"/>
        <v>46.089661134495863</v>
      </c>
      <c r="R827">
        <f t="shared" si="715"/>
        <v>0</v>
      </c>
      <c r="S827">
        <f t="shared" si="737"/>
        <v>-46.467619722296185</v>
      </c>
      <c r="T827" s="9" t="e">
        <f t="shared" si="716"/>
        <v>#N/A</v>
      </c>
      <c r="U827">
        <f t="shared" si="738"/>
        <v>-1.0000000000000001E+300</v>
      </c>
      <c r="V827">
        <f t="shared" si="739"/>
        <v>0</v>
      </c>
      <c r="W827">
        <f t="shared" si="740"/>
        <v>0</v>
      </c>
      <c r="X827">
        <f t="shared" si="717"/>
        <v>0.65973445725385638</v>
      </c>
      <c r="Y827">
        <f t="shared" si="718"/>
        <v>7.8539816339744828</v>
      </c>
      <c r="Z827">
        <f t="shared" si="719"/>
        <v>-0.65973445725385638</v>
      </c>
      <c r="AA827">
        <f t="shared" si="741"/>
        <v>-0.85052453733260902</v>
      </c>
      <c r="AB827">
        <f t="shared" si="720"/>
        <v>7.0034570966418741</v>
      </c>
      <c r="AC827">
        <f t="shared" si="742"/>
        <v>-0.86750056770472339</v>
      </c>
      <c r="AD827">
        <f t="shared" si="721"/>
        <v>0.48954197990440484</v>
      </c>
      <c r="AE827" s="9">
        <f t="shared" si="743"/>
        <v>6.625498508841555</v>
      </c>
      <c r="AF827">
        <f t="shared" si="744"/>
        <v>0</v>
      </c>
      <c r="AH827">
        <f t="shared" si="722"/>
        <v>7.8539816339744828</v>
      </c>
      <c r="AI827">
        <f t="shared" si="723"/>
        <v>-0.85052453733260847</v>
      </c>
      <c r="AJ827">
        <f t="shared" si="724"/>
        <v>-0.86750056770472384</v>
      </c>
      <c r="AK827">
        <f t="shared" si="725"/>
        <v>0.48954197990440484</v>
      </c>
      <c r="AL827" s="9">
        <f t="shared" si="745"/>
        <v>6.625498508841555</v>
      </c>
      <c r="AM827" t="e">
        <f t="shared" si="726"/>
        <v>#N/A</v>
      </c>
      <c r="AN827" t="e">
        <f t="shared" si="746"/>
        <v>#N/A</v>
      </c>
      <c r="AO827">
        <f t="shared" si="727"/>
        <v>0</v>
      </c>
      <c r="AP827">
        <f t="shared" si="728"/>
        <v>0</v>
      </c>
      <c r="AQ827">
        <f t="shared" si="729"/>
        <v>0</v>
      </c>
      <c r="AR827">
        <f t="shared" si="747"/>
        <v>0</v>
      </c>
      <c r="AS827">
        <f t="shared" si="730"/>
        <v>0</v>
      </c>
      <c r="AT827">
        <f t="shared" si="748"/>
        <v>0</v>
      </c>
      <c r="AU827">
        <f t="shared" si="749"/>
        <v>0</v>
      </c>
      <c r="AV827">
        <f t="shared" si="731"/>
        <v>6.5973445725385633E-21</v>
      </c>
      <c r="AW827" t="b">
        <f t="shared" si="750"/>
        <v>1</v>
      </c>
      <c r="AX827">
        <f t="shared" si="732"/>
        <v>7.8539816339744828</v>
      </c>
      <c r="AY827">
        <f t="shared" si="733"/>
        <v>-0.85052453733260902</v>
      </c>
      <c r="AZ827">
        <f t="shared" si="734"/>
        <v>-0.86750056770472339</v>
      </c>
      <c r="BA827">
        <f t="shared" si="735"/>
        <v>0.48954197990440484</v>
      </c>
      <c r="BB827">
        <f t="shared" si="736"/>
        <v>-1.2337005501361696E-20</v>
      </c>
      <c r="BD827" s="15">
        <f t="shared" si="751"/>
        <v>6.625498508841555</v>
      </c>
      <c r="BE827" s="10">
        <f t="shared" si="752"/>
        <v>0</v>
      </c>
      <c r="BF827">
        <f t="shared" si="753"/>
        <v>0</v>
      </c>
      <c r="BG827">
        <f t="shared" si="754"/>
        <v>0</v>
      </c>
      <c r="BH827">
        <f t="shared" si="755"/>
        <v>0</v>
      </c>
      <c r="BI827">
        <f t="shared" si="756"/>
        <v>0</v>
      </c>
    </row>
    <row r="828" spans="1:61" x14ac:dyDescent="0.3">
      <c r="A828">
        <f t="shared" si="761"/>
        <v>0.79100000000000004</v>
      </c>
      <c r="B828">
        <f t="shared" si="704"/>
        <v>2.4849997889895263</v>
      </c>
      <c r="C828">
        <f t="shared" si="705"/>
        <v>0.65659286460026678</v>
      </c>
      <c r="D828">
        <f t="shared" si="706"/>
        <v>0.65659286460026678</v>
      </c>
      <c r="E828">
        <f t="shared" si="711"/>
        <v>0.61042168798160257</v>
      </c>
      <c r="F828">
        <f t="shared" si="712"/>
        <v>0.61042168798160257</v>
      </c>
      <c r="G828">
        <f t="shared" si="707"/>
        <v>2.4849997889895263</v>
      </c>
      <c r="H828">
        <f t="shared" si="708"/>
        <v>0.61042168798160257</v>
      </c>
      <c r="I828">
        <f t="shared" si="709"/>
        <v>0.61042168798160257</v>
      </c>
      <c r="J828">
        <f t="shared" si="757"/>
        <v>1.0429180104537316E+20</v>
      </c>
      <c r="K828">
        <f t="shared" si="758"/>
        <v>1.0429180104537316E+20</v>
      </c>
      <c r="L828" t="e">
        <f t="shared" si="713"/>
        <v>#NUM!</v>
      </c>
      <c r="M828">
        <f t="shared" si="710"/>
        <v>6.5659286460026674E-21</v>
      </c>
      <c r="N828" s="9" t="e">
        <f t="shared" si="759"/>
        <v>#NUM!</v>
      </c>
      <c r="O828" t="e">
        <f t="shared" si="760"/>
        <v>#NUM!</v>
      </c>
      <c r="Q828">
        <f t="shared" si="714"/>
        <v>46.093724423465218</v>
      </c>
      <c r="R828">
        <f t="shared" si="715"/>
        <v>0</v>
      </c>
      <c r="S828">
        <f t="shared" si="737"/>
        <v>-46.472393001048843</v>
      </c>
      <c r="T828" s="9" t="e">
        <f t="shared" si="716"/>
        <v>#N/A</v>
      </c>
      <c r="U828">
        <f t="shared" si="738"/>
        <v>-1.0000000000000001E+300</v>
      </c>
      <c r="V828">
        <f t="shared" si="739"/>
        <v>0</v>
      </c>
      <c r="W828">
        <f t="shared" si="740"/>
        <v>0</v>
      </c>
      <c r="X828">
        <f t="shared" si="717"/>
        <v>0.65659286460026678</v>
      </c>
      <c r="Y828">
        <f t="shared" si="718"/>
        <v>7.8539816339744828</v>
      </c>
      <c r="Z828">
        <f t="shared" si="719"/>
        <v>-0.65659286460026678</v>
      </c>
      <c r="AA828">
        <f t="shared" si="741"/>
        <v>-0.85198783623320529</v>
      </c>
      <c r="AB828">
        <f t="shared" si="720"/>
        <v>7.0019937977412772</v>
      </c>
      <c r="AC828">
        <f t="shared" si="742"/>
        <v>-0.8722738464573806</v>
      </c>
      <c r="AD828">
        <f t="shared" si="721"/>
        <v>0.49360526887375683</v>
      </c>
      <c r="AE828" s="9">
        <f t="shared" si="743"/>
        <v>6.6233252201576533</v>
      </c>
      <c r="AF828">
        <f t="shared" si="744"/>
        <v>0</v>
      </c>
      <c r="AH828">
        <f t="shared" si="722"/>
        <v>7.8539816339744828</v>
      </c>
      <c r="AI828">
        <f t="shared" si="723"/>
        <v>-0.85198783623320573</v>
      </c>
      <c r="AJ828">
        <f t="shared" si="724"/>
        <v>-0.87227384645738226</v>
      </c>
      <c r="AK828">
        <f t="shared" si="725"/>
        <v>0.49360526887375683</v>
      </c>
      <c r="AL828" s="9">
        <f t="shared" si="745"/>
        <v>6.6233252201576516</v>
      </c>
      <c r="AM828" t="e">
        <f t="shared" si="726"/>
        <v>#N/A</v>
      </c>
      <c r="AN828" t="e">
        <f t="shared" si="746"/>
        <v>#N/A</v>
      </c>
      <c r="AO828">
        <f t="shared" si="727"/>
        <v>0</v>
      </c>
      <c r="AP828">
        <f t="shared" si="728"/>
        <v>0</v>
      </c>
      <c r="AQ828">
        <f t="shared" si="729"/>
        <v>-1.6653345369377348E-15</v>
      </c>
      <c r="AR828">
        <f t="shared" si="747"/>
        <v>0</v>
      </c>
      <c r="AS828">
        <f t="shared" si="730"/>
        <v>0</v>
      </c>
      <c r="AT828">
        <f t="shared" si="748"/>
        <v>0</v>
      </c>
      <c r="AU828">
        <f t="shared" si="749"/>
        <v>0</v>
      </c>
      <c r="AV828">
        <f t="shared" si="731"/>
        <v>6.5659286460026674E-21</v>
      </c>
      <c r="AW828" t="b">
        <f t="shared" si="750"/>
        <v>1</v>
      </c>
      <c r="AX828">
        <f t="shared" si="732"/>
        <v>7.8539816339744828</v>
      </c>
      <c r="AY828">
        <f t="shared" si="733"/>
        <v>-0.85198783623320529</v>
      </c>
      <c r="AZ828">
        <f t="shared" si="734"/>
        <v>-0.8722738464573806</v>
      </c>
      <c r="BA828">
        <f t="shared" si="735"/>
        <v>0.49360526887375683</v>
      </c>
      <c r="BB828">
        <f t="shared" si="736"/>
        <v>-1.2337005501361696E-20</v>
      </c>
      <c r="BD828" s="15">
        <f t="shared" si="751"/>
        <v>6.6233252201576533</v>
      </c>
      <c r="BE828" s="10">
        <f t="shared" si="752"/>
        <v>0</v>
      </c>
      <c r="BF828">
        <f t="shared" si="753"/>
        <v>0</v>
      </c>
      <c r="BG828">
        <f t="shared" si="754"/>
        <v>0</v>
      </c>
      <c r="BH828">
        <f t="shared" si="755"/>
        <v>0</v>
      </c>
      <c r="BI828">
        <f t="shared" si="756"/>
        <v>0</v>
      </c>
    </row>
    <row r="829" spans="1:61" x14ac:dyDescent="0.3">
      <c r="A829">
        <f t="shared" si="761"/>
        <v>0.79200000000000004</v>
      </c>
      <c r="B829">
        <f t="shared" si="704"/>
        <v>2.4881413816431164</v>
      </c>
      <c r="C829">
        <f t="shared" si="705"/>
        <v>0.65345127194667674</v>
      </c>
      <c r="D829">
        <f t="shared" si="706"/>
        <v>0.65345127194667674</v>
      </c>
      <c r="E829">
        <f t="shared" si="711"/>
        <v>0.60793029769460527</v>
      </c>
      <c r="F829">
        <f t="shared" si="712"/>
        <v>0.60793029769460516</v>
      </c>
      <c r="G829">
        <f t="shared" si="707"/>
        <v>2.4881413816431164</v>
      </c>
      <c r="H829">
        <f t="shared" si="708"/>
        <v>0.60793029769460527</v>
      </c>
      <c r="I829">
        <f t="shared" si="709"/>
        <v>0.60793029769460516</v>
      </c>
      <c r="J829">
        <f t="shared" si="757"/>
        <v>1.0471920461634704E+20</v>
      </c>
      <c r="K829">
        <f t="shared" si="758"/>
        <v>1.0471920461634704E+20</v>
      </c>
      <c r="L829">
        <f t="shared" si="713"/>
        <v>0</v>
      </c>
      <c r="M829">
        <f t="shared" si="710"/>
        <v>6.5345127194667678E-21</v>
      </c>
      <c r="N829" s="9">
        <f t="shared" si="759"/>
        <v>0</v>
      </c>
      <c r="O829">
        <f t="shared" si="760"/>
        <v>0</v>
      </c>
      <c r="Q829">
        <f t="shared" si="714"/>
        <v>46.09781420012898</v>
      </c>
      <c r="R829">
        <f t="shared" si="715"/>
        <v>-710542.73576010019</v>
      </c>
      <c r="S829">
        <f t="shared" si="737"/>
        <v>-46.477189173312333</v>
      </c>
      <c r="T829" s="9" t="e">
        <f t="shared" si="716"/>
        <v>#N/A</v>
      </c>
      <c r="U829">
        <f t="shared" si="738"/>
        <v>-1.0000000000000001E+300</v>
      </c>
      <c r="V829">
        <f t="shared" si="739"/>
        <v>0</v>
      </c>
      <c r="W829">
        <f t="shared" si="740"/>
        <v>0</v>
      </c>
      <c r="X829">
        <f t="shared" si="717"/>
        <v>0.65345127194667674</v>
      </c>
      <c r="Y829">
        <f t="shared" si="718"/>
        <v>7.8539816339744828</v>
      </c>
      <c r="Z829">
        <f t="shared" si="719"/>
        <v>-0.65345127194667674</v>
      </c>
      <c r="AA829">
        <f t="shared" si="741"/>
        <v>-0.85344329420231346</v>
      </c>
      <c r="AB829">
        <f t="shared" si="720"/>
        <v>7.0005383397721692</v>
      </c>
      <c r="AC829">
        <f t="shared" si="742"/>
        <v>-0.87707001872087409</v>
      </c>
      <c r="AD829">
        <f t="shared" si="721"/>
        <v>0.49769504553752303</v>
      </c>
      <c r="AE829" s="9">
        <f t="shared" si="743"/>
        <v>6.6211633665888181</v>
      </c>
      <c r="AF829">
        <f t="shared" si="744"/>
        <v>0</v>
      </c>
      <c r="AH829">
        <f t="shared" si="722"/>
        <v>7.8539816339744828</v>
      </c>
      <c r="AI829">
        <f t="shared" si="723"/>
        <v>-0.85344329420231357</v>
      </c>
      <c r="AJ829">
        <f t="shared" si="724"/>
        <v>-0.87707001872087176</v>
      </c>
      <c r="AK829">
        <f t="shared" si="725"/>
        <v>0.49769504553752303</v>
      </c>
      <c r="AL829" s="9">
        <f t="shared" si="745"/>
        <v>6.6211633665888208</v>
      </c>
      <c r="AM829" t="e">
        <f t="shared" si="726"/>
        <v>#N/A</v>
      </c>
      <c r="AN829" t="e">
        <f t="shared" si="746"/>
        <v>#N/A</v>
      </c>
      <c r="AO829">
        <f t="shared" si="727"/>
        <v>0</v>
      </c>
      <c r="AP829">
        <f t="shared" si="728"/>
        <v>0</v>
      </c>
      <c r="AQ829">
        <f t="shared" si="729"/>
        <v>2.3314683517128287E-15</v>
      </c>
      <c r="AR829">
        <f t="shared" si="747"/>
        <v>0</v>
      </c>
      <c r="AS829">
        <f t="shared" si="730"/>
        <v>0</v>
      </c>
      <c r="AT829">
        <f t="shared" si="748"/>
        <v>0</v>
      </c>
      <c r="AU829">
        <f t="shared" si="749"/>
        <v>0</v>
      </c>
      <c r="AV829">
        <f t="shared" si="731"/>
        <v>6.5345127194667671E-21</v>
      </c>
      <c r="AW829" t="b">
        <f t="shared" si="750"/>
        <v>1</v>
      </c>
      <c r="AX829">
        <f t="shared" si="732"/>
        <v>7.8539816339744828</v>
      </c>
      <c r="AY829">
        <f t="shared" si="733"/>
        <v>-0.85344329420231357</v>
      </c>
      <c r="AZ829">
        <f t="shared" si="734"/>
        <v>-0.87707001872087409</v>
      </c>
      <c r="BA829">
        <f t="shared" si="735"/>
        <v>0.4976950455375232</v>
      </c>
      <c r="BB829">
        <f t="shared" si="736"/>
        <v>-1.2337005501361696E-20</v>
      </c>
      <c r="BD829" s="15">
        <f t="shared" si="751"/>
        <v>6.6211633665888181</v>
      </c>
      <c r="BE829" s="10">
        <f t="shared" si="752"/>
        <v>0</v>
      </c>
      <c r="BF829">
        <f t="shared" si="753"/>
        <v>0</v>
      </c>
      <c r="BG829">
        <f t="shared" si="754"/>
        <v>0</v>
      </c>
      <c r="BH829">
        <f t="shared" si="755"/>
        <v>0</v>
      </c>
      <c r="BI829">
        <f t="shared" si="756"/>
        <v>0</v>
      </c>
    </row>
    <row r="830" spans="1:61" x14ac:dyDescent="0.3">
      <c r="A830">
        <f t="shared" si="761"/>
        <v>0.79300000000000004</v>
      </c>
      <c r="B830">
        <f t="shared" si="704"/>
        <v>2.491282974296706</v>
      </c>
      <c r="C830">
        <f t="shared" si="705"/>
        <v>0.65030967929308714</v>
      </c>
      <c r="D830">
        <f t="shared" si="706"/>
        <v>0.65030967929308714</v>
      </c>
      <c r="E830">
        <f t="shared" si="711"/>
        <v>0.60543290738100142</v>
      </c>
      <c r="F830">
        <f t="shared" si="712"/>
        <v>0.60543290738100131</v>
      </c>
      <c r="G830">
        <f t="shared" si="707"/>
        <v>2.491282974296706</v>
      </c>
      <c r="H830">
        <f t="shared" si="708"/>
        <v>0.60543290738100142</v>
      </c>
      <c r="I830">
        <f t="shared" si="709"/>
        <v>0.60543290738100131</v>
      </c>
      <c r="J830">
        <f t="shared" si="757"/>
        <v>1.0515116780181127E+20</v>
      </c>
      <c r="K830">
        <f t="shared" si="758"/>
        <v>1.0515116780181127E+20</v>
      </c>
      <c r="L830">
        <f t="shared" si="713"/>
        <v>1</v>
      </c>
      <c r="M830">
        <f t="shared" si="710"/>
        <v>6.5030967929308712E-21</v>
      </c>
      <c r="N830" s="9">
        <f t="shared" si="759"/>
        <v>6.5030967929308712E-21</v>
      </c>
      <c r="O830">
        <f t="shared" si="760"/>
        <v>6.5030967929308712E-21</v>
      </c>
      <c r="Q830">
        <f t="shared" si="714"/>
        <v>46.101930682036077</v>
      </c>
      <c r="R830">
        <f t="shared" si="715"/>
        <v>0</v>
      </c>
      <c r="S830">
        <f t="shared" si="737"/>
        <v>-46.482008459748279</v>
      </c>
      <c r="T830" s="9" t="e">
        <f t="shared" si="716"/>
        <v>#N/A</v>
      </c>
      <c r="U830">
        <f t="shared" si="738"/>
        <v>-1.0000000000000001E+300</v>
      </c>
      <c r="V830">
        <f t="shared" si="739"/>
        <v>0</v>
      </c>
      <c r="W830">
        <f t="shared" si="740"/>
        <v>0</v>
      </c>
      <c r="X830">
        <f t="shared" si="717"/>
        <v>0.65030967929308714</v>
      </c>
      <c r="Y830">
        <f t="shared" si="718"/>
        <v>7.8539816339744828</v>
      </c>
      <c r="Z830">
        <f t="shared" si="719"/>
        <v>-0.65030967929308714</v>
      </c>
      <c r="AA830">
        <f t="shared" si="741"/>
        <v>-0.85489092457763693</v>
      </c>
      <c r="AB830">
        <f t="shared" si="720"/>
        <v>6.999090709396846</v>
      </c>
      <c r="AC830">
        <f t="shared" si="742"/>
        <v>-0.88188930515682273</v>
      </c>
      <c r="AD830">
        <f t="shared" si="721"/>
        <v>0.50181152744461788</v>
      </c>
      <c r="AE830" s="9">
        <f t="shared" si="743"/>
        <v>6.6190129316846411</v>
      </c>
      <c r="AF830">
        <f t="shared" si="744"/>
        <v>0</v>
      </c>
      <c r="AH830">
        <f t="shared" si="722"/>
        <v>7.8539816339744828</v>
      </c>
      <c r="AI830">
        <f t="shared" si="723"/>
        <v>-0.8548909245776366</v>
      </c>
      <c r="AJ830">
        <f t="shared" si="724"/>
        <v>-0.88188930515681818</v>
      </c>
      <c r="AK830">
        <f t="shared" si="725"/>
        <v>0.50181152744461788</v>
      </c>
      <c r="AL830" s="9">
        <f t="shared" si="745"/>
        <v>6.6190129316846456</v>
      </c>
      <c r="AM830" t="e">
        <f t="shared" si="726"/>
        <v>#N/A</v>
      </c>
      <c r="AN830" t="e">
        <f t="shared" si="746"/>
        <v>#N/A</v>
      </c>
      <c r="AO830">
        <f t="shared" si="727"/>
        <v>0</v>
      </c>
      <c r="AP830">
        <f t="shared" si="728"/>
        <v>0</v>
      </c>
      <c r="AQ830">
        <f t="shared" si="729"/>
        <v>4.5519144009631418E-15</v>
      </c>
      <c r="AR830">
        <f t="shared" si="747"/>
        <v>0</v>
      </c>
      <c r="AS830">
        <f t="shared" si="730"/>
        <v>0</v>
      </c>
      <c r="AT830">
        <f t="shared" si="748"/>
        <v>0</v>
      </c>
      <c r="AU830">
        <f t="shared" si="749"/>
        <v>0</v>
      </c>
      <c r="AV830">
        <f t="shared" si="731"/>
        <v>6.5030967929308712E-21</v>
      </c>
      <c r="AW830" t="b">
        <f t="shared" si="750"/>
        <v>1</v>
      </c>
      <c r="AX830">
        <f t="shared" si="732"/>
        <v>7.8539816339744828</v>
      </c>
      <c r="AY830">
        <f t="shared" si="733"/>
        <v>-0.85489092457763705</v>
      </c>
      <c r="AZ830">
        <f t="shared" si="734"/>
        <v>-0.88188930515682273</v>
      </c>
      <c r="BA830">
        <f t="shared" si="735"/>
        <v>0.5018115274446181</v>
      </c>
      <c r="BB830">
        <f t="shared" si="736"/>
        <v>-1.2337005501361696E-20</v>
      </c>
      <c r="BD830" s="15">
        <f t="shared" si="751"/>
        <v>6.6190129316846411</v>
      </c>
      <c r="BE830" s="10">
        <f t="shared" si="752"/>
        <v>0</v>
      </c>
      <c r="BF830">
        <f t="shared" si="753"/>
        <v>0</v>
      </c>
      <c r="BG830">
        <f t="shared" si="754"/>
        <v>0</v>
      </c>
      <c r="BH830">
        <f t="shared" si="755"/>
        <v>0</v>
      </c>
      <c r="BI830">
        <f t="shared" si="756"/>
        <v>0</v>
      </c>
    </row>
    <row r="831" spans="1:61" x14ac:dyDescent="0.3">
      <c r="A831">
        <f t="shared" si="761"/>
        <v>0.79400000000000004</v>
      </c>
      <c r="B831">
        <f t="shared" si="704"/>
        <v>2.494424566950296</v>
      </c>
      <c r="C831">
        <f t="shared" si="705"/>
        <v>0.6471680866394971</v>
      </c>
      <c r="D831">
        <f t="shared" si="706"/>
        <v>0.6471680866394971</v>
      </c>
      <c r="E831">
        <f t="shared" si="711"/>
        <v>0.60292954168902457</v>
      </c>
      <c r="F831">
        <f t="shared" si="712"/>
        <v>0.60292954168902446</v>
      </c>
      <c r="G831">
        <f t="shared" si="707"/>
        <v>2.494424566950296</v>
      </c>
      <c r="H831">
        <f t="shared" si="708"/>
        <v>0.60292954168902457</v>
      </c>
      <c r="I831">
        <f t="shared" si="709"/>
        <v>0.60292954168902446</v>
      </c>
      <c r="J831">
        <f t="shared" si="757"/>
        <v>1.0558775584028911E+20</v>
      </c>
      <c r="K831">
        <f t="shared" si="758"/>
        <v>1.0558775584028911E+20</v>
      </c>
      <c r="L831">
        <f t="shared" si="713"/>
        <v>1</v>
      </c>
      <c r="M831">
        <f t="shared" si="710"/>
        <v>6.4716808663949716E-21</v>
      </c>
      <c r="N831" s="9">
        <f t="shared" si="759"/>
        <v>6.4716808663949716E-21</v>
      </c>
      <c r="O831">
        <f t="shared" si="760"/>
        <v>6.4716808663949716E-21</v>
      </c>
      <c r="Q831">
        <f t="shared" si="714"/>
        <v>46.10607408996033</v>
      </c>
      <c r="R831">
        <f t="shared" si="715"/>
        <v>0</v>
      </c>
      <c r="S831">
        <f t="shared" si="737"/>
        <v>-46.486851084224071</v>
      </c>
      <c r="T831" s="9" t="e">
        <f t="shared" si="716"/>
        <v>#N/A</v>
      </c>
      <c r="U831">
        <f t="shared" si="738"/>
        <v>-1.0000000000000001E+300</v>
      </c>
      <c r="V831">
        <f t="shared" si="739"/>
        <v>0</v>
      </c>
      <c r="W831">
        <f t="shared" si="740"/>
        <v>0</v>
      </c>
      <c r="X831">
        <f t="shared" si="717"/>
        <v>0.6471680866394971</v>
      </c>
      <c r="Y831">
        <f t="shared" si="718"/>
        <v>7.8539816339744828</v>
      </c>
      <c r="Z831">
        <f t="shared" si="719"/>
        <v>-0.6471680866394971</v>
      </c>
      <c r="AA831">
        <f t="shared" si="741"/>
        <v>-0.85633074060601411</v>
      </c>
      <c r="AB831">
        <f t="shared" si="720"/>
        <v>6.9976508933684691</v>
      </c>
      <c r="AC831">
        <f t="shared" si="742"/>
        <v>-0.88673192963261116</v>
      </c>
      <c r="AD831">
        <f t="shared" si="721"/>
        <v>0.50595493536886893</v>
      </c>
      <c r="AE831" s="9">
        <f t="shared" si="743"/>
        <v>6.6168738991047267</v>
      </c>
      <c r="AF831">
        <f t="shared" si="744"/>
        <v>0</v>
      </c>
      <c r="AH831">
        <f t="shared" si="722"/>
        <v>7.8539816339744828</v>
      </c>
      <c r="AI831">
        <f t="shared" si="723"/>
        <v>-0.85633074060601411</v>
      </c>
      <c r="AJ831">
        <f t="shared" si="724"/>
        <v>-0.88673192963261016</v>
      </c>
      <c r="AK831">
        <f t="shared" si="725"/>
        <v>0.50595493536886893</v>
      </c>
      <c r="AL831" s="9">
        <f t="shared" si="745"/>
        <v>6.6168738991047276</v>
      </c>
      <c r="AM831" t="e">
        <f t="shared" si="726"/>
        <v>#N/A</v>
      </c>
      <c r="AN831" t="e">
        <f t="shared" si="746"/>
        <v>#N/A</v>
      </c>
      <c r="AO831">
        <f t="shared" si="727"/>
        <v>0</v>
      </c>
      <c r="AP831">
        <f t="shared" si="728"/>
        <v>0</v>
      </c>
      <c r="AQ831">
        <f t="shared" si="729"/>
        <v>9.9920072216264089E-16</v>
      </c>
      <c r="AR831">
        <f t="shared" si="747"/>
        <v>0</v>
      </c>
      <c r="AS831">
        <f t="shared" si="730"/>
        <v>0</v>
      </c>
      <c r="AT831">
        <f t="shared" si="748"/>
        <v>0</v>
      </c>
      <c r="AU831">
        <f t="shared" si="749"/>
        <v>0</v>
      </c>
      <c r="AV831">
        <f t="shared" si="731"/>
        <v>6.4716808663949708E-21</v>
      </c>
      <c r="AW831" t="b">
        <f t="shared" si="750"/>
        <v>1</v>
      </c>
      <c r="AX831">
        <f t="shared" si="732"/>
        <v>7.8539816339744828</v>
      </c>
      <c r="AY831">
        <f t="shared" si="733"/>
        <v>-0.85633074060601422</v>
      </c>
      <c r="AZ831">
        <f t="shared" si="734"/>
        <v>-0.88673192963261094</v>
      </c>
      <c r="BA831">
        <f t="shared" si="735"/>
        <v>0.50595493536886904</v>
      </c>
      <c r="BB831">
        <f t="shared" si="736"/>
        <v>-1.2337005501361696E-20</v>
      </c>
      <c r="BD831" s="15">
        <f t="shared" si="751"/>
        <v>6.6168738991047267</v>
      </c>
      <c r="BE831" s="10">
        <f t="shared" si="752"/>
        <v>0</v>
      </c>
      <c r="BF831">
        <f t="shared" si="753"/>
        <v>0</v>
      </c>
      <c r="BG831">
        <f t="shared" si="754"/>
        <v>0</v>
      </c>
      <c r="BH831">
        <f t="shared" si="755"/>
        <v>0</v>
      </c>
      <c r="BI831">
        <f t="shared" si="756"/>
        <v>0</v>
      </c>
    </row>
    <row r="832" spans="1:61" x14ac:dyDescent="0.3">
      <c r="A832">
        <f t="shared" si="761"/>
        <v>0.79500000000000004</v>
      </c>
      <c r="B832">
        <f t="shared" si="704"/>
        <v>2.4975661596038856</v>
      </c>
      <c r="C832">
        <f t="shared" si="705"/>
        <v>0.6440264939859075</v>
      </c>
      <c r="D832">
        <f t="shared" si="706"/>
        <v>0.6440264939859075</v>
      </c>
      <c r="E832">
        <f t="shared" si="711"/>
        <v>0.60042022532588402</v>
      </c>
      <c r="F832">
        <f t="shared" si="712"/>
        <v>0.60042022532588391</v>
      </c>
      <c r="G832">
        <f t="shared" si="707"/>
        <v>2.4975661596038856</v>
      </c>
      <c r="H832">
        <f t="shared" si="708"/>
        <v>0.60042022532588402</v>
      </c>
      <c r="I832">
        <f t="shared" si="709"/>
        <v>0.60042022532588391</v>
      </c>
      <c r="J832">
        <f t="shared" si="757"/>
        <v>1.0602903525144406E+20</v>
      </c>
      <c r="K832">
        <f t="shared" si="758"/>
        <v>1.0602903525144406E+20</v>
      </c>
      <c r="L832">
        <f t="shared" si="713"/>
        <v>1</v>
      </c>
      <c r="M832">
        <f t="shared" si="710"/>
        <v>6.440264939859075E-21</v>
      </c>
      <c r="N832" s="9">
        <f t="shared" si="759"/>
        <v>6.440264939859075E-21</v>
      </c>
      <c r="O832">
        <f t="shared" si="760"/>
        <v>6.440264939859075E-21</v>
      </c>
      <c r="Q832">
        <f t="shared" si="714"/>
        <v>46.110244647962801</v>
      </c>
      <c r="R832">
        <f t="shared" si="715"/>
        <v>0</v>
      </c>
      <c r="S832">
        <f t="shared" si="737"/>
        <v>-46.491717273875246</v>
      </c>
      <c r="T832" s="9" t="e">
        <f t="shared" si="716"/>
        <v>#N/A</v>
      </c>
      <c r="U832">
        <f t="shared" si="738"/>
        <v>-1.0000000000000001E+300</v>
      </c>
      <c r="V832">
        <f t="shared" si="739"/>
        <v>0</v>
      </c>
      <c r="W832">
        <f t="shared" si="740"/>
        <v>0</v>
      </c>
      <c r="X832">
        <f t="shared" si="717"/>
        <v>0.6440264939859075</v>
      </c>
      <c r="Y832">
        <f t="shared" si="718"/>
        <v>7.8539816339744828</v>
      </c>
      <c r="Z832">
        <f t="shared" si="719"/>
        <v>-0.6440264939859075</v>
      </c>
      <c r="AA832">
        <f t="shared" si="741"/>
        <v>-0.85776275544386871</v>
      </c>
      <c r="AB832">
        <f t="shared" si="720"/>
        <v>6.9962188785306143</v>
      </c>
      <c r="AC832">
        <f t="shared" si="742"/>
        <v>-0.89159811928378374</v>
      </c>
      <c r="AD832">
        <f t="shared" si="721"/>
        <v>0.51012549337134405</v>
      </c>
      <c r="AE832" s="9">
        <f t="shared" si="743"/>
        <v>6.6147462526181746</v>
      </c>
      <c r="AF832">
        <f t="shared" si="744"/>
        <v>0</v>
      </c>
      <c r="AH832">
        <f t="shared" si="722"/>
        <v>7.8539816339744828</v>
      </c>
      <c r="AI832">
        <f t="shared" si="723"/>
        <v>-0.85776275544386893</v>
      </c>
      <c r="AJ832">
        <f t="shared" si="724"/>
        <v>-0.89159811928378474</v>
      </c>
      <c r="AK832">
        <f t="shared" si="725"/>
        <v>0.51012549337134405</v>
      </c>
      <c r="AL832" s="9">
        <f t="shared" si="745"/>
        <v>6.6147462526181737</v>
      </c>
      <c r="AM832" t="e">
        <f t="shared" si="726"/>
        <v>#N/A</v>
      </c>
      <c r="AN832" t="e">
        <f t="shared" si="746"/>
        <v>#N/A</v>
      </c>
      <c r="AO832">
        <f t="shared" si="727"/>
        <v>0</v>
      </c>
      <c r="AP832">
        <f t="shared" si="728"/>
        <v>0</v>
      </c>
      <c r="AQ832">
        <f t="shared" si="729"/>
        <v>-9.9920072216264089E-16</v>
      </c>
      <c r="AR832">
        <f t="shared" si="747"/>
        <v>0</v>
      </c>
      <c r="AS832">
        <f t="shared" si="730"/>
        <v>0</v>
      </c>
      <c r="AT832">
        <f t="shared" si="748"/>
        <v>0</v>
      </c>
      <c r="AU832">
        <f t="shared" si="749"/>
        <v>0</v>
      </c>
      <c r="AV832">
        <f t="shared" si="731"/>
        <v>6.440264939859075E-21</v>
      </c>
      <c r="AW832" t="b">
        <f t="shared" si="750"/>
        <v>1</v>
      </c>
      <c r="AX832">
        <f t="shared" si="732"/>
        <v>7.8539816339744828</v>
      </c>
      <c r="AY832">
        <f t="shared" si="733"/>
        <v>-0.8577627554438686</v>
      </c>
      <c r="AZ832">
        <f t="shared" si="734"/>
        <v>-0.89159811928378363</v>
      </c>
      <c r="BA832">
        <f t="shared" si="735"/>
        <v>0.51012549337134427</v>
      </c>
      <c r="BB832">
        <f t="shared" si="736"/>
        <v>-1.2337005501361696E-20</v>
      </c>
      <c r="BD832" s="15">
        <f t="shared" si="751"/>
        <v>6.6147462526181746</v>
      </c>
      <c r="BE832" s="10">
        <f t="shared" si="752"/>
        <v>0</v>
      </c>
      <c r="BF832">
        <f t="shared" si="753"/>
        <v>0</v>
      </c>
      <c r="BG832">
        <f t="shared" si="754"/>
        <v>0</v>
      </c>
      <c r="BH832">
        <f t="shared" si="755"/>
        <v>0</v>
      </c>
      <c r="BI832">
        <f t="shared" si="756"/>
        <v>0</v>
      </c>
    </row>
    <row r="833" spans="1:61" x14ac:dyDescent="0.3">
      <c r="A833">
        <f t="shared" si="761"/>
        <v>0.79600000000000004</v>
      </c>
      <c r="B833">
        <f t="shared" si="704"/>
        <v>2.5007077522574757</v>
      </c>
      <c r="C833">
        <f t="shared" si="705"/>
        <v>0.64088490133231746</v>
      </c>
      <c r="D833">
        <f t="shared" si="706"/>
        <v>0.64088490133231746</v>
      </c>
      <c r="E833">
        <f t="shared" si="711"/>
        <v>0.59790498305751871</v>
      </c>
      <c r="F833">
        <f t="shared" si="712"/>
        <v>0.5979049830575186</v>
      </c>
      <c r="G833">
        <f t="shared" si="707"/>
        <v>2.5007077522574757</v>
      </c>
      <c r="H833">
        <f t="shared" si="708"/>
        <v>0.59790498305751871</v>
      </c>
      <c r="I833">
        <f t="shared" si="709"/>
        <v>0.5979049830575186</v>
      </c>
      <c r="J833">
        <f t="shared" si="757"/>
        <v>1.0647507386743728E+20</v>
      </c>
      <c r="K833">
        <f t="shared" si="758"/>
        <v>1.0647507386743728E+20</v>
      </c>
      <c r="L833">
        <f t="shared" si="713"/>
        <v>1</v>
      </c>
      <c r="M833">
        <f t="shared" si="710"/>
        <v>6.4088490133231754E-21</v>
      </c>
      <c r="N833" s="9">
        <f t="shared" si="759"/>
        <v>6.4088490133231754E-21</v>
      </c>
      <c r="O833">
        <f t="shared" si="760"/>
        <v>6.4088490133231754E-21</v>
      </c>
      <c r="Q833">
        <f t="shared" si="714"/>
        <v>46.11444258345567</v>
      </c>
      <c r="R833">
        <f t="shared" si="715"/>
        <v>-710542.73576010019</v>
      </c>
      <c r="S833">
        <f t="shared" si="737"/>
        <v>-46.496607259169437</v>
      </c>
      <c r="T833" s="9" t="e">
        <f t="shared" si="716"/>
        <v>#N/A</v>
      </c>
      <c r="U833">
        <f t="shared" si="738"/>
        <v>-1.0000000000000001E+300</v>
      </c>
      <c r="V833">
        <f t="shared" si="739"/>
        <v>0</v>
      </c>
      <c r="W833">
        <f t="shared" si="740"/>
        <v>0</v>
      </c>
      <c r="X833">
        <f t="shared" si="717"/>
        <v>0.64088490133231746</v>
      </c>
      <c r="Y833">
        <f t="shared" si="718"/>
        <v>7.8539816339744828</v>
      </c>
      <c r="Z833">
        <f t="shared" si="719"/>
        <v>-0.64088490133231746</v>
      </c>
      <c r="AA833">
        <f t="shared" si="741"/>
        <v>-0.85918698215765799</v>
      </c>
      <c r="AB833">
        <f t="shared" si="720"/>
        <v>6.9947946518168251</v>
      </c>
      <c r="AC833">
        <f t="shared" si="742"/>
        <v>-0.89648810457797579</v>
      </c>
      <c r="AD833">
        <f t="shared" si="721"/>
        <v>0.51432342886421334</v>
      </c>
      <c r="AE833" s="9">
        <f t="shared" si="743"/>
        <v>6.6126299761030625</v>
      </c>
      <c r="AF833">
        <f t="shared" si="744"/>
        <v>0</v>
      </c>
      <c r="AH833">
        <f t="shared" si="722"/>
        <v>7.8539816339744828</v>
      </c>
      <c r="AI833">
        <f t="shared" si="723"/>
        <v>-0.85918698215765832</v>
      </c>
      <c r="AJ833">
        <f t="shared" si="724"/>
        <v>-0.89648810457797623</v>
      </c>
      <c r="AK833">
        <f t="shared" si="725"/>
        <v>0.51432342886421334</v>
      </c>
      <c r="AL833" s="9">
        <f t="shared" si="745"/>
        <v>6.6126299761030616</v>
      </c>
      <c r="AM833" t="e">
        <f t="shared" si="726"/>
        <v>#N/A</v>
      </c>
      <c r="AN833" t="e">
        <f t="shared" si="746"/>
        <v>#N/A</v>
      </c>
      <c r="AO833">
        <f t="shared" si="727"/>
        <v>0</v>
      </c>
      <c r="AP833">
        <f t="shared" si="728"/>
        <v>0</v>
      </c>
      <c r="AQ833">
        <f t="shared" si="729"/>
        <v>0</v>
      </c>
      <c r="AR833">
        <f t="shared" si="747"/>
        <v>0</v>
      </c>
      <c r="AS833">
        <f t="shared" si="730"/>
        <v>0</v>
      </c>
      <c r="AT833">
        <f t="shared" si="748"/>
        <v>0</v>
      </c>
      <c r="AU833">
        <f t="shared" si="749"/>
        <v>0</v>
      </c>
      <c r="AV833">
        <f t="shared" si="731"/>
        <v>6.4088490133231739E-21</v>
      </c>
      <c r="AW833" t="b">
        <f t="shared" si="750"/>
        <v>1</v>
      </c>
      <c r="AX833">
        <f t="shared" si="732"/>
        <v>7.8539816339744828</v>
      </c>
      <c r="AY833">
        <f t="shared" si="733"/>
        <v>-0.85918698215765787</v>
      </c>
      <c r="AZ833">
        <f t="shared" si="734"/>
        <v>-0.89648810457797601</v>
      </c>
      <c r="BA833">
        <f t="shared" si="735"/>
        <v>0.51432342886421356</v>
      </c>
      <c r="BB833">
        <f t="shared" si="736"/>
        <v>-1.2337005501361696E-20</v>
      </c>
      <c r="BD833" s="15">
        <f t="shared" si="751"/>
        <v>6.6126299761030625</v>
      </c>
      <c r="BE833" s="10">
        <f t="shared" si="752"/>
        <v>0</v>
      </c>
      <c r="BF833">
        <f t="shared" si="753"/>
        <v>0</v>
      </c>
      <c r="BG833">
        <f t="shared" si="754"/>
        <v>0</v>
      </c>
      <c r="BH833">
        <f t="shared" si="755"/>
        <v>0</v>
      </c>
      <c r="BI833">
        <f t="shared" si="756"/>
        <v>0</v>
      </c>
    </row>
    <row r="834" spans="1:61" x14ac:dyDescent="0.3">
      <c r="A834">
        <f t="shared" si="761"/>
        <v>0.79700000000000004</v>
      </c>
      <c r="B834">
        <f t="shared" si="704"/>
        <v>2.5038493449110653</v>
      </c>
      <c r="C834">
        <f t="shared" si="705"/>
        <v>0.63774330867872786</v>
      </c>
      <c r="D834">
        <f t="shared" si="706"/>
        <v>0.63774330867872786</v>
      </c>
      <c r="E834">
        <f t="shared" si="711"/>
        <v>0.59538383970835485</v>
      </c>
      <c r="F834">
        <f t="shared" si="712"/>
        <v>0.59538383970835485</v>
      </c>
      <c r="G834">
        <f t="shared" si="707"/>
        <v>2.5038493449110653</v>
      </c>
      <c r="H834">
        <f t="shared" si="708"/>
        <v>0.59538383970835485</v>
      </c>
      <c r="I834">
        <f t="shared" si="709"/>
        <v>0.59538383970835485</v>
      </c>
      <c r="J834">
        <f t="shared" si="757"/>
        <v>1.0692594086521155E+20</v>
      </c>
      <c r="K834">
        <f t="shared" si="758"/>
        <v>1.0692594086521155E+20</v>
      </c>
      <c r="L834">
        <f t="shared" si="713"/>
        <v>0</v>
      </c>
      <c r="M834">
        <f t="shared" si="710"/>
        <v>6.3774330867872788E-21</v>
      </c>
      <c r="N834" s="9">
        <f t="shared" si="759"/>
        <v>0</v>
      </c>
      <c r="O834">
        <f t="shared" si="760"/>
        <v>0</v>
      </c>
      <c r="Q834">
        <f t="shared" si="714"/>
        <v>46.118668127267632</v>
      </c>
      <c r="R834">
        <f t="shared" si="715"/>
        <v>0</v>
      </c>
      <c r="S834">
        <f t="shared" si="737"/>
        <v>-46.501521273971861</v>
      </c>
      <c r="T834" s="9" t="e">
        <f t="shared" si="716"/>
        <v>#N/A</v>
      </c>
      <c r="U834">
        <f t="shared" si="738"/>
        <v>-1.0000000000000001E+300</v>
      </c>
      <c r="V834">
        <f t="shared" si="739"/>
        <v>0</v>
      </c>
      <c r="W834">
        <f t="shared" si="740"/>
        <v>0</v>
      </c>
      <c r="X834">
        <f t="shared" si="717"/>
        <v>0.63774330867872786</v>
      </c>
      <c r="Y834">
        <f t="shared" si="718"/>
        <v>7.8539816339744828</v>
      </c>
      <c r="Z834">
        <f t="shared" si="719"/>
        <v>-0.63774330867872786</v>
      </c>
      <c r="AA834">
        <f t="shared" si="741"/>
        <v>-0.86060343372431602</v>
      </c>
      <c r="AB834">
        <f t="shared" si="720"/>
        <v>6.9933782002501665</v>
      </c>
      <c r="AC834">
        <f t="shared" si="742"/>
        <v>-0.9014021193804046</v>
      </c>
      <c r="AD834">
        <f t="shared" si="721"/>
        <v>0.51854897267617428</v>
      </c>
      <c r="AE834" s="9">
        <f t="shared" si="743"/>
        <v>6.6105250535459366</v>
      </c>
      <c r="AF834">
        <f t="shared" si="744"/>
        <v>0</v>
      </c>
      <c r="AH834">
        <f t="shared" si="722"/>
        <v>7.8539816339744828</v>
      </c>
      <c r="AI834">
        <f t="shared" si="723"/>
        <v>-0.86060343372431625</v>
      </c>
      <c r="AJ834">
        <f t="shared" si="724"/>
        <v>-0.90140211938039982</v>
      </c>
      <c r="AK834">
        <f t="shared" si="725"/>
        <v>0.51854897267617428</v>
      </c>
      <c r="AL834" s="9">
        <f t="shared" si="745"/>
        <v>6.610525053545941</v>
      </c>
      <c r="AM834" t="e">
        <f t="shared" si="726"/>
        <v>#N/A</v>
      </c>
      <c r="AN834" t="e">
        <f t="shared" si="746"/>
        <v>#N/A</v>
      </c>
      <c r="AO834">
        <f t="shared" si="727"/>
        <v>0</v>
      </c>
      <c r="AP834">
        <f t="shared" si="728"/>
        <v>0</v>
      </c>
      <c r="AQ834">
        <f t="shared" si="729"/>
        <v>4.7739590058881731E-15</v>
      </c>
      <c r="AR834">
        <f t="shared" si="747"/>
        <v>0</v>
      </c>
      <c r="AS834">
        <f t="shared" si="730"/>
        <v>0</v>
      </c>
      <c r="AT834">
        <f t="shared" si="748"/>
        <v>0</v>
      </c>
      <c r="AU834">
        <f t="shared" si="749"/>
        <v>0</v>
      </c>
      <c r="AV834">
        <f t="shared" si="731"/>
        <v>6.377433086787278E-21</v>
      </c>
      <c r="AW834" t="b">
        <f t="shared" si="750"/>
        <v>1</v>
      </c>
      <c r="AX834">
        <f t="shared" si="732"/>
        <v>7.8539816339744828</v>
      </c>
      <c r="AY834">
        <f t="shared" si="733"/>
        <v>-0.86060343372431614</v>
      </c>
      <c r="AZ834">
        <f t="shared" si="734"/>
        <v>-0.9014021193804046</v>
      </c>
      <c r="BA834">
        <f t="shared" si="735"/>
        <v>0.51854897267617428</v>
      </c>
      <c r="BB834">
        <f t="shared" si="736"/>
        <v>-1.2337005501361696E-20</v>
      </c>
      <c r="BD834" s="15">
        <f t="shared" si="751"/>
        <v>6.6105250535459366</v>
      </c>
      <c r="BE834" s="10">
        <f t="shared" si="752"/>
        <v>0</v>
      </c>
      <c r="BF834">
        <f t="shared" si="753"/>
        <v>0</v>
      </c>
      <c r="BG834">
        <f t="shared" si="754"/>
        <v>0</v>
      </c>
      <c r="BH834">
        <f t="shared" si="755"/>
        <v>0</v>
      </c>
      <c r="BI834">
        <f t="shared" si="756"/>
        <v>0</v>
      </c>
    </row>
    <row r="835" spans="1:61" x14ac:dyDescent="0.3">
      <c r="A835">
        <f t="shared" si="761"/>
        <v>0.79800000000000004</v>
      </c>
      <c r="B835">
        <f t="shared" si="704"/>
        <v>2.5069909375646549</v>
      </c>
      <c r="C835">
        <f t="shared" si="705"/>
        <v>0.63460171602513826</v>
      </c>
      <c r="D835">
        <f t="shared" si="706"/>
        <v>0.63460171602513826</v>
      </c>
      <c r="E835">
        <f t="shared" si="711"/>
        <v>0.59285682016105934</v>
      </c>
      <c r="F835">
        <f t="shared" si="712"/>
        <v>0.59285682016105923</v>
      </c>
      <c r="G835">
        <f t="shared" si="707"/>
        <v>2.5069909375646549</v>
      </c>
      <c r="H835">
        <f t="shared" si="708"/>
        <v>0.59285682016105934</v>
      </c>
      <c r="I835">
        <f t="shared" si="709"/>
        <v>0.59285682016105923</v>
      </c>
      <c r="J835">
        <f t="shared" si="757"/>
        <v>1.0738170679973508E+20</v>
      </c>
      <c r="K835">
        <f t="shared" si="758"/>
        <v>1.0738170679973508E+20</v>
      </c>
      <c r="L835">
        <f t="shared" si="713"/>
        <v>1</v>
      </c>
      <c r="M835">
        <f t="shared" si="710"/>
        <v>6.3460171602513822E-21</v>
      </c>
      <c r="N835" s="9">
        <f t="shared" si="759"/>
        <v>6.3460171602513822E-21</v>
      </c>
      <c r="O835">
        <f t="shared" si="760"/>
        <v>6.3460171602513822E-21</v>
      </c>
      <c r="Q835">
        <f t="shared" si="714"/>
        <v>46.122921513710963</v>
      </c>
      <c r="R835">
        <f t="shared" si="715"/>
        <v>0</v>
      </c>
      <c r="S835">
        <f t="shared" si="737"/>
        <v>-46.506459555612444</v>
      </c>
      <c r="T835" s="9" t="e">
        <f t="shared" si="716"/>
        <v>#N/A</v>
      </c>
      <c r="U835">
        <f t="shared" si="738"/>
        <v>-1.0000000000000001E+300</v>
      </c>
      <c r="V835">
        <f t="shared" si="739"/>
        <v>0</v>
      </c>
      <c r="W835">
        <f t="shared" si="740"/>
        <v>0</v>
      </c>
      <c r="X835">
        <f t="shared" si="717"/>
        <v>0.63460171602513826</v>
      </c>
      <c r="Y835">
        <f t="shared" si="718"/>
        <v>7.8539816339744828</v>
      </c>
      <c r="Z835">
        <f t="shared" si="719"/>
        <v>-0.63460171602513826</v>
      </c>
      <c r="AA835">
        <f t="shared" si="741"/>
        <v>-0.86201212303169383</v>
      </c>
      <c r="AB835">
        <f t="shared" si="720"/>
        <v>6.9919695109427886</v>
      </c>
      <c r="AC835">
        <f t="shared" si="742"/>
        <v>-0.9063404010209869</v>
      </c>
      <c r="AD835">
        <f t="shared" si="721"/>
        <v>0.52280235911950146</v>
      </c>
      <c r="AE835" s="9">
        <f t="shared" si="743"/>
        <v>6.6084314690413031</v>
      </c>
      <c r="AF835">
        <f t="shared" si="744"/>
        <v>0</v>
      </c>
      <c r="AH835">
        <f t="shared" si="722"/>
        <v>7.8539816339744828</v>
      </c>
      <c r="AI835">
        <f t="shared" si="723"/>
        <v>-0.86201212303169361</v>
      </c>
      <c r="AJ835">
        <f t="shared" si="724"/>
        <v>-0.90634040102098368</v>
      </c>
      <c r="AK835">
        <f t="shared" si="725"/>
        <v>0.52280235911950146</v>
      </c>
      <c r="AL835" s="9">
        <f t="shared" si="745"/>
        <v>6.6084314690413075</v>
      </c>
      <c r="AM835" t="e">
        <f t="shared" si="726"/>
        <v>#N/A</v>
      </c>
      <c r="AN835" t="e">
        <f t="shared" si="746"/>
        <v>#N/A</v>
      </c>
      <c r="AO835">
        <f t="shared" si="727"/>
        <v>0</v>
      </c>
      <c r="AP835">
        <f t="shared" si="728"/>
        <v>0</v>
      </c>
      <c r="AQ835">
        <f t="shared" si="729"/>
        <v>3.219646771412954E-15</v>
      </c>
      <c r="AR835">
        <f t="shared" si="747"/>
        <v>0</v>
      </c>
      <c r="AS835">
        <f t="shared" si="730"/>
        <v>0</v>
      </c>
      <c r="AT835">
        <f t="shared" si="748"/>
        <v>0</v>
      </c>
      <c r="AU835">
        <f t="shared" si="749"/>
        <v>0</v>
      </c>
      <c r="AV835">
        <f t="shared" si="731"/>
        <v>6.3460171602513822E-21</v>
      </c>
      <c r="AW835" t="b">
        <f t="shared" si="750"/>
        <v>1</v>
      </c>
      <c r="AX835">
        <f t="shared" si="732"/>
        <v>7.8539816339744828</v>
      </c>
      <c r="AY835">
        <f t="shared" si="733"/>
        <v>-0.86201212303169394</v>
      </c>
      <c r="AZ835">
        <f t="shared" si="734"/>
        <v>-0.9063404010209869</v>
      </c>
      <c r="BA835">
        <f t="shared" si="735"/>
        <v>0.52280235911950157</v>
      </c>
      <c r="BB835">
        <f t="shared" si="736"/>
        <v>-1.2337005501361696E-20</v>
      </c>
      <c r="BD835" s="15">
        <f t="shared" si="751"/>
        <v>6.6084314690413031</v>
      </c>
      <c r="BE835" s="10">
        <f t="shared" si="752"/>
        <v>0</v>
      </c>
      <c r="BF835">
        <f t="shared" si="753"/>
        <v>0</v>
      </c>
      <c r="BG835">
        <f t="shared" si="754"/>
        <v>0</v>
      </c>
      <c r="BH835">
        <f t="shared" si="755"/>
        <v>0</v>
      </c>
      <c r="BI835">
        <f t="shared" si="756"/>
        <v>0</v>
      </c>
    </row>
    <row r="836" spans="1:61" x14ac:dyDescent="0.3">
      <c r="A836">
        <f t="shared" si="761"/>
        <v>0.79900000000000004</v>
      </c>
      <c r="B836">
        <f t="shared" si="704"/>
        <v>2.5101325302182449</v>
      </c>
      <c r="C836">
        <f t="shared" si="705"/>
        <v>0.63146012337154822</v>
      </c>
      <c r="D836">
        <f t="shared" si="706"/>
        <v>0.63146012337154822</v>
      </c>
      <c r="E836">
        <f t="shared" si="711"/>
        <v>0.59032394935629451</v>
      </c>
      <c r="F836">
        <f t="shared" si="712"/>
        <v>0.5903239493562944</v>
      </c>
      <c r="G836">
        <f t="shared" si="707"/>
        <v>2.5101325302182449</v>
      </c>
      <c r="H836">
        <f t="shared" si="708"/>
        <v>0.59032394935629451</v>
      </c>
      <c r="I836">
        <f t="shared" si="709"/>
        <v>0.5903239493562944</v>
      </c>
      <c r="J836">
        <f t="shared" si="757"/>
        <v>1.0784244363823781E+20</v>
      </c>
      <c r="K836">
        <f t="shared" si="758"/>
        <v>1.0784244363823781E+20</v>
      </c>
      <c r="L836">
        <f t="shared" si="713"/>
        <v>0</v>
      </c>
      <c r="M836">
        <f t="shared" si="710"/>
        <v>6.3146012337154825E-21</v>
      </c>
      <c r="N836" s="9">
        <f t="shared" si="759"/>
        <v>0</v>
      </c>
      <c r="O836">
        <f t="shared" si="760"/>
        <v>0</v>
      </c>
      <c r="Q836">
        <f t="shared" si="714"/>
        <v>46.127202980650218</v>
      </c>
      <c r="R836">
        <f t="shared" si="715"/>
        <v>0</v>
      </c>
      <c r="S836">
        <f t="shared" si="737"/>
        <v>-46.511422344954575</v>
      </c>
      <c r="T836" s="9" t="e">
        <f t="shared" si="716"/>
        <v>#N/A</v>
      </c>
      <c r="U836">
        <f t="shared" si="738"/>
        <v>-1.0000000000000001E+300</v>
      </c>
      <c r="V836">
        <f t="shared" si="739"/>
        <v>0</v>
      </c>
      <c r="W836">
        <f t="shared" si="740"/>
        <v>0</v>
      </c>
      <c r="X836">
        <f t="shared" si="717"/>
        <v>0.63146012337154822</v>
      </c>
      <c r="Y836">
        <f t="shared" si="718"/>
        <v>7.8539816339744828</v>
      </c>
      <c r="Z836">
        <f t="shared" si="719"/>
        <v>-0.63146012337154822</v>
      </c>
      <c r="AA836">
        <f t="shared" si="741"/>
        <v>-0.86341306287899555</v>
      </c>
      <c r="AB836">
        <f t="shared" si="720"/>
        <v>6.990568571095487</v>
      </c>
      <c r="AC836">
        <f t="shared" si="742"/>
        <v>-0.91130319036311636</v>
      </c>
      <c r="AD836">
        <f t="shared" si="721"/>
        <v>0.52708382605875781</v>
      </c>
      <c r="AE836" s="9">
        <f t="shared" si="743"/>
        <v>6.606349206791128</v>
      </c>
      <c r="AF836">
        <f t="shared" si="744"/>
        <v>0</v>
      </c>
      <c r="AH836">
        <f t="shared" si="722"/>
        <v>7.8539816339744828</v>
      </c>
      <c r="AI836">
        <f t="shared" si="723"/>
        <v>-0.86341306287899589</v>
      </c>
      <c r="AJ836">
        <f t="shared" si="724"/>
        <v>-0.91130319036311391</v>
      </c>
      <c r="AK836">
        <f t="shared" si="725"/>
        <v>0.52708382605875781</v>
      </c>
      <c r="AL836" s="9">
        <f t="shared" si="745"/>
        <v>6.6063492067911307</v>
      </c>
      <c r="AM836" t="e">
        <f t="shared" si="726"/>
        <v>#N/A</v>
      </c>
      <c r="AN836" t="e">
        <f t="shared" si="746"/>
        <v>#N/A</v>
      </c>
      <c r="AO836">
        <f t="shared" si="727"/>
        <v>0</v>
      </c>
      <c r="AP836">
        <f t="shared" si="728"/>
        <v>0</v>
      </c>
      <c r="AQ836">
        <f t="shared" si="729"/>
        <v>2.4424906541753444E-15</v>
      </c>
      <c r="AR836">
        <f t="shared" si="747"/>
        <v>0</v>
      </c>
      <c r="AS836">
        <f t="shared" si="730"/>
        <v>0</v>
      </c>
      <c r="AT836">
        <f t="shared" si="748"/>
        <v>0</v>
      </c>
      <c r="AU836">
        <f t="shared" si="749"/>
        <v>0</v>
      </c>
      <c r="AV836">
        <f t="shared" si="731"/>
        <v>6.3146012337154818E-21</v>
      </c>
      <c r="AW836" t="b">
        <f t="shared" si="750"/>
        <v>1</v>
      </c>
      <c r="AX836">
        <f t="shared" si="732"/>
        <v>7.8539816339744828</v>
      </c>
      <c r="AY836">
        <f t="shared" si="733"/>
        <v>-0.86341306287899566</v>
      </c>
      <c r="AZ836">
        <f t="shared" si="734"/>
        <v>-0.91130319036311624</v>
      </c>
      <c r="BA836">
        <f t="shared" si="735"/>
        <v>0.52708382605875803</v>
      </c>
      <c r="BB836">
        <f t="shared" si="736"/>
        <v>-1.2337005501361696E-20</v>
      </c>
      <c r="BD836" s="15">
        <f t="shared" si="751"/>
        <v>6.606349206791128</v>
      </c>
      <c r="BE836" s="10">
        <f t="shared" si="752"/>
        <v>0</v>
      </c>
      <c r="BF836">
        <f t="shared" si="753"/>
        <v>0</v>
      </c>
      <c r="BG836">
        <f t="shared" si="754"/>
        <v>0</v>
      </c>
      <c r="BH836">
        <f t="shared" si="755"/>
        <v>0</v>
      </c>
      <c r="BI836">
        <f t="shared" si="756"/>
        <v>0</v>
      </c>
    </row>
    <row r="837" spans="1:61" x14ac:dyDescent="0.3">
      <c r="A837">
        <f t="shared" si="761"/>
        <v>0.8</v>
      </c>
      <c r="B837">
        <f t="shared" si="704"/>
        <v>2.5132741228718345</v>
      </c>
      <c r="C837">
        <f t="shared" si="705"/>
        <v>0.62831853071795862</v>
      </c>
      <c r="D837">
        <f t="shared" si="706"/>
        <v>0.62831853071795862</v>
      </c>
      <c r="E837">
        <f t="shared" si="711"/>
        <v>0.58778525229247325</v>
      </c>
      <c r="F837">
        <f t="shared" si="712"/>
        <v>0.58778525229247314</v>
      </c>
      <c r="G837">
        <f t="shared" si="707"/>
        <v>2.5132741228718345</v>
      </c>
      <c r="H837">
        <f t="shared" si="708"/>
        <v>0.58778525229247325</v>
      </c>
      <c r="I837">
        <f t="shared" si="709"/>
        <v>0.58778525229247314</v>
      </c>
      <c r="J837">
        <f t="shared" si="757"/>
        <v>1.0830822479547494E+20</v>
      </c>
      <c r="K837">
        <f t="shared" si="758"/>
        <v>1.0830822479547494E+20</v>
      </c>
      <c r="L837">
        <f t="shared" si="713"/>
        <v>1</v>
      </c>
      <c r="M837">
        <f t="shared" si="710"/>
        <v>6.2831853071795859E-21</v>
      </c>
      <c r="N837" s="9">
        <f t="shared" si="759"/>
        <v>6.2831853071795859E-21</v>
      </c>
      <c r="O837">
        <f t="shared" si="760"/>
        <v>6.2831853071795859E-21</v>
      </c>
      <c r="Q837">
        <f t="shared" si="714"/>
        <v>46.13151276957268</v>
      </c>
      <c r="R837">
        <f t="shared" si="715"/>
        <v>0</v>
      </c>
      <c r="S837">
        <f t="shared" si="737"/>
        <v>-46.516409886465617</v>
      </c>
      <c r="T837" s="9" t="e">
        <f t="shared" si="716"/>
        <v>#N/A</v>
      </c>
      <c r="U837">
        <f t="shared" si="738"/>
        <v>-1.0000000000000001E+300</v>
      </c>
      <c r="V837">
        <f t="shared" si="739"/>
        <v>0</v>
      </c>
      <c r="W837">
        <f t="shared" si="740"/>
        <v>0</v>
      </c>
      <c r="X837">
        <f t="shared" si="717"/>
        <v>0.62831853071795862</v>
      </c>
      <c r="Y837">
        <f t="shared" si="718"/>
        <v>7.8539816339744828</v>
      </c>
      <c r="Z837">
        <f t="shared" si="719"/>
        <v>-0.62831853071795862</v>
      </c>
      <c r="AA837">
        <f t="shared" si="741"/>
        <v>-0.86480626597720978</v>
      </c>
      <c r="AB837">
        <f t="shared" si="720"/>
        <v>6.989175367997273</v>
      </c>
      <c r="AC837">
        <f t="shared" si="742"/>
        <v>-0.916290731874155</v>
      </c>
      <c r="AD837">
        <f t="shared" si="721"/>
        <v>0.53139361498122173</v>
      </c>
      <c r="AE837" s="9">
        <f t="shared" si="743"/>
        <v>6.6042782511043399</v>
      </c>
      <c r="AF837">
        <f t="shared" si="744"/>
        <v>0</v>
      </c>
      <c r="AH837">
        <f t="shared" si="722"/>
        <v>7.8539816339744828</v>
      </c>
      <c r="AI837">
        <f t="shared" si="723"/>
        <v>-0.86480626597720955</v>
      </c>
      <c r="AJ837">
        <f t="shared" si="724"/>
        <v>-0.91629073187415599</v>
      </c>
      <c r="AK837">
        <f t="shared" si="725"/>
        <v>0.53139361498122173</v>
      </c>
      <c r="AL837" s="9">
        <f t="shared" si="745"/>
        <v>6.604278251104339</v>
      </c>
      <c r="AM837" t="e">
        <f t="shared" si="726"/>
        <v>#N/A</v>
      </c>
      <c r="AN837" t="e">
        <f t="shared" si="746"/>
        <v>#N/A</v>
      </c>
      <c r="AO837">
        <f t="shared" si="727"/>
        <v>0</v>
      </c>
      <c r="AP837">
        <f t="shared" si="728"/>
        <v>0</v>
      </c>
      <c r="AQ837">
        <f t="shared" si="729"/>
        <v>-9.9920072216264089E-16</v>
      </c>
      <c r="AR837">
        <f t="shared" si="747"/>
        <v>0</v>
      </c>
      <c r="AS837">
        <f t="shared" si="730"/>
        <v>0</v>
      </c>
      <c r="AT837">
        <f t="shared" si="748"/>
        <v>0</v>
      </c>
      <c r="AU837">
        <f t="shared" si="749"/>
        <v>0</v>
      </c>
      <c r="AV837">
        <f t="shared" si="731"/>
        <v>6.2831853071795859E-21</v>
      </c>
      <c r="AW837" t="b">
        <f t="shared" si="750"/>
        <v>1</v>
      </c>
      <c r="AX837">
        <f t="shared" si="732"/>
        <v>7.8539816339744828</v>
      </c>
      <c r="AY837">
        <f t="shared" si="733"/>
        <v>-0.86480626597720989</v>
      </c>
      <c r="AZ837">
        <f t="shared" si="734"/>
        <v>-0.916290731874155</v>
      </c>
      <c r="BA837">
        <f t="shared" si="735"/>
        <v>0.53139361498122195</v>
      </c>
      <c r="BB837">
        <f t="shared" si="736"/>
        <v>-1.2337005501361696E-20</v>
      </c>
      <c r="BD837" s="15">
        <f t="shared" si="751"/>
        <v>6.6042782511043399</v>
      </c>
      <c r="BE837" s="10">
        <f t="shared" si="752"/>
        <v>0</v>
      </c>
      <c r="BF837">
        <f t="shared" si="753"/>
        <v>0</v>
      </c>
      <c r="BG837">
        <f t="shared" si="754"/>
        <v>0</v>
      </c>
      <c r="BH837">
        <f t="shared" si="755"/>
        <v>0</v>
      </c>
      <c r="BI837">
        <f t="shared" si="756"/>
        <v>0</v>
      </c>
    </row>
    <row r="838" spans="1:61" x14ac:dyDescent="0.3">
      <c r="A838">
        <f t="shared" si="761"/>
        <v>0.80100000000000005</v>
      </c>
      <c r="B838">
        <f t="shared" si="704"/>
        <v>2.5164157155254245</v>
      </c>
      <c r="C838">
        <f t="shared" si="705"/>
        <v>0.62517693806436858</v>
      </c>
      <c r="D838">
        <f t="shared" si="706"/>
        <v>0.62517693806436858</v>
      </c>
      <c r="E838">
        <f t="shared" si="711"/>
        <v>0.58524075402551001</v>
      </c>
      <c r="F838">
        <f t="shared" si="712"/>
        <v>0.5852407540255099</v>
      </c>
      <c r="G838">
        <f t="shared" si="707"/>
        <v>2.5164157155254245</v>
      </c>
      <c r="H838">
        <f t="shared" si="708"/>
        <v>0.58524075402551001</v>
      </c>
      <c r="I838">
        <f t="shared" si="709"/>
        <v>0.5852407540255099</v>
      </c>
      <c r="J838">
        <f t="shared" si="757"/>
        <v>1.0877912517005469E+20</v>
      </c>
      <c r="K838">
        <f t="shared" si="758"/>
        <v>1.0877912517005469E+20</v>
      </c>
      <c r="L838">
        <f t="shared" si="713"/>
        <v>1</v>
      </c>
      <c r="M838">
        <f t="shared" si="710"/>
        <v>6.2517693806436863E-21</v>
      </c>
      <c r="N838" s="9">
        <f t="shared" si="759"/>
        <v>6.2517693806436863E-21</v>
      </c>
      <c r="O838">
        <f t="shared" si="760"/>
        <v>6.2517693806436863E-21</v>
      </c>
      <c r="Q838">
        <f t="shared" si="714"/>
        <v>46.135851125660544</v>
      </c>
      <c r="R838">
        <f t="shared" si="715"/>
        <v>0</v>
      </c>
      <c r="S838">
        <f t="shared" si="737"/>
        <v>-46.521422428289156</v>
      </c>
      <c r="T838" s="9" t="e">
        <f t="shared" si="716"/>
        <v>#N/A</v>
      </c>
      <c r="U838">
        <f t="shared" si="738"/>
        <v>-1.0000000000000001E+300</v>
      </c>
      <c r="V838">
        <f t="shared" si="739"/>
        <v>0</v>
      </c>
      <c r="W838">
        <f t="shared" si="740"/>
        <v>0</v>
      </c>
      <c r="X838">
        <f t="shared" si="717"/>
        <v>0.62517693806436858</v>
      </c>
      <c r="Y838">
        <f t="shared" si="718"/>
        <v>7.8539816339744828</v>
      </c>
      <c r="Z838">
        <f t="shared" si="719"/>
        <v>-0.62517693806436858</v>
      </c>
      <c r="AA838">
        <f t="shared" si="741"/>
        <v>-0.86619174494953954</v>
      </c>
      <c r="AB838">
        <f t="shared" si="720"/>
        <v>6.9877898890249437</v>
      </c>
      <c r="AC838">
        <f t="shared" si="742"/>
        <v>-0.92130327369769971</v>
      </c>
      <c r="AD838">
        <f t="shared" si="721"/>
        <v>0.53573197106908577</v>
      </c>
      <c r="AE838" s="9">
        <f t="shared" si="743"/>
        <v>6.6022185863963294</v>
      </c>
      <c r="AF838">
        <f t="shared" si="744"/>
        <v>0</v>
      </c>
      <c r="AH838">
        <f t="shared" si="722"/>
        <v>7.8539816339744828</v>
      </c>
      <c r="AI838">
        <f t="shared" si="723"/>
        <v>-0.86619174494953932</v>
      </c>
      <c r="AJ838">
        <f t="shared" si="724"/>
        <v>-0.9213032736976956</v>
      </c>
      <c r="AK838">
        <f t="shared" si="725"/>
        <v>0.53573197106908577</v>
      </c>
      <c r="AL838" s="9">
        <f t="shared" si="745"/>
        <v>6.6022185863963339</v>
      </c>
      <c r="AM838" t="e">
        <f t="shared" si="726"/>
        <v>#N/A</v>
      </c>
      <c r="AN838" t="e">
        <f t="shared" si="746"/>
        <v>#N/A</v>
      </c>
      <c r="AO838">
        <f t="shared" si="727"/>
        <v>0</v>
      </c>
      <c r="AP838">
        <f t="shared" si="728"/>
        <v>0</v>
      </c>
      <c r="AQ838">
        <f t="shared" si="729"/>
        <v>4.1078251911130792E-15</v>
      </c>
      <c r="AR838">
        <f t="shared" si="747"/>
        <v>0</v>
      </c>
      <c r="AS838">
        <f t="shared" si="730"/>
        <v>0</v>
      </c>
      <c r="AT838">
        <f t="shared" si="748"/>
        <v>0</v>
      </c>
      <c r="AU838">
        <f t="shared" si="749"/>
        <v>0</v>
      </c>
      <c r="AV838">
        <f t="shared" si="731"/>
        <v>6.2517693806436856E-21</v>
      </c>
      <c r="AW838" t="b">
        <f t="shared" si="750"/>
        <v>1</v>
      </c>
      <c r="AX838">
        <f t="shared" si="732"/>
        <v>7.8539816339744828</v>
      </c>
      <c r="AY838">
        <f t="shared" si="733"/>
        <v>-0.86619174494953954</v>
      </c>
      <c r="AZ838">
        <f t="shared" si="734"/>
        <v>-0.92130327369769971</v>
      </c>
      <c r="BA838">
        <f t="shared" si="735"/>
        <v>0.53573197106908588</v>
      </c>
      <c r="BB838">
        <f t="shared" si="736"/>
        <v>-1.2337005501361696E-20</v>
      </c>
      <c r="BD838" s="15">
        <f t="shared" si="751"/>
        <v>6.6022185863963294</v>
      </c>
      <c r="BE838" s="10">
        <f t="shared" si="752"/>
        <v>0</v>
      </c>
      <c r="BF838">
        <f t="shared" si="753"/>
        <v>0</v>
      </c>
      <c r="BG838">
        <f t="shared" si="754"/>
        <v>0</v>
      </c>
      <c r="BH838">
        <f t="shared" si="755"/>
        <v>0</v>
      </c>
      <c r="BI838">
        <f t="shared" si="756"/>
        <v>0</v>
      </c>
    </row>
    <row r="839" spans="1:61" x14ac:dyDescent="0.3">
      <c r="A839">
        <f t="shared" si="761"/>
        <v>0.80200000000000005</v>
      </c>
      <c r="B839">
        <f t="shared" si="704"/>
        <v>2.5195573081790141</v>
      </c>
      <c r="C839">
        <f t="shared" si="705"/>
        <v>0.62203534541077898</v>
      </c>
      <c r="D839">
        <f t="shared" si="706"/>
        <v>0.62203534541077898</v>
      </c>
      <c r="E839">
        <f t="shared" si="711"/>
        <v>0.58269047966857612</v>
      </c>
      <c r="F839">
        <f t="shared" si="712"/>
        <v>0.58269047966857601</v>
      </c>
      <c r="G839">
        <f t="shared" si="707"/>
        <v>2.5195573081790141</v>
      </c>
      <c r="H839">
        <f t="shared" si="708"/>
        <v>0.58269047966857612</v>
      </c>
      <c r="I839">
        <f t="shared" si="709"/>
        <v>0.58269047966857601</v>
      </c>
      <c r="J839">
        <f t="shared" si="757"/>
        <v>1.0925522118186646E+20</v>
      </c>
      <c r="K839">
        <f t="shared" si="758"/>
        <v>1.0925522118186646E+20</v>
      </c>
      <c r="L839">
        <f t="shared" si="713"/>
        <v>1</v>
      </c>
      <c r="M839">
        <f t="shared" si="710"/>
        <v>6.2203534541077897E-21</v>
      </c>
      <c r="N839" s="9">
        <f t="shared" si="759"/>
        <v>6.2203534541077897E-21</v>
      </c>
      <c r="O839">
        <f t="shared" si="760"/>
        <v>6.2203534541077897E-21</v>
      </c>
      <c r="Q839">
        <f t="shared" si="714"/>
        <v>46.140218297864926</v>
      </c>
      <c r="R839">
        <f t="shared" si="715"/>
        <v>0</v>
      </c>
      <c r="S839">
        <f t="shared" si="737"/>
        <v>-46.526460222319116</v>
      </c>
      <c r="T839" s="9" t="e">
        <f t="shared" si="716"/>
        <v>#N/A</v>
      </c>
      <c r="U839">
        <f t="shared" si="738"/>
        <v>-1.0000000000000001E+300</v>
      </c>
      <c r="V839">
        <f t="shared" si="739"/>
        <v>0</v>
      </c>
      <c r="W839">
        <f t="shared" si="740"/>
        <v>0</v>
      </c>
      <c r="X839">
        <f t="shared" si="717"/>
        <v>0.62203534541077898</v>
      </c>
      <c r="Y839">
        <f t="shared" si="718"/>
        <v>7.8539816339744828</v>
      </c>
      <c r="Z839">
        <f t="shared" si="719"/>
        <v>-0.62203534541077898</v>
      </c>
      <c r="AA839">
        <f t="shared" si="741"/>
        <v>-0.86756951233182544</v>
      </c>
      <c r="AB839">
        <f t="shared" si="720"/>
        <v>6.9864121216426573</v>
      </c>
      <c r="AC839">
        <f t="shared" si="742"/>
        <v>-0.92634106772765656</v>
      </c>
      <c r="AD839">
        <f t="shared" si="721"/>
        <v>0.54009914327346853</v>
      </c>
      <c r="AE839" s="9">
        <f t="shared" si="743"/>
        <v>6.6001701971884694</v>
      </c>
      <c r="AF839">
        <f t="shared" si="744"/>
        <v>0</v>
      </c>
      <c r="AH839">
        <f t="shared" si="722"/>
        <v>7.8539816339744828</v>
      </c>
      <c r="AI839">
        <f t="shared" si="723"/>
        <v>-0.86756951233182511</v>
      </c>
      <c r="AJ839">
        <f t="shared" si="724"/>
        <v>-0.92634106772765534</v>
      </c>
      <c r="AK839">
        <f t="shared" si="725"/>
        <v>0.54009914327346853</v>
      </c>
      <c r="AL839" s="9">
        <f t="shared" si="745"/>
        <v>6.6001701971884703</v>
      </c>
      <c r="AM839" t="e">
        <f t="shared" si="726"/>
        <v>#N/A</v>
      </c>
      <c r="AN839" t="e">
        <f t="shared" si="746"/>
        <v>#N/A</v>
      </c>
      <c r="AO839">
        <f t="shared" si="727"/>
        <v>0</v>
      </c>
      <c r="AP839">
        <f t="shared" si="728"/>
        <v>0</v>
      </c>
      <c r="AQ839">
        <f t="shared" si="729"/>
        <v>1.2212453270876722E-15</v>
      </c>
      <c r="AR839">
        <f t="shared" si="747"/>
        <v>0</v>
      </c>
      <c r="AS839">
        <f t="shared" si="730"/>
        <v>0</v>
      </c>
      <c r="AT839">
        <f t="shared" si="748"/>
        <v>0</v>
      </c>
      <c r="AU839">
        <f t="shared" si="749"/>
        <v>0</v>
      </c>
      <c r="AV839">
        <f t="shared" si="731"/>
        <v>6.2203534541077897E-21</v>
      </c>
      <c r="AW839" t="b">
        <f t="shared" si="750"/>
        <v>1</v>
      </c>
      <c r="AX839">
        <f t="shared" si="732"/>
        <v>7.8539816339744828</v>
      </c>
      <c r="AY839">
        <f t="shared" si="733"/>
        <v>-0.86756951233182555</v>
      </c>
      <c r="AZ839">
        <f t="shared" si="734"/>
        <v>-0.92634106772765645</v>
      </c>
      <c r="BA839">
        <f t="shared" si="735"/>
        <v>0.54009914327346875</v>
      </c>
      <c r="BB839">
        <f t="shared" si="736"/>
        <v>-1.2337005501361696E-20</v>
      </c>
      <c r="BD839" s="15">
        <f t="shared" si="751"/>
        <v>6.6001701971884703</v>
      </c>
      <c r="BE839" s="10">
        <f t="shared" si="752"/>
        <v>0</v>
      </c>
      <c r="BF839">
        <f t="shared" si="753"/>
        <v>0</v>
      </c>
      <c r="BG839">
        <f t="shared" si="754"/>
        <v>0</v>
      </c>
      <c r="BH839">
        <f t="shared" si="755"/>
        <v>0</v>
      </c>
      <c r="BI839">
        <f t="shared" si="756"/>
        <v>0</v>
      </c>
    </row>
    <row r="840" spans="1:61" x14ac:dyDescent="0.3">
      <c r="A840">
        <f t="shared" si="761"/>
        <v>0.80300000000000005</v>
      </c>
      <c r="B840">
        <f t="shared" si="704"/>
        <v>2.5226989008326042</v>
      </c>
      <c r="C840">
        <f t="shared" si="705"/>
        <v>0.61889375275718894</v>
      </c>
      <c r="D840">
        <f t="shared" si="706"/>
        <v>0.61889375275718894</v>
      </c>
      <c r="E840">
        <f t="shared" si="711"/>
        <v>0.58013445439184919</v>
      </c>
      <c r="F840">
        <f t="shared" si="712"/>
        <v>0.58013445439184907</v>
      </c>
      <c r="G840">
        <f t="shared" si="707"/>
        <v>2.5226989008326042</v>
      </c>
      <c r="H840">
        <f t="shared" si="708"/>
        <v>0.58013445439184919</v>
      </c>
      <c r="I840">
        <f t="shared" si="709"/>
        <v>0.58013445439184907</v>
      </c>
      <c r="J840">
        <f t="shared" si="757"/>
        <v>1.0973659081065017E+20</v>
      </c>
      <c r="K840">
        <f t="shared" si="758"/>
        <v>1.0973659081065017E+20</v>
      </c>
      <c r="L840">
        <f t="shared" si="713"/>
        <v>1</v>
      </c>
      <c r="M840">
        <f t="shared" si="710"/>
        <v>6.1889375275718901E-21</v>
      </c>
      <c r="N840" s="9">
        <f t="shared" si="759"/>
        <v>6.1889375275718901E-21</v>
      </c>
      <c r="O840">
        <f t="shared" si="760"/>
        <v>6.1889375275718901E-21</v>
      </c>
      <c r="Q840">
        <f t="shared" si="714"/>
        <v>46.14461453898177</v>
      </c>
      <c r="R840">
        <f t="shared" si="715"/>
        <v>0</v>
      </c>
      <c r="S840">
        <f t="shared" si="737"/>
        <v>-46.531523524275663</v>
      </c>
      <c r="T840" s="9" t="e">
        <f t="shared" si="716"/>
        <v>#N/A</v>
      </c>
      <c r="U840">
        <f t="shared" si="738"/>
        <v>-1.0000000000000001E+300</v>
      </c>
      <c r="V840">
        <f t="shared" si="739"/>
        <v>0</v>
      </c>
      <c r="W840">
        <f t="shared" si="740"/>
        <v>0</v>
      </c>
      <c r="X840">
        <f t="shared" si="717"/>
        <v>0.61889375275718894</v>
      </c>
      <c r="Y840">
        <f t="shared" si="718"/>
        <v>7.8539816339744828</v>
      </c>
      <c r="Z840">
        <f t="shared" si="719"/>
        <v>-0.61889375275718894</v>
      </c>
      <c r="AA840">
        <f t="shared" si="741"/>
        <v>-0.86893958057296905</v>
      </c>
      <c r="AB840">
        <f t="shared" si="720"/>
        <v>6.9850420534015134</v>
      </c>
      <c r="AC840">
        <f t="shared" si="742"/>
        <v>-0.9314043696842037</v>
      </c>
      <c r="AD840">
        <f t="shared" si="721"/>
        <v>0.54449538439031209</v>
      </c>
      <c r="AE840" s="9">
        <f t="shared" si="743"/>
        <v>6.5981330681076216</v>
      </c>
      <c r="AF840">
        <f t="shared" si="744"/>
        <v>0</v>
      </c>
      <c r="AH840">
        <f t="shared" si="722"/>
        <v>7.8539816339744828</v>
      </c>
      <c r="AI840">
        <f t="shared" si="723"/>
        <v>-0.86893958057296883</v>
      </c>
      <c r="AJ840">
        <f t="shared" si="724"/>
        <v>-0.93140436968420204</v>
      </c>
      <c r="AK840">
        <f t="shared" si="725"/>
        <v>0.54449538439031209</v>
      </c>
      <c r="AL840" s="9">
        <f t="shared" si="745"/>
        <v>6.5981330681076242</v>
      </c>
      <c r="AM840" t="e">
        <f t="shared" si="726"/>
        <v>#N/A</v>
      </c>
      <c r="AN840" t="e">
        <f t="shared" si="746"/>
        <v>#N/A</v>
      </c>
      <c r="AO840">
        <f t="shared" si="727"/>
        <v>0</v>
      </c>
      <c r="AP840">
        <f t="shared" si="728"/>
        <v>0</v>
      </c>
      <c r="AQ840">
        <f t="shared" si="729"/>
        <v>1.6653345369377348E-15</v>
      </c>
      <c r="AR840">
        <f t="shared" si="747"/>
        <v>0</v>
      </c>
      <c r="AS840">
        <f t="shared" si="730"/>
        <v>0</v>
      </c>
      <c r="AT840">
        <f t="shared" si="748"/>
        <v>0</v>
      </c>
      <c r="AU840">
        <f t="shared" si="749"/>
        <v>0</v>
      </c>
      <c r="AV840">
        <f t="shared" si="731"/>
        <v>6.1889375275718893E-21</v>
      </c>
      <c r="AW840" t="b">
        <f t="shared" si="750"/>
        <v>1</v>
      </c>
      <c r="AX840">
        <f t="shared" si="732"/>
        <v>7.8539816339744828</v>
      </c>
      <c r="AY840">
        <f t="shared" si="733"/>
        <v>-0.86893958057296927</v>
      </c>
      <c r="AZ840">
        <f t="shared" si="734"/>
        <v>-0.93140436968420359</v>
      </c>
      <c r="BA840">
        <f t="shared" si="735"/>
        <v>0.54449538439031231</v>
      </c>
      <c r="BB840">
        <f t="shared" si="736"/>
        <v>-1.2337005501361696E-20</v>
      </c>
      <c r="BD840" s="15">
        <f t="shared" si="751"/>
        <v>6.5981330681076216</v>
      </c>
      <c r="BE840" s="10">
        <f t="shared" si="752"/>
        <v>0</v>
      </c>
      <c r="BF840">
        <f t="shared" si="753"/>
        <v>0</v>
      </c>
      <c r="BG840">
        <f t="shared" si="754"/>
        <v>0</v>
      </c>
      <c r="BH840">
        <f t="shared" si="755"/>
        <v>0</v>
      </c>
      <c r="BI840">
        <f t="shared" si="756"/>
        <v>0</v>
      </c>
    </row>
    <row r="841" spans="1:61" x14ac:dyDescent="0.3">
      <c r="A841">
        <f t="shared" si="761"/>
        <v>0.80400000000000005</v>
      </c>
      <c r="B841">
        <f t="shared" si="704"/>
        <v>2.5258404934861938</v>
      </c>
      <c r="C841">
        <f t="shared" si="705"/>
        <v>0.61575216010359934</v>
      </c>
      <c r="D841">
        <f t="shared" si="706"/>
        <v>0.61575216010359934</v>
      </c>
      <c r="E841">
        <f t="shared" si="711"/>
        <v>0.57757270342226763</v>
      </c>
      <c r="F841">
        <f t="shared" si="712"/>
        <v>0.57757270342226752</v>
      </c>
      <c r="G841">
        <f t="shared" si="707"/>
        <v>2.5258404934861938</v>
      </c>
      <c r="H841">
        <f t="shared" si="708"/>
        <v>0.57757270342226763</v>
      </c>
      <c r="I841">
        <f t="shared" si="709"/>
        <v>0.57757270342226752</v>
      </c>
      <c r="J841">
        <f t="shared" si="757"/>
        <v>1.1022331363574571E+20</v>
      </c>
      <c r="K841">
        <f t="shared" si="758"/>
        <v>1.1022331363574571E+20</v>
      </c>
      <c r="L841">
        <f t="shared" si="713"/>
        <v>1</v>
      </c>
      <c r="M841">
        <f t="shared" si="710"/>
        <v>6.1575216010359935E-21</v>
      </c>
      <c r="N841" s="9">
        <f t="shared" si="759"/>
        <v>6.1575216010359935E-21</v>
      </c>
      <c r="O841">
        <f t="shared" si="760"/>
        <v>6.1575216010359935E-21</v>
      </c>
      <c r="Q841">
        <f t="shared" si="714"/>
        <v>46.149040105729661</v>
      </c>
      <c r="R841">
        <f t="shared" si="715"/>
        <v>0</v>
      </c>
      <c r="S841">
        <f t="shared" si="737"/>
        <v>-46.536612593783133</v>
      </c>
      <c r="T841" s="9" t="e">
        <f t="shared" si="716"/>
        <v>#N/A</v>
      </c>
      <c r="U841">
        <f t="shared" si="738"/>
        <v>-1.0000000000000001E+300</v>
      </c>
      <c r="V841">
        <f t="shared" si="739"/>
        <v>0</v>
      </c>
      <c r="W841">
        <f t="shared" si="740"/>
        <v>0</v>
      </c>
      <c r="X841">
        <f t="shared" si="717"/>
        <v>0.61575216010359934</v>
      </c>
      <c r="Y841">
        <f t="shared" si="718"/>
        <v>7.8539816339744828</v>
      </c>
      <c r="Z841">
        <f t="shared" si="719"/>
        <v>-0.61575216010359934</v>
      </c>
      <c r="AA841">
        <f t="shared" si="741"/>
        <v>-0.87030196203534849</v>
      </c>
      <c r="AB841">
        <f t="shared" si="720"/>
        <v>6.9836796719391341</v>
      </c>
      <c r="AC841">
        <f t="shared" si="742"/>
        <v>-0.9364934391916746</v>
      </c>
      <c r="AD841">
        <f t="shared" si="721"/>
        <v>0.54892095113820194</v>
      </c>
      <c r="AE841" s="9">
        <f t="shared" si="743"/>
        <v>6.5961071838856613</v>
      </c>
      <c r="AF841">
        <f t="shared" si="744"/>
        <v>0</v>
      </c>
      <c r="AH841">
        <f t="shared" si="722"/>
        <v>7.8539816339744828</v>
      </c>
      <c r="AI841">
        <f t="shared" si="723"/>
        <v>-0.8703019620353486</v>
      </c>
      <c r="AJ841">
        <f t="shared" si="724"/>
        <v>-0.93649343919167194</v>
      </c>
      <c r="AK841">
        <f t="shared" si="725"/>
        <v>0.54892095113820194</v>
      </c>
      <c r="AL841" s="9">
        <f t="shared" si="745"/>
        <v>6.596107183885664</v>
      </c>
      <c r="AM841" t="e">
        <f t="shared" si="726"/>
        <v>#N/A</v>
      </c>
      <c r="AN841" t="e">
        <f t="shared" si="746"/>
        <v>#N/A</v>
      </c>
      <c r="AO841">
        <f t="shared" si="727"/>
        <v>0</v>
      </c>
      <c r="AP841">
        <f t="shared" si="728"/>
        <v>0</v>
      </c>
      <c r="AQ841">
        <f t="shared" si="729"/>
        <v>2.6645352591003757E-15</v>
      </c>
      <c r="AR841">
        <f t="shared" si="747"/>
        <v>0</v>
      </c>
      <c r="AS841">
        <f t="shared" si="730"/>
        <v>0</v>
      </c>
      <c r="AT841">
        <f t="shared" si="748"/>
        <v>0</v>
      </c>
      <c r="AU841">
        <f t="shared" si="749"/>
        <v>0</v>
      </c>
      <c r="AV841">
        <f t="shared" si="731"/>
        <v>6.1575216010359927E-21</v>
      </c>
      <c r="AW841" t="b">
        <f t="shared" si="750"/>
        <v>1</v>
      </c>
      <c r="AX841">
        <f t="shared" si="732"/>
        <v>7.8539816339744828</v>
      </c>
      <c r="AY841">
        <f t="shared" si="733"/>
        <v>-0.87030196203534849</v>
      </c>
      <c r="AZ841">
        <f t="shared" si="734"/>
        <v>-0.93649343919167471</v>
      </c>
      <c r="BA841">
        <f t="shared" si="735"/>
        <v>0.54892095113820216</v>
      </c>
      <c r="BB841">
        <f t="shared" si="736"/>
        <v>-1.2337005501361696E-20</v>
      </c>
      <c r="BD841" s="15">
        <f t="shared" si="751"/>
        <v>6.5961071838856613</v>
      </c>
      <c r="BE841" s="10">
        <f t="shared" si="752"/>
        <v>0</v>
      </c>
      <c r="BF841">
        <f t="shared" si="753"/>
        <v>0</v>
      </c>
      <c r="BG841">
        <f t="shared" si="754"/>
        <v>0</v>
      </c>
      <c r="BH841">
        <f t="shared" si="755"/>
        <v>0</v>
      </c>
      <c r="BI841">
        <f t="shared" si="756"/>
        <v>0</v>
      </c>
    </row>
    <row r="842" spans="1:61" x14ac:dyDescent="0.3">
      <c r="A842">
        <f t="shared" si="761"/>
        <v>0.80500000000000005</v>
      </c>
      <c r="B842">
        <f t="shared" si="704"/>
        <v>2.5289820861397838</v>
      </c>
      <c r="C842">
        <f t="shared" si="705"/>
        <v>0.6126105674500093</v>
      </c>
      <c r="D842">
        <f t="shared" si="706"/>
        <v>0.6126105674500093</v>
      </c>
      <c r="E842">
        <f t="shared" si="711"/>
        <v>0.57500525204327835</v>
      </c>
      <c r="F842">
        <f t="shared" si="712"/>
        <v>0.57500525204327824</v>
      </c>
      <c r="G842">
        <f t="shared" si="707"/>
        <v>2.5289820861397838</v>
      </c>
      <c r="H842">
        <f t="shared" si="708"/>
        <v>0.57500525204327835</v>
      </c>
      <c r="I842">
        <f t="shared" si="709"/>
        <v>0.57500525204327824</v>
      </c>
      <c r="J842">
        <f t="shared" si="757"/>
        <v>1.1071547087706699E+20</v>
      </c>
      <c r="K842">
        <f t="shared" si="758"/>
        <v>1.1071547087706699E+20</v>
      </c>
      <c r="L842" t="e">
        <f t="shared" si="713"/>
        <v>#NUM!</v>
      </c>
      <c r="M842">
        <f t="shared" si="710"/>
        <v>6.1261056745000939E-21</v>
      </c>
      <c r="N842" s="9" t="e">
        <f t="shared" si="759"/>
        <v>#NUM!</v>
      </c>
      <c r="O842" t="e">
        <f t="shared" si="760"/>
        <v>#NUM!</v>
      </c>
      <c r="Q842">
        <f t="shared" si="714"/>
        <v>46.153495258829651</v>
      </c>
      <c r="R842">
        <f t="shared" si="715"/>
        <v>0</v>
      </c>
      <c r="S842">
        <f t="shared" si="737"/>
        <v>-46.541727694449904</v>
      </c>
      <c r="T842" s="9" t="e">
        <f t="shared" si="716"/>
        <v>#N/A</v>
      </c>
      <c r="U842">
        <f t="shared" si="738"/>
        <v>-1.0000000000000001E+300</v>
      </c>
      <c r="V842">
        <f t="shared" si="739"/>
        <v>0</v>
      </c>
      <c r="W842">
        <f t="shared" si="740"/>
        <v>0</v>
      </c>
      <c r="X842">
        <f t="shared" si="717"/>
        <v>0.6126105674500093</v>
      </c>
      <c r="Y842">
        <f t="shared" si="718"/>
        <v>7.8539816339744828</v>
      </c>
      <c r="Z842">
        <f t="shared" si="719"/>
        <v>-0.6126105674500093</v>
      </c>
      <c r="AA842">
        <f t="shared" si="741"/>
        <v>-0.8716566689952332</v>
      </c>
      <c r="AB842">
        <f t="shared" si="720"/>
        <v>6.9823249649792496</v>
      </c>
      <c r="AC842">
        <f t="shared" si="742"/>
        <v>-0.9416085398584455</v>
      </c>
      <c r="AD842">
        <f t="shared" si="721"/>
        <v>0.55337610423819106</v>
      </c>
      <c r="AE842" s="9">
        <f t="shared" si="743"/>
        <v>6.5940925293589956</v>
      </c>
      <c r="AF842">
        <f t="shared" si="744"/>
        <v>0</v>
      </c>
      <c r="AH842">
        <f t="shared" si="722"/>
        <v>7.8539816339744828</v>
      </c>
      <c r="AI842">
        <f t="shared" si="723"/>
        <v>-0.8716566689952332</v>
      </c>
      <c r="AJ842">
        <f t="shared" si="724"/>
        <v>-0.94160853985844284</v>
      </c>
      <c r="AK842">
        <f t="shared" si="725"/>
        <v>0.55337610423819106</v>
      </c>
      <c r="AL842" s="9">
        <f t="shared" si="745"/>
        <v>6.5940925293589974</v>
      </c>
      <c r="AM842" t="e">
        <f t="shared" si="726"/>
        <v>#N/A</v>
      </c>
      <c r="AN842" t="e">
        <f t="shared" si="746"/>
        <v>#N/A</v>
      </c>
      <c r="AO842">
        <f t="shared" si="727"/>
        <v>0</v>
      </c>
      <c r="AP842">
        <f t="shared" si="728"/>
        <v>0</v>
      </c>
      <c r="AQ842">
        <f t="shared" si="729"/>
        <v>2.6645352591003757E-15</v>
      </c>
      <c r="AR842">
        <f t="shared" si="747"/>
        <v>0</v>
      </c>
      <c r="AS842">
        <f t="shared" si="730"/>
        <v>0</v>
      </c>
      <c r="AT842">
        <f t="shared" si="748"/>
        <v>0</v>
      </c>
      <c r="AU842">
        <f t="shared" si="749"/>
        <v>0</v>
      </c>
      <c r="AV842">
        <f t="shared" si="731"/>
        <v>6.1261056745000924E-21</v>
      </c>
      <c r="AW842" t="b">
        <f t="shared" si="750"/>
        <v>1</v>
      </c>
      <c r="AX842">
        <f t="shared" si="732"/>
        <v>7.8539816339744828</v>
      </c>
      <c r="AY842">
        <f t="shared" si="733"/>
        <v>-0.8716566689952332</v>
      </c>
      <c r="AZ842">
        <f t="shared" si="734"/>
        <v>-0.9416085398584455</v>
      </c>
      <c r="BA842">
        <f t="shared" si="735"/>
        <v>0.55337610423819128</v>
      </c>
      <c r="BB842">
        <f t="shared" si="736"/>
        <v>-1.2337005501361696E-20</v>
      </c>
      <c r="BD842" s="15">
        <f t="shared" si="751"/>
        <v>6.5940925293589956</v>
      </c>
      <c r="BE842" s="10">
        <f t="shared" si="752"/>
        <v>0</v>
      </c>
      <c r="BF842">
        <f t="shared" si="753"/>
        <v>0</v>
      </c>
      <c r="BG842">
        <f t="shared" si="754"/>
        <v>0</v>
      </c>
      <c r="BH842">
        <f t="shared" si="755"/>
        <v>0</v>
      </c>
      <c r="BI842">
        <f t="shared" si="756"/>
        <v>0</v>
      </c>
    </row>
    <row r="843" spans="1:61" x14ac:dyDescent="0.3">
      <c r="A843">
        <f t="shared" si="761"/>
        <v>0.80600000000000005</v>
      </c>
      <c r="B843">
        <f t="shared" si="704"/>
        <v>2.5321236787933734</v>
      </c>
      <c r="C843">
        <f t="shared" si="705"/>
        <v>0.6094689747964197</v>
      </c>
      <c r="D843">
        <f t="shared" si="706"/>
        <v>0.6094689747964197</v>
      </c>
      <c r="E843">
        <f t="shared" si="711"/>
        <v>0.57243212559459078</v>
      </c>
      <c r="F843">
        <f t="shared" si="712"/>
        <v>0.57243212559459078</v>
      </c>
      <c r="G843">
        <f t="shared" si="707"/>
        <v>2.5321236787933734</v>
      </c>
      <c r="H843">
        <f t="shared" si="708"/>
        <v>0.57243212559459078</v>
      </c>
      <c r="I843">
        <f t="shared" si="709"/>
        <v>0.57243212559459078</v>
      </c>
      <c r="J843">
        <f t="shared" si="757"/>
        <v>1.1121314543734217E+20</v>
      </c>
      <c r="K843">
        <f t="shared" si="758"/>
        <v>1.1121314543734217E+20</v>
      </c>
      <c r="L843" t="e">
        <f t="shared" si="713"/>
        <v>#NUM!</v>
      </c>
      <c r="M843">
        <f t="shared" si="710"/>
        <v>6.0946897479641973E-21</v>
      </c>
      <c r="N843" s="9" t="e">
        <f t="shared" si="759"/>
        <v>#NUM!</v>
      </c>
      <c r="O843" t="e">
        <f t="shared" si="760"/>
        <v>#NUM!</v>
      </c>
      <c r="Q843">
        <f t="shared" si="714"/>
        <v>46.157980263087126</v>
      </c>
      <c r="R843">
        <f t="shared" si="715"/>
        <v>0</v>
      </c>
      <c r="S843">
        <f t="shared" si="737"/>
        <v>-46.54686909395032</v>
      </c>
      <c r="T843" s="9" t="e">
        <f t="shared" si="716"/>
        <v>#N/A</v>
      </c>
      <c r="U843">
        <f t="shared" si="738"/>
        <v>-1.0000000000000001E+300</v>
      </c>
      <c r="V843">
        <f t="shared" si="739"/>
        <v>0</v>
      </c>
      <c r="W843">
        <f t="shared" si="740"/>
        <v>0</v>
      </c>
      <c r="X843">
        <f t="shared" si="717"/>
        <v>0.6094689747964197</v>
      </c>
      <c r="Y843">
        <f t="shared" si="718"/>
        <v>7.8539816339744828</v>
      </c>
      <c r="Z843">
        <f t="shared" si="719"/>
        <v>-0.6094689747964197</v>
      </c>
      <c r="AA843">
        <f t="shared" si="741"/>
        <v>-0.87300371364319462</v>
      </c>
      <c r="AB843">
        <f t="shared" si="720"/>
        <v>6.9809779203312878</v>
      </c>
      <c r="AC843">
        <f t="shared" si="742"/>
        <v>-0.94674993935886387</v>
      </c>
      <c r="AD843">
        <f t="shared" si="721"/>
        <v>0.55786110849566584</v>
      </c>
      <c r="AE843" s="9">
        <f t="shared" si="743"/>
        <v>6.5920890894680895</v>
      </c>
      <c r="AF843">
        <f t="shared" si="744"/>
        <v>0</v>
      </c>
      <c r="AH843">
        <f t="shared" si="722"/>
        <v>7.8539816339744828</v>
      </c>
      <c r="AI843">
        <f t="shared" si="723"/>
        <v>-0.87300371364319451</v>
      </c>
      <c r="AJ843">
        <f t="shared" si="724"/>
        <v>-0.94674993935885965</v>
      </c>
      <c r="AK843">
        <f t="shared" si="725"/>
        <v>0.55786110849566584</v>
      </c>
      <c r="AL843" s="9">
        <f t="shared" si="745"/>
        <v>6.5920890894680939</v>
      </c>
      <c r="AM843" t="e">
        <f t="shared" si="726"/>
        <v>#N/A</v>
      </c>
      <c r="AN843" t="e">
        <f t="shared" si="746"/>
        <v>#N/A</v>
      </c>
      <c r="AO843">
        <f t="shared" si="727"/>
        <v>0</v>
      </c>
      <c r="AP843">
        <f t="shared" si="728"/>
        <v>0</v>
      </c>
      <c r="AQ843">
        <f t="shared" si="729"/>
        <v>4.2188474935755949E-15</v>
      </c>
      <c r="AR843">
        <f t="shared" si="747"/>
        <v>0</v>
      </c>
      <c r="AS843">
        <f t="shared" si="730"/>
        <v>0</v>
      </c>
      <c r="AT843">
        <f t="shared" si="748"/>
        <v>0</v>
      </c>
      <c r="AU843">
        <f t="shared" si="749"/>
        <v>0</v>
      </c>
      <c r="AV843">
        <f t="shared" si="731"/>
        <v>6.0946897479641965E-21</v>
      </c>
      <c r="AW843" t="b">
        <f t="shared" si="750"/>
        <v>1</v>
      </c>
      <c r="AX843">
        <f t="shared" si="732"/>
        <v>7.8539816339744828</v>
      </c>
      <c r="AY843">
        <f t="shared" si="733"/>
        <v>-0.87300371364319451</v>
      </c>
      <c r="AZ843">
        <f t="shared" si="734"/>
        <v>-0.94674993935886387</v>
      </c>
      <c r="BA843">
        <f t="shared" si="735"/>
        <v>0.55786110849566584</v>
      </c>
      <c r="BB843">
        <f t="shared" si="736"/>
        <v>-1.2337005501361696E-20</v>
      </c>
      <c r="BD843" s="15">
        <f t="shared" si="751"/>
        <v>6.5920890894680895</v>
      </c>
      <c r="BE843" s="10">
        <f t="shared" si="752"/>
        <v>0</v>
      </c>
      <c r="BF843">
        <f t="shared" si="753"/>
        <v>0</v>
      </c>
      <c r="BG843">
        <f t="shared" si="754"/>
        <v>0</v>
      </c>
      <c r="BH843">
        <f t="shared" si="755"/>
        <v>0</v>
      </c>
      <c r="BI843">
        <f t="shared" si="756"/>
        <v>0</v>
      </c>
    </row>
    <row r="844" spans="1:61" x14ac:dyDescent="0.3">
      <c r="A844">
        <f t="shared" si="761"/>
        <v>0.80700000000000005</v>
      </c>
      <c r="B844">
        <f t="shared" si="704"/>
        <v>2.535265271446963</v>
      </c>
      <c r="C844">
        <f t="shared" si="705"/>
        <v>0.60632738214283011</v>
      </c>
      <c r="D844">
        <f t="shared" si="706"/>
        <v>0.60632738214283011</v>
      </c>
      <c r="E844">
        <f t="shared" si="711"/>
        <v>0.5698533494719239</v>
      </c>
      <c r="F844">
        <f t="shared" si="712"/>
        <v>0.56985334947192379</v>
      </c>
      <c r="G844">
        <f t="shared" si="707"/>
        <v>2.535265271446963</v>
      </c>
      <c r="H844">
        <f t="shared" si="708"/>
        <v>0.5698533494719239</v>
      </c>
      <c r="I844">
        <f t="shared" si="709"/>
        <v>0.56985334947192379</v>
      </c>
      <c r="J844">
        <f t="shared" si="757"/>
        <v>1.1171642194566886E+20</v>
      </c>
      <c r="K844">
        <f t="shared" si="758"/>
        <v>1.1171642194566886E+20</v>
      </c>
      <c r="L844" t="e">
        <f t="shared" si="713"/>
        <v>#NUM!</v>
      </c>
      <c r="M844">
        <f t="shared" si="710"/>
        <v>6.0632738214283007E-21</v>
      </c>
      <c r="N844" s="9" t="e">
        <f t="shared" si="759"/>
        <v>#NUM!</v>
      </c>
      <c r="O844" t="e">
        <f t="shared" si="760"/>
        <v>#NUM!</v>
      </c>
      <c r="Q844">
        <f t="shared" si="714"/>
        <v>46.162495387475801</v>
      </c>
      <c r="R844">
        <f t="shared" si="715"/>
        <v>0</v>
      </c>
      <c r="S844">
        <f t="shared" si="737"/>
        <v>-46.552037064108767</v>
      </c>
      <c r="T844" s="9" t="e">
        <f t="shared" si="716"/>
        <v>#N/A</v>
      </c>
      <c r="U844">
        <f t="shared" si="738"/>
        <v>-1.0000000000000001E+300</v>
      </c>
      <c r="V844">
        <f t="shared" si="739"/>
        <v>0</v>
      </c>
      <c r="W844">
        <f t="shared" si="740"/>
        <v>0</v>
      </c>
      <c r="X844">
        <f t="shared" si="717"/>
        <v>0.60632738214283011</v>
      </c>
      <c r="Y844">
        <f t="shared" si="718"/>
        <v>7.8539816339744828</v>
      </c>
      <c r="Z844">
        <f t="shared" si="719"/>
        <v>-0.60632738214283011</v>
      </c>
      <c r="AA844">
        <f t="shared" si="741"/>
        <v>-0.87434310808451254</v>
      </c>
      <c r="AB844">
        <f t="shared" si="720"/>
        <v>6.9796385258899702</v>
      </c>
      <c r="AC844">
        <f t="shared" si="742"/>
        <v>-0.95191790951730615</v>
      </c>
      <c r="AD844">
        <f t="shared" si="721"/>
        <v>0.56237623288434091</v>
      </c>
      <c r="AE844" s="9">
        <f t="shared" si="743"/>
        <v>6.5900968492570051</v>
      </c>
      <c r="AF844">
        <f t="shared" si="744"/>
        <v>0</v>
      </c>
      <c r="AH844">
        <f t="shared" si="722"/>
        <v>7.8539816339744828</v>
      </c>
      <c r="AI844">
        <f t="shared" si="723"/>
        <v>-0.87434310808451232</v>
      </c>
      <c r="AJ844">
        <f t="shared" si="724"/>
        <v>-0.95191790951730582</v>
      </c>
      <c r="AK844">
        <f t="shared" si="725"/>
        <v>0.56237623288434091</v>
      </c>
      <c r="AL844" s="9">
        <f t="shared" si="745"/>
        <v>6.5900968492570051</v>
      </c>
      <c r="AM844" t="e">
        <f t="shared" si="726"/>
        <v>#N/A</v>
      </c>
      <c r="AN844" t="e">
        <f t="shared" si="746"/>
        <v>#N/A</v>
      </c>
      <c r="AO844">
        <f t="shared" si="727"/>
        <v>0</v>
      </c>
      <c r="AP844">
        <f t="shared" si="728"/>
        <v>0</v>
      </c>
      <c r="AQ844">
        <f t="shared" si="729"/>
        <v>0</v>
      </c>
      <c r="AR844">
        <f t="shared" si="747"/>
        <v>0</v>
      </c>
      <c r="AS844">
        <f t="shared" si="730"/>
        <v>0</v>
      </c>
      <c r="AT844">
        <f t="shared" si="748"/>
        <v>0</v>
      </c>
      <c r="AU844">
        <f t="shared" si="749"/>
        <v>0</v>
      </c>
      <c r="AV844">
        <f t="shared" si="731"/>
        <v>6.0632738214283007E-21</v>
      </c>
      <c r="AW844" t="b">
        <f t="shared" si="750"/>
        <v>1</v>
      </c>
      <c r="AX844">
        <f t="shared" si="732"/>
        <v>7.8539816339744828</v>
      </c>
      <c r="AY844">
        <f t="shared" si="733"/>
        <v>-0.87434310808451243</v>
      </c>
      <c r="AZ844">
        <f t="shared" si="734"/>
        <v>-0.95191790951730615</v>
      </c>
      <c r="BA844">
        <f t="shared" si="735"/>
        <v>0.56237623288434113</v>
      </c>
      <c r="BB844">
        <f t="shared" si="736"/>
        <v>-1.2337005501361696E-20</v>
      </c>
      <c r="BD844" s="15">
        <f t="shared" si="751"/>
        <v>6.5900968492570051</v>
      </c>
      <c r="BE844" s="10">
        <f t="shared" si="752"/>
        <v>0</v>
      </c>
      <c r="BF844">
        <f t="shared" si="753"/>
        <v>0</v>
      </c>
      <c r="BG844">
        <f t="shared" si="754"/>
        <v>0</v>
      </c>
      <c r="BH844">
        <f t="shared" si="755"/>
        <v>0</v>
      </c>
      <c r="BI844">
        <f t="shared" si="756"/>
        <v>0</v>
      </c>
    </row>
    <row r="845" spans="1:61" x14ac:dyDescent="0.3">
      <c r="A845">
        <f t="shared" si="761"/>
        <v>0.80800000000000005</v>
      </c>
      <c r="B845">
        <f t="shared" si="704"/>
        <v>2.5384068641005531</v>
      </c>
      <c r="C845">
        <f t="shared" si="705"/>
        <v>0.60318578948924007</v>
      </c>
      <c r="D845">
        <f t="shared" si="706"/>
        <v>0.60318578948924007</v>
      </c>
      <c r="E845">
        <f t="shared" si="711"/>
        <v>0.56726894912675641</v>
      </c>
      <c r="F845">
        <f t="shared" si="712"/>
        <v>0.56726894912675629</v>
      </c>
      <c r="G845">
        <f t="shared" si="707"/>
        <v>2.5384068641005531</v>
      </c>
      <c r="H845">
        <f t="shared" si="708"/>
        <v>0.56726894912675641</v>
      </c>
      <c r="I845">
        <f t="shared" si="709"/>
        <v>0.56726894912675629</v>
      </c>
      <c r="J845">
        <f t="shared" si="757"/>
        <v>1.1222538680242985E+20</v>
      </c>
      <c r="K845">
        <f t="shared" si="758"/>
        <v>1.1222538680242985E+20</v>
      </c>
      <c r="L845">
        <f t="shared" si="713"/>
        <v>1</v>
      </c>
      <c r="M845">
        <f t="shared" si="710"/>
        <v>6.0318578948924011E-21</v>
      </c>
      <c r="N845" s="9">
        <f t="shared" si="759"/>
        <v>6.0318578948924011E-21</v>
      </c>
      <c r="O845">
        <f t="shared" si="760"/>
        <v>6.0318578948924011E-21</v>
      </c>
      <c r="Q845">
        <f t="shared" si="714"/>
        <v>46.167040905223892</v>
      </c>
      <c r="R845">
        <f t="shared" si="715"/>
        <v>0</v>
      </c>
      <c r="S845">
        <f t="shared" si="737"/>
        <v>-46.557231880985867</v>
      </c>
      <c r="T845" s="9" t="e">
        <f t="shared" si="716"/>
        <v>#N/A</v>
      </c>
      <c r="U845">
        <f t="shared" si="738"/>
        <v>-1.0000000000000001E+300</v>
      </c>
      <c r="V845">
        <f t="shared" si="739"/>
        <v>0</v>
      </c>
      <c r="W845">
        <f t="shared" si="740"/>
        <v>0</v>
      </c>
      <c r="X845">
        <f t="shared" si="717"/>
        <v>0.60318578948924007</v>
      </c>
      <c r="Y845">
        <f t="shared" si="718"/>
        <v>7.8539816339744828</v>
      </c>
      <c r="Z845">
        <f t="shared" si="719"/>
        <v>-0.60318578948924007</v>
      </c>
      <c r="AA845">
        <f t="shared" si="741"/>
        <v>-0.87567486433957875</v>
      </c>
      <c r="AB845">
        <f t="shared" si="720"/>
        <v>6.9783067696349041</v>
      </c>
      <c r="AC845">
        <f t="shared" si="742"/>
        <v>-0.95711272639441058</v>
      </c>
      <c r="AD845">
        <f t="shared" si="721"/>
        <v>0.56692175063243133</v>
      </c>
      <c r="AE845" s="9">
        <f t="shared" si="743"/>
        <v>6.5881157938729249</v>
      </c>
      <c r="AF845">
        <f t="shared" si="744"/>
        <v>0</v>
      </c>
      <c r="AH845">
        <f t="shared" si="722"/>
        <v>7.8539816339744828</v>
      </c>
      <c r="AI845">
        <f t="shared" si="723"/>
        <v>-0.87567486433957875</v>
      </c>
      <c r="AJ845">
        <f t="shared" si="724"/>
        <v>-0.95711272639440637</v>
      </c>
      <c r="AK845">
        <f t="shared" si="725"/>
        <v>0.56692175063243133</v>
      </c>
      <c r="AL845" s="9">
        <f t="shared" si="745"/>
        <v>6.5881157938729293</v>
      </c>
      <c r="AM845" t="e">
        <f t="shared" si="726"/>
        <v>#N/A</v>
      </c>
      <c r="AN845" t="e">
        <f t="shared" si="746"/>
        <v>#N/A</v>
      </c>
      <c r="AO845">
        <f t="shared" si="727"/>
        <v>0</v>
      </c>
      <c r="AP845">
        <f t="shared" si="728"/>
        <v>0</v>
      </c>
      <c r="AQ845">
        <f t="shared" si="729"/>
        <v>4.2188474935755949E-15</v>
      </c>
      <c r="AR845">
        <f t="shared" si="747"/>
        <v>0</v>
      </c>
      <c r="AS845">
        <f t="shared" si="730"/>
        <v>0</v>
      </c>
      <c r="AT845">
        <f t="shared" si="748"/>
        <v>0</v>
      </c>
      <c r="AU845">
        <f t="shared" si="749"/>
        <v>0</v>
      </c>
      <c r="AV845">
        <f t="shared" si="731"/>
        <v>6.0318578948924003E-21</v>
      </c>
      <c r="AW845" t="b">
        <f t="shared" si="750"/>
        <v>1</v>
      </c>
      <c r="AX845">
        <f t="shared" si="732"/>
        <v>7.8539816339744828</v>
      </c>
      <c r="AY845">
        <f t="shared" si="733"/>
        <v>-0.87567486433957875</v>
      </c>
      <c r="AZ845">
        <f t="shared" si="734"/>
        <v>-0.95711272639441047</v>
      </c>
      <c r="BA845">
        <f t="shared" si="735"/>
        <v>0.56692175063243155</v>
      </c>
      <c r="BB845">
        <f t="shared" si="736"/>
        <v>-1.2337005501361696E-20</v>
      </c>
      <c r="BD845" s="15">
        <f t="shared" si="751"/>
        <v>6.5881157938729249</v>
      </c>
      <c r="BE845" s="10">
        <f t="shared" si="752"/>
        <v>0</v>
      </c>
      <c r="BF845">
        <f t="shared" si="753"/>
        <v>0</v>
      </c>
      <c r="BG845">
        <f t="shared" si="754"/>
        <v>0</v>
      </c>
      <c r="BH845">
        <f t="shared" si="755"/>
        <v>0</v>
      </c>
      <c r="BI845">
        <f t="shared" si="756"/>
        <v>0</v>
      </c>
    </row>
    <row r="846" spans="1:61" x14ac:dyDescent="0.3">
      <c r="A846">
        <f t="shared" si="761"/>
        <v>0.80900000000000005</v>
      </c>
      <c r="B846">
        <f t="shared" si="704"/>
        <v>2.5415484567541426</v>
      </c>
      <c r="C846">
        <f t="shared" si="705"/>
        <v>0.60004419683565047</v>
      </c>
      <c r="D846">
        <f t="shared" si="706"/>
        <v>0.60004419683565047</v>
      </c>
      <c r="E846">
        <f t="shared" si="711"/>
        <v>0.56467895006607716</v>
      </c>
      <c r="F846">
        <f t="shared" si="712"/>
        <v>0.56467895006607705</v>
      </c>
      <c r="G846">
        <f t="shared" si="707"/>
        <v>2.5415484567541426</v>
      </c>
      <c r="H846">
        <f t="shared" si="708"/>
        <v>0.56467895006607716</v>
      </c>
      <c r="I846">
        <f t="shared" si="709"/>
        <v>0.56467895006607705</v>
      </c>
      <c r="J846">
        <f t="shared" si="757"/>
        <v>1.1274012822562023E+20</v>
      </c>
      <c r="K846">
        <f t="shared" si="758"/>
        <v>1.1274012822562023E+20</v>
      </c>
      <c r="L846">
        <f t="shared" si="713"/>
        <v>1</v>
      </c>
      <c r="M846">
        <f t="shared" si="710"/>
        <v>6.0004419683565044E-21</v>
      </c>
      <c r="N846" s="9">
        <f t="shared" si="759"/>
        <v>6.0004419683565044E-21</v>
      </c>
      <c r="O846">
        <f t="shared" si="760"/>
        <v>6.0004419683565044E-21</v>
      </c>
      <c r="Q846">
        <f t="shared" si="714"/>
        <v>46.171617093902533</v>
      </c>
      <c r="R846">
        <f t="shared" si="715"/>
        <v>0</v>
      </c>
      <c r="S846">
        <f t="shared" si="737"/>
        <v>-46.562453824967022</v>
      </c>
      <c r="T846" s="9" t="e">
        <f t="shared" si="716"/>
        <v>#N/A</v>
      </c>
      <c r="U846">
        <f t="shared" si="738"/>
        <v>-1.0000000000000001E+300</v>
      </c>
      <c r="V846">
        <f t="shared" si="739"/>
        <v>0</v>
      </c>
      <c r="W846">
        <f t="shared" si="740"/>
        <v>0</v>
      </c>
      <c r="X846">
        <f t="shared" si="717"/>
        <v>0.60004419683565047</v>
      </c>
      <c r="Y846">
        <f t="shared" si="718"/>
        <v>7.8539816339744828</v>
      </c>
      <c r="Z846">
        <f t="shared" si="719"/>
        <v>-0.60004419683565047</v>
      </c>
      <c r="AA846">
        <f t="shared" si="741"/>
        <v>-0.87699899434429607</v>
      </c>
      <c r="AB846">
        <f t="shared" si="720"/>
        <v>6.9769826396301866</v>
      </c>
      <c r="AC846">
        <f t="shared" si="742"/>
        <v>-0.96233467037556186</v>
      </c>
      <c r="AD846">
        <f t="shared" si="721"/>
        <v>0.57149793931107506</v>
      </c>
      <c r="AE846" s="9">
        <f t="shared" si="743"/>
        <v>6.5861459085657001</v>
      </c>
      <c r="AF846">
        <f t="shared" si="744"/>
        <v>0</v>
      </c>
      <c r="AH846">
        <f t="shared" si="722"/>
        <v>7.8539816339744828</v>
      </c>
      <c r="AI846">
        <f t="shared" si="723"/>
        <v>-0.87699899434429585</v>
      </c>
      <c r="AJ846">
        <f t="shared" si="724"/>
        <v>-0.96233467037556153</v>
      </c>
      <c r="AK846">
        <f t="shared" si="725"/>
        <v>0.57149793931107506</v>
      </c>
      <c r="AL846" s="9">
        <f t="shared" si="745"/>
        <v>6.5861459085657001</v>
      </c>
      <c r="AM846" t="e">
        <f t="shared" si="726"/>
        <v>#N/A</v>
      </c>
      <c r="AN846" t="e">
        <f t="shared" si="746"/>
        <v>#N/A</v>
      </c>
      <c r="AO846">
        <f t="shared" si="727"/>
        <v>0</v>
      </c>
      <c r="AP846">
        <f t="shared" si="728"/>
        <v>0</v>
      </c>
      <c r="AQ846">
        <f t="shared" si="729"/>
        <v>0</v>
      </c>
      <c r="AR846">
        <f t="shared" si="747"/>
        <v>0</v>
      </c>
      <c r="AS846">
        <f t="shared" si="730"/>
        <v>0</v>
      </c>
      <c r="AT846">
        <f t="shared" si="748"/>
        <v>0</v>
      </c>
      <c r="AU846">
        <f t="shared" si="749"/>
        <v>0</v>
      </c>
      <c r="AV846">
        <f t="shared" si="731"/>
        <v>6.0004419683565044E-21</v>
      </c>
      <c r="AW846" t="b">
        <f t="shared" si="750"/>
        <v>1</v>
      </c>
      <c r="AX846">
        <f t="shared" si="732"/>
        <v>7.8539816339744828</v>
      </c>
      <c r="AY846">
        <f t="shared" si="733"/>
        <v>-0.87699899434429618</v>
      </c>
      <c r="AZ846">
        <f t="shared" si="734"/>
        <v>-0.96233467037556186</v>
      </c>
      <c r="BA846">
        <f t="shared" si="735"/>
        <v>0.57149793931107518</v>
      </c>
      <c r="BB846">
        <f t="shared" si="736"/>
        <v>-1.2337005501361696E-20</v>
      </c>
      <c r="BD846" s="15">
        <f t="shared" si="751"/>
        <v>6.5861459085657001</v>
      </c>
      <c r="BE846" s="10">
        <f t="shared" si="752"/>
        <v>0</v>
      </c>
      <c r="BF846">
        <f t="shared" si="753"/>
        <v>0</v>
      </c>
      <c r="BG846">
        <f t="shared" si="754"/>
        <v>0</v>
      </c>
      <c r="BH846">
        <f t="shared" si="755"/>
        <v>0</v>
      </c>
      <c r="BI846">
        <f t="shared" si="756"/>
        <v>0</v>
      </c>
    </row>
    <row r="847" spans="1:61" x14ac:dyDescent="0.3">
      <c r="A847">
        <f t="shared" si="761"/>
        <v>0.81</v>
      </c>
      <c r="B847">
        <f t="shared" si="704"/>
        <v>2.5446900494077327</v>
      </c>
      <c r="C847">
        <f t="shared" si="705"/>
        <v>0.59690260418206043</v>
      </c>
      <c r="D847">
        <f t="shared" si="706"/>
        <v>0.59690260418206043</v>
      </c>
      <c r="E847">
        <f t="shared" si="711"/>
        <v>0.56208337785213047</v>
      </c>
      <c r="F847">
        <f t="shared" si="712"/>
        <v>0.56208337785213036</v>
      </c>
      <c r="G847">
        <f t="shared" si="707"/>
        <v>2.5446900494077327</v>
      </c>
      <c r="H847">
        <f t="shared" si="708"/>
        <v>0.56208337785213047</v>
      </c>
      <c r="I847">
        <f t="shared" si="709"/>
        <v>0.56208337785213036</v>
      </c>
      <c r="J847">
        <f t="shared" si="757"/>
        <v>1.1326073629863852E+20</v>
      </c>
      <c r="K847">
        <f t="shared" si="758"/>
        <v>1.1326073629863852E+20</v>
      </c>
      <c r="L847">
        <f t="shared" si="713"/>
        <v>1</v>
      </c>
      <c r="M847">
        <f t="shared" si="710"/>
        <v>5.9690260418206048E-21</v>
      </c>
      <c r="N847" s="9">
        <f t="shared" si="759"/>
        <v>5.9690260418206048E-21</v>
      </c>
      <c r="O847">
        <f t="shared" si="760"/>
        <v>5.9690260418206048E-21</v>
      </c>
      <c r="Q847">
        <f t="shared" si="714"/>
        <v>46.176224235516543</v>
      </c>
      <c r="R847">
        <f t="shared" si="715"/>
        <v>-710542.73576010019</v>
      </c>
      <c r="S847">
        <f t="shared" si="737"/>
        <v>-46.567703180853165</v>
      </c>
      <c r="T847" s="9" t="e">
        <f t="shared" si="716"/>
        <v>#N/A</v>
      </c>
      <c r="U847">
        <f t="shared" si="738"/>
        <v>-1.0000000000000001E+300</v>
      </c>
      <c r="V847">
        <f t="shared" si="739"/>
        <v>0</v>
      </c>
      <c r="W847">
        <f t="shared" si="740"/>
        <v>0</v>
      </c>
      <c r="X847">
        <f t="shared" si="717"/>
        <v>0.59690260418206043</v>
      </c>
      <c r="Y847">
        <f t="shared" si="718"/>
        <v>7.8539816339744828</v>
      </c>
      <c r="Z847">
        <f t="shared" si="719"/>
        <v>-0.59690260418206043</v>
      </c>
      <c r="AA847">
        <f t="shared" si="741"/>
        <v>-0.87831550995047614</v>
      </c>
      <c r="AB847">
        <f t="shared" si="720"/>
        <v>6.9756661240240065</v>
      </c>
      <c r="AC847">
        <f t="shared" si="742"/>
        <v>-0.96758402626170603</v>
      </c>
      <c r="AD847">
        <f t="shared" si="721"/>
        <v>0.57610508092508694</v>
      </c>
      <c r="AE847" s="9">
        <f t="shared" si="743"/>
        <v>6.5841871786873876</v>
      </c>
      <c r="AF847">
        <f t="shared" si="744"/>
        <v>0</v>
      </c>
      <c r="AH847">
        <f t="shared" si="722"/>
        <v>7.8539816339744828</v>
      </c>
      <c r="AI847">
        <f t="shared" si="723"/>
        <v>-0.87831550995047603</v>
      </c>
      <c r="AJ847">
        <f t="shared" si="724"/>
        <v>-0.96758402626170437</v>
      </c>
      <c r="AK847">
        <f t="shared" si="725"/>
        <v>0.57610508092508694</v>
      </c>
      <c r="AL847" s="9">
        <f t="shared" si="745"/>
        <v>6.5841871786873893</v>
      </c>
      <c r="AM847" t="e">
        <f t="shared" si="726"/>
        <v>#N/A</v>
      </c>
      <c r="AN847" t="e">
        <f t="shared" si="746"/>
        <v>#N/A</v>
      </c>
      <c r="AO847">
        <f t="shared" si="727"/>
        <v>0</v>
      </c>
      <c r="AP847">
        <f t="shared" si="728"/>
        <v>0</v>
      </c>
      <c r="AQ847">
        <f t="shared" si="729"/>
        <v>1.6653345369377348E-15</v>
      </c>
      <c r="AR847">
        <f t="shared" si="747"/>
        <v>0</v>
      </c>
      <c r="AS847">
        <f t="shared" si="730"/>
        <v>0</v>
      </c>
      <c r="AT847">
        <f t="shared" si="748"/>
        <v>0</v>
      </c>
      <c r="AU847">
        <f t="shared" si="749"/>
        <v>0</v>
      </c>
      <c r="AV847">
        <f t="shared" si="731"/>
        <v>5.9690260418206041E-21</v>
      </c>
      <c r="AW847" t="b">
        <f t="shared" si="750"/>
        <v>1</v>
      </c>
      <c r="AX847">
        <f t="shared" si="732"/>
        <v>7.8539816339744828</v>
      </c>
      <c r="AY847">
        <f t="shared" si="733"/>
        <v>-0.87831550995047614</v>
      </c>
      <c r="AZ847">
        <f t="shared" si="734"/>
        <v>-0.96758402626170603</v>
      </c>
      <c r="BA847">
        <f t="shared" si="735"/>
        <v>0.57610508092508717</v>
      </c>
      <c r="BB847">
        <f t="shared" si="736"/>
        <v>-1.2337005501361696E-20</v>
      </c>
      <c r="BD847" s="15">
        <f t="shared" si="751"/>
        <v>6.5841871786873876</v>
      </c>
      <c r="BE847" s="10">
        <f t="shared" si="752"/>
        <v>0</v>
      </c>
      <c r="BF847">
        <f t="shared" si="753"/>
        <v>0</v>
      </c>
      <c r="BG847">
        <f t="shared" si="754"/>
        <v>0</v>
      </c>
      <c r="BH847">
        <f t="shared" si="755"/>
        <v>0</v>
      </c>
      <c r="BI847">
        <f t="shared" si="756"/>
        <v>0</v>
      </c>
    </row>
    <row r="848" spans="1:61" x14ac:dyDescent="0.3">
      <c r="A848">
        <f t="shared" si="761"/>
        <v>0.81100000000000005</v>
      </c>
      <c r="B848">
        <f t="shared" si="704"/>
        <v>2.5478316420613223</v>
      </c>
      <c r="C848">
        <f t="shared" si="705"/>
        <v>0.59376101152847083</v>
      </c>
      <c r="D848">
        <f t="shared" si="706"/>
        <v>0.59376101152847083</v>
      </c>
      <c r="E848">
        <f t="shared" si="711"/>
        <v>0.55948225810216701</v>
      </c>
      <c r="F848">
        <f t="shared" si="712"/>
        <v>0.5594822581021669</v>
      </c>
      <c r="G848">
        <f t="shared" si="707"/>
        <v>2.5478316420613223</v>
      </c>
      <c r="H848">
        <f t="shared" si="708"/>
        <v>0.55948225810216701</v>
      </c>
      <c r="I848">
        <f t="shared" si="709"/>
        <v>0.5594822581021669</v>
      </c>
      <c r="J848">
        <f t="shared" si="757"/>
        <v>1.137873030195943E+20</v>
      </c>
      <c r="K848">
        <f t="shared" si="758"/>
        <v>1.137873030195943E+20</v>
      </c>
      <c r="L848" t="e">
        <f t="shared" si="713"/>
        <v>#NUM!</v>
      </c>
      <c r="M848">
        <f t="shared" si="710"/>
        <v>5.9376101152847082E-21</v>
      </c>
      <c r="N848" s="9" t="e">
        <f t="shared" si="759"/>
        <v>#NUM!</v>
      </c>
      <c r="O848" t="e">
        <f t="shared" si="760"/>
        <v>#NUM!</v>
      </c>
      <c r="Q848">
        <f t="shared" si="714"/>
        <v>46.180862616597558</v>
      </c>
      <c r="R848">
        <f t="shared" si="715"/>
        <v>0</v>
      </c>
      <c r="S848">
        <f t="shared" si="737"/>
        <v>-46.572980237954006</v>
      </c>
      <c r="T848" s="9" t="e">
        <f t="shared" si="716"/>
        <v>#N/A</v>
      </c>
      <c r="U848">
        <f t="shared" si="738"/>
        <v>-1.0000000000000001E+300</v>
      </c>
      <c r="V848">
        <f t="shared" si="739"/>
        <v>0</v>
      </c>
      <c r="W848">
        <f t="shared" si="740"/>
        <v>0</v>
      </c>
      <c r="X848">
        <f t="shared" si="717"/>
        <v>0.59376101152847083</v>
      </c>
      <c r="Y848">
        <f t="shared" si="718"/>
        <v>7.8539816339744828</v>
      </c>
      <c r="Z848">
        <f t="shared" si="719"/>
        <v>-0.59376101152847083</v>
      </c>
      <c r="AA848">
        <f t="shared" si="741"/>
        <v>-0.87962442292623044</v>
      </c>
      <c r="AB848">
        <f t="shared" si="720"/>
        <v>6.9743572110482521</v>
      </c>
      <c r="AC848">
        <f t="shared" si="742"/>
        <v>-0.97286108336254951</v>
      </c>
      <c r="AD848">
        <f t="shared" si="721"/>
        <v>0.58074346200609839</v>
      </c>
      <c r="AE848" s="9">
        <f t="shared" si="743"/>
        <v>6.5822395896918007</v>
      </c>
      <c r="AF848">
        <f t="shared" si="744"/>
        <v>0</v>
      </c>
      <c r="AH848">
        <f t="shared" si="722"/>
        <v>7.8539816339744828</v>
      </c>
      <c r="AI848">
        <f t="shared" si="723"/>
        <v>-0.87962442292623066</v>
      </c>
      <c r="AJ848">
        <f t="shared" si="724"/>
        <v>-0.97286108336254529</v>
      </c>
      <c r="AK848">
        <f t="shared" si="725"/>
        <v>0.58074346200609839</v>
      </c>
      <c r="AL848" s="9">
        <f t="shared" si="745"/>
        <v>6.5822395896918051</v>
      </c>
      <c r="AM848" t="e">
        <f t="shared" si="726"/>
        <v>#N/A</v>
      </c>
      <c r="AN848" t="e">
        <f t="shared" si="746"/>
        <v>#N/A</v>
      </c>
      <c r="AO848">
        <f t="shared" si="727"/>
        <v>0</v>
      </c>
      <c r="AP848">
        <f t="shared" si="728"/>
        <v>0</v>
      </c>
      <c r="AQ848">
        <f t="shared" si="729"/>
        <v>4.2188474935755949E-15</v>
      </c>
      <c r="AR848">
        <f t="shared" si="747"/>
        <v>0</v>
      </c>
      <c r="AS848">
        <f t="shared" si="730"/>
        <v>0</v>
      </c>
      <c r="AT848">
        <f t="shared" si="748"/>
        <v>0</v>
      </c>
      <c r="AU848">
        <f t="shared" si="749"/>
        <v>0</v>
      </c>
      <c r="AV848">
        <f t="shared" si="731"/>
        <v>5.9376101152847082E-21</v>
      </c>
      <c r="AW848" t="b">
        <f t="shared" si="750"/>
        <v>1</v>
      </c>
      <c r="AX848">
        <f t="shared" si="732"/>
        <v>7.8539816339744828</v>
      </c>
      <c r="AY848">
        <f t="shared" si="733"/>
        <v>-0.87962442292623055</v>
      </c>
      <c r="AZ848">
        <f t="shared" si="734"/>
        <v>-0.97286108336254939</v>
      </c>
      <c r="BA848">
        <f t="shared" si="735"/>
        <v>0.58074346200609861</v>
      </c>
      <c r="BB848">
        <f t="shared" si="736"/>
        <v>-1.2337005501361696E-20</v>
      </c>
      <c r="BD848" s="15">
        <f t="shared" si="751"/>
        <v>6.5822395896918007</v>
      </c>
      <c r="BE848" s="10">
        <f t="shared" si="752"/>
        <v>0</v>
      </c>
      <c r="BF848">
        <f t="shared" si="753"/>
        <v>0</v>
      </c>
      <c r="BG848">
        <f t="shared" si="754"/>
        <v>0</v>
      </c>
      <c r="BH848">
        <f t="shared" si="755"/>
        <v>0</v>
      </c>
      <c r="BI848">
        <f t="shared" si="756"/>
        <v>0</v>
      </c>
    </row>
    <row r="849" spans="1:61" x14ac:dyDescent="0.3">
      <c r="A849">
        <f t="shared" si="761"/>
        <v>0.81200000000000006</v>
      </c>
      <c r="B849">
        <f t="shared" si="704"/>
        <v>2.5509732347149123</v>
      </c>
      <c r="C849">
        <f t="shared" si="705"/>
        <v>0.59061941887488079</v>
      </c>
      <c r="D849">
        <f t="shared" si="706"/>
        <v>0.59061941887488079</v>
      </c>
      <c r="E849">
        <f t="shared" si="711"/>
        <v>0.55687561648818784</v>
      </c>
      <c r="F849">
        <f t="shared" si="712"/>
        <v>0.55687561648818773</v>
      </c>
      <c r="G849">
        <f t="shared" si="707"/>
        <v>2.5509732347149123</v>
      </c>
      <c r="H849">
        <f t="shared" si="708"/>
        <v>0.55687561648818784</v>
      </c>
      <c r="I849">
        <f t="shared" si="709"/>
        <v>0.55687561648818773</v>
      </c>
      <c r="J849">
        <f t="shared" si="757"/>
        <v>1.1431992235219103E+20</v>
      </c>
      <c r="K849">
        <f t="shared" si="758"/>
        <v>1.1431992235219103E+20</v>
      </c>
      <c r="L849">
        <f t="shared" si="713"/>
        <v>1</v>
      </c>
      <c r="M849">
        <f t="shared" si="710"/>
        <v>5.9061941887488086E-21</v>
      </c>
      <c r="N849" s="9">
        <f t="shared" si="759"/>
        <v>5.9061941887488086E-21</v>
      </c>
      <c r="O849">
        <f t="shared" si="760"/>
        <v>5.9061941887488086E-21</v>
      </c>
      <c r="Q849">
        <f t="shared" si="714"/>
        <v>46.185532528299639</v>
      </c>
      <c r="R849">
        <f t="shared" si="715"/>
        <v>0</v>
      </c>
      <c r="S849">
        <f t="shared" si="737"/>
        <v>-46.5782852901837</v>
      </c>
      <c r="T849" s="9" t="e">
        <f t="shared" si="716"/>
        <v>#N/A</v>
      </c>
      <c r="U849">
        <f t="shared" si="738"/>
        <v>-1.0000000000000001E+300</v>
      </c>
      <c r="V849">
        <f t="shared" si="739"/>
        <v>0</v>
      </c>
      <c r="W849">
        <f t="shared" si="740"/>
        <v>0</v>
      </c>
      <c r="X849">
        <f t="shared" si="717"/>
        <v>0.59061941887488079</v>
      </c>
      <c r="Y849">
        <f t="shared" si="718"/>
        <v>7.8539816339744828</v>
      </c>
      <c r="Z849">
        <f t="shared" si="719"/>
        <v>-0.59061941887488079</v>
      </c>
      <c r="AA849">
        <f t="shared" si="741"/>
        <v>-0.88092574495636178</v>
      </c>
      <c r="AB849">
        <f t="shared" si="720"/>
        <v>6.9730558890181209</v>
      </c>
      <c r="AC849">
        <f t="shared" si="742"/>
        <v>-0.97816613559224308</v>
      </c>
      <c r="AD849">
        <f t="shared" si="721"/>
        <v>0.58541337370818047</v>
      </c>
      <c r="AE849" s="9">
        <f t="shared" si="743"/>
        <v>6.5803031271340586</v>
      </c>
      <c r="AF849">
        <f t="shared" si="744"/>
        <v>0</v>
      </c>
      <c r="AH849">
        <f t="shared" si="722"/>
        <v>7.8539816339744828</v>
      </c>
      <c r="AI849">
        <f t="shared" si="723"/>
        <v>-0.88092574495636211</v>
      </c>
      <c r="AJ849">
        <f t="shared" si="724"/>
        <v>-0.97816613559223953</v>
      </c>
      <c r="AK849">
        <f t="shared" si="725"/>
        <v>0.58541337370818047</v>
      </c>
      <c r="AL849" s="9">
        <f t="shared" si="745"/>
        <v>6.5803031271340622</v>
      </c>
      <c r="AM849" t="e">
        <f t="shared" si="726"/>
        <v>#N/A</v>
      </c>
      <c r="AN849" t="e">
        <f t="shared" si="746"/>
        <v>#N/A</v>
      </c>
      <c r="AO849">
        <f t="shared" si="727"/>
        <v>0</v>
      </c>
      <c r="AP849">
        <f t="shared" si="728"/>
        <v>0</v>
      </c>
      <c r="AQ849">
        <f t="shared" si="729"/>
        <v>3.5527136788005009E-15</v>
      </c>
      <c r="AR849">
        <f t="shared" si="747"/>
        <v>0</v>
      </c>
      <c r="AS849">
        <f t="shared" si="730"/>
        <v>0</v>
      </c>
      <c r="AT849">
        <f t="shared" si="748"/>
        <v>0</v>
      </c>
      <c r="AU849">
        <f t="shared" si="749"/>
        <v>0</v>
      </c>
      <c r="AV849">
        <f t="shared" si="731"/>
        <v>5.9061941887488079E-21</v>
      </c>
      <c r="AW849" t="b">
        <f t="shared" si="750"/>
        <v>1</v>
      </c>
      <c r="AX849">
        <f t="shared" si="732"/>
        <v>7.8539816339744828</v>
      </c>
      <c r="AY849">
        <f t="shared" si="733"/>
        <v>-0.88092574495636178</v>
      </c>
      <c r="AZ849">
        <f t="shared" si="734"/>
        <v>-0.97816613559224297</v>
      </c>
      <c r="BA849">
        <f t="shared" si="735"/>
        <v>0.5854133737081807</v>
      </c>
      <c r="BB849">
        <f t="shared" si="736"/>
        <v>-1.2337005501361696E-20</v>
      </c>
      <c r="BD849" s="15">
        <f t="shared" si="751"/>
        <v>6.5803031271340586</v>
      </c>
      <c r="BE849" s="10">
        <f t="shared" si="752"/>
        <v>0</v>
      </c>
      <c r="BF849">
        <f t="shared" si="753"/>
        <v>0</v>
      </c>
      <c r="BG849">
        <f t="shared" si="754"/>
        <v>0</v>
      </c>
      <c r="BH849">
        <f t="shared" si="755"/>
        <v>0</v>
      </c>
      <c r="BI849">
        <f t="shared" si="756"/>
        <v>0</v>
      </c>
    </row>
    <row r="850" spans="1:61" x14ac:dyDescent="0.3">
      <c r="A850">
        <f t="shared" si="761"/>
        <v>0.81299999999999994</v>
      </c>
      <c r="B850">
        <f t="shared" si="704"/>
        <v>2.5541148273685015</v>
      </c>
      <c r="C850">
        <f t="shared" si="705"/>
        <v>0.58747782622129163</v>
      </c>
      <c r="D850">
        <f t="shared" si="706"/>
        <v>0.58747782622129163</v>
      </c>
      <c r="E850">
        <f t="shared" si="711"/>
        <v>0.55426347873669446</v>
      </c>
      <c r="F850">
        <f t="shared" si="712"/>
        <v>0.55426347873669435</v>
      </c>
      <c r="G850">
        <f t="shared" si="707"/>
        <v>2.5541148273685015</v>
      </c>
      <c r="H850">
        <f t="shared" si="708"/>
        <v>0.55426347873669446</v>
      </c>
      <c r="I850">
        <f t="shared" si="709"/>
        <v>0.55426347873669435</v>
      </c>
      <c r="J850">
        <f t="shared" si="757"/>
        <v>1.1485869027824053E+20</v>
      </c>
      <c r="K850">
        <f t="shared" si="758"/>
        <v>1.1485869027824053E+20</v>
      </c>
      <c r="L850">
        <f t="shared" si="713"/>
        <v>1</v>
      </c>
      <c r="M850">
        <f t="shared" si="710"/>
        <v>5.874778262212915E-21</v>
      </c>
      <c r="N850" s="9">
        <f t="shared" si="759"/>
        <v>5.874778262212915E-21</v>
      </c>
      <c r="O850">
        <f t="shared" si="760"/>
        <v>5.874778262212915E-21</v>
      </c>
      <c r="Q850">
        <f t="shared" si="714"/>
        <v>46.19023426649747</v>
      </c>
      <c r="R850">
        <f t="shared" si="715"/>
        <v>0</v>
      </c>
      <c r="S850">
        <f t="shared" si="737"/>
        <v>-46.583618636159066</v>
      </c>
      <c r="T850" s="9" t="e">
        <f t="shared" si="716"/>
        <v>#N/A</v>
      </c>
      <c r="U850">
        <f t="shared" si="738"/>
        <v>-1.0000000000000001E+300</v>
      </c>
      <c r="V850">
        <f t="shared" si="739"/>
        <v>0</v>
      </c>
      <c r="W850">
        <f t="shared" si="740"/>
        <v>0</v>
      </c>
      <c r="X850">
        <f t="shared" si="717"/>
        <v>0.58747782622129163</v>
      </c>
      <c r="Y850">
        <f t="shared" si="718"/>
        <v>7.8539816339744828</v>
      </c>
      <c r="Z850">
        <f t="shared" si="719"/>
        <v>-0.58747782622129163</v>
      </c>
      <c r="AA850">
        <f t="shared" si="741"/>
        <v>-0.88221948764274805</v>
      </c>
      <c r="AB850">
        <f t="shared" si="720"/>
        <v>6.9717621463317343</v>
      </c>
      <c r="AC850">
        <f t="shared" si="742"/>
        <v>-0.98349948156760447</v>
      </c>
      <c r="AD850">
        <f t="shared" si="721"/>
        <v>0.59011511190600807</v>
      </c>
      <c r="AE850" s="9">
        <f t="shared" si="743"/>
        <v>6.5783777766701377</v>
      </c>
      <c r="AF850">
        <f t="shared" si="744"/>
        <v>0</v>
      </c>
      <c r="AH850">
        <f t="shared" si="722"/>
        <v>7.8539816339744828</v>
      </c>
      <c r="AI850">
        <f t="shared" si="723"/>
        <v>-0.8822194876427476</v>
      </c>
      <c r="AJ850">
        <f t="shared" si="724"/>
        <v>-0.98349948156760547</v>
      </c>
      <c r="AK850">
        <f t="shared" si="725"/>
        <v>0.59011511190600807</v>
      </c>
      <c r="AL850" s="9">
        <f t="shared" si="745"/>
        <v>6.5783777766701377</v>
      </c>
      <c r="AM850" t="e">
        <f t="shared" si="726"/>
        <v>#N/A</v>
      </c>
      <c r="AN850" t="e">
        <f t="shared" si="746"/>
        <v>#N/A</v>
      </c>
      <c r="AO850">
        <f t="shared" si="727"/>
        <v>0</v>
      </c>
      <c r="AP850">
        <f t="shared" si="728"/>
        <v>0</v>
      </c>
      <c r="AQ850">
        <f t="shared" si="729"/>
        <v>-9.9920072216264089E-16</v>
      </c>
      <c r="AR850">
        <f t="shared" si="747"/>
        <v>0</v>
      </c>
      <c r="AS850">
        <f t="shared" si="730"/>
        <v>0</v>
      </c>
      <c r="AT850">
        <f t="shared" si="748"/>
        <v>0</v>
      </c>
      <c r="AU850">
        <f t="shared" si="749"/>
        <v>0</v>
      </c>
      <c r="AV850">
        <f t="shared" si="731"/>
        <v>5.8747782622129158E-21</v>
      </c>
      <c r="AW850" t="b">
        <f t="shared" si="750"/>
        <v>1</v>
      </c>
      <c r="AX850">
        <f t="shared" si="732"/>
        <v>7.8539816339744828</v>
      </c>
      <c r="AY850">
        <f t="shared" si="733"/>
        <v>-0.88221948764274793</v>
      </c>
      <c r="AZ850">
        <f t="shared" si="734"/>
        <v>-0.98349948156760447</v>
      </c>
      <c r="BA850">
        <f t="shared" si="735"/>
        <v>0.59011511190600818</v>
      </c>
      <c r="BB850">
        <f t="shared" si="736"/>
        <v>-1.2337005501361696E-20</v>
      </c>
      <c r="BD850" s="15">
        <f t="shared" si="751"/>
        <v>6.5783777766701386</v>
      </c>
      <c r="BE850" s="10">
        <f t="shared" si="752"/>
        <v>0</v>
      </c>
      <c r="BF850">
        <f t="shared" si="753"/>
        <v>0</v>
      </c>
      <c r="BG850">
        <f t="shared" si="754"/>
        <v>0</v>
      </c>
      <c r="BH850">
        <f t="shared" si="755"/>
        <v>0</v>
      </c>
      <c r="BI850">
        <f t="shared" si="756"/>
        <v>0</v>
      </c>
    </row>
    <row r="851" spans="1:61" x14ac:dyDescent="0.3">
      <c r="A851">
        <f t="shared" si="761"/>
        <v>0.81399999999999995</v>
      </c>
      <c r="B851">
        <f t="shared" si="704"/>
        <v>2.5572564200220915</v>
      </c>
      <c r="C851">
        <f t="shared" si="705"/>
        <v>0.58433623356770159</v>
      </c>
      <c r="D851">
        <f t="shared" si="706"/>
        <v>0.58433623356770159</v>
      </c>
      <c r="E851">
        <f t="shared" si="711"/>
        <v>0.5516458706284304</v>
      </c>
      <c r="F851">
        <f t="shared" si="712"/>
        <v>0.55164587062843029</v>
      </c>
      <c r="G851">
        <f t="shared" si="707"/>
        <v>2.5572564200220915</v>
      </c>
      <c r="H851">
        <f t="shared" si="708"/>
        <v>0.5516458706284304</v>
      </c>
      <c r="I851">
        <f t="shared" si="709"/>
        <v>0.55164587062843029</v>
      </c>
      <c r="J851">
        <f t="shared" si="757"/>
        <v>1.1540370485187345E+20</v>
      </c>
      <c r="K851">
        <f t="shared" si="758"/>
        <v>1.1540370485187345E+20</v>
      </c>
      <c r="L851" t="e">
        <f t="shared" si="713"/>
        <v>#NUM!</v>
      </c>
      <c r="M851">
        <f t="shared" si="710"/>
        <v>5.8433623356770154E-21</v>
      </c>
      <c r="N851" s="9" t="e">
        <f t="shared" si="759"/>
        <v>#NUM!</v>
      </c>
      <c r="O851" t="e">
        <f t="shared" si="760"/>
        <v>#NUM!</v>
      </c>
      <c r="Q851">
        <f t="shared" si="714"/>
        <v>46.19496813188713</v>
      </c>
      <c r="R851">
        <f t="shared" si="715"/>
        <v>0</v>
      </c>
      <c r="S851">
        <f t="shared" si="737"/>
        <v>-46.588980579300447</v>
      </c>
      <c r="T851" s="9" t="e">
        <f t="shared" si="716"/>
        <v>#N/A</v>
      </c>
      <c r="U851">
        <f t="shared" si="738"/>
        <v>-1.0000000000000001E+300</v>
      </c>
      <c r="V851">
        <f t="shared" si="739"/>
        <v>0</v>
      </c>
      <c r="W851">
        <f t="shared" si="740"/>
        <v>0</v>
      </c>
      <c r="X851">
        <f t="shared" si="717"/>
        <v>0.58433623356770159</v>
      </c>
      <c r="Y851">
        <f t="shared" si="718"/>
        <v>7.8539816339744828</v>
      </c>
      <c r="Z851">
        <f t="shared" si="719"/>
        <v>-0.58433623356770159</v>
      </c>
      <c r="AA851">
        <f t="shared" si="741"/>
        <v>-0.88350566250472762</v>
      </c>
      <c r="AB851">
        <f t="shared" si="720"/>
        <v>6.9704759714697548</v>
      </c>
      <c r="AC851">
        <f t="shared" si="742"/>
        <v>-0.9888614247089903</v>
      </c>
      <c r="AD851">
        <f t="shared" si="721"/>
        <v>0.59484897729567132</v>
      </c>
      <c r="AE851" s="9">
        <f t="shared" si="743"/>
        <v>6.576463524056436</v>
      </c>
      <c r="AF851">
        <f t="shared" si="744"/>
        <v>0</v>
      </c>
      <c r="AH851">
        <f t="shared" si="722"/>
        <v>7.8539816339744828</v>
      </c>
      <c r="AI851">
        <f t="shared" si="723"/>
        <v>-0.88350566250472751</v>
      </c>
      <c r="AJ851">
        <f t="shared" si="724"/>
        <v>-0.98886142470898619</v>
      </c>
      <c r="AK851">
        <f t="shared" si="725"/>
        <v>0.59484897729567132</v>
      </c>
      <c r="AL851" s="9">
        <f t="shared" si="745"/>
        <v>6.5764635240564395</v>
      </c>
      <c r="AM851" t="e">
        <f t="shared" si="726"/>
        <v>#N/A</v>
      </c>
      <c r="AN851" t="e">
        <f t="shared" si="746"/>
        <v>#N/A</v>
      </c>
      <c r="AO851">
        <f t="shared" si="727"/>
        <v>0</v>
      </c>
      <c r="AP851">
        <f t="shared" si="728"/>
        <v>0</v>
      </c>
      <c r="AQ851">
        <f t="shared" si="729"/>
        <v>4.1078251911130792E-15</v>
      </c>
      <c r="AR851">
        <f t="shared" si="747"/>
        <v>0</v>
      </c>
      <c r="AS851">
        <f t="shared" si="730"/>
        <v>0</v>
      </c>
      <c r="AT851">
        <f t="shared" si="748"/>
        <v>0</v>
      </c>
      <c r="AU851">
        <f t="shared" si="749"/>
        <v>0</v>
      </c>
      <c r="AV851">
        <f t="shared" si="731"/>
        <v>5.8433623356770154E-21</v>
      </c>
      <c r="AW851" t="b">
        <f t="shared" si="750"/>
        <v>1</v>
      </c>
      <c r="AX851">
        <f t="shared" si="732"/>
        <v>7.8539816339744828</v>
      </c>
      <c r="AY851">
        <f t="shared" si="733"/>
        <v>-0.88350566250472773</v>
      </c>
      <c r="AZ851">
        <f t="shared" si="734"/>
        <v>-0.9888614247089903</v>
      </c>
      <c r="BA851">
        <f t="shared" si="735"/>
        <v>0.59484897729567143</v>
      </c>
      <c r="BB851">
        <f t="shared" si="736"/>
        <v>-1.2337005501361696E-20</v>
      </c>
      <c r="BD851" s="15">
        <f t="shared" si="751"/>
        <v>6.576463524056436</v>
      </c>
      <c r="BE851" s="10">
        <f t="shared" si="752"/>
        <v>0</v>
      </c>
      <c r="BF851">
        <f t="shared" si="753"/>
        <v>0</v>
      </c>
      <c r="BG851">
        <f t="shared" si="754"/>
        <v>0</v>
      </c>
      <c r="BH851">
        <f t="shared" si="755"/>
        <v>0</v>
      </c>
      <c r="BI851">
        <f t="shared" si="756"/>
        <v>0</v>
      </c>
    </row>
    <row r="852" spans="1:61" x14ac:dyDescent="0.3">
      <c r="A852">
        <f t="shared" si="761"/>
        <v>0.81499999999999995</v>
      </c>
      <c r="B852">
        <f t="shared" si="704"/>
        <v>2.5603980126756811</v>
      </c>
      <c r="C852">
        <f t="shared" si="705"/>
        <v>0.58119464091411199</v>
      </c>
      <c r="D852">
        <f t="shared" si="706"/>
        <v>0.58119464091411199</v>
      </c>
      <c r="E852">
        <f t="shared" si="711"/>
        <v>0.54902281799813202</v>
      </c>
      <c r="F852">
        <f t="shared" si="712"/>
        <v>0.54902281799813191</v>
      </c>
      <c r="G852">
        <f t="shared" si="707"/>
        <v>2.5603980126756811</v>
      </c>
      <c r="H852">
        <f t="shared" si="708"/>
        <v>0.54902281799813202</v>
      </c>
      <c r="I852">
        <f t="shared" si="709"/>
        <v>0.54902281799813191</v>
      </c>
      <c r="J852">
        <f t="shared" si="757"/>
        <v>1.1595506625550624E+20</v>
      </c>
      <c r="K852">
        <f t="shared" si="758"/>
        <v>1.1595506625550624E+20</v>
      </c>
      <c r="L852">
        <f t="shared" si="713"/>
        <v>1</v>
      </c>
      <c r="M852">
        <f t="shared" si="710"/>
        <v>5.8119464091411188E-21</v>
      </c>
      <c r="N852" s="9">
        <f t="shared" si="759"/>
        <v>5.8119464091411188E-21</v>
      </c>
      <c r="O852">
        <f t="shared" si="760"/>
        <v>5.8119464091411188E-21</v>
      </c>
      <c r="Q852">
        <f t="shared" si="714"/>
        <v>46.199734430089649</v>
      </c>
      <c r="R852">
        <f t="shared" si="715"/>
        <v>0</v>
      </c>
      <c r="S852">
        <f t="shared" si="737"/>
        <v>-46.594371427935329</v>
      </c>
      <c r="T852" s="9" t="e">
        <f t="shared" si="716"/>
        <v>#N/A</v>
      </c>
      <c r="U852">
        <f t="shared" si="738"/>
        <v>-1.0000000000000001E+300</v>
      </c>
      <c r="V852">
        <f t="shared" si="739"/>
        <v>0</v>
      </c>
      <c r="W852">
        <f t="shared" si="740"/>
        <v>0</v>
      </c>
      <c r="X852">
        <f t="shared" si="717"/>
        <v>0.58119464091411199</v>
      </c>
      <c r="Y852">
        <f t="shared" si="718"/>
        <v>7.8539816339744828</v>
      </c>
      <c r="Z852">
        <f t="shared" si="719"/>
        <v>-0.58119464091411199</v>
      </c>
      <c r="AA852">
        <f t="shared" si="741"/>
        <v>-0.88478428097947637</v>
      </c>
      <c r="AB852">
        <f t="shared" si="720"/>
        <v>6.9691973529950069</v>
      </c>
      <c r="AC852">
        <f t="shared" si="742"/>
        <v>-0.99425227334386646</v>
      </c>
      <c r="AD852">
        <f t="shared" si="721"/>
        <v>0.59961527549818971</v>
      </c>
      <c r="AE852" s="9">
        <f t="shared" si="743"/>
        <v>6.5745603551493303</v>
      </c>
      <c r="AF852">
        <f t="shared" si="744"/>
        <v>0</v>
      </c>
      <c r="AH852">
        <f t="shared" si="722"/>
        <v>7.8539816339744828</v>
      </c>
      <c r="AI852">
        <f t="shared" si="723"/>
        <v>-0.88478428097947637</v>
      </c>
      <c r="AJ852">
        <f t="shared" si="724"/>
        <v>-0.9942522733438679</v>
      </c>
      <c r="AK852">
        <f t="shared" si="725"/>
        <v>0.59961527549818971</v>
      </c>
      <c r="AL852" s="9">
        <f t="shared" si="745"/>
        <v>6.5745603551493286</v>
      </c>
      <c r="AM852" t="e">
        <f t="shared" si="726"/>
        <v>#N/A</v>
      </c>
      <c r="AN852" t="e">
        <f t="shared" si="746"/>
        <v>#N/A</v>
      </c>
      <c r="AO852">
        <f t="shared" si="727"/>
        <v>0</v>
      </c>
      <c r="AP852">
        <f t="shared" si="728"/>
        <v>0</v>
      </c>
      <c r="AQ852">
        <f t="shared" si="729"/>
        <v>-1.4432899320127035E-15</v>
      </c>
      <c r="AR852">
        <f t="shared" si="747"/>
        <v>0</v>
      </c>
      <c r="AS852">
        <f t="shared" si="730"/>
        <v>0</v>
      </c>
      <c r="AT852">
        <f t="shared" si="748"/>
        <v>0</v>
      </c>
      <c r="AU852">
        <f t="shared" si="749"/>
        <v>0</v>
      </c>
      <c r="AV852">
        <f t="shared" si="731"/>
        <v>5.8119464091411195E-21</v>
      </c>
      <c r="AW852" t="b">
        <f t="shared" si="750"/>
        <v>1</v>
      </c>
      <c r="AX852">
        <f t="shared" si="732"/>
        <v>7.8539816339744828</v>
      </c>
      <c r="AY852">
        <f t="shared" si="733"/>
        <v>-0.88478428097947648</v>
      </c>
      <c r="AZ852">
        <f t="shared" si="734"/>
        <v>-0.99425227334386646</v>
      </c>
      <c r="BA852">
        <f t="shared" si="735"/>
        <v>0.59961527549818994</v>
      </c>
      <c r="BB852">
        <f t="shared" si="736"/>
        <v>-1.2337005501361696E-20</v>
      </c>
      <c r="BD852" s="15">
        <f t="shared" si="751"/>
        <v>6.5745603551493295</v>
      </c>
      <c r="BE852" s="10">
        <f t="shared" si="752"/>
        <v>0</v>
      </c>
      <c r="BF852">
        <f t="shared" si="753"/>
        <v>0</v>
      </c>
      <c r="BG852">
        <f t="shared" si="754"/>
        <v>0</v>
      </c>
      <c r="BH852">
        <f t="shared" si="755"/>
        <v>0</v>
      </c>
      <c r="BI852">
        <f t="shared" si="756"/>
        <v>0</v>
      </c>
    </row>
    <row r="853" spans="1:61" x14ac:dyDescent="0.3">
      <c r="A853">
        <f t="shared" si="761"/>
        <v>0.81599999999999995</v>
      </c>
      <c r="B853">
        <f t="shared" si="704"/>
        <v>2.5635396053292712</v>
      </c>
      <c r="C853">
        <f t="shared" si="705"/>
        <v>0.57805304826052195</v>
      </c>
      <c r="D853">
        <f t="shared" si="706"/>
        <v>0.57805304826052195</v>
      </c>
      <c r="E853">
        <f t="shared" si="711"/>
        <v>0.54639434673426923</v>
      </c>
      <c r="F853">
        <f t="shared" si="712"/>
        <v>0.54639434673426912</v>
      </c>
      <c r="G853">
        <f t="shared" si="707"/>
        <v>2.5635396053292712</v>
      </c>
      <c r="H853">
        <f t="shared" si="708"/>
        <v>0.54639434673426923</v>
      </c>
      <c r="I853">
        <f t="shared" si="709"/>
        <v>0.54639434673426912</v>
      </c>
      <c r="J853">
        <f t="shared" si="757"/>
        <v>1.1651287685763557E+20</v>
      </c>
      <c r="K853">
        <f t="shared" si="758"/>
        <v>1.1651287685763557E+20</v>
      </c>
      <c r="L853">
        <f t="shared" si="713"/>
        <v>1</v>
      </c>
      <c r="M853">
        <f t="shared" si="710"/>
        <v>5.7805304826052192E-21</v>
      </c>
      <c r="N853" s="9">
        <f t="shared" si="759"/>
        <v>5.7805304826052192E-21</v>
      </c>
      <c r="O853">
        <f t="shared" si="760"/>
        <v>5.7805304826052192E-21</v>
      </c>
      <c r="Q853">
        <f t="shared" si="714"/>
        <v>46.204533471757308</v>
      </c>
      <c r="R853">
        <f t="shared" si="715"/>
        <v>0</v>
      </c>
      <c r="S853">
        <f t="shared" si="737"/>
        <v>-46.599791495404666</v>
      </c>
      <c r="T853" s="9" t="e">
        <f t="shared" si="716"/>
        <v>#N/A</v>
      </c>
      <c r="U853">
        <f t="shared" si="738"/>
        <v>-1.0000000000000001E+300</v>
      </c>
      <c r="V853">
        <f t="shared" si="739"/>
        <v>0</v>
      </c>
      <c r="W853">
        <f t="shared" si="740"/>
        <v>0</v>
      </c>
      <c r="X853">
        <f t="shared" si="717"/>
        <v>0.57805304826052195</v>
      </c>
      <c r="Y853">
        <f t="shared" si="718"/>
        <v>7.8539816339744828</v>
      </c>
      <c r="Z853">
        <f t="shared" si="719"/>
        <v>-0.57805304826052195</v>
      </c>
      <c r="AA853">
        <f t="shared" si="741"/>
        <v>-0.88605535442238526</v>
      </c>
      <c r="AB853">
        <f t="shared" si="720"/>
        <v>6.9679262795520973</v>
      </c>
      <c r="AC853">
        <f t="shared" si="742"/>
        <v>-0.99967234081320611</v>
      </c>
      <c r="AD853">
        <f t="shared" si="721"/>
        <v>0.60441431716585037</v>
      </c>
      <c r="AE853" s="9">
        <f t="shared" si="743"/>
        <v>6.5726682559047411</v>
      </c>
      <c r="AF853">
        <f t="shared" si="744"/>
        <v>0</v>
      </c>
      <c r="AH853">
        <f t="shared" si="722"/>
        <v>7.8539816339744828</v>
      </c>
      <c r="AI853">
        <f t="shared" si="723"/>
        <v>-0.88605535442238548</v>
      </c>
      <c r="AJ853">
        <f t="shared" si="724"/>
        <v>-0.99967234081320555</v>
      </c>
      <c r="AK853">
        <f t="shared" si="725"/>
        <v>0.60441431716585037</v>
      </c>
      <c r="AL853" s="9">
        <f t="shared" si="745"/>
        <v>6.572668255904742</v>
      </c>
      <c r="AM853" t="e">
        <f t="shared" si="726"/>
        <v>#N/A</v>
      </c>
      <c r="AN853" t="e">
        <f t="shared" si="746"/>
        <v>#N/A</v>
      </c>
      <c r="AO853">
        <f t="shared" si="727"/>
        <v>0</v>
      </c>
      <c r="AP853">
        <f t="shared" si="728"/>
        <v>0</v>
      </c>
      <c r="AQ853">
        <f t="shared" si="729"/>
        <v>0</v>
      </c>
      <c r="AR853">
        <f t="shared" si="747"/>
        <v>0</v>
      </c>
      <c r="AS853">
        <f t="shared" si="730"/>
        <v>0</v>
      </c>
      <c r="AT853">
        <f t="shared" si="748"/>
        <v>0</v>
      </c>
      <c r="AU853">
        <f t="shared" si="749"/>
        <v>0</v>
      </c>
      <c r="AV853">
        <f t="shared" si="731"/>
        <v>5.7805304826052192E-21</v>
      </c>
      <c r="AW853" t="b">
        <f t="shared" si="750"/>
        <v>1</v>
      </c>
      <c r="AX853">
        <f t="shared" si="732"/>
        <v>7.8539816339744828</v>
      </c>
      <c r="AY853">
        <f t="shared" si="733"/>
        <v>-0.88605535442238526</v>
      </c>
      <c r="AZ853">
        <f t="shared" si="734"/>
        <v>-0.999672340813206</v>
      </c>
      <c r="BA853">
        <f t="shared" si="735"/>
        <v>0.60441431716585048</v>
      </c>
      <c r="BB853">
        <f t="shared" si="736"/>
        <v>-1.2337005501361696E-20</v>
      </c>
      <c r="BD853" s="15">
        <f t="shared" si="751"/>
        <v>6.572668255904742</v>
      </c>
      <c r="BE853" s="10">
        <f t="shared" si="752"/>
        <v>0</v>
      </c>
      <c r="BF853">
        <f t="shared" si="753"/>
        <v>0</v>
      </c>
      <c r="BG853">
        <f t="shared" si="754"/>
        <v>0</v>
      </c>
      <c r="BH853">
        <f t="shared" si="755"/>
        <v>0</v>
      </c>
      <c r="BI853">
        <f t="shared" si="756"/>
        <v>0</v>
      </c>
    </row>
    <row r="854" spans="1:61" x14ac:dyDescent="0.3">
      <c r="A854">
        <f t="shared" si="761"/>
        <v>0.81699999999999995</v>
      </c>
      <c r="B854">
        <f t="shared" si="704"/>
        <v>2.5666811979828608</v>
      </c>
      <c r="C854">
        <f t="shared" si="705"/>
        <v>0.57491145560693235</v>
      </c>
      <c r="D854">
        <f t="shared" si="706"/>
        <v>0.57491145560693235</v>
      </c>
      <c r="E854">
        <f t="shared" si="711"/>
        <v>0.54376048277879274</v>
      </c>
      <c r="F854">
        <f t="shared" si="712"/>
        <v>0.54376048277879263</v>
      </c>
      <c r="G854">
        <f t="shared" si="707"/>
        <v>2.5666811979828608</v>
      </c>
      <c r="H854">
        <f t="shared" si="708"/>
        <v>0.54376048277879274</v>
      </c>
      <c r="I854">
        <f t="shared" si="709"/>
        <v>0.54376048277879263</v>
      </c>
      <c r="J854">
        <f t="shared" si="757"/>
        <v>1.1707724127252637E+20</v>
      </c>
      <c r="K854">
        <f t="shared" si="758"/>
        <v>1.1707724127252637E+20</v>
      </c>
      <c r="L854">
        <f t="shared" si="713"/>
        <v>1</v>
      </c>
      <c r="M854">
        <f t="shared" si="710"/>
        <v>5.7491145560693226E-21</v>
      </c>
      <c r="N854" s="9">
        <f t="shared" si="759"/>
        <v>5.7491145560693226E-21</v>
      </c>
      <c r="O854">
        <f t="shared" si="760"/>
        <v>5.7491145560693226E-21</v>
      </c>
      <c r="Q854">
        <f t="shared" si="714"/>
        <v>46.209365572682891</v>
      </c>
      <c r="R854">
        <f t="shared" si="715"/>
        <v>0</v>
      </c>
      <c r="S854">
        <f t="shared" si="737"/>
        <v>-46.605241100172229</v>
      </c>
      <c r="T854" s="9" t="e">
        <f t="shared" si="716"/>
        <v>#N/A</v>
      </c>
      <c r="U854">
        <f t="shared" si="738"/>
        <v>-1.0000000000000001E+300</v>
      </c>
      <c r="V854">
        <f t="shared" si="739"/>
        <v>0</v>
      </c>
      <c r="W854">
        <f t="shared" si="740"/>
        <v>0</v>
      </c>
      <c r="X854">
        <f t="shared" si="717"/>
        <v>0.57491145560693235</v>
      </c>
      <c r="Y854">
        <f t="shared" si="718"/>
        <v>7.8539816339744828</v>
      </c>
      <c r="Z854">
        <f t="shared" si="719"/>
        <v>-0.57491145560693235</v>
      </c>
      <c r="AA854">
        <f t="shared" si="741"/>
        <v>-0.88731889410743159</v>
      </c>
      <c r="AB854">
        <f t="shared" si="720"/>
        <v>6.9666627398670515</v>
      </c>
      <c r="AC854">
        <f t="shared" si="742"/>
        <v>-1.0051219455807703</v>
      </c>
      <c r="AD854">
        <f t="shared" si="721"/>
        <v>0.60924641809143265</v>
      </c>
      <c r="AE854" s="9">
        <f t="shared" si="743"/>
        <v>6.5707872123777138</v>
      </c>
      <c r="AF854">
        <f t="shared" si="744"/>
        <v>6.2673778061119856E-308</v>
      </c>
      <c r="AH854">
        <f t="shared" si="722"/>
        <v>7.8539816339744828</v>
      </c>
      <c r="AI854">
        <f t="shared" si="723"/>
        <v>-0.88731889410743126</v>
      </c>
      <c r="AJ854">
        <f t="shared" si="724"/>
        <v>-1.0051219455807683</v>
      </c>
      <c r="AK854">
        <f t="shared" si="725"/>
        <v>0.60924641809143265</v>
      </c>
      <c r="AL854" s="9">
        <f t="shared" si="745"/>
        <v>6.5707872123777156</v>
      </c>
      <c r="AM854" t="e">
        <f t="shared" si="726"/>
        <v>#N/A</v>
      </c>
      <c r="AN854" t="e">
        <f t="shared" si="746"/>
        <v>#N/A</v>
      </c>
      <c r="AO854">
        <f t="shared" si="727"/>
        <v>0</v>
      </c>
      <c r="AP854">
        <f t="shared" si="728"/>
        <v>0</v>
      </c>
      <c r="AQ854">
        <f t="shared" si="729"/>
        <v>1.9984014443252818E-15</v>
      </c>
      <c r="AR854">
        <f t="shared" si="747"/>
        <v>0</v>
      </c>
      <c r="AS854">
        <f t="shared" si="730"/>
        <v>0</v>
      </c>
      <c r="AT854">
        <f t="shared" si="748"/>
        <v>0</v>
      </c>
      <c r="AU854">
        <f t="shared" si="749"/>
        <v>6.2673778061035321E-308</v>
      </c>
      <c r="AV854">
        <f t="shared" si="731"/>
        <v>5.7491145560693233E-21</v>
      </c>
      <c r="AW854" t="b">
        <f t="shared" si="750"/>
        <v>1</v>
      </c>
      <c r="AX854">
        <f t="shared" si="732"/>
        <v>7.8539816339744828</v>
      </c>
      <c r="AY854">
        <f t="shared" si="733"/>
        <v>-0.88731889410743181</v>
      </c>
      <c r="AZ854">
        <f t="shared" si="734"/>
        <v>-1.0051219455807703</v>
      </c>
      <c r="BA854">
        <f t="shared" si="735"/>
        <v>0.60924641809143287</v>
      </c>
      <c r="BB854">
        <f t="shared" si="736"/>
        <v>-1.2337005501361696E-20</v>
      </c>
      <c r="BD854" s="15">
        <f t="shared" si="751"/>
        <v>6.5707872123777138</v>
      </c>
      <c r="BE854" s="10">
        <f t="shared" si="752"/>
        <v>0</v>
      </c>
      <c r="BF854">
        <f t="shared" si="753"/>
        <v>0</v>
      </c>
      <c r="BG854">
        <f t="shared" si="754"/>
        <v>0</v>
      </c>
      <c r="BH854">
        <f t="shared" si="755"/>
        <v>0</v>
      </c>
      <c r="BI854">
        <f t="shared" si="756"/>
        <v>0</v>
      </c>
    </row>
    <row r="855" spans="1:61" x14ac:dyDescent="0.3">
      <c r="A855">
        <f t="shared" si="761"/>
        <v>0.81799999999999995</v>
      </c>
      <c r="B855">
        <f t="shared" si="704"/>
        <v>2.5698227906364508</v>
      </c>
      <c r="C855">
        <f t="shared" si="705"/>
        <v>0.57176986295334231</v>
      </c>
      <c r="D855">
        <f t="shared" si="706"/>
        <v>0.57176986295334231</v>
      </c>
      <c r="E855">
        <f t="shared" si="711"/>
        <v>0.5411212521268759</v>
      </c>
      <c r="F855">
        <f t="shared" si="712"/>
        <v>0.54112125212687578</v>
      </c>
      <c r="G855">
        <f t="shared" si="707"/>
        <v>2.5698227906364508</v>
      </c>
      <c r="H855">
        <f t="shared" si="708"/>
        <v>0.5411212521268759</v>
      </c>
      <c r="I855">
        <f t="shared" si="709"/>
        <v>0.54112125212687578</v>
      </c>
      <c r="J855">
        <f t="shared" si="757"/>
        <v>1.1764826642186918E+20</v>
      </c>
      <c r="K855">
        <f t="shared" si="758"/>
        <v>1.1764826642186918E+20</v>
      </c>
      <c r="L855">
        <f t="shared" si="713"/>
        <v>1</v>
      </c>
      <c r="M855">
        <f t="shared" si="710"/>
        <v>5.717698629533423E-21</v>
      </c>
      <c r="N855" s="9">
        <f t="shared" si="759"/>
        <v>5.717698629533423E-21</v>
      </c>
      <c r="O855">
        <f t="shared" si="760"/>
        <v>5.717698629533423E-21</v>
      </c>
      <c r="Q855">
        <f t="shared" si="714"/>
        <v>46.214231053911895</v>
      </c>
      <c r="R855">
        <f t="shared" si="715"/>
        <v>0</v>
      </c>
      <c r="S855">
        <f t="shared" si="737"/>
        <v>-46.610720565936859</v>
      </c>
      <c r="T855" s="9" t="e">
        <f t="shared" si="716"/>
        <v>#N/A</v>
      </c>
      <c r="U855">
        <f t="shared" si="738"/>
        <v>-1.0000000000000001E+300</v>
      </c>
      <c r="V855">
        <f t="shared" si="739"/>
        <v>0</v>
      </c>
      <c r="W855">
        <f t="shared" si="740"/>
        <v>0</v>
      </c>
      <c r="X855">
        <f t="shared" si="717"/>
        <v>0.57176986295334231</v>
      </c>
      <c r="Y855">
        <f t="shared" si="718"/>
        <v>7.8539816339744828</v>
      </c>
      <c r="Z855">
        <f t="shared" si="719"/>
        <v>-0.57176986295334231</v>
      </c>
      <c r="AA855">
        <f t="shared" si="741"/>
        <v>-0.88857491122755083</v>
      </c>
      <c r="AB855">
        <f t="shared" si="720"/>
        <v>6.9654067227469323</v>
      </c>
      <c r="AC855">
        <f t="shared" si="742"/>
        <v>-1.0106014113453965</v>
      </c>
      <c r="AD855">
        <f t="shared" si="721"/>
        <v>0.61411189932043719</v>
      </c>
      <c r="AE855" s="9">
        <f t="shared" si="743"/>
        <v>6.5689172107219731</v>
      </c>
      <c r="AF855">
        <f t="shared" si="744"/>
        <v>2.374314599842713E-307</v>
      </c>
      <c r="AH855">
        <f t="shared" si="722"/>
        <v>7.8539816339744828</v>
      </c>
      <c r="AI855">
        <f t="shared" si="723"/>
        <v>-0.88857491122755072</v>
      </c>
      <c r="AJ855">
        <f t="shared" si="724"/>
        <v>-1.010601411345398</v>
      </c>
      <c r="AK855">
        <f t="shared" si="725"/>
        <v>0.61411189932043719</v>
      </c>
      <c r="AL855" s="9">
        <f t="shared" si="745"/>
        <v>6.5689172107219713</v>
      </c>
      <c r="AM855" t="e">
        <f t="shared" si="726"/>
        <v>#N/A</v>
      </c>
      <c r="AN855" t="e">
        <f t="shared" si="746"/>
        <v>#N/A</v>
      </c>
      <c r="AO855">
        <f t="shared" si="727"/>
        <v>0</v>
      </c>
      <c r="AP855">
        <f t="shared" si="728"/>
        <v>0</v>
      </c>
      <c r="AQ855">
        <f t="shared" si="729"/>
        <v>0</v>
      </c>
      <c r="AR855">
        <f t="shared" si="747"/>
        <v>0</v>
      </c>
      <c r="AS855">
        <f t="shared" si="730"/>
        <v>0</v>
      </c>
      <c r="AT855">
        <f t="shared" si="748"/>
        <v>0</v>
      </c>
      <c r="AU855">
        <f t="shared" si="749"/>
        <v>2.3743145998456663E-307</v>
      </c>
      <c r="AV855">
        <f t="shared" si="731"/>
        <v>5.717698629533423E-21</v>
      </c>
      <c r="AW855" t="b">
        <f t="shared" si="750"/>
        <v>1</v>
      </c>
      <c r="AX855">
        <f t="shared" si="732"/>
        <v>7.8539816339744828</v>
      </c>
      <c r="AY855">
        <f t="shared" si="733"/>
        <v>-0.88857491122755083</v>
      </c>
      <c r="AZ855">
        <f t="shared" si="734"/>
        <v>-1.0106014113453965</v>
      </c>
      <c r="BA855">
        <f t="shared" si="735"/>
        <v>0.61411189932043742</v>
      </c>
      <c r="BB855">
        <f t="shared" si="736"/>
        <v>-1.2337005501361696E-20</v>
      </c>
      <c r="BD855" s="15">
        <f t="shared" si="751"/>
        <v>6.5689172107219731</v>
      </c>
      <c r="BE855" s="10">
        <f t="shared" si="752"/>
        <v>0</v>
      </c>
      <c r="BF855">
        <f t="shared" si="753"/>
        <v>0</v>
      </c>
      <c r="BG855">
        <f t="shared" si="754"/>
        <v>0</v>
      </c>
      <c r="BH855">
        <f t="shared" si="755"/>
        <v>0</v>
      </c>
      <c r="BI855">
        <f t="shared" si="756"/>
        <v>0</v>
      </c>
    </row>
    <row r="856" spans="1:61" x14ac:dyDescent="0.3">
      <c r="A856">
        <f t="shared" si="761"/>
        <v>0.81899999999999995</v>
      </c>
      <c r="B856">
        <f t="shared" ref="B856:B919" si="762">th_max*A856</f>
        <v>2.5729643832900404</v>
      </c>
      <c r="C856">
        <f t="shared" ref="C856:C919" si="763">th_max-B856</f>
        <v>0.56862827029975271</v>
      </c>
      <c r="D856">
        <f t="shared" ref="D856:D919" si="764">IF(use_th_l,B856,C856)</f>
        <v>0.56862827029975271</v>
      </c>
      <c r="E856">
        <f t="shared" si="711"/>
        <v>0.53847668082666045</v>
      </c>
      <c r="F856">
        <f t="shared" si="712"/>
        <v>0.53847668082666034</v>
      </c>
      <c r="G856">
        <f t="shared" ref="G856:G919" si="765">alpha*B856</f>
        <v>2.5729643832900404</v>
      </c>
      <c r="H856">
        <f t="shared" ref="H856:H919" si="766">SIN(G856)</f>
        <v>0.53847668082666045</v>
      </c>
      <c r="I856">
        <f t="shared" ref="I856:I919" si="767">SIN(alpha*C856+add_r)</f>
        <v>0.53847668082666034</v>
      </c>
      <c r="J856">
        <f t="shared" si="757"/>
        <v>1.1822606159848061E+20</v>
      </c>
      <c r="K856">
        <f t="shared" si="758"/>
        <v>1.1822606159848061E+20</v>
      </c>
      <c r="L856">
        <f t="shared" si="713"/>
        <v>1</v>
      </c>
      <c r="M856">
        <f t="shared" ref="M856:M919" si="768">-SIN((alpha_m_1)*B856+add_l)</f>
        <v>5.6862827029975264E-21</v>
      </c>
      <c r="N856" s="9">
        <f t="shared" si="759"/>
        <v>5.6862827029975264E-21</v>
      </c>
      <c r="O856">
        <f t="shared" si="760"/>
        <v>5.6862827029975264E-21</v>
      </c>
      <c r="Q856">
        <f t="shared" si="714"/>
        <v>46.219130241857862</v>
      </c>
      <c r="R856">
        <f t="shared" si="715"/>
        <v>0</v>
      </c>
      <c r="S856">
        <f t="shared" si="737"/>
        <v>-46.616230221747827</v>
      </c>
      <c r="T856" s="9" t="e">
        <f t="shared" si="716"/>
        <v>#N/A</v>
      </c>
      <c r="U856">
        <f t="shared" si="738"/>
        <v>-1.0000000000000001E+300</v>
      </c>
      <c r="V856">
        <f t="shared" si="739"/>
        <v>0</v>
      </c>
      <c r="W856">
        <f t="shared" si="740"/>
        <v>0</v>
      </c>
      <c r="X856">
        <f t="shared" si="717"/>
        <v>0.56862827029975271</v>
      </c>
      <c r="Y856">
        <f t="shared" si="718"/>
        <v>7.8539816339744828</v>
      </c>
      <c r="Z856">
        <f t="shared" si="719"/>
        <v>-0.56862827029975271</v>
      </c>
      <c r="AA856">
        <f t="shared" si="741"/>
        <v>-0.88982341689499989</v>
      </c>
      <c r="AB856">
        <f t="shared" si="720"/>
        <v>6.9641582170794827</v>
      </c>
      <c r="AC856">
        <f t="shared" si="742"/>
        <v>-1.0161110671563658</v>
      </c>
      <c r="AD856">
        <f t="shared" si="721"/>
        <v>0.61901108726639986</v>
      </c>
      <c r="AE856" s="9">
        <f t="shared" si="743"/>
        <v>6.5670582371895163</v>
      </c>
      <c r="AF856">
        <f t="shared" si="744"/>
        <v>8.9023902908520354E-307</v>
      </c>
      <c r="AH856">
        <f t="shared" si="722"/>
        <v>7.8539816339744828</v>
      </c>
      <c r="AI856">
        <f t="shared" si="723"/>
        <v>-0.88982341689499933</v>
      </c>
      <c r="AJ856">
        <f t="shared" si="724"/>
        <v>-1.0161110671563662</v>
      </c>
      <c r="AK856">
        <f t="shared" si="725"/>
        <v>0.61901108726639986</v>
      </c>
      <c r="AL856" s="9">
        <f t="shared" si="745"/>
        <v>6.5670582371895172</v>
      </c>
      <c r="AM856" t="e">
        <f t="shared" si="726"/>
        <v>#N/A</v>
      </c>
      <c r="AN856" t="e">
        <f t="shared" si="746"/>
        <v>#N/A</v>
      </c>
      <c r="AO856">
        <f t="shared" si="727"/>
        <v>0</v>
      </c>
      <c r="AP856">
        <f t="shared" si="728"/>
        <v>0</v>
      </c>
      <c r="AQ856">
        <f t="shared" si="729"/>
        <v>0</v>
      </c>
      <c r="AR856">
        <f t="shared" si="747"/>
        <v>0</v>
      </c>
      <c r="AS856">
        <f t="shared" si="730"/>
        <v>0</v>
      </c>
      <c r="AT856">
        <f t="shared" si="748"/>
        <v>0</v>
      </c>
      <c r="AU856">
        <f t="shared" si="749"/>
        <v>8.9023902908459643E-307</v>
      </c>
      <c r="AV856">
        <f t="shared" si="731"/>
        <v>5.6862827029975271E-21</v>
      </c>
      <c r="AW856" t="b">
        <f t="shared" si="750"/>
        <v>1</v>
      </c>
      <c r="AX856">
        <f t="shared" si="732"/>
        <v>7.8539816339744828</v>
      </c>
      <c r="AY856">
        <f t="shared" si="733"/>
        <v>-0.88982341689500011</v>
      </c>
      <c r="AZ856">
        <f t="shared" si="734"/>
        <v>-1.0161110671563656</v>
      </c>
      <c r="BA856">
        <f t="shared" si="735"/>
        <v>0.61901108726640008</v>
      </c>
      <c r="BB856">
        <f t="shared" si="736"/>
        <v>-1.2337005501361696E-20</v>
      </c>
      <c r="BD856" s="15">
        <f t="shared" si="751"/>
        <v>6.5670582371895172</v>
      </c>
      <c r="BE856" s="10">
        <f t="shared" si="752"/>
        <v>0</v>
      </c>
      <c r="BF856">
        <f t="shared" si="753"/>
        <v>0</v>
      </c>
      <c r="BG856">
        <f t="shared" si="754"/>
        <v>0</v>
      </c>
      <c r="BH856">
        <f t="shared" si="755"/>
        <v>0</v>
      </c>
      <c r="BI856">
        <f t="shared" si="756"/>
        <v>0</v>
      </c>
    </row>
    <row r="857" spans="1:61" x14ac:dyDescent="0.3">
      <c r="A857">
        <f t="shared" si="761"/>
        <v>0.82</v>
      </c>
      <c r="B857">
        <f t="shared" si="762"/>
        <v>2.57610597594363</v>
      </c>
      <c r="C857">
        <f t="shared" si="763"/>
        <v>0.56548667764616312</v>
      </c>
      <c r="D857">
        <f t="shared" si="764"/>
        <v>0.56548667764616312</v>
      </c>
      <c r="E857">
        <f t="shared" ref="E857:E920" si="769">SIN(B857-add_l)</f>
        <v>0.53582679497899699</v>
      </c>
      <c r="F857">
        <f t="shared" ref="F857:F920" si="770">SIN(C857)</f>
        <v>0.53582679497899688</v>
      </c>
      <c r="G857">
        <f t="shared" si="765"/>
        <v>2.57610597594363</v>
      </c>
      <c r="H857">
        <f t="shared" si="766"/>
        <v>0.53582679497899699</v>
      </c>
      <c r="I857">
        <f t="shared" si="767"/>
        <v>0.53582679497899688</v>
      </c>
      <c r="J857">
        <f t="shared" si="757"/>
        <v>1.188107385321287E+20</v>
      </c>
      <c r="K857">
        <f t="shared" si="758"/>
        <v>1.188107385321287E+20</v>
      </c>
      <c r="L857" t="e">
        <f t="shared" ref="L857:L920" si="771">(cat0*E857*K857)^(1/(alpha_m_1))</f>
        <v>#NUM!</v>
      </c>
      <c r="M857">
        <f t="shared" si="768"/>
        <v>5.6548667764616298E-21</v>
      </c>
      <c r="N857" s="9" t="e">
        <f t="shared" si="759"/>
        <v>#NUM!</v>
      </c>
      <c r="O857" t="e">
        <f t="shared" si="760"/>
        <v>#NUM!</v>
      </c>
      <c r="Q857">
        <f t="shared" ref="Q857:Q920" si="772">alpha*LN(J857)</f>
        <v>46.224063468420873</v>
      </c>
      <c r="R857">
        <f t="shared" ref="R857:R920" si="773">(LN(cat0)+LN(E857)+Q857)/(alpha_m_1)</f>
        <v>0</v>
      </c>
      <c r="S857">
        <f t="shared" si="737"/>
        <v>-46.621770402123438</v>
      </c>
      <c r="T857" s="9" t="e">
        <f t="shared" ref="T857:T920" si="774">IF(ABS(alpha_m_1)&gt;0.00000000000001,R857+S857,NA())</f>
        <v>#N/A</v>
      </c>
      <c r="U857">
        <f t="shared" si="738"/>
        <v>-1.0000000000000001E+300</v>
      </c>
      <c r="V857">
        <f t="shared" si="739"/>
        <v>0</v>
      </c>
      <c r="W857">
        <f t="shared" si="740"/>
        <v>0</v>
      </c>
      <c r="X857">
        <f t="shared" ref="X857:X920" si="775">C857</f>
        <v>0.56548667764616312</v>
      </c>
      <c r="Y857">
        <f t="shared" ref="Y857:Y920" si="776">ea</f>
        <v>7.8539816339744828</v>
      </c>
      <c r="Z857">
        <f t="shared" ref="Z857:Z920" si="777">p2b+PI()/2-X857</f>
        <v>-0.56548667764616312</v>
      </c>
      <c r="AA857">
        <f t="shared" si="741"/>
        <v>-0.8910644221417231</v>
      </c>
      <c r="AB857">
        <f t="shared" ref="AB857:AB920" si="778">$AA$7+AA857</f>
        <v>6.9629172118327594</v>
      </c>
      <c r="AC857">
        <f t="shared" si="742"/>
        <v>-1.0216512475319808</v>
      </c>
      <c r="AD857">
        <f t="shared" ref="AD857:AD920" si="779">-LN(SIN(A857*PI()))</f>
        <v>0.62394431382941073</v>
      </c>
      <c r="AE857" s="9">
        <f t="shared" si="743"/>
        <v>6.5652102781301895</v>
      </c>
      <c r="AF857">
        <f t="shared" si="744"/>
        <v>3.3038185144902766E-306</v>
      </c>
      <c r="AH857">
        <f t="shared" ref="AH857:AH920" si="780">IF(use_alpha_near_1,$D$18,NA())</f>
        <v>7.8539816339744828</v>
      </c>
      <c r="AI857">
        <f t="shared" ref="AI857:AI920" si="781">IF(use_alpha_near_1,alpha/(alpha_m_1)*(log1p(-SIN(add_l)*_xlfn.COT(B857)-2*SIN(add_l/2)^2)-log1p(SIN(alpha_m_1*B857)*_xlfn.COT(B857)-2*SIN(alpha_m_1*B857/2)^2)),NA())</f>
        <v>-0.89106442214172343</v>
      </c>
      <c r="AJ857">
        <f t="shared" ref="AJ857:AJ920" si="782">IF(use_alpha_near_1,$D$21+LN(M857),NA())</f>
        <v>-1.0216512475319774</v>
      </c>
      <c r="AK857">
        <f t="shared" ref="AK857:AK920" si="783">IF(use_alpha_near_1,-LN(E857),NA())</f>
        <v>0.62394431382941073</v>
      </c>
      <c r="AL857" s="9">
        <f t="shared" si="745"/>
        <v>6.5652102781301931</v>
      </c>
      <c r="AM857" t="e">
        <f t="shared" ref="AM857:AM920" si="784">AL857-T857</f>
        <v>#N/A</v>
      </c>
      <c r="AN857" t="e">
        <f t="shared" si="746"/>
        <v>#N/A</v>
      </c>
      <c r="AO857">
        <f t="shared" ref="AO857:AO920" si="785">AH857-Y857</f>
        <v>0</v>
      </c>
      <c r="AP857">
        <f t="shared" ref="AP857:AP920" si="786">AI857-AA857</f>
        <v>0</v>
      </c>
      <c r="AQ857">
        <f t="shared" ref="AQ857:AQ920" si="787">AJ857-AC857</f>
        <v>3.3306690738754696E-15</v>
      </c>
      <c r="AR857">
        <f t="shared" si="747"/>
        <v>0</v>
      </c>
      <c r="AS857">
        <f t="shared" ref="AS857:AS920" si="788">AL857-AE857</f>
        <v>0</v>
      </c>
      <c r="AT857">
        <f t="shared" si="748"/>
        <v>0</v>
      </c>
      <c r="AU857">
        <f t="shared" si="749"/>
        <v>3.3038185144820244E-306</v>
      </c>
      <c r="AV857">
        <f t="shared" ref="AV857:AV920" si="789">alpha_m_1*C857+add_r</f>
        <v>5.6548667764616305E-21</v>
      </c>
      <c r="AW857" t="b">
        <f t="shared" si="750"/>
        <v>1</v>
      </c>
      <c r="AX857">
        <f t="shared" ref="AX857:AX920" si="790">IF(use_alpha_near_1,$D$18,NA())</f>
        <v>7.8539816339744828</v>
      </c>
      <c r="AY857">
        <f t="shared" ref="AY857:AY920" si="791">-alpha/alpha_m_1*log1p(_xlfn.COT(C857)*SIN(AV857)-2*SIN(AV857/2)^2)</f>
        <v>-0.89106442214172321</v>
      </c>
      <c r="AZ857">
        <f t="shared" ref="AZ857:AZ920" si="792">LN(ABS(zeta)*SIN(AV857))</f>
        <v>-1.0216512475319808</v>
      </c>
      <c r="BA857">
        <f t="shared" ref="BA857:BA920" si="793">-LN(SIN(C857))</f>
        <v>0.62394431382941096</v>
      </c>
      <c r="BB857">
        <f t="shared" ref="BB857:BB920" si="794">-log1p(zeta^-2)/(2*alpha_m_1)</f>
        <v>-1.2337005501361696E-20</v>
      </c>
      <c r="BD857" s="15">
        <f t="shared" si="751"/>
        <v>6.5652102781301895</v>
      </c>
      <c r="BE857" s="10">
        <f t="shared" si="752"/>
        <v>0</v>
      </c>
      <c r="BF857">
        <f t="shared" si="753"/>
        <v>0</v>
      </c>
      <c r="BG857">
        <f t="shared" si="754"/>
        <v>0</v>
      </c>
      <c r="BH857">
        <f t="shared" si="755"/>
        <v>0</v>
      </c>
      <c r="BI857">
        <f t="shared" si="756"/>
        <v>0</v>
      </c>
    </row>
    <row r="858" spans="1:61" x14ac:dyDescent="0.3">
      <c r="A858">
        <f t="shared" si="761"/>
        <v>0.82099999999999995</v>
      </c>
      <c r="B858">
        <f t="shared" si="762"/>
        <v>2.57924756859722</v>
      </c>
      <c r="C858">
        <f t="shared" si="763"/>
        <v>0.56234508499257307</v>
      </c>
      <c r="D858">
        <f t="shared" si="764"/>
        <v>0.56234508499257307</v>
      </c>
      <c r="E858">
        <f t="shared" si="769"/>
        <v>0.53317162073718882</v>
      </c>
      <c r="F858">
        <f t="shared" si="770"/>
        <v>0.53317162073718871</v>
      </c>
      <c r="G858">
        <f t="shared" si="765"/>
        <v>2.57924756859722</v>
      </c>
      <c r="H858">
        <f t="shared" si="766"/>
        <v>0.53317162073718882</v>
      </c>
      <c r="I858">
        <f t="shared" si="767"/>
        <v>0.53317162073718871</v>
      </c>
      <c r="J858">
        <f t="shared" si="757"/>
        <v>1.1940241145756411E+20</v>
      </c>
      <c r="K858">
        <f t="shared" si="758"/>
        <v>1.1940241145756411E+20</v>
      </c>
      <c r="L858">
        <f t="shared" si="771"/>
        <v>1</v>
      </c>
      <c r="M858">
        <f t="shared" si="768"/>
        <v>5.6234508499257301E-21</v>
      </c>
      <c r="N858" s="9">
        <f t="shared" si="759"/>
        <v>5.6234508499257301E-21</v>
      </c>
      <c r="O858">
        <f t="shared" si="760"/>
        <v>5.6234508499257301E-21</v>
      </c>
      <c r="Q858">
        <f t="shared" si="772"/>
        <v>46.229031071109389</v>
      </c>
      <c r="R858">
        <f t="shared" si="773"/>
        <v>0</v>
      </c>
      <c r="S858">
        <f t="shared" ref="S858:S921" si="795">LN(M858)</f>
        <v>-46.627341447172896</v>
      </c>
      <c r="T858" s="9" t="e">
        <f t="shared" si="774"/>
        <v>#N/A</v>
      </c>
      <c r="U858">
        <f t="shared" ref="U858:U921" si="796">IFERROR(T858-EXP(T858),-1E+300)</f>
        <v>-1.0000000000000001E+300</v>
      </c>
      <c r="V858">
        <f t="shared" ref="V858:V921" si="797">EXP(U858)</f>
        <v>0</v>
      </c>
      <c r="W858">
        <f t="shared" ref="W858:W921" si="798">IFERROR(T858-LN(N858),0)</f>
        <v>0</v>
      </c>
      <c r="X858">
        <f t="shared" si="775"/>
        <v>0.56234508499257307</v>
      </c>
      <c r="Y858">
        <f t="shared" si="776"/>
        <v>7.8539816339744828</v>
      </c>
      <c r="Z858">
        <f t="shared" si="777"/>
        <v>-0.56234508499257307</v>
      </c>
      <c r="AA858">
        <f t="shared" ref="AA858:AA921" si="799">Z858*TAN(PI()/2-X858)</f>
        <v>-0.89229793791971035</v>
      </c>
      <c r="AB858">
        <f t="shared" si="778"/>
        <v>6.9616836960547728</v>
      </c>
      <c r="AC858">
        <f t="shared" ref="AC858:AC921" si="800">LN(Z858/$AA$6)</f>
        <v>-1.0272222925814367</v>
      </c>
      <c r="AD858">
        <f t="shared" si="779"/>
        <v>0.62891191651793033</v>
      </c>
      <c r="AE858" s="9">
        <f t="shared" ref="AE858:AE921" si="801">AB858+AC858+AD858</f>
        <v>6.5633733199912667</v>
      </c>
      <c r="AF858">
        <f t="shared" ref="AF858:AF921" si="802">IFERROR(EXP(AE858)*EXP(-EXP(AE858)),0)</f>
        <v>1.2136455780712004E-305</v>
      </c>
      <c r="AH858">
        <f t="shared" si="780"/>
        <v>7.8539816339744828</v>
      </c>
      <c r="AI858">
        <f t="shared" si="781"/>
        <v>-0.89229793791971013</v>
      </c>
      <c r="AJ858">
        <f t="shared" si="782"/>
        <v>-1.0272222925814347</v>
      </c>
      <c r="AK858">
        <f t="shared" si="783"/>
        <v>0.62891191651793033</v>
      </c>
      <c r="AL858" s="9">
        <f t="shared" ref="AL858:AL921" si="803">SUM(AH858:AK858)</f>
        <v>6.5633733199912685</v>
      </c>
      <c r="AM858" t="e">
        <f t="shared" si="784"/>
        <v>#N/A</v>
      </c>
      <c r="AN858" t="e">
        <f t="shared" ref="AN858:AN921" si="804">AM858/AL858</f>
        <v>#N/A</v>
      </c>
      <c r="AO858">
        <f t="shared" si="785"/>
        <v>0</v>
      </c>
      <c r="AP858">
        <f t="shared" si="786"/>
        <v>0</v>
      </c>
      <c r="AQ858">
        <f t="shared" si="787"/>
        <v>1.9984014443252818E-15</v>
      </c>
      <c r="AR858">
        <f t="shared" ref="AR858:AR921" si="805">AP858/AI858</f>
        <v>0</v>
      </c>
      <c r="AS858">
        <f t="shared" si="788"/>
        <v>0</v>
      </c>
      <c r="AT858">
        <f t="shared" ref="AT858:AT921" si="806">AS858/AL858</f>
        <v>0</v>
      </c>
      <c r="AU858">
        <f t="shared" ref="AU858:AU921" si="807">IFERROR(EXP(AL858)*EXP(-EXP(AL858)),0)</f>
        <v>1.213645578069685E-305</v>
      </c>
      <c r="AV858">
        <f t="shared" si="789"/>
        <v>5.6234508499257301E-21</v>
      </c>
      <c r="AW858" t="b">
        <f t="shared" ref="AW858:AW921" si="808">(ABS(_xlfn.COT(C858)*SIN(AV858))&lt;0.00000001)</f>
        <v>1</v>
      </c>
      <c r="AX858">
        <f t="shared" si="790"/>
        <v>7.8539816339744828</v>
      </c>
      <c r="AY858">
        <f t="shared" si="791"/>
        <v>-0.89229793791971046</v>
      </c>
      <c r="AZ858">
        <f t="shared" si="792"/>
        <v>-1.0272222925814367</v>
      </c>
      <c r="BA858">
        <f t="shared" si="793"/>
        <v>0.62891191651793055</v>
      </c>
      <c r="BB858">
        <f t="shared" si="794"/>
        <v>-1.2337005501361696E-20</v>
      </c>
      <c r="BD858" s="15">
        <f t="shared" ref="BD858:BD921" si="809">SUM(AX858:BB858)</f>
        <v>6.5633733199912658</v>
      </c>
      <c r="BE858" s="10">
        <f t="shared" ref="BE858:BE921" si="810">BD858-AL858</f>
        <v>0</v>
      </c>
      <c r="BF858">
        <f t="shared" ref="BF858:BF921" si="811">BD858-AE858</f>
        <v>0</v>
      </c>
      <c r="BG858">
        <f t="shared" ref="BG858:BG921" si="812">AX858-Y858</f>
        <v>0</v>
      </c>
      <c r="BH858">
        <f t="shared" ref="BH858:BH921" si="813">AY858-AA858</f>
        <v>0</v>
      </c>
      <c r="BI858">
        <f t="shared" ref="BI858:BI921" si="814">AZ858-AC858</f>
        <v>0</v>
      </c>
    </row>
    <row r="859" spans="1:61" x14ac:dyDescent="0.3">
      <c r="A859">
        <f t="shared" si="761"/>
        <v>0.82199999999999995</v>
      </c>
      <c r="B859">
        <f t="shared" si="762"/>
        <v>2.5823891612508096</v>
      </c>
      <c r="C859">
        <f t="shared" si="763"/>
        <v>0.55920349233898348</v>
      </c>
      <c r="D859">
        <f t="shared" si="764"/>
        <v>0.55920349233898348</v>
      </c>
      <c r="E859">
        <f t="shared" si="769"/>
        <v>0.53051118430673438</v>
      </c>
      <c r="F859">
        <f t="shared" si="770"/>
        <v>0.53051118430673427</v>
      </c>
      <c r="G859">
        <f t="shared" si="765"/>
        <v>2.5823891612508096</v>
      </c>
      <c r="H859">
        <f t="shared" si="766"/>
        <v>0.53051118430673438</v>
      </c>
      <c r="I859">
        <f t="shared" si="767"/>
        <v>0.53051118430673427</v>
      </c>
      <c r="J859">
        <f t="shared" si="757"/>
        <v>1.2000119718484512E+20</v>
      </c>
      <c r="K859">
        <f t="shared" si="758"/>
        <v>1.2000119718484512E+20</v>
      </c>
      <c r="L859" t="e">
        <f t="shared" si="771"/>
        <v>#NUM!</v>
      </c>
      <c r="M859">
        <f t="shared" si="768"/>
        <v>5.5920349233898335E-21</v>
      </c>
      <c r="N859" s="9" t="e">
        <f t="shared" si="759"/>
        <v>#NUM!</v>
      </c>
      <c r="O859" t="e">
        <f t="shared" si="760"/>
        <v>#NUM!</v>
      </c>
      <c r="Q859">
        <f t="shared" si="772"/>
        <v>46.234033393165475</v>
      </c>
      <c r="R859">
        <f t="shared" si="773"/>
        <v>-710542.73576010019</v>
      </c>
      <c r="S859">
        <f t="shared" si="795"/>
        <v>-46.632943702721562</v>
      </c>
      <c r="T859" s="9" t="e">
        <f t="shared" si="774"/>
        <v>#N/A</v>
      </c>
      <c r="U859">
        <f t="shared" si="796"/>
        <v>-1.0000000000000001E+300</v>
      </c>
      <c r="V859">
        <f t="shared" si="797"/>
        <v>0</v>
      </c>
      <c r="W859">
        <f t="shared" si="798"/>
        <v>0</v>
      </c>
      <c r="X859">
        <f t="shared" si="775"/>
        <v>0.55920349233898348</v>
      </c>
      <c r="Y859">
        <f t="shared" si="776"/>
        <v>7.8539816339744828</v>
      </c>
      <c r="Z859">
        <f t="shared" si="777"/>
        <v>-0.55920349233898348</v>
      </c>
      <c r="AA859">
        <f t="shared" si="799"/>
        <v>-0.89352397510135351</v>
      </c>
      <c r="AB859">
        <f t="shared" si="778"/>
        <v>6.9604576588731293</v>
      </c>
      <c r="AC859">
        <f t="shared" si="800"/>
        <v>-1.0328245481301059</v>
      </c>
      <c r="AD859">
        <f t="shared" si="779"/>
        <v>0.63391423857401996</v>
      </c>
      <c r="AE859" s="9">
        <f t="shared" si="801"/>
        <v>6.5615473493170438</v>
      </c>
      <c r="AF859">
        <f t="shared" si="802"/>
        <v>4.4132489739379894E-305</v>
      </c>
      <c r="AH859">
        <f t="shared" si="780"/>
        <v>7.8539816339744828</v>
      </c>
      <c r="AI859">
        <f t="shared" si="781"/>
        <v>-0.89352397510135351</v>
      </c>
      <c r="AJ859">
        <f t="shared" si="782"/>
        <v>-1.032824548130101</v>
      </c>
      <c r="AK859">
        <f t="shared" si="783"/>
        <v>0.63391423857401996</v>
      </c>
      <c r="AL859" s="9">
        <f t="shared" si="803"/>
        <v>6.5615473493170482</v>
      </c>
      <c r="AM859" t="e">
        <f t="shared" si="784"/>
        <v>#N/A</v>
      </c>
      <c r="AN859" t="e">
        <f t="shared" si="804"/>
        <v>#N/A</v>
      </c>
      <c r="AO859">
        <f t="shared" si="785"/>
        <v>0</v>
      </c>
      <c r="AP859">
        <f t="shared" si="786"/>
        <v>0</v>
      </c>
      <c r="AQ859">
        <f t="shared" si="787"/>
        <v>4.8849813083506888E-15</v>
      </c>
      <c r="AR859">
        <f t="shared" si="805"/>
        <v>0</v>
      </c>
      <c r="AS859">
        <f t="shared" si="788"/>
        <v>0</v>
      </c>
      <c r="AT859">
        <f t="shared" si="806"/>
        <v>0</v>
      </c>
      <c r="AU859">
        <f t="shared" si="807"/>
        <v>4.4132489739244625E-305</v>
      </c>
      <c r="AV859">
        <f t="shared" si="789"/>
        <v>5.5920349233898343E-21</v>
      </c>
      <c r="AW859" t="b">
        <f t="shared" si="808"/>
        <v>1</v>
      </c>
      <c r="AX859">
        <f t="shared" si="790"/>
        <v>7.8539816339744828</v>
      </c>
      <c r="AY859">
        <f t="shared" si="791"/>
        <v>-0.89352397510135351</v>
      </c>
      <c r="AZ859">
        <f t="shared" si="792"/>
        <v>-1.0328245481301059</v>
      </c>
      <c r="BA859">
        <f t="shared" si="793"/>
        <v>0.63391423857402018</v>
      </c>
      <c r="BB859">
        <f t="shared" si="794"/>
        <v>-1.2337005501361696E-20</v>
      </c>
      <c r="BD859" s="15">
        <f t="shared" si="809"/>
        <v>6.5615473493170438</v>
      </c>
      <c r="BE859" s="10">
        <f t="shared" si="810"/>
        <v>0</v>
      </c>
      <c r="BF859">
        <f t="shared" si="811"/>
        <v>0</v>
      </c>
      <c r="BG859">
        <f t="shared" si="812"/>
        <v>0</v>
      </c>
      <c r="BH859">
        <f t="shared" si="813"/>
        <v>0</v>
      </c>
      <c r="BI859">
        <f t="shared" si="814"/>
        <v>0</v>
      </c>
    </row>
    <row r="860" spans="1:61" x14ac:dyDescent="0.3">
      <c r="A860">
        <f t="shared" si="761"/>
        <v>0.82299999999999995</v>
      </c>
      <c r="B860">
        <f t="shared" si="762"/>
        <v>2.5855307539043997</v>
      </c>
      <c r="C860">
        <f t="shared" si="763"/>
        <v>0.55606189968539343</v>
      </c>
      <c r="D860">
        <f t="shared" si="764"/>
        <v>0.55606189968539343</v>
      </c>
      <c r="E860">
        <f t="shared" si="769"/>
        <v>0.52784551194506657</v>
      </c>
      <c r="F860">
        <f t="shared" si="770"/>
        <v>0.52784551194506646</v>
      </c>
      <c r="G860">
        <f t="shared" si="765"/>
        <v>2.5855307539043997</v>
      </c>
      <c r="H860">
        <f t="shared" si="766"/>
        <v>0.52784551194506657</v>
      </c>
      <c r="I860">
        <f t="shared" si="767"/>
        <v>0.52784551194506646</v>
      </c>
      <c r="J860">
        <f t="shared" si="757"/>
        <v>1.2060721517204737E+20</v>
      </c>
      <c r="K860">
        <f t="shared" si="758"/>
        <v>1.2060721517204737E+20</v>
      </c>
      <c r="L860">
        <f t="shared" si="771"/>
        <v>1</v>
      </c>
      <c r="M860">
        <f t="shared" si="768"/>
        <v>5.5606189968539339E-21</v>
      </c>
      <c r="N860" s="9">
        <f t="shared" si="759"/>
        <v>5.5606189968539339E-21</v>
      </c>
      <c r="O860">
        <f t="shared" si="760"/>
        <v>5.5606189968539339E-21</v>
      </c>
      <c r="Q860">
        <f t="shared" si="772"/>
        <v>46.23907078369357</v>
      </c>
      <c r="R860">
        <f t="shared" si="773"/>
        <v>0</v>
      </c>
      <c r="S860">
        <f t="shared" si="795"/>
        <v>-46.638577520439824</v>
      </c>
      <c r="T860" s="9" t="e">
        <f t="shared" si="774"/>
        <v>#N/A</v>
      </c>
      <c r="U860">
        <f t="shared" si="796"/>
        <v>-1.0000000000000001E+300</v>
      </c>
      <c r="V860">
        <f t="shared" si="797"/>
        <v>0</v>
      </c>
      <c r="W860">
        <f t="shared" si="798"/>
        <v>0</v>
      </c>
      <c r="X860">
        <f t="shared" si="775"/>
        <v>0.55606189968539343</v>
      </c>
      <c r="Y860">
        <f t="shared" si="776"/>
        <v>7.8539816339744828</v>
      </c>
      <c r="Z860">
        <f t="shared" si="777"/>
        <v>-0.55606189968539343</v>
      </c>
      <c r="AA860">
        <f t="shared" si="799"/>
        <v>-0.89474254447980139</v>
      </c>
      <c r="AB860">
        <f t="shared" si="778"/>
        <v>6.9592390894946812</v>
      </c>
      <c r="AC860">
        <f t="shared" si="800"/>
        <v>-1.0384583658483626</v>
      </c>
      <c r="AD860">
        <f t="shared" si="779"/>
        <v>0.6389516291021089</v>
      </c>
      <c r="AE860" s="9">
        <f t="shared" si="801"/>
        <v>6.5597323527484273</v>
      </c>
      <c r="AF860">
        <f t="shared" si="802"/>
        <v>1.5886941839431618E-304</v>
      </c>
      <c r="AH860">
        <f t="shared" si="780"/>
        <v>7.8539816339744828</v>
      </c>
      <c r="AI860">
        <f t="shared" si="781"/>
        <v>-0.89474254447980139</v>
      </c>
      <c r="AJ860">
        <f t="shared" si="782"/>
        <v>-1.0384583658483635</v>
      </c>
      <c r="AK860">
        <f t="shared" si="783"/>
        <v>0.6389516291021089</v>
      </c>
      <c r="AL860" s="9">
        <f t="shared" si="803"/>
        <v>6.5597323527484264</v>
      </c>
      <c r="AM860" t="e">
        <f t="shared" si="784"/>
        <v>#N/A</v>
      </c>
      <c r="AN860" t="e">
        <f t="shared" si="804"/>
        <v>#N/A</v>
      </c>
      <c r="AO860">
        <f t="shared" si="785"/>
        <v>0</v>
      </c>
      <c r="AP860">
        <f t="shared" si="786"/>
        <v>0</v>
      </c>
      <c r="AQ860">
        <f t="shared" si="787"/>
        <v>0</v>
      </c>
      <c r="AR860">
        <f t="shared" si="805"/>
        <v>0</v>
      </c>
      <c r="AS860">
        <f t="shared" si="788"/>
        <v>0</v>
      </c>
      <c r="AT860">
        <f t="shared" si="806"/>
        <v>0</v>
      </c>
      <c r="AU860">
        <f t="shared" si="807"/>
        <v>1.5886941839440636E-304</v>
      </c>
      <c r="AV860">
        <f t="shared" si="789"/>
        <v>5.5606189968539339E-21</v>
      </c>
      <c r="AW860" t="b">
        <f t="shared" si="808"/>
        <v>1</v>
      </c>
      <c r="AX860">
        <f t="shared" si="790"/>
        <v>7.8539816339744828</v>
      </c>
      <c r="AY860">
        <f t="shared" si="791"/>
        <v>-0.89474254447980139</v>
      </c>
      <c r="AZ860">
        <f t="shared" si="792"/>
        <v>-1.0384583658483626</v>
      </c>
      <c r="BA860">
        <f t="shared" si="793"/>
        <v>0.63895162910210912</v>
      </c>
      <c r="BB860">
        <f t="shared" si="794"/>
        <v>-1.2337005501361696E-20</v>
      </c>
      <c r="BD860" s="15">
        <f t="shared" si="809"/>
        <v>6.5597323527484281</v>
      </c>
      <c r="BE860" s="10">
        <f t="shared" si="810"/>
        <v>0</v>
      </c>
      <c r="BF860">
        <f t="shared" si="811"/>
        <v>0</v>
      </c>
      <c r="BG860">
        <f t="shared" si="812"/>
        <v>0</v>
      </c>
      <c r="BH860">
        <f t="shared" si="813"/>
        <v>0</v>
      </c>
      <c r="BI860">
        <f t="shared" si="814"/>
        <v>0</v>
      </c>
    </row>
    <row r="861" spans="1:61" x14ac:dyDescent="0.3">
      <c r="A861">
        <f t="shared" si="761"/>
        <v>0.82399999999999995</v>
      </c>
      <c r="B861">
        <f t="shared" si="762"/>
        <v>2.5886723465579893</v>
      </c>
      <c r="C861">
        <f t="shared" si="763"/>
        <v>0.55292030703180384</v>
      </c>
      <c r="D861">
        <f t="shared" si="764"/>
        <v>0.55292030703180384</v>
      </c>
      <c r="E861">
        <f t="shared" si="769"/>
        <v>0.52517462996129605</v>
      </c>
      <c r="F861">
        <f t="shared" si="770"/>
        <v>0.52517462996129594</v>
      </c>
      <c r="G861">
        <f t="shared" si="765"/>
        <v>2.5886723465579893</v>
      </c>
      <c r="H861">
        <f t="shared" si="766"/>
        <v>0.52517462996129605</v>
      </c>
      <c r="I861">
        <f t="shared" si="767"/>
        <v>0.52517462996129594</v>
      </c>
      <c r="J861">
        <f t="shared" si="757"/>
        <v>1.212205876004518E+20</v>
      </c>
      <c r="K861">
        <f t="shared" si="758"/>
        <v>1.212205876004518E+20</v>
      </c>
      <c r="L861">
        <f t="shared" si="771"/>
        <v>1</v>
      </c>
      <c r="M861">
        <f t="shared" si="768"/>
        <v>5.5292030703180373E-21</v>
      </c>
      <c r="N861" s="9">
        <f t="shared" si="759"/>
        <v>5.5292030703180373E-21</v>
      </c>
      <c r="O861">
        <f t="shared" si="760"/>
        <v>5.5292030703180373E-21</v>
      </c>
      <c r="Q861">
        <f t="shared" si="772"/>
        <v>46.244143597792856</v>
      </c>
      <c r="R861">
        <f t="shared" si="773"/>
        <v>-710542.73576010019</v>
      </c>
      <c r="S861">
        <f t="shared" si="795"/>
        <v>-46.644243257975496</v>
      </c>
      <c r="T861" s="9" t="e">
        <f t="shared" si="774"/>
        <v>#N/A</v>
      </c>
      <c r="U861">
        <f t="shared" si="796"/>
        <v>-1.0000000000000001E+300</v>
      </c>
      <c r="V861">
        <f t="shared" si="797"/>
        <v>0</v>
      </c>
      <c r="W861">
        <f t="shared" si="798"/>
        <v>0</v>
      </c>
      <c r="X861">
        <f t="shared" si="775"/>
        <v>0.55292030703180384</v>
      </c>
      <c r="Y861">
        <f t="shared" si="776"/>
        <v>7.8539816339744828</v>
      </c>
      <c r="Z861">
        <f t="shared" si="777"/>
        <v>-0.55292030703180384</v>
      </c>
      <c r="AA861">
        <f t="shared" si="799"/>
        <v>-0.89595365676930894</v>
      </c>
      <c r="AB861">
        <f t="shared" si="778"/>
        <v>6.9580279772051741</v>
      </c>
      <c r="AC861">
        <f t="shared" si="800"/>
        <v>-1.0441241033840396</v>
      </c>
      <c r="AD861">
        <f t="shared" si="779"/>
        <v>0.64402444320140084</v>
      </c>
      <c r="AE861" s="9">
        <f t="shared" si="801"/>
        <v>6.5579283170225349</v>
      </c>
      <c r="AF861">
        <f t="shared" si="802"/>
        <v>5.6618940373476378E-304</v>
      </c>
      <c r="AH861">
        <f t="shared" si="780"/>
        <v>7.8539816339744828</v>
      </c>
      <c r="AI861">
        <f t="shared" si="781"/>
        <v>-0.89595365676930849</v>
      </c>
      <c r="AJ861">
        <f t="shared" si="782"/>
        <v>-1.0441241033840356</v>
      </c>
      <c r="AK861">
        <f t="shared" si="783"/>
        <v>0.64402444320140084</v>
      </c>
      <c r="AL861" s="9">
        <f t="shared" si="803"/>
        <v>6.5579283170225393</v>
      </c>
      <c r="AM861" t="e">
        <f t="shared" si="784"/>
        <v>#N/A</v>
      </c>
      <c r="AN861" t="e">
        <f t="shared" si="804"/>
        <v>#N/A</v>
      </c>
      <c r="AO861">
        <f t="shared" si="785"/>
        <v>0</v>
      </c>
      <c r="AP861">
        <f t="shared" si="786"/>
        <v>0</v>
      </c>
      <c r="AQ861">
        <f t="shared" si="787"/>
        <v>3.9968028886505635E-15</v>
      </c>
      <c r="AR861">
        <f t="shared" si="805"/>
        <v>0</v>
      </c>
      <c r="AS861">
        <f t="shared" si="788"/>
        <v>0</v>
      </c>
      <c r="AT861">
        <f t="shared" si="806"/>
        <v>0</v>
      </c>
      <c r="AU861">
        <f t="shared" si="807"/>
        <v>5.6618940373296407E-304</v>
      </c>
      <c r="AV861">
        <f t="shared" si="789"/>
        <v>5.5292030703180381E-21</v>
      </c>
      <c r="AW861" t="b">
        <f t="shared" si="808"/>
        <v>1</v>
      </c>
      <c r="AX861">
        <f t="shared" si="790"/>
        <v>7.8539816339744828</v>
      </c>
      <c r="AY861">
        <f t="shared" si="791"/>
        <v>-0.89595365676930894</v>
      </c>
      <c r="AZ861">
        <f t="shared" si="792"/>
        <v>-1.0441241033840396</v>
      </c>
      <c r="BA861">
        <f t="shared" si="793"/>
        <v>0.64402444320140106</v>
      </c>
      <c r="BB861">
        <f t="shared" si="794"/>
        <v>-1.2337005501361696E-20</v>
      </c>
      <c r="BD861" s="15">
        <f t="shared" si="809"/>
        <v>6.5579283170225349</v>
      </c>
      <c r="BE861" s="10">
        <f t="shared" si="810"/>
        <v>0</v>
      </c>
      <c r="BF861">
        <f t="shared" si="811"/>
        <v>0</v>
      </c>
      <c r="BG861">
        <f t="shared" si="812"/>
        <v>0</v>
      </c>
      <c r="BH861">
        <f t="shared" si="813"/>
        <v>0</v>
      </c>
      <c r="BI861">
        <f t="shared" si="814"/>
        <v>0</v>
      </c>
    </row>
    <row r="862" spans="1:61" x14ac:dyDescent="0.3">
      <c r="A862">
        <f t="shared" si="761"/>
        <v>0.82499999999999996</v>
      </c>
      <c r="B862">
        <f t="shared" si="762"/>
        <v>2.5918139392115793</v>
      </c>
      <c r="C862">
        <f t="shared" si="763"/>
        <v>0.5497787143782138</v>
      </c>
      <c r="D862">
        <f t="shared" si="764"/>
        <v>0.5497787143782138</v>
      </c>
      <c r="E862">
        <f t="shared" si="769"/>
        <v>0.52249856471594891</v>
      </c>
      <c r="F862">
        <f t="shared" si="770"/>
        <v>0.5224985647159488</v>
      </c>
      <c r="G862">
        <f t="shared" si="765"/>
        <v>2.5918139392115793</v>
      </c>
      <c r="H862">
        <f t="shared" si="766"/>
        <v>0.52249856471594891</v>
      </c>
      <c r="I862">
        <f t="shared" si="767"/>
        <v>0.5224985647159488</v>
      </c>
      <c r="J862">
        <f t="shared" si="757"/>
        <v>1.2184143945231186E+20</v>
      </c>
      <c r="K862">
        <f t="shared" si="758"/>
        <v>1.2184143945231186E+20</v>
      </c>
      <c r="L862">
        <f t="shared" si="771"/>
        <v>1</v>
      </c>
      <c r="M862">
        <f t="shared" si="768"/>
        <v>5.4977871437821377E-21</v>
      </c>
      <c r="N862" s="9">
        <f t="shared" si="759"/>
        <v>5.4977871437821377E-21</v>
      </c>
      <c r="O862">
        <f t="shared" si="760"/>
        <v>5.4977871437821377E-21</v>
      </c>
      <c r="Q862">
        <f t="shared" si="772"/>
        <v>46.249252196693526</v>
      </c>
      <c r="R862">
        <f t="shared" si="773"/>
        <v>0</v>
      </c>
      <c r="S862">
        <f t="shared" si="795"/>
        <v>-46.649941279090136</v>
      </c>
      <c r="T862" s="9" t="e">
        <f t="shared" si="774"/>
        <v>#N/A</v>
      </c>
      <c r="U862">
        <f t="shared" si="796"/>
        <v>-1.0000000000000001E+300</v>
      </c>
      <c r="V862">
        <f t="shared" si="797"/>
        <v>0</v>
      </c>
      <c r="W862">
        <f t="shared" si="798"/>
        <v>0</v>
      </c>
      <c r="X862">
        <f t="shared" si="775"/>
        <v>0.5497787143782138</v>
      </c>
      <c r="Y862">
        <f t="shared" si="776"/>
        <v>7.8539816339744828</v>
      </c>
      <c r="Z862">
        <f t="shared" si="777"/>
        <v>-0.5497787143782138</v>
      </c>
      <c r="AA862">
        <f t="shared" si="799"/>
        <v>-0.89715732260558501</v>
      </c>
      <c r="AB862">
        <f t="shared" si="778"/>
        <v>6.9568243113688979</v>
      </c>
      <c r="AC862">
        <f t="shared" si="800"/>
        <v>-1.0498221244986778</v>
      </c>
      <c r="AD862">
        <f t="shared" si="779"/>
        <v>0.64913304210206557</v>
      </c>
      <c r="AE862" s="9">
        <f t="shared" si="801"/>
        <v>6.5561352289722858</v>
      </c>
      <c r="AF862">
        <f t="shared" si="802"/>
        <v>1.9977756457757631E-303</v>
      </c>
      <c r="AH862">
        <f t="shared" si="780"/>
        <v>7.8539816339744828</v>
      </c>
      <c r="AI862">
        <f t="shared" si="781"/>
        <v>-0.89715732260558456</v>
      </c>
      <c r="AJ862">
        <f t="shared" si="782"/>
        <v>-1.0498221244986752</v>
      </c>
      <c r="AK862">
        <f t="shared" si="783"/>
        <v>0.64913304210206557</v>
      </c>
      <c r="AL862" s="9">
        <f t="shared" si="803"/>
        <v>6.5561352289722885</v>
      </c>
      <c r="AM862" t="e">
        <f t="shared" si="784"/>
        <v>#N/A</v>
      </c>
      <c r="AN862" t="e">
        <f t="shared" si="804"/>
        <v>#N/A</v>
      </c>
      <c r="AO862">
        <f t="shared" si="785"/>
        <v>0</v>
      </c>
      <c r="AP862">
        <f t="shared" si="786"/>
        <v>0</v>
      </c>
      <c r="AQ862">
        <f t="shared" si="787"/>
        <v>2.6645352591003757E-15</v>
      </c>
      <c r="AR862">
        <f t="shared" si="805"/>
        <v>0</v>
      </c>
      <c r="AS862">
        <f t="shared" si="788"/>
        <v>0</v>
      </c>
      <c r="AT862">
        <f t="shared" si="806"/>
        <v>0</v>
      </c>
      <c r="AU862">
        <f t="shared" si="807"/>
        <v>1.9977756457719074E-303</v>
      </c>
      <c r="AV862">
        <f t="shared" si="789"/>
        <v>5.4977871437821377E-21</v>
      </c>
      <c r="AW862" t="b">
        <f t="shared" si="808"/>
        <v>1</v>
      </c>
      <c r="AX862">
        <f t="shared" si="790"/>
        <v>7.8539816339744828</v>
      </c>
      <c r="AY862">
        <f t="shared" si="791"/>
        <v>-0.89715732260558501</v>
      </c>
      <c r="AZ862">
        <f t="shared" si="792"/>
        <v>-1.0498221244986776</v>
      </c>
      <c r="BA862">
        <f t="shared" si="793"/>
        <v>0.64913304210206579</v>
      </c>
      <c r="BB862">
        <f t="shared" si="794"/>
        <v>-1.2337005501361696E-20</v>
      </c>
      <c r="BD862" s="15">
        <f t="shared" si="809"/>
        <v>6.5561352289722858</v>
      </c>
      <c r="BE862" s="10">
        <f t="shared" si="810"/>
        <v>0</v>
      </c>
      <c r="BF862">
        <f t="shared" si="811"/>
        <v>0</v>
      </c>
      <c r="BG862">
        <f t="shared" si="812"/>
        <v>0</v>
      </c>
      <c r="BH862">
        <f t="shared" si="813"/>
        <v>0</v>
      </c>
      <c r="BI862">
        <f t="shared" si="814"/>
        <v>0</v>
      </c>
    </row>
    <row r="863" spans="1:61" x14ac:dyDescent="0.3">
      <c r="A863">
        <f t="shared" si="761"/>
        <v>0.82599999999999996</v>
      </c>
      <c r="B863">
        <f t="shared" si="762"/>
        <v>2.5949555318651689</v>
      </c>
      <c r="C863">
        <f t="shared" si="763"/>
        <v>0.5466371217246242</v>
      </c>
      <c r="D863">
        <f t="shared" si="764"/>
        <v>0.5466371217246242</v>
      </c>
      <c r="E863">
        <f t="shared" si="769"/>
        <v>0.51981734262070978</v>
      </c>
      <c r="F863">
        <f t="shared" si="770"/>
        <v>0.51981734262070967</v>
      </c>
      <c r="G863">
        <f t="shared" si="765"/>
        <v>2.5949555318651689</v>
      </c>
      <c r="H863">
        <f t="shared" si="766"/>
        <v>0.51981734262070978</v>
      </c>
      <c r="I863">
        <f t="shared" si="767"/>
        <v>0.51981734262070967</v>
      </c>
      <c r="J863">
        <f t="shared" si="757"/>
        <v>1.2246989859130148E+20</v>
      </c>
      <c r="K863">
        <f t="shared" si="758"/>
        <v>1.2246989859130148E+20</v>
      </c>
      <c r="L863">
        <f t="shared" si="771"/>
        <v>1</v>
      </c>
      <c r="M863">
        <f t="shared" si="768"/>
        <v>5.4663712172462411E-21</v>
      </c>
      <c r="N863" s="9">
        <f t="shared" si="759"/>
        <v>5.4663712172462411E-21</v>
      </c>
      <c r="O863">
        <f t="shared" si="760"/>
        <v>5.4663712172462411E-21</v>
      </c>
      <c r="Q863">
        <f t="shared" si="772"/>
        <v>46.25439694789678</v>
      </c>
      <c r="R863">
        <f t="shared" si="773"/>
        <v>-710542.73576010019</v>
      </c>
      <c r="S863">
        <f t="shared" si="795"/>
        <v>-46.655671953799121</v>
      </c>
      <c r="T863" s="9" t="e">
        <f t="shared" si="774"/>
        <v>#N/A</v>
      </c>
      <c r="U863">
        <f t="shared" si="796"/>
        <v>-1.0000000000000001E+300</v>
      </c>
      <c r="V863">
        <f t="shared" si="797"/>
        <v>0</v>
      </c>
      <c r="W863">
        <f t="shared" si="798"/>
        <v>0</v>
      </c>
      <c r="X863">
        <f t="shared" si="775"/>
        <v>0.5466371217246242</v>
      </c>
      <c r="Y863">
        <f t="shared" si="776"/>
        <v>7.8539816339744828</v>
      </c>
      <c r="Z863">
        <f t="shared" si="777"/>
        <v>-0.5466371217246242</v>
      </c>
      <c r="AA863">
        <f t="shared" si="799"/>
        <v>-0.8983535525461368</v>
      </c>
      <c r="AB863">
        <f t="shared" si="778"/>
        <v>6.9556280814283458</v>
      </c>
      <c r="AC863">
        <f t="shared" si="800"/>
        <v>-1.0555527992076623</v>
      </c>
      <c r="AD863">
        <f t="shared" si="779"/>
        <v>0.65427779330532354</v>
      </c>
      <c r="AE863" s="9">
        <f t="shared" si="801"/>
        <v>6.5543530755260067</v>
      </c>
      <c r="AF863">
        <f t="shared" si="802"/>
        <v>6.9794145043147292E-303</v>
      </c>
      <c r="AH863">
        <f t="shared" si="780"/>
        <v>7.8539816339744828</v>
      </c>
      <c r="AI863">
        <f t="shared" si="781"/>
        <v>-0.89835355254613702</v>
      </c>
      <c r="AJ863">
        <f t="shared" si="782"/>
        <v>-1.0555527992076605</v>
      </c>
      <c r="AK863">
        <f t="shared" si="783"/>
        <v>0.65427779330532354</v>
      </c>
      <c r="AL863" s="9">
        <f t="shared" si="803"/>
        <v>6.5543530755260084</v>
      </c>
      <c r="AM863" t="e">
        <f t="shared" si="784"/>
        <v>#N/A</v>
      </c>
      <c r="AN863" t="e">
        <f t="shared" si="804"/>
        <v>#N/A</v>
      </c>
      <c r="AO863">
        <f t="shared" si="785"/>
        <v>0</v>
      </c>
      <c r="AP863">
        <f t="shared" si="786"/>
        <v>0</v>
      </c>
      <c r="AQ863">
        <f t="shared" si="787"/>
        <v>1.7763568394002505E-15</v>
      </c>
      <c r="AR863">
        <f t="shared" si="805"/>
        <v>0</v>
      </c>
      <c r="AS863">
        <f t="shared" si="788"/>
        <v>0</v>
      </c>
      <c r="AT863">
        <f t="shared" si="806"/>
        <v>0</v>
      </c>
      <c r="AU863">
        <f t="shared" si="807"/>
        <v>6.9794145043060141E-303</v>
      </c>
      <c r="AV863">
        <f t="shared" si="789"/>
        <v>5.4663712172462418E-21</v>
      </c>
      <c r="AW863" t="b">
        <f t="shared" si="808"/>
        <v>1</v>
      </c>
      <c r="AX863">
        <f t="shared" si="790"/>
        <v>7.8539816339744828</v>
      </c>
      <c r="AY863">
        <f t="shared" si="791"/>
        <v>-0.89835355254613669</v>
      </c>
      <c r="AZ863">
        <f t="shared" si="792"/>
        <v>-1.0555527992076623</v>
      </c>
      <c r="BA863">
        <f t="shared" si="793"/>
        <v>0.65427779330532376</v>
      </c>
      <c r="BB863">
        <f t="shared" si="794"/>
        <v>-1.2337005501361696E-20</v>
      </c>
      <c r="BD863" s="15">
        <f t="shared" si="809"/>
        <v>6.5543530755260075</v>
      </c>
      <c r="BE863" s="10">
        <f t="shared" si="810"/>
        <v>0</v>
      </c>
      <c r="BF863">
        <f t="shared" si="811"/>
        <v>0</v>
      </c>
      <c r="BG863">
        <f t="shared" si="812"/>
        <v>0</v>
      </c>
      <c r="BH863">
        <f t="shared" si="813"/>
        <v>0</v>
      </c>
      <c r="BI863">
        <f t="shared" si="814"/>
        <v>0</v>
      </c>
    </row>
    <row r="864" spans="1:61" x14ac:dyDescent="0.3">
      <c r="A864">
        <f t="shared" si="761"/>
        <v>0.82699999999999996</v>
      </c>
      <c r="B864">
        <f t="shared" si="762"/>
        <v>2.598097124518759</v>
      </c>
      <c r="C864">
        <f t="shared" si="763"/>
        <v>0.54349552907103416</v>
      </c>
      <c r="D864">
        <f t="shared" si="764"/>
        <v>0.54349552907103416</v>
      </c>
      <c r="E864">
        <f t="shared" si="769"/>
        <v>0.51713099013815722</v>
      </c>
      <c r="F864">
        <f t="shared" si="770"/>
        <v>0.51713099013815711</v>
      </c>
      <c r="G864">
        <f t="shared" si="765"/>
        <v>2.598097124518759</v>
      </c>
      <c r="H864">
        <f t="shared" si="766"/>
        <v>0.51713099013815722</v>
      </c>
      <c r="I864">
        <f t="shared" si="767"/>
        <v>0.51713099013815711</v>
      </c>
      <c r="J864">
        <f t="shared" si="757"/>
        <v>1.2310609584575496E+20</v>
      </c>
      <c r="K864">
        <f t="shared" si="758"/>
        <v>1.2310609584575496E+20</v>
      </c>
      <c r="L864">
        <f t="shared" si="771"/>
        <v>1</v>
      </c>
      <c r="M864">
        <f t="shared" si="768"/>
        <v>5.4349552907103415E-21</v>
      </c>
      <c r="N864" s="9">
        <f t="shared" si="759"/>
        <v>5.4349552907103415E-21</v>
      </c>
      <c r="O864">
        <f t="shared" si="760"/>
        <v>5.4349552907103415E-21</v>
      </c>
      <c r="Q864">
        <f t="shared" si="772"/>
        <v>46.259578225319039</v>
      </c>
      <c r="R864">
        <f t="shared" si="773"/>
        <v>-710542.73576010019</v>
      </c>
      <c r="S864">
        <f t="shared" si="795"/>
        <v>-46.66143565851587</v>
      </c>
      <c r="T864" s="9" t="e">
        <f t="shared" si="774"/>
        <v>#N/A</v>
      </c>
      <c r="U864">
        <f t="shared" si="796"/>
        <v>-1.0000000000000001E+300</v>
      </c>
      <c r="V864">
        <f t="shared" si="797"/>
        <v>0</v>
      </c>
      <c r="W864">
        <f t="shared" si="798"/>
        <v>0</v>
      </c>
      <c r="X864">
        <f t="shared" si="775"/>
        <v>0.54349552907103416</v>
      </c>
      <c r="Y864">
        <f t="shared" si="776"/>
        <v>7.8539816339744828</v>
      </c>
      <c r="Z864">
        <f t="shared" si="777"/>
        <v>-0.54349552907103416</v>
      </c>
      <c r="AA864">
        <f t="shared" si="799"/>
        <v>-0.89954235707061059</v>
      </c>
      <c r="AB864">
        <f t="shared" si="778"/>
        <v>6.9544392769038721</v>
      </c>
      <c r="AC864">
        <f t="shared" si="800"/>
        <v>-1.0613165039244128</v>
      </c>
      <c r="AD864">
        <f t="shared" si="779"/>
        <v>0.65945907072758303</v>
      </c>
      <c r="AE864" s="9">
        <f t="shared" si="801"/>
        <v>6.552581843707042</v>
      </c>
      <c r="AF864">
        <f t="shared" si="802"/>
        <v>2.4143603422368808E-302</v>
      </c>
      <c r="AH864">
        <f t="shared" si="780"/>
        <v>7.8539816339744828</v>
      </c>
      <c r="AI864">
        <f t="shared" si="781"/>
        <v>-0.89954235707061025</v>
      </c>
      <c r="AJ864">
        <f t="shared" si="782"/>
        <v>-1.0613165039244095</v>
      </c>
      <c r="AK864">
        <f t="shared" si="783"/>
        <v>0.65945907072758303</v>
      </c>
      <c r="AL864" s="9">
        <f t="shared" si="803"/>
        <v>6.5525818437070464</v>
      </c>
      <c r="AM864" t="e">
        <f t="shared" si="784"/>
        <v>#N/A</v>
      </c>
      <c r="AN864" t="e">
        <f t="shared" si="804"/>
        <v>#N/A</v>
      </c>
      <c r="AO864">
        <f t="shared" si="785"/>
        <v>0</v>
      </c>
      <c r="AP864">
        <f t="shared" si="786"/>
        <v>0</v>
      </c>
      <c r="AQ864">
        <f t="shared" si="787"/>
        <v>3.3306690738754696E-15</v>
      </c>
      <c r="AR864">
        <f t="shared" si="805"/>
        <v>0</v>
      </c>
      <c r="AS864">
        <f t="shared" si="788"/>
        <v>0</v>
      </c>
      <c r="AT864">
        <f t="shared" si="806"/>
        <v>0</v>
      </c>
      <c r="AU864">
        <f t="shared" si="807"/>
        <v>2.4143603422294808E-302</v>
      </c>
      <c r="AV864">
        <f t="shared" si="789"/>
        <v>5.4349552907103415E-21</v>
      </c>
      <c r="AW864" t="b">
        <f t="shared" si="808"/>
        <v>1</v>
      </c>
      <c r="AX864">
        <f t="shared" si="790"/>
        <v>7.8539816339744828</v>
      </c>
      <c r="AY864">
        <f t="shared" si="791"/>
        <v>-0.89954235707061081</v>
      </c>
      <c r="AZ864">
        <f t="shared" si="792"/>
        <v>-1.0613165039244128</v>
      </c>
      <c r="BA864">
        <f t="shared" si="793"/>
        <v>0.65945907072758325</v>
      </c>
      <c r="BB864">
        <f t="shared" si="794"/>
        <v>-1.2337005501361696E-20</v>
      </c>
      <c r="BD864" s="15">
        <f t="shared" si="809"/>
        <v>6.552581843707042</v>
      </c>
      <c r="BE864" s="10">
        <f t="shared" si="810"/>
        <v>0</v>
      </c>
      <c r="BF864">
        <f t="shared" si="811"/>
        <v>0</v>
      </c>
      <c r="BG864">
        <f t="shared" si="812"/>
        <v>0</v>
      </c>
      <c r="BH864">
        <f t="shared" si="813"/>
        <v>0</v>
      </c>
      <c r="BI864">
        <f t="shared" si="814"/>
        <v>0</v>
      </c>
    </row>
    <row r="865" spans="1:61" x14ac:dyDescent="0.3">
      <c r="A865">
        <f t="shared" si="761"/>
        <v>0.82799999999999996</v>
      </c>
      <c r="B865">
        <f t="shared" si="762"/>
        <v>2.6012387171723486</v>
      </c>
      <c r="C865">
        <f t="shared" si="763"/>
        <v>0.54035393641744456</v>
      </c>
      <c r="D865">
        <f t="shared" si="764"/>
        <v>0.54035393641744456</v>
      </c>
      <c r="E865">
        <f t="shared" si="769"/>
        <v>0.51443953378150664</v>
      </c>
      <c r="F865">
        <f t="shared" si="770"/>
        <v>0.51443953378150653</v>
      </c>
      <c r="G865">
        <f t="shared" si="765"/>
        <v>2.6012387171723486</v>
      </c>
      <c r="H865">
        <f t="shared" si="766"/>
        <v>0.51443953378150664</v>
      </c>
      <c r="I865">
        <f t="shared" si="767"/>
        <v>0.51443953378150653</v>
      </c>
      <c r="J865">
        <f t="shared" si="757"/>
        <v>1.2375016509480924E+20</v>
      </c>
      <c r="K865">
        <f t="shared" si="758"/>
        <v>1.2375016509480924E+20</v>
      </c>
      <c r="L865">
        <f t="shared" si="771"/>
        <v>1</v>
      </c>
      <c r="M865">
        <f t="shared" si="768"/>
        <v>5.4035393641744449E-21</v>
      </c>
      <c r="N865" s="9">
        <f t="shared" si="759"/>
        <v>5.4035393641744449E-21</v>
      </c>
      <c r="O865">
        <f t="shared" si="760"/>
        <v>5.4035393641744449E-21</v>
      </c>
      <c r="Q865">
        <f t="shared" si="772"/>
        <v>46.264796409440201</v>
      </c>
      <c r="R865">
        <f t="shared" si="773"/>
        <v>0</v>
      </c>
      <c r="S865">
        <f t="shared" si="795"/>
        <v>-46.667232776200194</v>
      </c>
      <c r="T865" s="9" t="e">
        <f t="shared" si="774"/>
        <v>#N/A</v>
      </c>
      <c r="U865">
        <f t="shared" si="796"/>
        <v>-1.0000000000000001E+300</v>
      </c>
      <c r="V865">
        <f t="shared" si="797"/>
        <v>0</v>
      </c>
      <c r="W865">
        <f t="shared" si="798"/>
        <v>0</v>
      </c>
      <c r="X865">
        <f t="shared" si="775"/>
        <v>0.54035393641744456</v>
      </c>
      <c r="Y865">
        <f t="shared" si="776"/>
        <v>7.8539816339744828</v>
      </c>
      <c r="Z865">
        <f t="shared" si="777"/>
        <v>-0.54035393641744456</v>
      </c>
      <c r="AA865">
        <f t="shared" si="799"/>
        <v>-0.9007237465811303</v>
      </c>
      <c r="AB865">
        <f t="shared" si="778"/>
        <v>6.9532578873933524</v>
      </c>
      <c r="AC865">
        <f t="shared" si="800"/>
        <v>-1.0671136216087385</v>
      </c>
      <c r="AD865">
        <f t="shared" si="779"/>
        <v>0.66467725484874174</v>
      </c>
      <c r="AE865" s="9">
        <f t="shared" si="801"/>
        <v>6.5508215206333551</v>
      </c>
      <c r="AF865">
        <f t="shared" si="802"/>
        <v>8.2702624951410712E-302</v>
      </c>
      <c r="AH865">
        <f t="shared" si="780"/>
        <v>7.8539816339744828</v>
      </c>
      <c r="AI865">
        <f t="shared" si="781"/>
        <v>-0.90072374658113008</v>
      </c>
      <c r="AJ865">
        <f t="shared" si="782"/>
        <v>-1.0671136216087334</v>
      </c>
      <c r="AK865">
        <f t="shared" si="783"/>
        <v>0.66467725484874174</v>
      </c>
      <c r="AL865" s="9">
        <f t="shared" si="803"/>
        <v>6.5508215206333604</v>
      </c>
      <c r="AM865" t="e">
        <f t="shared" si="784"/>
        <v>#N/A</v>
      </c>
      <c r="AN865" t="e">
        <f t="shared" si="804"/>
        <v>#N/A</v>
      </c>
      <c r="AO865">
        <f t="shared" si="785"/>
        <v>0</v>
      </c>
      <c r="AP865">
        <f t="shared" si="786"/>
        <v>0</v>
      </c>
      <c r="AQ865">
        <f t="shared" si="787"/>
        <v>5.1070259132757201E-15</v>
      </c>
      <c r="AR865">
        <f t="shared" si="805"/>
        <v>0</v>
      </c>
      <c r="AS865">
        <f t="shared" si="788"/>
        <v>0</v>
      </c>
      <c r="AT865">
        <f t="shared" si="806"/>
        <v>0</v>
      </c>
      <c r="AU865">
        <f t="shared" si="807"/>
        <v>8.2702624951100888E-302</v>
      </c>
      <c r="AV865">
        <f t="shared" si="789"/>
        <v>5.4035393641744456E-21</v>
      </c>
      <c r="AW865" t="b">
        <f t="shared" si="808"/>
        <v>1</v>
      </c>
      <c r="AX865">
        <f t="shared" si="790"/>
        <v>7.8539816339744828</v>
      </c>
      <c r="AY865">
        <f t="shared" si="791"/>
        <v>-0.90072374658113041</v>
      </c>
      <c r="AZ865">
        <f t="shared" si="792"/>
        <v>-1.0671136216087382</v>
      </c>
      <c r="BA865">
        <f t="shared" si="793"/>
        <v>0.66467725484874196</v>
      </c>
      <c r="BB865">
        <f t="shared" si="794"/>
        <v>-1.2337005501361696E-20</v>
      </c>
      <c r="BD865" s="15">
        <f t="shared" si="809"/>
        <v>6.550821520633356</v>
      </c>
      <c r="BE865" s="10">
        <f t="shared" si="810"/>
        <v>0</v>
      </c>
      <c r="BF865">
        <f t="shared" si="811"/>
        <v>0</v>
      </c>
      <c r="BG865">
        <f t="shared" si="812"/>
        <v>0</v>
      </c>
      <c r="BH865">
        <f t="shared" si="813"/>
        <v>0</v>
      </c>
      <c r="BI865">
        <f t="shared" si="814"/>
        <v>0</v>
      </c>
    </row>
    <row r="866" spans="1:61" x14ac:dyDescent="0.3">
      <c r="A866">
        <f t="shared" si="761"/>
        <v>0.82899999999999996</v>
      </c>
      <c r="B866">
        <f t="shared" si="762"/>
        <v>2.6043803098259382</v>
      </c>
      <c r="C866">
        <f t="shared" si="763"/>
        <v>0.53721234376385496</v>
      </c>
      <c r="D866">
        <f t="shared" si="764"/>
        <v>0.53721234376385496</v>
      </c>
      <c r="E866">
        <f t="shared" si="769"/>
        <v>0.51174300011434537</v>
      </c>
      <c r="F866">
        <f t="shared" si="770"/>
        <v>0.51174300011434526</v>
      </c>
      <c r="G866">
        <f t="shared" si="765"/>
        <v>2.6043803098259382</v>
      </c>
      <c r="H866">
        <f t="shared" si="766"/>
        <v>0.51174300011434537</v>
      </c>
      <c r="I866">
        <f t="shared" si="767"/>
        <v>0.51174300011434526</v>
      </c>
      <c r="J866">
        <f t="shared" si="757"/>
        <v>1.2440224335757074E+20</v>
      </c>
      <c r="K866">
        <f t="shared" si="758"/>
        <v>1.2440224335757074E+20</v>
      </c>
      <c r="L866" t="e">
        <f t="shared" si="771"/>
        <v>#NUM!</v>
      </c>
      <c r="M866">
        <f t="shared" si="768"/>
        <v>5.3721234376385483E-21</v>
      </c>
      <c r="N866" s="9" t="e">
        <f t="shared" si="759"/>
        <v>#NUM!</v>
      </c>
      <c r="O866" t="e">
        <f t="shared" si="760"/>
        <v>#NUM!</v>
      </c>
      <c r="Q866">
        <f t="shared" si="772"/>
        <v>46.27005188745629</v>
      </c>
      <c r="R866">
        <f t="shared" si="773"/>
        <v>0</v>
      </c>
      <c r="S866">
        <f t="shared" si="795"/>
        <v>-46.673063696510994</v>
      </c>
      <c r="T866" s="9" t="e">
        <f t="shared" si="774"/>
        <v>#N/A</v>
      </c>
      <c r="U866">
        <f t="shared" si="796"/>
        <v>-1.0000000000000001E+300</v>
      </c>
      <c r="V866">
        <f t="shared" si="797"/>
        <v>0</v>
      </c>
      <c r="W866">
        <f t="shared" si="798"/>
        <v>0</v>
      </c>
      <c r="X866">
        <f t="shared" si="775"/>
        <v>0.53721234376385496</v>
      </c>
      <c r="Y866">
        <f t="shared" si="776"/>
        <v>7.8539816339744828</v>
      </c>
      <c r="Z866">
        <f t="shared" si="777"/>
        <v>-0.53721234376385496</v>
      </c>
      <c r="AA866">
        <f t="shared" si="799"/>
        <v>-0.90189773140263219</v>
      </c>
      <c r="AB866">
        <f t="shared" si="778"/>
        <v>6.9520839025718502</v>
      </c>
      <c r="AC866">
        <f t="shared" si="800"/>
        <v>-1.0729445419195314</v>
      </c>
      <c r="AD866">
        <f t="shared" si="779"/>
        <v>0.66993273286482891</v>
      </c>
      <c r="AE866" s="9">
        <f t="shared" si="801"/>
        <v>6.5490720935171476</v>
      </c>
      <c r="AF866">
        <f t="shared" si="802"/>
        <v>2.8053927181352016E-301</v>
      </c>
      <c r="AH866">
        <f t="shared" si="780"/>
        <v>7.8539816339744828</v>
      </c>
      <c r="AI866">
        <f t="shared" si="781"/>
        <v>-0.90189773140263163</v>
      </c>
      <c r="AJ866">
        <f t="shared" si="782"/>
        <v>-1.0729445419195329</v>
      </c>
      <c r="AK866">
        <f t="shared" si="783"/>
        <v>0.66993273286482891</v>
      </c>
      <c r="AL866" s="9">
        <f t="shared" si="803"/>
        <v>6.5490720935171467</v>
      </c>
      <c r="AM866" t="e">
        <f t="shared" si="784"/>
        <v>#N/A</v>
      </c>
      <c r="AN866" t="e">
        <f t="shared" si="804"/>
        <v>#N/A</v>
      </c>
      <c r="AO866">
        <f t="shared" si="785"/>
        <v>0</v>
      </c>
      <c r="AP866">
        <f t="shared" si="786"/>
        <v>0</v>
      </c>
      <c r="AQ866">
        <f t="shared" si="787"/>
        <v>0</v>
      </c>
      <c r="AR866">
        <f t="shared" si="805"/>
        <v>0</v>
      </c>
      <c r="AS866">
        <f t="shared" si="788"/>
        <v>0</v>
      </c>
      <c r="AT866">
        <f t="shared" si="806"/>
        <v>0</v>
      </c>
      <c r="AU866">
        <f t="shared" si="807"/>
        <v>2.8053927181371123E-301</v>
      </c>
      <c r="AV866">
        <f t="shared" si="789"/>
        <v>5.372123437638549E-21</v>
      </c>
      <c r="AW866" t="b">
        <f t="shared" si="808"/>
        <v>1</v>
      </c>
      <c r="AX866">
        <f t="shared" si="790"/>
        <v>7.8539816339744828</v>
      </c>
      <c r="AY866">
        <f t="shared" si="791"/>
        <v>-0.90189773140263241</v>
      </c>
      <c r="AZ866">
        <f t="shared" si="792"/>
        <v>-1.0729445419195314</v>
      </c>
      <c r="BA866">
        <f t="shared" si="793"/>
        <v>0.66993273286482913</v>
      </c>
      <c r="BB866">
        <f t="shared" si="794"/>
        <v>-1.2337005501361696E-20</v>
      </c>
      <c r="BD866" s="15">
        <f t="shared" si="809"/>
        <v>6.5490720935171485</v>
      </c>
      <c r="BE866" s="10">
        <f t="shared" si="810"/>
        <v>0</v>
      </c>
      <c r="BF866">
        <f t="shared" si="811"/>
        <v>0</v>
      </c>
      <c r="BG866">
        <f t="shared" si="812"/>
        <v>0</v>
      </c>
      <c r="BH866">
        <f t="shared" si="813"/>
        <v>0</v>
      </c>
      <c r="BI866">
        <f t="shared" si="814"/>
        <v>0</v>
      </c>
    </row>
    <row r="867" spans="1:61" x14ac:dyDescent="0.3">
      <c r="A867">
        <f t="shared" si="761"/>
        <v>0.83</v>
      </c>
      <c r="B867">
        <f t="shared" si="762"/>
        <v>2.6075219024795282</v>
      </c>
      <c r="C867">
        <f t="shared" si="763"/>
        <v>0.53407075111026492</v>
      </c>
      <c r="D867">
        <f t="shared" si="764"/>
        <v>0.53407075111026492</v>
      </c>
      <c r="E867">
        <f t="shared" si="769"/>
        <v>0.50904141575037143</v>
      </c>
      <c r="F867">
        <f t="shared" si="770"/>
        <v>0.50904141575037132</v>
      </c>
      <c r="G867">
        <f t="shared" si="765"/>
        <v>2.6075219024795282</v>
      </c>
      <c r="H867">
        <f t="shared" si="766"/>
        <v>0.50904141575037143</v>
      </c>
      <c r="I867">
        <f t="shared" si="767"/>
        <v>0.50904141575037132</v>
      </c>
      <c r="J867">
        <f t="shared" si="757"/>
        <v>1.2506247088542853E+20</v>
      </c>
      <c r="K867">
        <f t="shared" si="758"/>
        <v>1.2506247088542853E+20</v>
      </c>
      <c r="L867">
        <f t="shared" si="771"/>
        <v>1</v>
      </c>
      <c r="M867">
        <f t="shared" si="768"/>
        <v>5.3407075111026486E-21</v>
      </c>
      <c r="N867" s="9">
        <f t="shared" si="759"/>
        <v>5.3407075111026486E-21</v>
      </c>
      <c r="O867">
        <f t="shared" si="760"/>
        <v>5.3407075111026486E-21</v>
      </c>
      <c r="Q867">
        <f t="shared" si="772"/>
        <v>46.275345053436574</v>
      </c>
      <c r="R867">
        <f t="shared" si="773"/>
        <v>-710542.73576010019</v>
      </c>
      <c r="S867">
        <f t="shared" si="795"/>
        <v>-46.678928815963388</v>
      </c>
      <c r="T867" s="9" t="e">
        <f t="shared" si="774"/>
        <v>#N/A</v>
      </c>
      <c r="U867">
        <f t="shared" si="796"/>
        <v>-1.0000000000000001E+300</v>
      </c>
      <c r="V867">
        <f t="shared" si="797"/>
        <v>0</v>
      </c>
      <c r="W867">
        <f t="shared" si="798"/>
        <v>0</v>
      </c>
      <c r="X867">
        <f t="shared" si="775"/>
        <v>0.53407075111026492</v>
      </c>
      <c r="Y867">
        <f t="shared" si="776"/>
        <v>7.8539816339744828</v>
      </c>
      <c r="Z867">
        <f t="shared" si="777"/>
        <v>-0.53407075111026492</v>
      </c>
      <c r="AA867">
        <f t="shared" si="799"/>
        <v>-0.90306432178319795</v>
      </c>
      <c r="AB867">
        <f t="shared" si="778"/>
        <v>6.9509173121912848</v>
      </c>
      <c r="AC867">
        <f t="shared" si="800"/>
        <v>-1.0788096613719298</v>
      </c>
      <c r="AD867">
        <f t="shared" si="779"/>
        <v>0.67522589884511675</v>
      </c>
      <c r="AE867" s="9">
        <f t="shared" si="801"/>
        <v>6.5473335496644722</v>
      </c>
      <c r="AF867">
        <f t="shared" si="802"/>
        <v>9.4242767847846444E-301</v>
      </c>
      <c r="AH867">
        <f t="shared" si="780"/>
        <v>7.8539816339744828</v>
      </c>
      <c r="AI867">
        <f t="shared" si="781"/>
        <v>-0.90306432178319751</v>
      </c>
      <c r="AJ867">
        <f t="shared" si="782"/>
        <v>-1.0788096613719276</v>
      </c>
      <c r="AK867">
        <f t="shared" si="783"/>
        <v>0.67522589884511675</v>
      </c>
      <c r="AL867" s="9">
        <f t="shared" si="803"/>
        <v>6.547333549664474</v>
      </c>
      <c r="AM867" t="e">
        <f t="shared" si="784"/>
        <v>#N/A</v>
      </c>
      <c r="AN867" t="e">
        <f t="shared" si="804"/>
        <v>#N/A</v>
      </c>
      <c r="AO867">
        <f t="shared" si="785"/>
        <v>0</v>
      </c>
      <c r="AP867">
        <f t="shared" si="786"/>
        <v>0</v>
      </c>
      <c r="AQ867">
        <f t="shared" si="787"/>
        <v>2.2204460492503131E-15</v>
      </c>
      <c r="AR867">
        <f t="shared" si="805"/>
        <v>0</v>
      </c>
      <c r="AS867">
        <f t="shared" si="788"/>
        <v>0</v>
      </c>
      <c r="AT867">
        <f t="shared" si="806"/>
        <v>0</v>
      </c>
      <c r="AU867">
        <f t="shared" si="807"/>
        <v>9.4242767847728773E-301</v>
      </c>
      <c r="AV867">
        <f t="shared" si="789"/>
        <v>5.3407075111026486E-21</v>
      </c>
      <c r="AW867" t="b">
        <f t="shared" si="808"/>
        <v>1</v>
      </c>
      <c r="AX867">
        <f t="shared" si="790"/>
        <v>7.8539816339744828</v>
      </c>
      <c r="AY867">
        <f t="shared" si="791"/>
        <v>-0.90306432178319818</v>
      </c>
      <c r="AZ867">
        <f t="shared" si="792"/>
        <v>-1.0788096613719298</v>
      </c>
      <c r="BA867">
        <f t="shared" si="793"/>
        <v>0.67522589884511697</v>
      </c>
      <c r="BB867">
        <f t="shared" si="794"/>
        <v>-1.2337005501361696E-20</v>
      </c>
      <c r="BD867" s="15">
        <f t="shared" si="809"/>
        <v>6.5473335496644722</v>
      </c>
      <c r="BE867" s="10">
        <f t="shared" si="810"/>
        <v>0</v>
      </c>
      <c r="BF867">
        <f t="shared" si="811"/>
        <v>0</v>
      </c>
      <c r="BG867">
        <f t="shared" si="812"/>
        <v>0</v>
      </c>
      <c r="BH867">
        <f t="shared" si="813"/>
        <v>0</v>
      </c>
      <c r="BI867">
        <f t="shared" si="814"/>
        <v>0</v>
      </c>
    </row>
    <row r="868" spans="1:61" x14ac:dyDescent="0.3">
      <c r="A868">
        <f t="shared" si="761"/>
        <v>0.83099999999999996</v>
      </c>
      <c r="B868">
        <f t="shared" si="762"/>
        <v>2.6106634951331178</v>
      </c>
      <c r="C868">
        <f t="shared" si="763"/>
        <v>0.53092915845667532</v>
      </c>
      <c r="D868">
        <f t="shared" si="764"/>
        <v>0.53092915845667532</v>
      </c>
      <c r="E868">
        <f t="shared" si="769"/>
        <v>0.50633480735313285</v>
      </c>
      <c r="F868">
        <f t="shared" si="770"/>
        <v>0.50633480735313274</v>
      </c>
      <c r="G868">
        <f t="shared" si="765"/>
        <v>2.6106634951331178</v>
      </c>
      <c r="H868">
        <f t="shared" si="766"/>
        <v>0.50633480735313285</v>
      </c>
      <c r="I868">
        <f t="shared" si="767"/>
        <v>0.50633480735313274</v>
      </c>
      <c r="J868">
        <f t="shared" si="757"/>
        <v>1.2573099125764506E+20</v>
      </c>
      <c r="K868">
        <f t="shared" si="758"/>
        <v>1.2573099125764506E+20</v>
      </c>
      <c r="L868">
        <f t="shared" si="771"/>
        <v>1</v>
      </c>
      <c r="M868">
        <f t="shared" si="768"/>
        <v>5.309291584566752E-21</v>
      </c>
      <c r="N868" s="9">
        <f t="shared" si="759"/>
        <v>5.309291584566752E-21</v>
      </c>
      <c r="O868">
        <f t="shared" si="760"/>
        <v>5.309291584566752E-21</v>
      </c>
      <c r="Q868">
        <f t="shared" si="772"/>
        <v>46.280676308485326</v>
      </c>
      <c r="R868">
        <f t="shared" si="773"/>
        <v>0</v>
      </c>
      <c r="S868">
        <f t="shared" si="795"/>
        <v>-46.684828538090578</v>
      </c>
      <c r="T868" s="9" t="e">
        <f t="shared" si="774"/>
        <v>#N/A</v>
      </c>
      <c r="U868">
        <f t="shared" si="796"/>
        <v>-1.0000000000000001E+300</v>
      </c>
      <c r="V868">
        <f t="shared" si="797"/>
        <v>0</v>
      </c>
      <c r="W868">
        <f t="shared" si="798"/>
        <v>0</v>
      </c>
      <c r="X868">
        <f t="shared" si="775"/>
        <v>0.53092915845667532</v>
      </c>
      <c r="Y868">
        <f t="shared" si="776"/>
        <v>7.8539816339744828</v>
      </c>
      <c r="Z868">
        <f t="shared" si="777"/>
        <v>-0.53092915845667532</v>
      </c>
      <c r="AA868">
        <f t="shared" si="799"/>
        <v>-0.90422352789438232</v>
      </c>
      <c r="AB868">
        <f t="shared" si="778"/>
        <v>6.9497581060801004</v>
      </c>
      <c r="AC868">
        <f t="shared" si="800"/>
        <v>-1.0847093834991177</v>
      </c>
      <c r="AD868">
        <f t="shared" si="779"/>
        <v>0.68055715389386695</v>
      </c>
      <c r="AE868" s="9">
        <f t="shared" si="801"/>
        <v>6.5456058764748493</v>
      </c>
      <c r="AF868">
        <f t="shared" si="802"/>
        <v>3.1354869655722067E-300</v>
      </c>
      <c r="AH868">
        <f t="shared" si="780"/>
        <v>7.8539816339744828</v>
      </c>
      <c r="AI868">
        <f t="shared" si="781"/>
        <v>-0.90422352789438187</v>
      </c>
      <c r="AJ868">
        <f t="shared" si="782"/>
        <v>-1.0847093834991171</v>
      </c>
      <c r="AK868">
        <f t="shared" si="783"/>
        <v>0.68055715389386695</v>
      </c>
      <c r="AL868" s="9">
        <f t="shared" si="803"/>
        <v>6.545605876474851</v>
      </c>
      <c r="AM868" t="e">
        <f t="shared" si="784"/>
        <v>#N/A</v>
      </c>
      <c r="AN868" t="e">
        <f t="shared" si="804"/>
        <v>#N/A</v>
      </c>
      <c r="AO868">
        <f t="shared" si="785"/>
        <v>0</v>
      </c>
      <c r="AP868">
        <f t="shared" si="786"/>
        <v>0</v>
      </c>
      <c r="AQ868">
        <f t="shared" si="787"/>
        <v>0</v>
      </c>
      <c r="AR868">
        <f t="shared" si="805"/>
        <v>0</v>
      </c>
      <c r="AS868">
        <f t="shared" si="788"/>
        <v>0</v>
      </c>
      <c r="AT868">
        <f t="shared" si="806"/>
        <v>0</v>
      </c>
      <c r="AU868">
        <f t="shared" si="807"/>
        <v>3.1354869655682916E-300</v>
      </c>
      <c r="AV868">
        <f t="shared" si="789"/>
        <v>5.3092915845667528E-21</v>
      </c>
      <c r="AW868" t="b">
        <f t="shared" si="808"/>
        <v>1</v>
      </c>
      <c r="AX868">
        <f t="shared" si="790"/>
        <v>7.8539816339744828</v>
      </c>
      <c r="AY868">
        <f t="shared" si="791"/>
        <v>-0.90422352789438243</v>
      </c>
      <c r="AZ868">
        <f t="shared" si="792"/>
        <v>-1.0847093834991177</v>
      </c>
      <c r="BA868">
        <f t="shared" si="793"/>
        <v>0.68055715389386717</v>
      </c>
      <c r="BB868">
        <f t="shared" si="794"/>
        <v>-1.2337005501361696E-20</v>
      </c>
      <c r="BD868" s="15">
        <f t="shared" si="809"/>
        <v>6.5456058764748493</v>
      </c>
      <c r="BE868" s="10">
        <f t="shared" si="810"/>
        <v>0</v>
      </c>
      <c r="BF868">
        <f t="shared" si="811"/>
        <v>0</v>
      </c>
      <c r="BG868">
        <f t="shared" si="812"/>
        <v>0</v>
      </c>
      <c r="BH868">
        <f t="shared" si="813"/>
        <v>0</v>
      </c>
      <c r="BI868">
        <f t="shared" si="814"/>
        <v>0</v>
      </c>
    </row>
    <row r="869" spans="1:61" x14ac:dyDescent="0.3">
      <c r="A869">
        <f t="shared" si="761"/>
        <v>0.83199999999999996</v>
      </c>
      <c r="B869">
        <f t="shared" si="762"/>
        <v>2.6138050877867078</v>
      </c>
      <c r="C869">
        <f t="shared" si="763"/>
        <v>0.52778756580308528</v>
      </c>
      <c r="D869">
        <f t="shared" si="764"/>
        <v>0.52778756580308528</v>
      </c>
      <c r="E869">
        <f t="shared" si="769"/>
        <v>0.50362320163576091</v>
      </c>
      <c r="F869">
        <f t="shared" si="770"/>
        <v>0.5036232016357608</v>
      </c>
      <c r="G869">
        <f t="shared" si="765"/>
        <v>2.6138050877867078</v>
      </c>
      <c r="H869">
        <f t="shared" si="766"/>
        <v>0.50362320163576091</v>
      </c>
      <c r="I869">
        <f t="shared" si="767"/>
        <v>0.5036232016357608</v>
      </c>
      <c r="J869">
        <f t="shared" ref="J869:J932" si="815">x_m_zeta/H869</f>
        <v>1.2640795148036261E+20</v>
      </c>
      <c r="K869">
        <f t="shared" ref="K869:K932" si="816">(J869)^alpha</f>
        <v>1.2640795148036261E+20</v>
      </c>
      <c r="L869">
        <f t="shared" si="771"/>
        <v>1</v>
      </c>
      <c r="M869">
        <f t="shared" si="768"/>
        <v>5.2778756580308524E-21</v>
      </c>
      <c r="N869" s="9">
        <f t="shared" si="759"/>
        <v>5.2778756580308524E-21</v>
      </c>
      <c r="O869">
        <f t="shared" si="760"/>
        <v>5.2778756580308524E-21</v>
      </c>
      <c r="Q869">
        <f t="shared" si="772"/>
        <v>46.286046060908347</v>
      </c>
      <c r="R869">
        <f t="shared" si="773"/>
        <v>0</v>
      </c>
      <c r="S869">
        <f t="shared" si="795"/>
        <v>-46.690763273610393</v>
      </c>
      <c r="T869" s="9" t="e">
        <f t="shared" si="774"/>
        <v>#N/A</v>
      </c>
      <c r="U869">
        <f t="shared" si="796"/>
        <v>-1.0000000000000001E+300</v>
      </c>
      <c r="V869">
        <f t="shared" si="797"/>
        <v>0</v>
      </c>
      <c r="W869">
        <f t="shared" si="798"/>
        <v>0</v>
      </c>
      <c r="X869">
        <f t="shared" si="775"/>
        <v>0.52778756580308528</v>
      </c>
      <c r="Y869">
        <f t="shared" si="776"/>
        <v>7.8539816339744828</v>
      </c>
      <c r="Z869">
        <f t="shared" si="777"/>
        <v>-0.52778756580308528</v>
      </c>
      <c r="AA869">
        <f t="shared" si="799"/>
        <v>-0.90537535983154116</v>
      </c>
      <c r="AB869">
        <f t="shared" si="778"/>
        <v>6.948606274142942</v>
      </c>
      <c r="AC869">
        <f t="shared" si="800"/>
        <v>-1.0906441190189327</v>
      </c>
      <c r="AD869">
        <f t="shared" si="779"/>
        <v>0.68592690631689013</v>
      </c>
      <c r="AE869" s="9">
        <f t="shared" si="801"/>
        <v>6.5438890614408995</v>
      </c>
      <c r="AF869">
        <f t="shared" si="802"/>
        <v>1.0332060650410506E-299</v>
      </c>
      <c r="AH869">
        <f t="shared" si="780"/>
        <v>7.8539816339744828</v>
      </c>
      <c r="AI869">
        <f t="shared" si="781"/>
        <v>-0.90537535983154105</v>
      </c>
      <c r="AJ869">
        <f t="shared" si="782"/>
        <v>-1.0906441190189327</v>
      </c>
      <c r="AK869">
        <f t="shared" si="783"/>
        <v>0.68592690631689013</v>
      </c>
      <c r="AL869" s="9">
        <f t="shared" si="803"/>
        <v>6.5438890614408995</v>
      </c>
      <c r="AM869" t="e">
        <f t="shared" si="784"/>
        <v>#N/A</v>
      </c>
      <c r="AN869" t="e">
        <f t="shared" si="804"/>
        <v>#N/A</v>
      </c>
      <c r="AO869">
        <f t="shared" si="785"/>
        <v>0</v>
      </c>
      <c r="AP869">
        <f t="shared" si="786"/>
        <v>0</v>
      </c>
      <c r="AQ869">
        <f t="shared" si="787"/>
        <v>0</v>
      </c>
      <c r="AR869">
        <f t="shared" si="805"/>
        <v>0</v>
      </c>
      <c r="AS869">
        <f t="shared" si="788"/>
        <v>0</v>
      </c>
      <c r="AT869">
        <f t="shared" si="806"/>
        <v>0</v>
      </c>
      <c r="AU869">
        <f t="shared" si="807"/>
        <v>1.0332060650410506E-299</v>
      </c>
      <c r="AV869">
        <f t="shared" si="789"/>
        <v>5.2778756580308524E-21</v>
      </c>
      <c r="AW869" t="b">
        <f t="shared" si="808"/>
        <v>1</v>
      </c>
      <c r="AX869">
        <f t="shared" si="790"/>
        <v>7.8539816339744828</v>
      </c>
      <c r="AY869">
        <f t="shared" si="791"/>
        <v>-0.90537535983154127</v>
      </c>
      <c r="AZ869">
        <f t="shared" si="792"/>
        <v>-1.0906441190189327</v>
      </c>
      <c r="BA869">
        <f t="shared" si="793"/>
        <v>0.68592690631689035</v>
      </c>
      <c r="BB869">
        <f t="shared" si="794"/>
        <v>-1.2337005501361696E-20</v>
      </c>
      <c r="BD869" s="15">
        <f t="shared" si="809"/>
        <v>6.5438890614408987</v>
      </c>
      <c r="BE869" s="10">
        <f t="shared" si="810"/>
        <v>0</v>
      </c>
      <c r="BF869">
        <f t="shared" si="811"/>
        <v>0</v>
      </c>
      <c r="BG869">
        <f t="shared" si="812"/>
        <v>0</v>
      </c>
      <c r="BH869">
        <f t="shared" si="813"/>
        <v>0</v>
      </c>
      <c r="BI869">
        <f t="shared" si="814"/>
        <v>0</v>
      </c>
    </row>
    <row r="870" spans="1:61" x14ac:dyDescent="0.3">
      <c r="A870">
        <f t="shared" si="761"/>
        <v>0.83299999999999996</v>
      </c>
      <c r="B870">
        <f t="shared" si="762"/>
        <v>2.6169466804402974</v>
      </c>
      <c r="C870">
        <f t="shared" si="763"/>
        <v>0.52464597314949568</v>
      </c>
      <c r="D870">
        <f t="shared" si="764"/>
        <v>0.52464597314949568</v>
      </c>
      <c r="E870">
        <f t="shared" si="769"/>
        <v>0.50090662536071018</v>
      </c>
      <c r="F870">
        <f t="shared" si="770"/>
        <v>0.50090662536071007</v>
      </c>
      <c r="G870">
        <f t="shared" si="765"/>
        <v>2.6169466804402974</v>
      </c>
      <c r="H870">
        <f t="shared" si="766"/>
        <v>0.50090662536071018</v>
      </c>
      <c r="I870">
        <f t="shared" si="767"/>
        <v>0.50090662536071007</v>
      </c>
      <c r="J870">
        <f t="shared" si="815"/>
        <v>1.2709350208916528E+20</v>
      </c>
      <c r="K870">
        <f t="shared" si="816"/>
        <v>1.2709350208916528E+20</v>
      </c>
      <c r="L870">
        <f t="shared" si="771"/>
        <v>1</v>
      </c>
      <c r="M870">
        <f t="shared" si="768"/>
        <v>5.2464597314949558E-21</v>
      </c>
      <c r="N870" s="9">
        <f t="shared" ref="N870:N933" si="817">L870*M870</f>
        <v>5.2464597314949558E-21</v>
      </c>
      <c r="O870">
        <f t="shared" ref="O870:O933" si="818">N870*EXP(-N870)</f>
        <v>5.2464597314949558E-21</v>
      </c>
      <c r="Q870">
        <f t="shared" si="772"/>
        <v>46.291454726384522</v>
      </c>
      <c r="R870">
        <f t="shared" si="773"/>
        <v>0</v>
      </c>
      <c r="S870">
        <f t="shared" si="795"/>
        <v>-46.696733440596894</v>
      </c>
      <c r="T870" s="9" t="e">
        <f t="shared" si="774"/>
        <v>#N/A</v>
      </c>
      <c r="U870">
        <f t="shared" si="796"/>
        <v>-1.0000000000000001E+300</v>
      </c>
      <c r="V870">
        <f t="shared" si="797"/>
        <v>0</v>
      </c>
      <c r="W870">
        <f t="shared" si="798"/>
        <v>0</v>
      </c>
      <c r="X870">
        <f t="shared" si="775"/>
        <v>0.52464597314949568</v>
      </c>
      <c r="Y870">
        <f t="shared" si="776"/>
        <v>7.8539816339744828</v>
      </c>
      <c r="Z870">
        <f t="shared" si="777"/>
        <v>-0.52464597314949568</v>
      </c>
      <c r="AA870">
        <f t="shared" si="799"/>
        <v>-0.90651982761415306</v>
      </c>
      <c r="AB870">
        <f t="shared" si="778"/>
        <v>6.9474618063603302</v>
      </c>
      <c r="AC870">
        <f t="shared" si="800"/>
        <v>-1.0966142860054362</v>
      </c>
      <c r="AD870">
        <f t="shared" si="779"/>
        <v>0.69133557179306382</v>
      </c>
      <c r="AE870" s="9">
        <f t="shared" si="801"/>
        <v>6.5421830921479582</v>
      </c>
      <c r="AF870">
        <f t="shared" si="802"/>
        <v>3.3722210272258749E-299</v>
      </c>
      <c r="AH870">
        <f t="shared" si="780"/>
        <v>7.8539816339744828</v>
      </c>
      <c r="AI870">
        <f t="shared" si="781"/>
        <v>-0.9065198276141524</v>
      </c>
      <c r="AJ870">
        <f t="shared" si="782"/>
        <v>-1.0966142860054333</v>
      </c>
      <c r="AK870">
        <f t="shared" si="783"/>
        <v>0.69133557179306382</v>
      </c>
      <c r="AL870" s="9">
        <f t="shared" si="803"/>
        <v>6.5421830921479609</v>
      </c>
      <c r="AM870" t="e">
        <f t="shared" si="784"/>
        <v>#N/A</v>
      </c>
      <c r="AN870" t="e">
        <f t="shared" si="804"/>
        <v>#N/A</v>
      </c>
      <c r="AO870">
        <f t="shared" si="785"/>
        <v>0</v>
      </c>
      <c r="AP870">
        <f t="shared" si="786"/>
        <v>0</v>
      </c>
      <c r="AQ870">
        <f t="shared" si="787"/>
        <v>2.886579864025407E-15</v>
      </c>
      <c r="AR870">
        <f t="shared" si="805"/>
        <v>0</v>
      </c>
      <c r="AS870">
        <f t="shared" si="788"/>
        <v>0</v>
      </c>
      <c r="AT870">
        <f t="shared" si="806"/>
        <v>0</v>
      </c>
      <c r="AU870">
        <f t="shared" si="807"/>
        <v>3.3722210272197498E-299</v>
      </c>
      <c r="AV870">
        <f t="shared" si="789"/>
        <v>5.2464597314949566E-21</v>
      </c>
      <c r="AW870" t="b">
        <f t="shared" si="808"/>
        <v>1</v>
      </c>
      <c r="AX870">
        <f t="shared" si="790"/>
        <v>7.8539816339744828</v>
      </c>
      <c r="AY870">
        <f t="shared" si="791"/>
        <v>-0.90651982761415317</v>
      </c>
      <c r="AZ870">
        <f t="shared" si="792"/>
        <v>-1.096614286005436</v>
      </c>
      <c r="BA870">
        <f t="shared" si="793"/>
        <v>0.69133557179306404</v>
      </c>
      <c r="BB870">
        <f t="shared" si="794"/>
        <v>-1.2337005501361696E-20</v>
      </c>
      <c r="BD870" s="15">
        <f t="shared" si="809"/>
        <v>6.5421830921479573</v>
      </c>
      <c r="BE870" s="10">
        <f t="shared" si="810"/>
        <v>0</v>
      </c>
      <c r="BF870">
        <f t="shared" si="811"/>
        <v>0</v>
      </c>
      <c r="BG870">
        <f t="shared" si="812"/>
        <v>0</v>
      </c>
      <c r="BH870">
        <f t="shared" si="813"/>
        <v>0</v>
      </c>
      <c r="BI870">
        <f t="shared" si="814"/>
        <v>0</v>
      </c>
    </row>
    <row r="871" spans="1:61" x14ac:dyDescent="0.3">
      <c r="A871">
        <f t="shared" ref="A871:A934" si="819">ROUND(A870+1/1000,3)</f>
        <v>0.83399999999999996</v>
      </c>
      <c r="B871">
        <f t="shared" si="762"/>
        <v>2.6200882730938875</v>
      </c>
      <c r="C871">
        <f t="shared" si="763"/>
        <v>0.52150438049590564</v>
      </c>
      <c r="D871">
        <f t="shared" si="764"/>
        <v>0.52150438049590564</v>
      </c>
      <c r="E871">
        <f t="shared" si="769"/>
        <v>0.4981851053394909</v>
      </c>
      <c r="F871">
        <f t="shared" si="770"/>
        <v>0.49818510533949079</v>
      </c>
      <c r="G871">
        <f t="shared" si="765"/>
        <v>2.6200882730938875</v>
      </c>
      <c r="H871">
        <f t="shared" si="766"/>
        <v>0.4981851053394909</v>
      </c>
      <c r="I871">
        <f t="shared" si="767"/>
        <v>0.49818510533949079</v>
      </c>
      <c r="J871">
        <f t="shared" si="815"/>
        <v>1.2778779725535019E+20</v>
      </c>
      <c r="K871">
        <f t="shared" si="816"/>
        <v>1.2778779725535019E+20</v>
      </c>
      <c r="L871">
        <f t="shared" si="771"/>
        <v>1</v>
      </c>
      <c r="M871">
        <f t="shared" si="768"/>
        <v>5.2150438049590562E-21</v>
      </c>
      <c r="N871" s="9">
        <f t="shared" si="817"/>
        <v>5.2150438049590562E-21</v>
      </c>
      <c r="O871">
        <f t="shared" si="818"/>
        <v>5.2150438049590562E-21</v>
      </c>
      <c r="Q871">
        <f t="shared" si="772"/>
        <v>46.296902728142477</v>
      </c>
      <c r="R871">
        <f t="shared" si="773"/>
        <v>0</v>
      </c>
      <c r="S871">
        <f t="shared" si="795"/>
        <v>-46.702739464657107</v>
      </c>
      <c r="T871" s="9" t="e">
        <f t="shared" si="774"/>
        <v>#N/A</v>
      </c>
      <c r="U871">
        <f t="shared" si="796"/>
        <v>-1.0000000000000001E+300</v>
      </c>
      <c r="V871">
        <f t="shared" si="797"/>
        <v>0</v>
      </c>
      <c r="W871">
        <f t="shared" si="798"/>
        <v>0</v>
      </c>
      <c r="X871">
        <f t="shared" si="775"/>
        <v>0.52150438049590564</v>
      </c>
      <c r="Y871">
        <f t="shared" si="776"/>
        <v>7.8539816339744828</v>
      </c>
      <c r="Z871">
        <f t="shared" si="777"/>
        <v>-0.52150438049590564</v>
      </c>
      <c r="AA871">
        <f t="shared" si="799"/>
        <v>-0.90765694118614137</v>
      </c>
      <c r="AB871">
        <f t="shared" si="778"/>
        <v>6.9463246927883411</v>
      </c>
      <c r="AC871">
        <f t="shared" si="800"/>
        <v>-1.1026203100656486</v>
      </c>
      <c r="AD871">
        <f t="shared" si="779"/>
        <v>0.69678357355101805</v>
      </c>
      <c r="AE871" s="9">
        <f t="shared" si="801"/>
        <v>6.5404879562737106</v>
      </c>
      <c r="AF871">
        <f t="shared" si="802"/>
        <v>1.0902201218090673E-298</v>
      </c>
      <c r="AH871">
        <f t="shared" si="780"/>
        <v>7.8539816339744828</v>
      </c>
      <c r="AI871">
        <f t="shared" si="781"/>
        <v>-0.90765694118614171</v>
      </c>
      <c r="AJ871">
        <f t="shared" si="782"/>
        <v>-1.102620310065646</v>
      </c>
      <c r="AK871">
        <f t="shared" si="783"/>
        <v>0.69678357355101805</v>
      </c>
      <c r="AL871" s="9">
        <f t="shared" si="803"/>
        <v>6.5404879562737133</v>
      </c>
      <c r="AM871" t="e">
        <f t="shared" si="784"/>
        <v>#N/A</v>
      </c>
      <c r="AN871" t="e">
        <f t="shared" si="804"/>
        <v>#N/A</v>
      </c>
      <c r="AO871">
        <f t="shared" si="785"/>
        <v>0</v>
      </c>
      <c r="AP871">
        <f t="shared" si="786"/>
        <v>0</v>
      </c>
      <c r="AQ871">
        <f t="shared" si="787"/>
        <v>2.6645352591003757E-15</v>
      </c>
      <c r="AR871">
        <f t="shared" si="805"/>
        <v>0</v>
      </c>
      <c r="AS871">
        <f t="shared" si="788"/>
        <v>0</v>
      </c>
      <c r="AT871">
        <f t="shared" si="806"/>
        <v>0</v>
      </c>
      <c r="AU871">
        <f t="shared" si="807"/>
        <v>1.0902201218070871E-298</v>
      </c>
      <c r="AV871">
        <f t="shared" si="789"/>
        <v>5.2150438049590562E-21</v>
      </c>
      <c r="AW871" t="b">
        <f t="shared" si="808"/>
        <v>1</v>
      </c>
      <c r="AX871">
        <f t="shared" si="790"/>
        <v>7.8539816339744828</v>
      </c>
      <c r="AY871">
        <f t="shared" si="791"/>
        <v>-0.9076569411861416</v>
      </c>
      <c r="AZ871">
        <f t="shared" si="792"/>
        <v>-1.1026203100656484</v>
      </c>
      <c r="BA871">
        <f t="shared" si="793"/>
        <v>0.69678357355101828</v>
      </c>
      <c r="BB871">
        <f t="shared" si="794"/>
        <v>-1.2337005501361696E-20</v>
      </c>
      <c r="BD871" s="15">
        <f t="shared" si="809"/>
        <v>6.5404879562737106</v>
      </c>
      <c r="BE871" s="10">
        <f t="shared" si="810"/>
        <v>0</v>
      </c>
      <c r="BF871">
        <f t="shared" si="811"/>
        <v>0</v>
      </c>
      <c r="BG871">
        <f t="shared" si="812"/>
        <v>0</v>
      </c>
      <c r="BH871">
        <f t="shared" si="813"/>
        <v>0</v>
      </c>
      <c r="BI871">
        <f t="shared" si="814"/>
        <v>0</v>
      </c>
    </row>
    <row r="872" spans="1:61" x14ac:dyDescent="0.3">
      <c r="A872">
        <f t="shared" si="819"/>
        <v>0.83499999999999996</v>
      </c>
      <c r="B872">
        <f t="shared" si="762"/>
        <v>2.6232298657474771</v>
      </c>
      <c r="C872">
        <f t="shared" si="763"/>
        <v>0.51836278784231604</v>
      </c>
      <c r="D872">
        <f t="shared" si="764"/>
        <v>0.51836278784231604</v>
      </c>
      <c r="E872">
        <f t="shared" si="769"/>
        <v>0.49545866843240777</v>
      </c>
      <c r="F872">
        <f t="shared" si="770"/>
        <v>0.49545866843240766</v>
      </c>
      <c r="G872">
        <f t="shared" si="765"/>
        <v>2.6232298657474771</v>
      </c>
      <c r="H872">
        <f t="shared" si="766"/>
        <v>0.49545866843240777</v>
      </c>
      <c r="I872">
        <f t="shared" si="767"/>
        <v>0.49545866843240766</v>
      </c>
      <c r="J872">
        <f t="shared" si="815"/>
        <v>1.2849099489606192E+20</v>
      </c>
      <c r="K872">
        <f t="shared" si="816"/>
        <v>1.2849099489606192E+20</v>
      </c>
      <c r="L872">
        <f t="shared" si="771"/>
        <v>1</v>
      </c>
      <c r="M872">
        <f t="shared" si="768"/>
        <v>5.1836278784231596E-21</v>
      </c>
      <c r="N872" s="9">
        <f t="shared" si="817"/>
        <v>5.1836278784231596E-21</v>
      </c>
      <c r="O872">
        <f t="shared" si="818"/>
        <v>5.1836278784231596E-21</v>
      </c>
      <c r="Q872">
        <f t="shared" si="772"/>
        <v>46.302390497142603</v>
      </c>
      <c r="R872">
        <f t="shared" si="773"/>
        <v>-710542.73576010019</v>
      </c>
      <c r="S872">
        <f t="shared" si="795"/>
        <v>-46.708781779113068</v>
      </c>
      <c r="T872" s="9" t="e">
        <f t="shared" si="774"/>
        <v>#N/A</v>
      </c>
      <c r="U872">
        <f t="shared" si="796"/>
        <v>-1.0000000000000001E+300</v>
      </c>
      <c r="V872">
        <f t="shared" si="797"/>
        <v>0</v>
      </c>
      <c r="W872">
        <f t="shared" si="798"/>
        <v>0</v>
      </c>
      <c r="X872">
        <f t="shared" si="775"/>
        <v>0.51836278784231604</v>
      </c>
      <c r="Y872">
        <f t="shared" si="776"/>
        <v>7.8539816339744828</v>
      </c>
      <c r="Z872">
        <f t="shared" si="777"/>
        <v>-0.51836278784231604</v>
      </c>
      <c r="AA872">
        <f t="shared" si="799"/>
        <v>-0.9087867104161903</v>
      </c>
      <c r="AB872">
        <f t="shared" si="778"/>
        <v>6.9451949235582928</v>
      </c>
      <c r="AC872">
        <f t="shared" si="800"/>
        <v>-1.1086626245216107</v>
      </c>
      <c r="AD872">
        <f t="shared" si="779"/>
        <v>0.70227134255114765</v>
      </c>
      <c r="AE872" s="9">
        <f t="shared" si="801"/>
        <v>6.5388036415878297</v>
      </c>
      <c r="AF872">
        <f t="shared" si="802"/>
        <v>3.4914284846682648E-298</v>
      </c>
      <c r="AH872">
        <f t="shared" si="780"/>
        <v>7.8539816339744828</v>
      </c>
      <c r="AI872">
        <f t="shared" si="781"/>
        <v>-0.90878671041619019</v>
      </c>
      <c r="AJ872">
        <f t="shared" si="782"/>
        <v>-1.1086626245216067</v>
      </c>
      <c r="AK872">
        <f t="shared" si="783"/>
        <v>0.70227134255114765</v>
      </c>
      <c r="AL872" s="9">
        <f t="shared" si="803"/>
        <v>6.5388036415878341</v>
      </c>
      <c r="AM872" t="e">
        <f t="shared" si="784"/>
        <v>#N/A</v>
      </c>
      <c r="AN872" t="e">
        <f t="shared" si="804"/>
        <v>#N/A</v>
      </c>
      <c r="AO872">
        <f t="shared" si="785"/>
        <v>0</v>
      </c>
      <c r="AP872">
        <f t="shared" si="786"/>
        <v>0</v>
      </c>
      <c r="AQ872">
        <f t="shared" si="787"/>
        <v>3.9968028886505635E-15</v>
      </c>
      <c r="AR872">
        <f t="shared" si="805"/>
        <v>0</v>
      </c>
      <c r="AS872">
        <f t="shared" si="788"/>
        <v>0</v>
      </c>
      <c r="AT872">
        <f t="shared" si="806"/>
        <v>0</v>
      </c>
      <c r="AU872">
        <f t="shared" si="807"/>
        <v>3.4914284846575635E-298</v>
      </c>
      <c r="AV872">
        <f t="shared" si="789"/>
        <v>5.1836278784231604E-21</v>
      </c>
      <c r="AW872" t="b">
        <f t="shared" si="808"/>
        <v>1</v>
      </c>
      <c r="AX872">
        <f t="shared" si="790"/>
        <v>7.8539816339744828</v>
      </c>
      <c r="AY872">
        <f t="shared" si="791"/>
        <v>-0.90878671041619052</v>
      </c>
      <c r="AZ872">
        <f t="shared" si="792"/>
        <v>-1.1086626245216107</v>
      </c>
      <c r="BA872">
        <f t="shared" si="793"/>
        <v>0.70227134255114787</v>
      </c>
      <c r="BB872">
        <f t="shared" si="794"/>
        <v>-1.2337005501361696E-20</v>
      </c>
      <c r="BD872" s="15">
        <f t="shared" si="809"/>
        <v>6.5388036415878297</v>
      </c>
      <c r="BE872" s="10">
        <f t="shared" si="810"/>
        <v>0</v>
      </c>
      <c r="BF872">
        <f t="shared" si="811"/>
        <v>0</v>
      </c>
      <c r="BG872">
        <f t="shared" si="812"/>
        <v>0</v>
      </c>
      <c r="BH872">
        <f t="shared" si="813"/>
        <v>0</v>
      </c>
      <c r="BI872">
        <f t="shared" si="814"/>
        <v>0</v>
      </c>
    </row>
    <row r="873" spans="1:61" x14ac:dyDescent="0.3">
      <c r="A873">
        <f t="shared" si="819"/>
        <v>0.83599999999999997</v>
      </c>
      <c r="B873">
        <f t="shared" si="762"/>
        <v>2.6263714584010671</v>
      </c>
      <c r="C873">
        <f t="shared" si="763"/>
        <v>0.515221195188726</v>
      </c>
      <c r="D873">
        <f t="shared" si="764"/>
        <v>0.515221195188726</v>
      </c>
      <c r="E873">
        <f t="shared" si="769"/>
        <v>0.49272734154829162</v>
      </c>
      <c r="F873">
        <f t="shared" si="770"/>
        <v>0.49272734154829151</v>
      </c>
      <c r="G873">
        <f t="shared" si="765"/>
        <v>2.6263714584010671</v>
      </c>
      <c r="H873">
        <f t="shared" si="766"/>
        <v>0.49272734154829162</v>
      </c>
      <c r="I873">
        <f t="shared" si="767"/>
        <v>0.49272734154829151</v>
      </c>
      <c r="J873">
        <f t="shared" si="815"/>
        <v>1.2920325678845795E+20</v>
      </c>
      <c r="K873">
        <f t="shared" si="816"/>
        <v>1.2920325678845795E+20</v>
      </c>
      <c r="L873" t="e">
        <f t="shared" si="771"/>
        <v>#NUM!</v>
      </c>
      <c r="M873">
        <f t="shared" si="768"/>
        <v>5.15221195188726E-21</v>
      </c>
      <c r="N873" s="9" t="e">
        <f t="shared" si="817"/>
        <v>#NUM!</v>
      </c>
      <c r="O873" t="e">
        <f t="shared" si="818"/>
        <v>#NUM!</v>
      </c>
      <c r="Q873">
        <f t="shared" si="772"/>
        <v>46.307918472264632</v>
      </c>
      <c r="R873">
        <f t="shared" si="773"/>
        <v>0</v>
      </c>
      <c r="S873">
        <f t="shared" si="795"/>
        <v>-46.714860825189454</v>
      </c>
      <c r="T873" s="9" t="e">
        <f t="shared" si="774"/>
        <v>#N/A</v>
      </c>
      <c r="U873">
        <f t="shared" si="796"/>
        <v>-1.0000000000000001E+300</v>
      </c>
      <c r="V873">
        <f t="shared" si="797"/>
        <v>0</v>
      </c>
      <c r="W873">
        <f t="shared" si="798"/>
        <v>0</v>
      </c>
      <c r="X873">
        <f t="shared" si="775"/>
        <v>0.515221195188726</v>
      </c>
      <c r="Y873">
        <f t="shared" si="776"/>
        <v>7.8539816339744828</v>
      </c>
      <c r="Z873">
        <f t="shared" si="777"/>
        <v>-0.515221195188726</v>
      </c>
      <c r="AA873">
        <f t="shared" si="799"/>
        <v>-0.90990914509806076</v>
      </c>
      <c r="AB873">
        <f t="shared" si="778"/>
        <v>6.9440724888764223</v>
      </c>
      <c r="AC873">
        <f t="shared" si="800"/>
        <v>-1.1147416705979933</v>
      </c>
      <c r="AD873">
        <f t="shared" si="779"/>
        <v>0.70779931767317084</v>
      </c>
      <c r="AE873" s="9">
        <f t="shared" si="801"/>
        <v>6.5371301359515996</v>
      </c>
      <c r="AF873">
        <f t="shared" si="802"/>
        <v>1.1076547340510199E-297</v>
      </c>
      <c r="AH873">
        <f t="shared" si="780"/>
        <v>7.8539816339744828</v>
      </c>
      <c r="AI873">
        <f t="shared" si="781"/>
        <v>-0.90990914509806087</v>
      </c>
      <c r="AJ873">
        <f t="shared" si="782"/>
        <v>-1.1147416705979936</v>
      </c>
      <c r="AK873">
        <f t="shared" si="783"/>
        <v>0.70779931767317084</v>
      </c>
      <c r="AL873" s="9">
        <f t="shared" si="803"/>
        <v>6.5371301359515996</v>
      </c>
      <c r="AM873" t="e">
        <f t="shared" si="784"/>
        <v>#N/A</v>
      </c>
      <c r="AN873" t="e">
        <f t="shared" si="804"/>
        <v>#N/A</v>
      </c>
      <c r="AO873">
        <f t="shared" si="785"/>
        <v>0</v>
      </c>
      <c r="AP873">
        <f t="shared" si="786"/>
        <v>0</v>
      </c>
      <c r="AQ873">
        <f t="shared" si="787"/>
        <v>0</v>
      </c>
      <c r="AR873">
        <f t="shared" si="805"/>
        <v>0</v>
      </c>
      <c r="AS873">
        <f t="shared" si="788"/>
        <v>0</v>
      </c>
      <c r="AT873">
        <f t="shared" si="806"/>
        <v>0</v>
      </c>
      <c r="AU873">
        <f t="shared" si="807"/>
        <v>1.1076547340510199E-297</v>
      </c>
      <c r="AV873">
        <f t="shared" si="789"/>
        <v>5.15221195188726E-21</v>
      </c>
      <c r="AW873" t="b">
        <f t="shared" si="808"/>
        <v>1</v>
      </c>
      <c r="AX873">
        <f t="shared" si="790"/>
        <v>7.8539816339744828</v>
      </c>
      <c r="AY873">
        <f t="shared" si="791"/>
        <v>-0.90990914509806087</v>
      </c>
      <c r="AZ873">
        <f t="shared" si="792"/>
        <v>-1.1147416705979933</v>
      </c>
      <c r="BA873">
        <f t="shared" si="793"/>
        <v>0.70779931767317106</v>
      </c>
      <c r="BB873">
        <f t="shared" si="794"/>
        <v>-1.2337005501361696E-20</v>
      </c>
      <c r="BD873" s="15">
        <f t="shared" si="809"/>
        <v>6.5371301359515996</v>
      </c>
      <c r="BE873" s="10">
        <f t="shared" si="810"/>
        <v>0</v>
      </c>
      <c r="BF873">
        <f t="shared" si="811"/>
        <v>0</v>
      </c>
      <c r="BG873">
        <f t="shared" si="812"/>
        <v>0</v>
      </c>
      <c r="BH873">
        <f t="shared" si="813"/>
        <v>0</v>
      </c>
      <c r="BI873">
        <f t="shared" si="814"/>
        <v>0</v>
      </c>
    </row>
    <row r="874" spans="1:61" x14ac:dyDescent="0.3">
      <c r="A874">
        <f t="shared" si="819"/>
        <v>0.83699999999999997</v>
      </c>
      <c r="B874">
        <f t="shared" si="762"/>
        <v>2.6295130510546567</v>
      </c>
      <c r="C874">
        <f t="shared" si="763"/>
        <v>0.5120796025351364</v>
      </c>
      <c r="D874">
        <f t="shared" si="764"/>
        <v>0.5120796025351364</v>
      </c>
      <c r="E874">
        <f t="shared" si="769"/>
        <v>0.48999115164423679</v>
      </c>
      <c r="F874">
        <f t="shared" si="770"/>
        <v>0.48999115164423668</v>
      </c>
      <c r="G874">
        <f t="shared" si="765"/>
        <v>2.6295130510546567</v>
      </c>
      <c r="H874">
        <f t="shared" si="766"/>
        <v>0.48999115164423679</v>
      </c>
      <c r="I874">
        <f t="shared" si="767"/>
        <v>0.48999115164423668</v>
      </c>
      <c r="J874">
        <f t="shared" si="815"/>
        <v>1.2992474868807547E+20</v>
      </c>
      <c r="K874">
        <f t="shared" si="816"/>
        <v>1.2992474868807547E+20</v>
      </c>
      <c r="L874">
        <f t="shared" si="771"/>
        <v>1</v>
      </c>
      <c r="M874">
        <f t="shared" si="768"/>
        <v>5.1207960253513634E-21</v>
      </c>
      <c r="N874" s="9">
        <f t="shared" si="817"/>
        <v>5.1207960253513634E-21</v>
      </c>
      <c r="O874">
        <f t="shared" si="818"/>
        <v>5.1207960253513634E-21</v>
      </c>
      <c r="Q874">
        <f t="shared" si="772"/>
        <v>46.313487100500872</v>
      </c>
      <c r="R874">
        <f t="shared" si="773"/>
        <v>0</v>
      </c>
      <c r="S874">
        <f t="shared" si="795"/>
        <v>-46.720977052206891</v>
      </c>
      <c r="T874" s="9" t="e">
        <f t="shared" si="774"/>
        <v>#N/A</v>
      </c>
      <c r="U874">
        <f t="shared" si="796"/>
        <v>-1.0000000000000001E+300</v>
      </c>
      <c r="V874">
        <f t="shared" si="797"/>
        <v>0</v>
      </c>
      <c r="W874">
        <f t="shared" si="798"/>
        <v>0</v>
      </c>
      <c r="X874">
        <f t="shared" si="775"/>
        <v>0.5120796025351364</v>
      </c>
      <c r="Y874">
        <f t="shared" si="776"/>
        <v>7.8539816339744828</v>
      </c>
      <c r="Z874">
        <f t="shared" si="777"/>
        <v>-0.5120796025351364</v>
      </c>
      <c r="AA874">
        <f t="shared" si="799"/>
        <v>-0.91102425495090122</v>
      </c>
      <c r="AB874">
        <f t="shared" si="778"/>
        <v>6.9429573790235812</v>
      </c>
      <c r="AC874">
        <f t="shared" si="800"/>
        <v>-1.1208578976154293</v>
      </c>
      <c r="AD874">
        <f t="shared" si="779"/>
        <v>0.71336794590941455</v>
      </c>
      <c r="AE874" s="9">
        <f t="shared" si="801"/>
        <v>6.5354674273175668</v>
      </c>
      <c r="AF874">
        <f t="shared" si="802"/>
        <v>3.4812824005116862E-297</v>
      </c>
      <c r="AH874">
        <f t="shared" si="780"/>
        <v>7.8539816339744828</v>
      </c>
      <c r="AI874">
        <f t="shared" si="781"/>
        <v>-0.91102425495090134</v>
      </c>
      <c r="AJ874">
        <f t="shared" si="782"/>
        <v>-1.12085789761543</v>
      </c>
      <c r="AK874">
        <f t="shared" si="783"/>
        <v>0.71336794590941455</v>
      </c>
      <c r="AL874" s="9">
        <f t="shared" si="803"/>
        <v>6.5354674273175659</v>
      </c>
      <c r="AM874" t="e">
        <f t="shared" si="784"/>
        <v>#N/A</v>
      </c>
      <c r="AN874" t="e">
        <f t="shared" si="804"/>
        <v>#N/A</v>
      </c>
      <c r="AO874">
        <f t="shared" si="785"/>
        <v>0</v>
      </c>
      <c r="AP874">
        <f t="shared" si="786"/>
        <v>0</v>
      </c>
      <c r="AQ874">
        <f t="shared" si="787"/>
        <v>0</v>
      </c>
      <c r="AR874">
        <f t="shared" si="805"/>
        <v>0</v>
      </c>
      <c r="AS874">
        <f t="shared" si="788"/>
        <v>0</v>
      </c>
      <c r="AT874">
        <f t="shared" si="806"/>
        <v>0</v>
      </c>
      <c r="AU874">
        <f t="shared" si="807"/>
        <v>3.4812824005136622E-297</v>
      </c>
      <c r="AV874">
        <f t="shared" si="789"/>
        <v>5.1207960253513634E-21</v>
      </c>
      <c r="AW874" t="b">
        <f t="shared" si="808"/>
        <v>1</v>
      </c>
      <c r="AX874">
        <f t="shared" si="790"/>
        <v>7.8539816339744828</v>
      </c>
      <c r="AY874">
        <f t="shared" si="791"/>
        <v>-0.91102425495090122</v>
      </c>
      <c r="AZ874">
        <f t="shared" si="792"/>
        <v>-1.1208578976154293</v>
      </c>
      <c r="BA874">
        <f t="shared" si="793"/>
        <v>0.71336794590941477</v>
      </c>
      <c r="BB874">
        <f t="shared" si="794"/>
        <v>-1.2337005501361696E-20</v>
      </c>
      <c r="BD874" s="15">
        <f t="shared" si="809"/>
        <v>6.5354674273175668</v>
      </c>
      <c r="BE874" s="10">
        <f t="shared" si="810"/>
        <v>0</v>
      </c>
      <c r="BF874">
        <f t="shared" si="811"/>
        <v>0</v>
      </c>
      <c r="BG874">
        <f t="shared" si="812"/>
        <v>0</v>
      </c>
      <c r="BH874">
        <f t="shared" si="813"/>
        <v>0</v>
      </c>
      <c r="BI874">
        <f t="shared" si="814"/>
        <v>0</v>
      </c>
    </row>
    <row r="875" spans="1:61" x14ac:dyDescent="0.3">
      <c r="A875">
        <f t="shared" si="819"/>
        <v>0.83799999999999997</v>
      </c>
      <c r="B875">
        <f t="shared" si="762"/>
        <v>2.6326546437082463</v>
      </c>
      <c r="C875">
        <f t="shared" si="763"/>
        <v>0.5089380098815468</v>
      </c>
      <c r="D875">
        <f t="shared" si="764"/>
        <v>0.5089380098815468</v>
      </c>
      <c r="E875">
        <f t="shared" si="769"/>
        <v>0.48725012572533266</v>
      </c>
      <c r="F875">
        <f t="shared" si="770"/>
        <v>0.48725012572533255</v>
      </c>
      <c r="G875">
        <f t="shared" si="765"/>
        <v>2.6326546437082463</v>
      </c>
      <c r="H875">
        <f t="shared" si="766"/>
        <v>0.48725012572533266</v>
      </c>
      <c r="I875">
        <f t="shared" si="767"/>
        <v>0.48725012572533255</v>
      </c>
      <c r="J875">
        <f t="shared" si="815"/>
        <v>1.3065564045158395E+20</v>
      </c>
      <c r="K875">
        <f t="shared" si="816"/>
        <v>1.3065564045158395E+20</v>
      </c>
      <c r="L875">
        <f t="shared" si="771"/>
        <v>1</v>
      </c>
      <c r="M875">
        <f t="shared" si="768"/>
        <v>5.0893800988154668E-21</v>
      </c>
      <c r="N875" s="9">
        <f t="shared" si="817"/>
        <v>5.0893800988154668E-21</v>
      </c>
      <c r="O875">
        <f t="shared" si="818"/>
        <v>5.0893800988154668E-21</v>
      </c>
      <c r="Q875">
        <f t="shared" si="772"/>
        <v>46.31909683715552</v>
      </c>
      <c r="R875">
        <f t="shared" si="773"/>
        <v>0</v>
      </c>
      <c r="S875">
        <f t="shared" si="795"/>
        <v>-46.727130917781267</v>
      </c>
      <c r="T875" s="9" t="e">
        <f t="shared" si="774"/>
        <v>#N/A</v>
      </c>
      <c r="U875">
        <f t="shared" si="796"/>
        <v>-1.0000000000000001E+300</v>
      </c>
      <c r="V875">
        <f t="shared" si="797"/>
        <v>0</v>
      </c>
      <c r="W875">
        <f t="shared" si="798"/>
        <v>0</v>
      </c>
      <c r="X875">
        <f t="shared" si="775"/>
        <v>0.5089380098815468</v>
      </c>
      <c r="Y875">
        <f t="shared" si="776"/>
        <v>7.8539816339744828</v>
      </c>
      <c r="Z875">
        <f t="shared" si="777"/>
        <v>-0.5089380098815468</v>
      </c>
      <c r="AA875">
        <f t="shared" si="799"/>
        <v>-0.91213204961955774</v>
      </c>
      <c r="AB875">
        <f t="shared" si="778"/>
        <v>6.9418495843549248</v>
      </c>
      <c r="AC875">
        <f t="shared" si="800"/>
        <v>-1.1270117631898071</v>
      </c>
      <c r="AD875">
        <f t="shared" si="779"/>
        <v>0.71897768256405858</v>
      </c>
      <c r="AE875" s="9">
        <f t="shared" si="801"/>
        <v>6.5338155037291763</v>
      </c>
      <c r="AF875">
        <f t="shared" si="802"/>
        <v>1.0839987152526148E-296</v>
      </c>
      <c r="AH875">
        <f t="shared" si="780"/>
        <v>7.8539816339744828</v>
      </c>
      <c r="AI875">
        <f t="shared" si="781"/>
        <v>-0.91213204961955696</v>
      </c>
      <c r="AJ875">
        <f t="shared" si="782"/>
        <v>-1.127011763189806</v>
      </c>
      <c r="AK875">
        <f t="shared" si="783"/>
        <v>0.71897768256405858</v>
      </c>
      <c r="AL875" s="9">
        <f t="shared" si="803"/>
        <v>6.5338155037291781</v>
      </c>
      <c r="AM875" t="e">
        <f t="shared" si="784"/>
        <v>#N/A</v>
      </c>
      <c r="AN875" t="e">
        <f t="shared" si="804"/>
        <v>#N/A</v>
      </c>
      <c r="AO875">
        <f t="shared" si="785"/>
        <v>0</v>
      </c>
      <c r="AP875">
        <f t="shared" si="786"/>
        <v>0</v>
      </c>
      <c r="AQ875">
        <f t="shared" si="787"/>
        <v>0</v>
      </c>
      <c r="AR875">
        <f t="shared" si="805"/>
        <v>0</v>
      </c>
      <c r="AS875">
        <f t="shared" si="788"/>
        <v>0</v>
      </c>
      <c r="AT875">
        <f t="shared" si="806"/>
        <v>0</v>
      </c>
      <c r="AU875">
        <f t="shared" si="807"/>
        <v>1.0839987152512612E-296</v>
      </c>
      <c r="AV875">
        <f t="shared" si="789"/>
        <v>5.0893800988154675E-21</v>
      </c>
      <c r="AW875" t="b">
        <f t="shared" si="808"/>
        <v>1</v>
      </c>
      <c r="AX875">
        <f t="shared" si="790"/>
        <v>7.8539816339744828</v>
      </c>
      <c r="AY875">
        <f t="shared" si="791"/>
        <v>-0.91213204961955796</v>
      </c>
      <c r="AZ875">
        <f t="shared" si="792"/>
        <v>-1.1270117631898071</v>
      </c>
      <c r="BA875">
        <f t="shared" si="793"/>
        <v>0.71897768256405881</v>
      </c>
      <c r="BB875">
        <f t="shared" si="794"/>
        <v>-1.2337005501361696E-20</v>
      </c>
      <c r="BD875" s="15">
        <f t="shared" si="809"/>
        <v>6.5338155037291763</v>
      </c>
      <c r="BE875" s="10">
        <f t="shared" si="810"/>
        <v>0</v>
      </c>
      <c r="BF875">
        <f t="shared" si="811"/>
        <v>0</v>
      </c>
      <c r="BG875">
        <f t="shared" si="812"/>
        <v>0</v>
      </c>
      <c r="BH875">
        <f t="shared" si="813"/>
        <v>0</v>
      </c>
      <c r="BI875">
        <f t="shared" si="814"/>
        <v>0</v>
      </c>
    </row>
    <row r="876" spans="1:61" x14ac:dyDescent="0.3">
      <c r="A876">
        <f t="shared" si="819"/>
        <v>0.83899999999999997</v>
      </c>
      <c r="B876">
        <f t="shared" si="762"/>
        <v>2.6357962363618364</v>
      </c>
      <c r="C876">
        <f t="shared" si="763"/>
        <v>0.50579641722795676</v>
      </c>
      <c r="D876">
        <f t="shared" si="764"/>
        <v>0.50579641722795676</v>
      </c>
      <c r="E876">
        <f t="shared" si="769"/>
        <v>0.48450429084439811</v>
      </c>
      <c r="F876">
        <f t="shared" si="770"/>
        <v>0.484504290844398</v>
      </c>
      <c r="G876">
        <f t="shared" si="765"/>
        <v>2.6357962363618364</v>
      </c>
      <c r="H876">
        <f t="shared" si="766"/>
        <v>0.48450429084439811</v>
      </c>
      <c r="I876">
        <f t="shared" si="767"/>
        <v>0.484504290844398</v>
      </c>
      <c r="J876">
        <f t="shared" si="815"/>
        <v>1.3139610616411161E+20</v>
      </c>
      <c r="K876">
        <f t="shared" si="816"/>
        <v>1.3139610616411161E+20</v>
      </c>
      <c r="L876">
        <f t="shared" si="771"/>
        <v>1</v>
      </c>
      <c r="M876">
        <f t="shared" si="768"/>
        <v>5.0579641722795672E-21</v>
      </c>
      <c r="N876" s="9">
        <f t="shared" si="817"/>
        <v>5.0579641722795672E-21</v>
      </c>
      <c r="O876">
        <f t="shared" si="818"/>
        <v>5.0579641722795672E-21</v>
      </c>
      <c r="Q876">
        <f t="shared" si="772"/>
        <v>46.324748146050005</v>
      </c>
      <c r="R876">
        <f t="shared" si="773"/>
        <v>0</v>
      </c>
      <c r="S876">
        <f t="shared" si="795"/>
        <v>-46.733322888029186</v>
      </c>
      <c r="T876" s="9" t="e">
        <f t="shared" si="774"/>
        <v>#N/A</v>
      </c>
      <c r="U876">
        <f t="shared" si="796"/>
        <v>-1.0000000000000001E+300</v>
      </c>
      <c r="V876">
        <f t="shared" si="797"/>
        <v>0</v>
      </c>
      <c r="W876">
        <f t="shared" si="798"/>
        <v>0</v>
      </c>
      <c r="X876">
        <f t="shared" si="775"/>
        <v>0.50579641722795676</v>
      </c>
      <c r="Y876">
        <f t="shared" si="776"/>
        <v>7.8539816339744828</v>
      </c>
      <c r="Z876">
        <f t="shared" si="777"/>
        <v>-0.50579641722795676</v>
      </c>
      <c r="AA876">
        <f t="shared" si="799"/>
        <v>-0.91323253867487963</v>
      </c>
      <c r="AB876">
        <f t="shared" si="778"/>
        <v>6.9407490952996032</v>
      </c>
      <c r="AC876">
        <f t="shared" si="800"/>
        <v>-1.1332037334377285</v>
      </c>
      <c r="AD876">
        <f t="shared" si="779"/>
        <v>0.72462899145854442</v>
      </c>
      <c r="AE876" s="9">
        <f t="shared" si="801"/>
        <v>6.5321743533204195</v>
      </c>
      <c r="AF876">
        <f t="shared" si="802"/>
        <v>3.3442120950579999E-296</v>
      </c>
      <c r="AH876">
        <f t="shared" si="780"/>
        <v>7.8539816339744828</v>
      </c>
      <c r="AI876">
        <f t="shared" si="781"/>
        <v>-0.91323253867487952</v>
      </c>
      <c r="AJ876">
        <f t="shared" si="782"/>
        <v>-1.1332037334377247</v>
      </c>
      <c r="AK876">
        <f t="shared" si="783"/>
        <v>0.72462899145854442</v>
      </c>
      <c r="AL876" s="9">
        <f t="shared" si="803"/>
        <v>6.5321743533204231</v>
      </c>
      <c r="AM876" t="e">
        <f t="shared" si="784"/>
        <v>#N/A</v>
      </c>
      <c r="AN876" t="e">
        <f t="shared" si="804"/>
        <v>#N/A</v>
      </c>
      <c r="AO876">
        <f t="shared" si="785"/>
        <v>0</v>
      </c>
      <c r="AP876">
        <f t="shared" si="786"/>
        <v>0</v>
      </c>
      <c r="AQ876">
        <f t="shared" si="787"/>
        <v>3.7747582837255322E-15</v>
      </c>
      <c r="AR876">
        <f t="shared" si="805"/>
        <v>0</v>
      </c>
      <c r="AS876">
        <f t="shared" si="788"/>
        <v>0</v>
      </c>
      <c r="AT876">
        <f t="shared" si="806"/>
        <v>0</v>
      </c>
      <c r="AU876">
        <f t="shared" si="807"/>
        <v>3.3442120950500275E-296</v>
      </c>
      <c r="AV876">
        <f t="shared" si="789"/>
        <v>5.0579641722795672E-21</v>
      </c>
      <c r="AW876" t="b">
        <f t="shared" si="808"/>
        <v>1</v>
      </c>
      <c r="AX876">
        <f t="shared" si="790"/>
        <v>7.8539816339744828</v>
      </c>
      <c r="AY876">
        <f t="shared" si="791"/>
        <v>-0.91323253867487963</v>
      </c>
      <c r="AZ876">
        <f t="shared" si="792"/>
        <v>-1.1332037334377285</v>
      </c>
      <c r="BA876">
        <f t="shared" si="793"/>
        <v>0.72462899145854476</v>
      </c>
      <c r="BB876">
        <f t="shared" si="794"/>
        <v>-1.2337005501361696E-20</v>
      </c>
      <c r="BD876" s="15">
        <f t="shared" si="809"/>
        <v>6.5321743533204195</v>
      </c>
      <c r="BE876" s="10">
        <f t="shared" si="810"/>
        <v>0</v>
      </c>
      <c r="BF876">
        <f t="shared" si="811"/>
        <v>0</v>
      </c>
      <c r="BG876">
        <f t="shared" si="812"/>
        <v>0</v>
      </c>
      <c r="BH876">
        <f t="shared" si="813"/>
        <v>0</v>
      </c>
      <c r="BI876">
        <f t="shared" si="814"/>
        <v>0</v>
      </c>
    </row>
    <row r="877" spans="1:61" x14ac:dyDescent="0.3">
      <c r="A877">
        <f t="shared" si="819"/>
        <v>0.84</v>
      </c>
      <c r="B877">
        <f t="shared" si="762"/>
        <v>2.638937829015426</v>
      </c>
      <c r="C877">
        <f t="shared" si="763"/>
        <v>0.50265482457436717</v>
      </c>
      <c r="D877">
        <f t="shared" si="764"/>
        <v>0.50265482457436717</v>
      </c>
      <c r="E877">
        <f t="shared" si="769"/>
        <v>0.4817536741017156</v>
      </c>
      <c r="F877">
        <f t="shared" si="770"/>
        <v>0.48175367410171549</v>
      </c>
      <c r="G877">
        <f t="shared" si="765"/>
        <v>2.638937829015426</v>
      </c>
      <c r="H877">
        <f t="shared" si="766"/>
        <v>0.4817536741017156</v>
      </c>
      <c r="I877">
        <f t="shared" si="767"/>
        <v>0.48175367410171549</v>
      </c>
      <c r="J877">
        <f t="shared" si="815"/>
        <v>1.3214632427134702E+20</v>
      </c>
      <c r="K877">
        <f t="shared" si="816"/>
        <v>1.3214632427134702E+20</v>
      </c>
      <c r="L877">
        <f t="shared" si="771"/>
        <v>1</v>
      </c>
      <c r="M877">
        <f t="shared" si="768"/>
        <v>5.0265482457436706E-21</v>
      </c>
      <c r="N877" s="9">
        <f t="shared" si="817"/>
        <v>5.0265482457436706E-21</v>
      </c>
      <c r="O877">
        <f t="shared" si="818"/>
        <v>5.0265482457436706E-21</v>
      </c>
      <c r="Q877">
        <f t="shared" si="772"/>
        <v>46.330441499734846</v>
      </c>
      <c r="R877">
        <f t="shared" si="773"/>
        <v>0</v>
      </c>
      <c r="S877">
        <f t="shared" si="795"/>
        <v>-46.739553437779826</v>
      </c>
      <c r="T877" s="9" t="e">
        <f t="shared" si="774"/>
        <v>#N/A</v>
      </c>
      <c r="U877">
        <f t="shared" si="796"/>
        <v>-1.0000000000000001E+300</v>
      </c>
      <c r="V877">
        <f t="shared" si="797"/>
        <v>0</v>
      </c>
      <c r="W877">
        <f t="shared" si="798"/>
        <v>0</v>
      </c>
      <c r="X877">
        <f t="shared" si="775"/>
        <v>0.50265482457436717</v>
      </c>
      <c r="Y877">
        <f t="shared" si="776"/>
        <v>7.8539816339744828</v>
      </c>
      <c r="Z877">
        <f t="shared" si="777"/>
        <v>-0.50265482457436717</v>
      </c>
      <c r="AA877">
        <f t="shared" si="799"/>
        <v>-0.9143257316140222</v>
      </c>
      <c r="AB877">
        <f t="shared" si="778"/>
        <v>6.9396559023604603</v>
      </c>
      <c r="AC877">
        <f t="shared" si="800"/>
        <v>-1.1394342831883644</v>
      </c>
      <c r="AD877">
        <f t="shared" si="779"/>
        <v>0.73032234514338468</v>
      </c>
      <c r="AE877" s="9">
        <f t="shared" si="801"/>
        <v>6.5305439643154806</v>
      </c>
      <c r="AF877">
        <f t="shared" si="802"/>
        <v>1.0222451284328533E-295</v>
      </c>
      <c r="AH877">
        <f t="shared" si="780"/>
        <v>7.8539816339744828</v>
      </c>
      <c r="AI877">
        <f t="shared" si="781"/>
        <v>-0.91432573161402186</v>
      </c>
      <c r="AJ877">
        <f t="shared" si="782"/>
        <v>-1.1394342831883648</v>
      </c>
      <c r="AK877">
        <f t="shared" si="783"/>
        <v>0.73032234514338468</v>
      </c>
      <c r="AL877" s="9">
        <f t="shared" si="803"/>
        <v>6.5305439643154806</v>
      </c>
      <c r="AM877" t="e">
        <f t="shared" si="784"/>
        <v>#N/A</v>
      </c>
      <c r="AN877" t="e">
        <f t="shared" si="804"/>
        <v>#N/A</v>
      </c>
      <c r="AO877">
        <f t="shared" si="785"/>
        <v>0</v>
      </c>
      <c r="AP877">
        <f t="shared" si="786"/>
        <v>0</v>
      </c>
      <c r="AQ877">
        <f t="shared" si="787"/>
        <v>0</v>
      </c>
      <c r="AR877">
        <f t="shared" si="805"/>
        <v>0</v>
      </c>
      <c r="AS877">
        <f t="shared" si="788"/>
        <v>0</v>
      </c>
      <c r="AT877">
        <f t="shared" si="806"/>
        <v>0</v>
      </c>
      <c r="AU877">
        <f t="shared" si="807"/>
        <v>1.0222451284328533E-295</v>
      </c>
      <c r="AV877">
        <f t="shared" si="789"/>
        <v>5.0265482457436713E-21</v>
      </c>
      <c r="AW877" t="b">
        <f t="shared" si="808"/>
        <v>1</v>
      </c>
      <c r="AX877">
        <f t="shared" si="790"/>
        <v>7.8539816339744828</v>
      </c>
      <c r="AY877">
        <f t="shared" si="791"/>
        <v>-0.9143257316140222</v>
      </c>
      <c r="AZ877">
        <f t="shared" si="792"/>
        <v>-1.1394342831883644</v>
      </c>
      <c r="BA877">
        <f t="shared" si="793"/>
        <v>0.7303223451433849</v>
      </c>
      <c r="BB877">
        <f t="shared" si="794"/>
        <v>-1.2337005501361696E-20</v>
      </c>
      <c r="BD877" s="15">
        <f t="shared" si="809"/>
        <v>6.5305439643154806</v>
      </c>
      <c r="BE877" s="10">
        <f t="shared" si="810"/>
        <v>0</v>
      </c>
      <c r="BF877">
        <f t="shared" si="811"/>
        <v>0</v>
      </c>
      <c r="BG877">
        <f t="shared" si="812"/>
        <v>0</v>
      </c>
      <c r="BH877">
        <f t="shared" si="813"/>
        <v>0</v>
      </c>
      <c r="BI877">
        <f t="shared" si="814"/>
        <v>0</v>
      </c>
    </row>
    <row r="878" spans="1:61" x14ac:dyDescent="0.3">
      <c r="A878">
        <f t="shared" si="819"/>
        <v>0.84099999999999997</v>
      </c>
      <c r="B878">
        <f t="shared" si="762"/>
        <v>2.642079421669016</v>
      </c>
      <c r="C878">
        <f t="shared" si="763"/>
        <v>0.49951323192077712</v>
      </c>
      <c r="D878">
        <f t="shared" si="764"/>
        <v>0.49951323192077712</v>
      </c>
      <c r="E878">
        <f t="shared" si="769"/>
        <v>0.47899830264476112</v>
      </c>
      <c r="F878">
        <f t="shared" si="770"/>
        <v>0.47899830264476101</v>
      </c>
      <c r="G878">
        <f t="shared" si="765"/>
        <v>2.642079421669016</v>
      </c>
      <c r="H878">
        <f t="shared" si="766"/>
        <v>0.47899830264476112</v>
      </c>
      <c r="I878">
        <f t="shared" si="767"/>
        <v>0.47899830264476101</v>
      </c>
      <c r="J878">
        <f t="shared" si="815"/>
        <v>1.329064777166271E+20</v>
      </c>
      <c r="K878">
        <f t="shared" si="816"/>
        <v>1.329064777166271E+20</v>
      </c>
      <c r="L878">
        <f t="shared" si="771"/>
        <v>1</v>
      </c>
      <c r="M878">
        <f t="shared" si="768"/>
        <v>4.9951323192077709E-21</v>
      </c>
      <c r="N878" s="9">
        <f t="shared" si="817"/>
        <v>4.9951323192077709E-21</v>
      </c>
      <c r="O878">
        <f t="shared" si="818"/>
        <v>4.9951323192077709E-21</v>
      </c>
      <c r="Q878">
        <f t="shared" si="772"/>
        <v>46.336177379708083</v>
      </c>
      <c r="R878">
        <f t="shared" si="773"/>
        <v>0</v>
      </c>
      <c r="S878">
        <f t="shared" si="795"/>
        <v>-46.745823050793419</v>
      </c>
      <c r="T878" s="9" t="e">
        <f t="shared" si="774"/>
        <v>#N/A</v>
      </c>
      <c r="U878">
        <f t="shared" si="796"/>
        <v>-1.0000000000000001E+300</v>
      </c>
      <c r="V878">
        <f t="shared" si="797"/>
        <v>0</v>
      </c>
      <c r="W878">
        <f t="shared" si="798"/>
        <v>0</v>
      </c>
      <c r="X878">
        <f t="shared" si="775"/>
        <v>0.49951323192077712</v>
      </c>
      <c r="Y878">
        <f t="shared" si="776"/>
        <v>7.8539816339744828</v>
      </c>
      <c r="Z878">
        <f t="shared" si="777"/>
        <v>-0.49951323192077712</v>
      </c>
      <c r="AA878">
        <f t="shared" si="799"/>
        <v>-0.91541163786074908</v>
      </c>
      <c r="AB878">
        <f t="shared" si="778"/>
        <v>6.9385699961137339</v>
      </c>
      <c r="AC878">
        <f t="shared" si="800"/>
        <v>-1.1457038962019601</v>
      </c>
      <c r="AD878">
        <f t="shared" si="779"/>
        <v>0.736058225116621</v>
      </c>
      <c r="AE878" s="9">
        <f t="shared" si="801"/>
        <v>6.5289243250283953</v>
      </c>
      <c r="AF878">
        <f t="shared" si="802"/>
        <v>3.0962279527198299E-295</v>
      </c>
      <c r="AH878">
        <f t="shared" si="780"/>
        <v>7.8539816339744828</v>
      </c>
      <c r="AI878">
        <f t="shared" si="781"/>
        <v>-0.91541163786074886</v>
      </c>
      <c r="AJ878">
        <f t="shared" si="782"/>
        <v>-1.1457038962019581</v>
      </c>
      <c r="AK878">
        <f t="shared" si="783"/>
        <v>0.736058225116621</v>
      </c>
      <c r="AL878" s="9">
        <f t="shared" si="803"/>
        <v>6.528924325028397</v>
      </c>
      <c r="AM878" t="e">
        <f t="shared" si="784"/>
        <v>#N/A</v>
      </c>
      <c r="AN878" t="e">
        <f t="shared" si="804"/>
        <v>#N/A</v>
      </c>
      <c r="AO878">
        <f t="shared" si="785"/>
        <v>0</v>
      </c>
      <c r="AP878">
        <f t="shared" si="786"/>
        <v>0</v>
      </c>
      <c r="AQ878">
        <f t="shared" si="787"/>
        <v>1.9984014443252818E-15</v>
      </c>
      <c r="AR878">
        <f t="shared" si="805"/>
        <v>0</v>
      </c>
      <c r="AS878">
        <f t="shared" si="788"/>
        <v>0</v>
      </c>
      <c r="AT878">
        <f t="shared" si="806"/>
        <v>0</v>
      </c>
      <c r="AU878">
        <f t="shared" si="807"/>
        <v>3.0962279527159634E-295</v>
      </c>
      <c r="AV878">
        <f t="shared" si="789"/>
        <v>4.9951323192077709E-21</v>
      </c>
      <c r="AW878" t="b">
        <f t="shared" si="808"/>
        <v>1</v>
      </c>
      <c r="AX878">
        <f t="shared" si="790"/>
        <v>7.8539816339744828</v>
      </c>
      <c r="AY878">
        <f t="shared" si="791"/>
        <v>-0.91541163786074919</v>
      </c>
      <c r="AZ878">
        <f t="shared" si="792"/>
        <v>-1.1457038962019601</v>
      </c>
      <c r="BA878">
        <f t="shared" si="793"/>
        <v>0.73605822511662122</v>
      </c>
      <c r="BB878">
        <f t="shared" si="794"/>
        <v>-1.2337005501361696E-20</v>
      </c>
      <c r="BD878" s="15">
        <f t="shared" si="809"/>
        <v>6.5289243250283953</v>
      </c>
      <c r="BE878" s="10">
        <f t="shared" si="810"/>
        <v>0</v>
      </c>
      <c r="BF878">
        <f t="shared" si="811"/>
        <v>0</v>
      </c>
      <c r="BG878">
        <f t="shared" si="812"/>
        <v>0</v>
      </c>
      <c r="BH878">
        <f t="shared" si="813"/>
        <v>0</v>
      </c>
      <c r="BI878">
        <f t="shared" si="814"/>
        <v>0</v>
      </c>
    </row>
    <row r="879" spans="1:61" x14ac:dyDescent="0.3">
      <c r="A879">
        <f t="shared" si="819"/>
        <v>0.84199999999999997</v>
      </c>
      <c r="B879">
        <f t="shared" si="762"/>
        <v>2.6452210143226056</v>
      </c>
      <c r="C879">
        <f t="shared" si="763"/>
        <v>0.49637163926718753</v>
      </c>
      <c r="D879">
        <f t="shared" si="764"/>
        <v>0.49637163926718753</v>
      </c>
      <c r="E879">
        <f t="shared" si="769"/>
        <v>0.4762382036679394</v>
      </c>
      <c r="F879">
        <f t="shared" si="770"/>
        <v>0.47623820366793929</v>
      </c>
      <c r="G879">
        <f t="shared" si="765"/>
        <v>2.6452210143226056</v>
      </c>
      <c r="H879">
        <f t="shared" si="766"/>
        <v>0.4762382036679394</v>
      </c>
      <c r="I879">
        <f t="shared" si="767"/>
        <v>0.47623820366793929</v>
      </c>
      <c r="J879">
        <f t="shared" si="815"/>
        <v>1.336767540832296E+20</v>
      </c>
      <c r="K879">
        <f t="shared" si="816"/>
        <v>1.336767540832296E+20</v>
      </c>
      <c r="L879" t="e">
        <f t="shared" si="771"/>
        <v>#NUM!</v>
      </c>
      <c r="M879">
        <f t="shared" si="768"/>
        <v>4.9637163926718743E-21</v>
      </c>
      <c r="N879" s="9" t="e">
        <f t="shared" si="817"/>
        <v>#NUM!</v>
      </c>
      <c r="O879" t="e">
        <f t="shared" si="818"/>
        <v>#NUM!</v>
      </c>
      <c r="Q879">
        <f t="shared" si="772"/>
        <v>46.341956276640623</v>
      </c>
      <c r="R879">
        <f t="shared" si="773"/>
        <v>0</v>
      </c>
      <c r="S879">
        <f t="shared" si="795"/>
        <v>-46.752132219986684</v>
      </c>
      <c r="T879" s="9" t="e">
        <f t="shared" si="774"/>
        <v>#N/A</v>
      </c>
      <c r="U879">
        <f t="shared" si="796"/>
        <v>-1.0000000000000001E+300</v>
      </c>
      <c r="V879">
        <f t="shared" si="797"/>
        <v>0</v>
      </c>
      <c r="W879">
        <f t="shared" si="798"/>
        <v>0</v>
      </c>
      <c r="X879">
        <f t="shared" si="775"/>
        <v>0.49637163926718753</v>
      </c>
      <c r="Y879">
        <f t="shared" si="776"/>
        <v>7.8539816339744828</v>
      </c>
      <c r="Z879">
        <f t="shared" si="777"/>
        <v>-0.49637163926718753</v>
      </c>
      <c r="AA879">
        <f t="shared" si="799"/>
        <v>-0.91649026676572853</v>
      </c>
      <c r="AB879">
        <f t="shared" si="778"/>
        <v>6.9374913672087546</v>
      </c>
      <c r="AC879">
        <f t="shared" si="800"/>
        <v>-1.1520130653952245</v>
      </c>
      <c r="AD879">
        <f t="shared" si="779"/>
        <v>0.74183712204916519</v>
      </c>
      <c r="AE879" s="9">
        <f t="shared" si="801"/>
        <v>6.5273154238626949</v>
      </c>
      <c r="AF879">
        <f t="shared" si="802"/>
        <v>9.2928235601975627E-295</v>
      </c>
      <c r="AH879">
        <f t="shared" si="780"/>
        <v>7.8539816339744828</v>
      </c>
      <c r="AI879">
        <f t="shared" si="781"/>
        <v>-0.91649026676572776</v>
      </c>
      <c r="AJ879">
        <f t="shared" si="782"/>
        <v>-1.1520130653952236</v>
      </c>
      <c r="AK879">
        <f t="shared" si="783"/>
        <v>0.74183712204916519</v>
      </c>
      <c r="AL879" s="9">
        <f t="shared" si="803"/>
        <v>6.5273154238626967</v>
      </c>
      <c r="AM879" t="e">
        <f t="shared" si="784"/>
        <v>#N/A</v>
      </c>
      <c r="AN879" t="e">
        <f t="shared" si="804"/>
        <v>#N/A</v>
      </c>
      <c r="AO879">
        <f t="shared" si="785"/>
        <v>0</v>
      </c>
      <c r="AP879">
        <f t="shared" si="786"/>
        <v>0</v>
      </c>
      <c r="AQ879">
        <f t="shared" si="787"/>
        <v>0</v>
      </c>
      <c r="AR879">
        <f t="shared" si="805"/>
        <v>0</v>
      </c>
      <c r="AS879">
        <f t="shared" si="788"/>
        <v>0</v>
      </c>
      <c r="AT879">
        <f t="shared" si="806"/>
        <v>0</v>
      </c>
      <c r="AU879">
        <f t="shared" si="807"/>
        <v>9.2928235601870145E-295</v>
      </c>
      <c r="AV879">
        <f t="shared" si="789"/>
        <v>4.9637163926718751E-21</v>
      </c>
      <c r="AW879" t="b">
        <f t="shared" si="808"/>
        <v>1</v>
      </c>
      <c r="AX879">
        <f t="shared" si="790"/>
        <v>7.8539816339744828</v>
      </c>
      <c r="AY879">
        <f t="shared" si="791"/>
        <v>-0.91649026676572865</v>
      </c>
      <c r="AZ879">
        <f t="shared" si="792"/>
        <v>-1.1520130653952243</v>
      </c>
      <c r="BA879">
        <f t="shared" si="793"/>
        <v>0.74183712204916541</v>
      </c>
      <c r="BB879">
        <f t="shared" si="794"/>
        <v>-1.2337005501361696E-20</v>
      </c>
      <c r="BD879" s="15">
        <f t="shared" si="809"/>
        <v>6.5273154238626949</v>
      </c>
      <c r="BE879" s="10">
        <f t="shared" si="810"/>
        <v>0</v>
      </c>
      <c r="BF879">
        <f t="shared" si="811"/>
        <v>0</v>
      </c>
      <c r="BG879">
        <f t="shared" si="812"/>
        <v>0</v>
      </c>
      <c r="BH879">
        <f t="shared" si="813"/>
        <v>0</v>
      </c>
      <c r="BI879">
        <f t="shared" si="814"/>
        <v>0</v>
      </c>
    </row>
    <row r="880" spans="1:61" x14ac:dyDescent="0.3">
      <c r="A880">
        <f t="shared" si="819"/>
        <v>0.84299999999999997</v>
      </c>
      <c r="B880">
        <f t="shared" si="762"/>
        <v>2.6483626069761956</v>
      </c>
      <c r="C880">
        <f t="shared" si="763"/>
        <v>0.49323004661359748</v>
      </c>
      <c r="D880">
        <f t="shared" si="764"/>
        <v>0.49323004661359748</v>
      </c>
      <c r="E880">
        <f t="shared" si="769"/>
        <v>0.47347340441231223</v>
      </c>
      <c r="F880">
        <f t="shared" si="770"/>
        <v>0.47347340441231212</v>
      </c>
      <c r="G880">
        <f t="shared" si="765"/>
        <v>2.6483626069761956</v>
      </c>
      <c r="H880">
        <f t="shared" si="766"/>
        <v>0.47347340441231223</v>
      </c>
      <c r="I880">
        <f t="shared" si="767"/>
        <v>0.47347340441231212</v>
      </c>
      <c r="J880">
        <f t="shared" si="815"/>
        <v>1.3445734574210579E+20</v>
      </c>
      <c r="K880">
        <f t="shared" si="816"/>
        <v>1.3445734574210579E+20</v>
      </c>
      <c r="L880">
        <f t="shared" si="771"/>
        <v>1</v>
      </c>
      <c r="M880">
        <f t="shared" si="768"/>
        <v>4.9323004661359747E-21</v>
      </c>
      <c r="N880" s="9">
        <f t="shared" si="817"/>
        <v>4.9323004661359747E-21</v>
      </c>
      <c r="O880">
        <f t="shared" si="818"/>
        <v>4.9323004661359747E-21</v>
      </c>
      <c r="Q880">
        <f t="shared" si="772"/>
        <v>46.34777869060877</v>
      </c>
      <c r="R880">
        <f t="shared" si="773"/>
        <v>0</v>
      </c>
      <c r="S880">
        <f t="shared" si="795"/>
        <v>-46.758481447665339</v>
      </c>
      <c r="T880" s="9" t="e">
        <f t="shared" si="774"/>
        <v>#N/A</v>
      </c>
      <c r="U880">
        <f t="shared" si="796"/>
        <v>-1.0000000000000001E+300</v>
      </c>
      <c r="V880">
        <f t="shared" si="797"/>
        <v>0</v>
      </c>
      <c r="W880">
        <f t="shared" si="798"/>
        <v>0</v>
      </c>
      <c r="X880">
        <f t="shared" si="775"/>
        <v>0.49323004661359748</v>
      </c>
      <c r="Y880">
        <f t="shared" si="776"/>
        <v>7.8539816339744828</v>
      </c>
      <c r="Z880">
        <f t="shared" si="777"/>
        <v>-0.49323004661359748</v>
      </c>
      <c r="AA880">
        <f t="shared" si="799"/>
        <v>-0.91756162760683002</v>
      </c>
      <c r="AB880">
        <f t="shared" si="778"/>
        <v>6.9364200063676531</v>
      </c>
      <c r="AC880">
        <f t="shared" si="800"/>
        <v>-1.1583622930738837</v>
      </c>
      <c r="AD880">
        <f t="shared" si="779"/>
        <v>0.74765953601730795</v>
      </c>
      <c r="AE880" s="9">
        <f t="shared" si="801"/>
        <v>6.5257172493110769</v>
      </c>
      <c r="AF880">
        <f t="shared" si="802"/>
        <v>2.7638812807716248E-294</v>
      </c>
      <c r="AH880">
        <f t="shared" si="780"/>
        <v>7.8539816339744828</v>
      </c>
      <c r="AI880">
        <f t="shared" si="781"/>
        <v>-0.91756162760683058</v>
      </c>
      <c r="AJ880">
        <f t="shared" si="782"/>
        <v>-1.1583622930738784</v>
      </c>
      <c r="AK880">
        <f t="shared" si="783"/>
        <v>0.74765953601730795</v>
      </c>
      <c r="AL880" s="9">
        <f t="shared" si="803"/>
        <v>6.5257172493110822</v>
      </c>
      <c r="AM880" t="e">
        <f t="shared" si="784"/>
        <v>#N/A</v>
      </c>
      <c r="AN880" t="e">
        <f t="shared" si="804"/>
        <v>#N/A</v>
      </c>
      <c r="AO880">
        <f t="shared" si="785"/>
        <v>0</v>
      </c>
      <c r="AP880">
        <f t="shared" si="786"/>
        <v>0</v>
      </c>
      <c r="AQ880">
        <f t="shared" si="787"/>
        <v>5.3290705182007514E-15</v>
      </c>
      <c r="AR880">
        <f t="shared" si="805"/>
        <v>0</v>
      </c>
      <c r="AS880">
        <f t="shared" si="788"/>
        <v>0</v>
      </c>
      <c r="AT880">
        <f t="shared" si="806"/>
        <v>0</v>
      </c>
      <c r="AU880">
        <f t="shared" si="807"/>
        <v>2.7638812807615849E-294</v>
      </c>
      <c r="AV880">
        <f t="shared" si="789"/>
        <v>4.9323004661359747E-21</v>
      </c>
      <c r="AW880" t="b">
        <f t="shared" si="808"/>
        <v>1</v>
      </c>
      <c r="AX880">
        <f t="shared" si="790"/>
        <v>7.8539816339744828</v>
      </c>
      <c r="AY880">
        <f t="shared" si="791"/>
        <v>-0.91756162760683002</v>
      </c>
      <c r="AZ880">
        <f t="shared" si="792"/>
        <v>-1.1583622930738837</v>
      </c>
      <c r="BA880">
        <f t="shared" si="793"/>
        <v>0.74765953601730817</v>
      </c>
      <c r="BB880">
        <f t="shared" si="794"/>
        <v>-1.2337005501361696E-20</v>
      </c>
      <c r="BD880" s="15">
        <f t="shared" si="809"/>
        <v>6.5257172493110778</v>
      </c>
      <c r="BE880" s="10">
        <f t="shared" si="810"/>
        <v>0</v>
      </c>
      <c r="BF880">
        <f t="shared" si="811"/>
        <v>0</v>
      </c>
      <c r="BG880">
        <f t="shared" si="812"/>
        <v>0</v>
      </c>
      <c r="BH880">
        <f t="shared" si="813"/>
        <v>0</v>
      </c>
      <c r="BI880">
        <f t="shared" si="814"/>
        <v>0</v>
      </c>
    </row>
    <row r="881" spans="1:61" x14ac:dyDescent="0.3">
      <c r="A881">
        <f t="shared" si="819"/>
        <v>0.84399999999999997</v>
      </c>
      <c r="B881">
        <f t="shared" si="762"/>
        <v>2.6515041996297852</v>
      </c>
      <c r="C881">
        <f t="shared" si="763"/>
        <v>0.49008845396000789</v>
      </c>
      <c r="D881">
        <f t="shared" si="764"/>
        <v>0.49008845396000789</v>
      </c>
      <c r="E881">
        <f t="shared" si="769"/>
        <v>0.47070393216533279</v>
      </c>
      <c r="F881">
        <f t="shared" si="770"/>
        <v>0.47070393216533268</v>
      </c>
      <c r="G881">
        <f t="shared" si="765"/>
        <v>2.6515041996297852</v>
      </c>
      <c r="H881">
        <f t="shared" si="766"/>
        <v>0.47070393216533279</v>
      </c>
      <c r="I881">
        <f t="shared" si="767"/>
        <v>0.47070393216533268</v>
      </c>
      <c r="J881">
        <f t="shared" si="815"/>
        <v>1.3524845000529365E+20</v>
      </c>
      <c r="K881">
        <f t="shared" si="816"/>
        <v>1.3524845000529365E+20</v>
      </c>
      <c r="L881">
        <f t="shared" si="771"/>
        <v>1</v>
      </c>
      <c r="M881">
        <f t="shared" si="768"/>
        <v>4.9008845396000781E-21</v>
      </c>
      <c r="N881" s="9">
        <f t="shared" si="817"/>
        <v>4.9008845396000781E-21</v>
      </c>
      <c r="O881">
        <f t="shared" si="818"/>
        <v>4.9008845396000781E-21</v>
      </c>
      <c r="Q881">
        <f t="shared" si="772"/>
        <v>46.353645131334105</v>
      </c>
      <c r="R881">
        <f t="shared" si="773"/>
        <v>0</v>
      </c>
      <c r="S881">
        <f t="shared" si="795"/>
        <v>-46.764871245764112</v>
      </c>
      <c r="T881" s="9" t="e">
        <f t="shared" si="774"/>
        <v>#N/A</v>
      </c>
      <c r="U881">
        <f t="shared" si="796"/>
        <v>-1.0000000000000001E+300</v>
      </c>
      <c r="V881">
        <f t="shared" si="797"/>
        <v>0</v>
      </c>
      <c r="W881">
        <f t="shared" si="798"/>
        <v>0</v>
      </c>
      <c r="X881">
        <f t="shared" si="775"/>
        <v>0.49008845396000789</v>
      </c>
      <c r="Y881">
        <f t="shared" si="776"/>
        <v>7.8539816339744828</v>
      </c>
      <c r="Z881">
        <f t="shared" si="777"/>
        <v>-0.49008845396000789</v>
      </c>
      <c r="AA881">
        <f t="shared" si="799"/>
        <v>-0.91862572958941535</v>
      </c>
      <c r="AB881">
        <f t="shared" si="778"/>
        <v>6.9353559043850677</v>
      </c>
      <c r="AC881">
        <f t="shared" si="800"/>
        <v>-1.1647520911726543</v>
      </c>
      <c r="AD881">
        <f t="shared" si="779"/>
        <v>0.7535259767426451</v>
      </c>
      <c r="AE881" s="9">
        <f t="shared" si="801"/>
        <v>6.5241297899550581</v>
      </c>
      <c r="AF881">
        <f t="shared" si="802"/>
        <v>8.1464396902760813E-294</v>
      </c>
      <c r="AH881">
        <f t="shared" si="780"/>
        <v>7.8539816339744828</v>
      </c>
      <c r="AI881">
        <f t="shared" si="781"/>
        <v>-0.91862572958941513</v>
      </c>
      <c r="AJ881">
        <f t="shared" si="782"/>
        <v>-1.1647520911726517</v>
      </c>
      <c r="AK881">
        <f t="shared" si="783"/>
        <v>0.7535259767426451</v>
      </c>
      <c r="AL881" s="9">
        <f t="shared" si="803"/>
        <v>6.5241297899550608</v>
      </c>
      <c r="AM881" t="e">
        <f t="shared" si="784"/>
        <v>#N/A</v>
      </c>
      <c r="AN881" t="e">
        <f t="shared" si="804"/>
        <v>#N/A</v>
      </c>
      <c r="AO881">
        <f t="shared" si="785"/>
        <v>0</v>
      </c>
      <c r="AP881">
        <f t="shared" si="786"/>
        <v>0</v>
      </c>
      <c r="AQ881">
        <f t="shared" si="787"/>
        <v>2.6645352591003757E-15</v>
      </c>
      <c r="AR881">
        <f t="shared" si="805"/>
        <v>0</v>
      </c>
      <c r="AS881">
        <f t="shared" si="788"/>
        <v>0</v>
      </c>
      <c r="AT881">
        <f t="shared" si="806"/>
        <v>0</v>
      </c>
      <c r="AU881">
        <f t="shared" si="807"/>
        <v>8.1464396902612846E-294</v>
      </c>
      <c r="AV881">
        <f t="shared" si="789"/>
        <v>4.9008845396000789E-21</v>
      </c>
      <c r="AW881" t="b">
        <f t="shared" si="808"/>
        <v>1</v>
      </c>
      <c r="AX881">
        <f t="shared" si="790"/>
        <v>7.8539816339744828</v>
      </c>
      <c r="AY881">
        <f t="shared" si="791"/>
        <v>-0.91862572958941546</v>
      </c>
      <c r="AZ881">
        <f t="shared" si="792"/>
        <v>-1.1647520911726543</v>
      </c>
      <c r="BA881">
        <f t="shared" si="793"/>
        <v>0.75352597674264532</v>
      </c>
      <c r="BB881">
        <f t="shared" si="794"/>
        <v>-1.2337005501361696E-20</v>
      </c>
      <c r="BD881" s="15">
        <f t="shared" si="809"/>
        <v>6.524129789955059</v>
      </c>
      <c r="BE881" s="10">
        <f t="shared" si="810"/>
        <v>0</v>
      </c>
      <c r="BF881">
        <f t="shared" si="811"/>
        <v>0</v>
      </c>
      <c r="BG881">
        <f t="shared" si="812"/>
        <v>0</v>
      </c>
      <c r="BH881">
        <f t="shared" si="813"/>
        <v>0</v>
      </c>
      <c r="BI881">
        <f t="shared" si="814"/>
        <v>0</v>
      </c>
    </row>
    <row r="882" spans="1:61" x14ac:dyDescent="0.3">
      <c r="A882">
        <f t="shared" si="819"/>
        <v>0.84499999999999997</v>
      </c>
      <c r="B882">
        <f t="shared" si="762"/>
        <v>2.6546457922833753</v>
      </c>
      <c r="C882">
        <f t="shared" si="763"/>
        <v>0.48694686130641784</v>
      </c>
      <c r="D882">
        <f t="shared" si="764"/>
        <v>0.48694686130641784</v>
      </c>
      <c r="E882">
        <f t="shared" si="769"/>
        <v>0.4679298142605734</v>
      </c>
      <c r="F882">
        <f t="shared" si="770"/>
        <v>0.46792981426057328</v>
      </c>
      <c r="G882">
        <f t="shared" si="765"/>
        <v>2.6546457922833753</v>
      </c>
      <c r="H882">
        <f t="shared" si="766"/>
        <v>0.4679298142605734</v>
      </c>
      <c r="I882">
        <f t="shared" si="767"/>
        <v>0.46792981426057328</v>
      </c>
      <c r="J882">
        <f t="shared" si="815"/>
        <v>1.3605026928527162E+20</v>
      </c>
      <c r="K882">
        <f t="shared" si="816"/>
        <v>1.3605026928527162E+20</v>
      </c>
      <c r="L882">
        <f t="shared" si="771"/>
        <v>1</v>
      </c>
      <c r="M882">
        <f t="shared" si="768"/>
        <v>4.8694686130641785E-21</v>
      </c>
      <c r="N882" s="9">
        <f t="shared" si="817"/>
        <v>4.8694686130641785E-21</v>
      </c>
      <c r="O882">
        <f t="shared" si="818"/>
        <v>4.8694686130641785E-21</v>
      </c>
      <c r="Q882">
        <f t="shared" si="772"/>
        <v>46.359556118431193</v>
      </c>
      <c r="R882">
        <f t="shared" si="773"/>
        <v>0</v>
      </c>
      <c r="S882">
        <f t="shared" si="795"/>
        <v>-46.771302136094405</v>
      </c>
      <c r="T882" s="9" t="e">
        <f t="shared" si="774"/>
        <v>#N/A</v>
      </c>
      <c r="U882">
        <f t="shared" si="796"/>
        <v>-1.0000000000000001E+300</v>
      </c>
      <c r="V882">
        <f t="shared" si="797"/>
        <v>0</v>
      </c>
      <c r="W882">
        <f t="shared" si="798"/>
        <v>0</v>
      </c>
      <c r="X882">
        <f t="shared" si="775"/>
        <v>0.48694686130641784</v>
      </c>
      <c r="Y882">
        <f t="shared" si="776"/>
        <v>7.8539816339744828</v>
      </c>
      <c r="Z882">
        <f t="shared" si="777"/>
        <v>-0.48694686130641784</v>
      </c>
      <c r="AA882">
        <f t="shared" si="799"/>
        <v>-0.91968258184662977</v>
      </c>
      <c r="AB882">
        <f t="shared" si="778"/>
        <v>6.9342990521278534</v>
      </c>
      <c r="AC882">
        <f t="shared" si="800"/>
        <v>-1.1711829815029453</v>
      </c>
      <c r="AD882">
        <f t="shared" si="779"/>
        <v>0.7594369638397338</v>
      </c>
      <c r="AE882" s="9">
        <f t="shared" si="801"/>
        <v>6.5225530344646412</v>
      </c>
      <c r="AF882">
        <f t="shared" si="802"/>
        <v>2.3796479878649195E-293</v>
      </c>
      <c r="AH882">
        <f t="shared" si="780"/>
        <v>7.8539816339744828</v>
      </c>
      <c r="AI882">
        <f t="shared" si="781"/>
        <v>-0.91968258184662932</v>
      </c>
      <c r="AJ882">
        <f t="shared" si="782"/>
        <v>-1.1711829815029446</v>
      </c>
      <c r="AK882">
        <f t="shared" si="783"/>
        <v>0.7594369638397338</v>
      </c>
      <c r="AL882" s="9">
        <f t="shared" si="803"/>
        <v>6.522553034464643</v>
      </c>
      <c r="AM882" t="e">
        <f t="shared" si="784"/>
        <v>#N/A</v>
      </c>
      <c r="AN882" t="e">
        <f t="shared" si="804"/>
        <v>#N/A</v>
      </c>
      <c r="AO882">
        <f t="shared" si="785"/>
        <v>0</v>
      </c>
      <c r="AP882">
        <f t="shared" si="786"/>
        <v>0</v>
      </c>
      <c r="AQ882">
        <f t="shared" si="787"/>
        <v>0</v>
      </c>
      <c r="AR882">
        <f t="shared" si="805"/>
        <v>0</v>
      </c>
      <c r="AS882">
        <f t="shared" si="788"/>
        <v>0</v>
      </c>
      <c r="AT882">
        <f t="shared" si="806"/>
        <v>0</v>
      </c>
      <c r="AU882">
        <f t="shared" si="807"/>
        <v>2.379647987861948E-293</v>
      </c>
      <c r="AV882">
        <f t="shared" si="789"/>
        <v>4.8694686130641785E-21</v>
      </c>
      <c r="AW882" t="b">
        <f t="shared" si="808"/>
        <v>1</v>
      </c>
      <c r="AX882">
        <f t="shared" si="790"/>
        <v>7.8539816339744828</v>
      </c>
      <c r="AY882">
        <f t="shared" si="791"/>
        <v>-0.91968258184662999</v>
      </c>
      <c r="AZ882">
        <f t="shared" si="792"/>
        <v>-1.1711829815029451</v>
      </c>
      <c r="BA882">
        <f t="shared" si="793"/>
        <v>0.75943696383973414</v>
      </c>
      <c r="BB882">
        <f t="shared" si="794"/>
        <v>-1.2337005501361696E-20</v>
      </c>
      <c r="BD882" s="15">
        <f t="shared" si="809"/>
        <v>6.5225530344646412</v>
      </c>
      <c r="BE882" s="10">
        <f t="shared" si="810"/>
        <v>0</v>
      </c>
      <c r="BF882">
        <f t="shared" si="811"/>
        <v>0</v>
      </c>
      <c r="BG882">
        <f t="shared" si="812"/>
        <v>0</v>
      </c>
      <c r="BH882">
        <f t="shared" si="813"/>
        <v>0</v>
      </c>
      <c r="BI882">
        <f t="shared" si="814"/>
        <v>0</v>
      </c>
    </row>
    <row r="883" spans="1:61" x14ac:dyDescent="0.3">
      <c r="A883">
        <f t="shared" si="819"/>
        <v>0.84599999999999997</v>
      </c>
      <c r="B883">
        <f t="shared" si="762"/>
        <v>2.6577873849369649</v>
      </c>
      <c r="C883">
        <f t="shared" si="763"/>
        <v>0.48380526865282825</v>
      </c>
      <c r="D883">
        <f t="shared" si="764"/>
        <v>0.48380526865282825</v>
      </c>
      <c r="E883">
        <f t="shared" si="769"/>
        <v>0.46515107807745854</v>
      </c>
      <c r="F883">
        <f t="shared" si="770"/>
        <v>0.46515107807745842</v>
      </c>
      <c r="G883">
        <f t="shared" si="765"/>
        <v>2.6577873849369649</v>
      </c>
      <c r="H883">
        <f t="shared" si="766"/>
        <v>0.46515107807745854</v>
      </c>
      <c r="I883">
        <f t="shared" si="767"/>
        <v>0.46515107807745842</v>
      </c>
      <c r="J883">
        <f t="shared" si="815"/>
        <v>1.3686301126051983E+20</v>
      </c>
      <c r="K883">
        <f t="shared" si="816"/>
        <v>1.3686301126051983E+20</v>
      </c>
      <c r="L883">
        <f t="shared" si="771"/>
        <v>1</v>
      </c>
      <c r="M883">
        <f t="shared" si="768"/>
        <v>4.8380526865282819E-21</v>
      </c>
      <c r="N883" s="9">
        <f t="shared" si="817"/>
        <v>4.8380526865282819E-21</v>
      </c>
      <c r="O883">
        <f t="shared" si="818"/>
        <v>4.8380526865282819E-21</v>
      </c>
      <c r="Q883">
        <f t="shared" si="772"/>
        <v>46.365512181663213</v>
      </c>
      <c r="R883">
        <f t="shared" si="773"/>
        <v>0</v>
      </c>
      <c r="S883">
        <f t="shared" si="795"/>
        <v>-46.777774650600023</v>
      </c>
      <c r="T883" s="9" t="e">
        <f t="shared" si="774"/>
        <v>#N/A</v>
      </c>
      <c r="U883">
        <f t="shared" si="796"/>
        <v>-1.0000000000000001E+300</v>
      </c>
      <c r="V883">
        <f t="shared" si="797"/>
        <v>0</v>
      </c>
      <c r="W883">
        <f t="shared" si="798"/>
        <v>0</v>
      </c>
      <c r="X883">
        <f t="shared" si="775"/>
        <v>0.48380526865282825</v>
      </c>
      <c r="Y883">
        <f t="shared" si="776"/>
        <v>7.8539816339744828</v>
      </c>
      <c r="Z883">
        <f t="shared" si="777"/>
        <v>-0.48380526865282825</v>
      </c>
      <c r="AA883">
        <f t="shared" si="799"/>
        <v>-0.92073219343968804</v>
      </c>
      <c r="AB883">
        <f t="shared" si="778"/>
        <v>6.9332494405347944</v>
      </c>
      <c r="AC883">
        <f t="shared" si="800"/>
        <v>-1.1776554960085623</v>
      </c>
      <c r="AD883">
        <f t="shared" si="779"/>
        <v>0.76539302707175261</v>
      </c>
      <c r="AE883" s="9">
        <f t="shared" si="801"/>
        <v>6.5209869715979849</v>
      </c>
      <c r="AF883">
        <f t="shared" si="802"/>
        <v>6.8892737378671835E-293</v>
      </c>
      <c r="AH883">
        <f t="shared" si="780"/>
        <v>7.8539816339744828</v>
      </c>
      <c r="AI883">
        <f t="shared" si="781"/>
        <v>-0.92073219343968837</v>
      </c>
      <c r="AJ883">
        <f t="shared" si="782"/>
        <v>-1.1776554960085619</v>
      </c>
      <c r="AK883">
        <f t="shared" si="783"/>
        <v>0.76539302707175261</v>
      </c>
      <c r="AL883" s="9">
        <f t="shared" si="803"/>
        <v>6.5209869715979849</v>
      </c>
      <c r="AM883" t="e">
        <f t="shared" si="784"/>
        <v>#N/A</v>
      </c>
      <c r="AN883" t="e">
        <f t="shared" si="804"/>
        <v>#N/A</v>
      </c>
      <c r="AO883">
        <f t="shared" si="785"/>
        <v>0</v>
      </c>
      <c r="AP883">
        <f t="shared" si="786"/>
        <v>0</v>
      </c>
      <c r="AQ883">
        <f t="shared" si="787"/>
        <v>0</v>
      </c>
      <c r="AR883">
        <f t="shared" si="805"/>
        <v>0</v>
      </c>
      <c r="AS883">
        <f t="shared" si="788"/>
        <v>0</v>
      </c>
      <c r="AT883">
        <f t="shared" si="806"/>
        <v>0</v>
      </c>
      <c r="AU883">
        <f t="shared" si="807"/>
        <v>6.8892737378671835E-293</v>
      </c>
      <c r="AV883">
        <f t="shared" si="789"/>
        <v>4.8380526865282819E-21</v>
      </c>
      <c r="AW883" t="b">
        <f t="shared" si="808"/>
        <v>1</v>
      </c>
      <c r="AX883">
        <f t="shared" si="790"/>
        <v>7.8539816339744828</v>
      </c>
      <c r="AY883">
        <f t="shared" si="791"/>
        <v>-0.92073219343968804</v>
      </c>
      <c r="AZ883">
        <f t="shared" si="792"/>
        <v>-1.1776554960085623</v>
      </c>
      <c r="BA883">
        <f t="shared" si="793"/>
        <v>0.76539302707175283</v>
      </c>
      <c r="BB883">
        <f t="shared" si="794"/>
        <v>-1.2337005501361696E-20</v>
      </c>
      <c r="BD883" s="15">
        <f t="shared" si="809"/>
        <v>6.5209869715979849</v>
      </c>
      <c r="BE883" s="10">
        <f t="shared" si="810"/>
        <v>0</v>
      </c>
      <c r="BF883">
        <f t="shared" si="811"/>
        <v>0</v>
      </c>
      <c r="BG883">
        <f t="shared" si="812"/>
        <v>0</v>
      </c>
      <c r="BH883">
        <f t="shared" si="813"/>
        <v>0</v>
      </c>
      <c r="BI883">
        <f t="shared" si="814"/>
        <v>0</v>
      </c>
    </row>
    <row r="884" spans="1:61" x14ac:dyDescent="0.3">
      <c r="A884">
        <f t="shared" si="819"/>
        <v>0.84699999999999998</v>
      </c>
      <c r="B884">
        <f t="shared" si="762"/>
        <v>2.6609289775905549</v>
      </c>
      <c r="C884">
        <f t="shared" si="763"/>
        <v>0.4806636759992382</v>
      </c>
      <c r="D884">
        <f t="shared" si="764"/>
        <v>0.4806636759992382</v>
      </c>
      <c r="E884">
        <f t="shared" si="769"/>
        <v>0.46236775104099176</v>
      </c>
      <c r="F884">
        <f t="shared" si="770"/>
        <v>0.46236775104099165</v>
      </c>
      <c r="G884">
        <f t="shared" si="765"/>
        <v>2.6609289775905549</v>
      </c>
      <c r="H884">
        <f t="shared" si="766"/>
        <v>0.46236775104099176</v>
      </c>
      <c r="I884">
        <f t="shared" si="767"/>
        <v>0.46236775104099165</v>
      </c>
      <c r="J884">
        <f t="shared" si="815"/>
        <v>1.3768688904757571E+20</v>
      </c>
      <c r="K884">
        <f t="shared" si="816"/>
        <v>1.3768688904757571E+20</v>
      </c>
      <c r="L884">
        <f t="shared" si="771"/>
        <v>0</v>
      </c>
      <c r="M884">
        <f t="shared" si="768"/>
        <v>4.8066367599923823E-21</v>
      </c>
      <c r="N884" s="9">
        <f t="shared" si="817"/>
        <v>0</v>
      </c>
      <c r="O884">
        <f t="shared" si="818"/>
        <v>0</v>
      </c>
      <c r="Q884">
        <f t="shared" si="772"/>
        <v>46.371513861205962</v>
      </c>
      <c r="R884">
        <f t="shared" si="773"/>
        <v>0</v>
      </c>
      <c r="S884">
        <f t="shared" si="795"/>
        <v>-46.784289331621217</v>
      </c>
      <c r="T884" s="9" t="e">
        <f t="shared" si="774"/>
        <v>#N/A</v>
      </c>
      <c r="U884">
        <f t="shared" si="796"/>
        <v>-1.0000000000000001E+300</v>
      </c>
      <c r="V884">
        <f t="shared" si="797"/>
        <v>0</v>
      </c>
      <c r="W884">
        <f t="shared" si="798"/>
        <v>0</v>
      </c>
      <c r="X884">
        <f t="shared" si="775"/>
        <v>0.4806636759992382</v>
      </c>
      <c r="Y884">
        <f t="shared" si="776"/>
        <v>7.8539816339744828</v>
      </c>
      <c r="Z884">
        <f t="shared" si="777"/>
        <v>-0.4806636759992382</v>
      </c>
      <c r="AA884">
        <f t="shared" si="799"/>
        <v>-0.92177457335815982</v>
      </c>
      <c r="AB884">
        <f t="shared" si="778"/>
        <v>6.9322070606163226</v>
      </c>
      <c r="AC884">
        <f t="shared" si="800"/>
        <v>-1.1841701770297566</v>
      </c>
      <c r="AD884">
        <f t="shared" si="779"/>
        <v>0.77139470661450349</v>
      </c>
      <c r="AE884" s="9">
        <f t="shared" si="801"/>
        <v>6.5194315902010702</v>
      </c>
      <c r="AF884">
        <f t="shared" si="802"/>
        <v>1.9768297171019611E-292</v>
      </c>
      <c r="AH884">
        <f t="shared" si="780"/>
        <v>7.8539816339744828</v>
      </c>
      <c r="AI884">
        <f t="shared" si="781"/>
        <v>-0.9217745733581596</v>
      </c>
      <c r="AJ884">
        <f t="shared" si="782"/>
        <v>-1.1841701770297561</v>
      </c>
      <c r="AK884">
        <f t="shared" si="783"/>
        <v>0.77139470661450349</v>
      </c>
      <c r="AL884" s="9">
        <f t="shared" si="803"/>
        <v>6.5194315902010711</v>
      </c>
      <c r="AM884" t="e">
        <f t="shared" si="784"/>
        <v>#N/A</v>
      </c>
      <c r="AN884" t="e">
        <f t="shared" si="804"/>
        <v>#N/A</v>
      </c>
      <c r="AO884">
        <f t="shared" si="785"/>
        <v>0</v>
      </c>
      <c r="AP884">
        <f t="shared" si="786"/>
        <v>0</v>
      </c>
      <c r="AQ884">
        <f t="shared" si="787"/>
        <v>0</v>
      </c>
      <c r="AR884">
        <f t="shared" si="805"/>
        <v>0</v>
      </c>
      <c r="AS884">
        <f t="shared" si="788"/>
        <v>0</v>
      </c>
      <c r="AT884">
        <f t="shared" si="806"/>
        <v>0</v>
      </c>
      <c r="AU884">
        <f t="shared" si="807"/>
        <v>1.976829717100839E-292</v>
      </c>
      <c r="AV884">
        <f t="shared" si="789"/>
        <v>4.8066367599923815E-21</v>
      </c>
      <c r="AW884" t="b">
        <f t="shared" si="808"/>
        <v>1</v>
      </c>
      <c r="AX884">
        <f t="shared" si="790"/>
        <v>7.8539816339744828</v>
      </c>
      <c r="AY884">
        <f t="shared" si="791"/>
        <v>-0.92177457335815993</v>
      </c>
      <c r="AZ884">
        <f t="shared" si="792"/>
        <v>-1.1841701770297566</v>
      </c>
      <c r="BA884">
        <f t="shared" si="793"/>
        <v>0.77139470661450371</v>
      </c>
      <c r="BB884">
        <f t="shared" si="794"/>
        <v>-1.2337005501361696E-20</v>
      </c>
      <c r="BD884" s="15">
        <f t="shared" si="809"/>
        <v>6.5194315902010702</v>
      </c>
      <c r="BE884" s="10">
        <f t="shared" si="810"/>
        <v>0</v>
      </c>
      <c r="BF884">
        <f t="shared" si="811"/>
        <v>0</v>
      </c>
      <c r="BG884">
        <f t="shared" si="812"/>
        <v>0</v>
      </c>
      <c r="BH884">
        <f t="shared" si="813"/>
        <v>0</v>
      </c>
      <c r="BI884">
        <f t="shared" si="814"/>
        <v>0</v>
      </c>
    </row>
    <row r="885" spans="1:61" x14ac:dyDescent="0.3">
      <c r="A885">
        <f t="shared" si="819"/>
        <v>0.84799999999999998</v>
      </c>
      <c r="B885">
        <f t="shared" si="762"/>
        <v>2.6640705702441445</v>
      </c>
      <c r="C885">
        <f t="shared" si="763"/>
        <v>0.47752208334564861</v>
      </c>
      <c r="D885">
        <f t="shared" si="764"/>
        <v>0.47752208334564861</v>
      </c>
      <c r="E885">
        <f t="shared" si="769"/>
        <v>0.45957986062148798</v>
      </c>
      <c r="F885">
        <f t="shared" si="770"/>
        <v>0.45957986062148787</v>
      </c>
      <c r="G885">
        <f t="shared" si="765"/>
        <v>2.6640705702441445</v>
      </c>
      <c r="H885">
        <f t="shared" si="766"/>
        <v>0.45957986062148798</v>
      </c>
      <c r="I885">
        <f t="shared" si="767"/>
        <v>0.45957986062148787</v>
      </c>
      <c r="J885">
        <f t="shared" si="815"/>
        <v>1.3852212137988011E+20</v>
      </c>
      <c r="K885">
        <f t="shared" si="816"/>
        <v>1.3852212137988011E+20</v>
      </c>
      <c r="L885">
        <f t="shared" si="771"/>
        <v>1</v>
      </c>
      <c r="M885">
        <f t="shared" si="768"/>
        <v>4.7752208334564857E-21</v>
      </c>
      <c r="N885" s="9">
        <f t="shared" si="817"/>
        <v>4.7752208334564857E-21</v>
      </c>
      <c r="O885">
        <f t="shared" si="818"/>
        <v>4.7752208334564857E-21</v>
      </c>
      <c r="Q885">
        <f t="shared" si="772"/>
        <v>46.37756170792052</v>
      </c>
      <c r="R885">
        <f t="shared" si="773"/>
        <v>0</v>
      </c>
      <c r="S885">
        <f t="shared" si="795"/>
        <v>-46.790846732167374</v>
      </c>
      <c r="T885" s="9" t="e">
        <f t="shared" si="774"/>
        <v>#N/A</v>
      </c>
      <c r="U885">
        <f t="shared" si="796"/>
        <v>-1.0000000000000001E+300</v>
      </c>
      <c r="V885">
        <f t="shared" si="797"/>
        <v>0</v>
      </c>
      <c r="W885">
        <f t="shared" si="798"/>
        <v>0</v>
      </c>
      <c r="X885">
        <f t="shared" si="775"/>
        <v>0.47752208334564861</v>
      </c>
      <c r="Y885">
        <f t="shared" si="776"/>
        <v>7.8539816339744828</v>
      </c>
      <c r="Z885">
        <f t="shared" si="777"/>
        <v>-0.47752208334564861</v>
      </c>
      <c r="AA885">
        <f t="shared" si="799"/>
        <v>-0.92280973052025095</v>
      </c>
      <c r="AB885">
        <f t="shared" si="778"/>
        <v>6.9311719034542314</v>
      </c>
      <c r="AC885">
        <f t="shared" si="800"/>
        <v>-1.1907275775759152</v>
      </c>
      <c r="AD885">
        <f t="shared" si="779"/>
        <v>0.77744255332906009</v>
      </c>
      <c r="AE885" s="9">
        <f t="shared" si="801"/>
        <v>6.5178868792073761</v>
      </c>
      <c r="AF885">
        <f t="shared" si="802"/>
        <v>5.6223674801744004E-292</v>
      </c>
      <c r="AH885">
        <f t="shared" si="780"/>
        <v>7.8539816339744828</v>
      </c>
      <c r="AI885">
        <f t="shared" si="781"/>
        <v>-0.92280973052025017</v>
      </c>
      <c r="AJ885">
        <f t="shared" si="782"/>
        <v>-1.1907275775759132</v>
      </c>
      <c r="AK885">
        <f t="shared" si="783"/>
        <v>0.77744255332906009</v>
      </c>
      <c r="AL885" s="9">
        <f t="shared" si="803"/>
        <v>6.5178868792073796</v>
      </c>
      <c r="AM885" t="e">
        <f t="shared" si="784"/>
        <v>#N/A</v>
      </c>
      <c r="AN885" t="e">
        <f t="shared" si="804"/>
        <v>#N/A</v>
      </c>
      <c r="AO885">
        <f t="shared" si="785"/>
        <v>0</v>
      </c>
      <c r="AP885">
        <f t="shared" si="786"/>
        <v>0</v>
      </c>
      <c r="AQ885">
        <f t="shared" si="787"/>
        <v>1.9984014443252818E-15</v>
      </c>
      <c r="AR885">
        <f t="shared" si="805"/>
        <v>0</v>
      </c>
      <c r="AS885">
        <f t="shared" si="788"/>
        <v>0</v>
      </c>
      <c r="AT885">
        <f t="shared" si="806"/>
        <v>0</v>
      </c>
      <c r="AU885">
        <f t="shared" si="807"/>
        <v>5.6223674801609956E-292</v>
      </c>
      <c r="AV885">
        <f t="shared" si="789"/>
        <v>4.7752208334564857E-21</v>
      </c>
      <c r="AW885" t="b">
        <f t="shared" si="808"/>
        <v>1</v>
      </c>
      <c r="AX885">
        <f t="shared" si="790"/>
        <v>7.8539816339744828</v>
      </c>
      <c r="AY885">
        <f t="shared" si="791"/>
        <v>-0.92280973052025106</v>
      </c>
      <c r="AZ885">
        <f t="shared" si="792"/>
        <v>-1.1907275775759152</v>
      </c>
      <c r="BA885">
        <f t="shared" si="793"/>
        <v>0.77744255332906032</v>
      </c>
      <c r="BB885">
        <f t="shared" si="794"/>
        <v>-1.2337005501361696E-20</v>
      </c>
      <c r="BD885" s="15">
        <f t="shared" si="809"/>
        <v>6.517886879207377</v>
      </c>
      <c r="BE885" s="10">
        <f t="shared" si="810"/>
        <v>0</v>
      </c>
      <c r="BF885">
        <f t="shared" si="811"/>
        <v>0</v>
      </c>
      <c r="BG885">
        <f t="shared" si="812"/>
        <v>0</v>
      </c>
      <c r="BH885">
        <f t="shared" si="813"/>
        <v>0</v>
      </c>
      <c r="BI885">
        <f t="shared" si="814"/>
        <v>0</v>
      </c>
    </row>
    <row r="886" spans="1:61" x14ac:dyDescent="0.3">
      <c r="A886">
        <f t="shared" si="819"/>
        <v>0.84899999999999998</v>
      </c>
      <c r="B886">
        <f t="shared" si="762"/>
        <v>2.6672121628977341</v>
      </c>
      <c r="C886">
        <f t="shared" si="763"/>
        <v>0.47438049069205901</v>
      </c>
      <c r="D886">
        <f t="shared" si="764"/>
        <v>0.47438049069205901</v>
      </c>
      <c r="E886">
        <f t="shared" si="769"/>
        <v>0.4567874343342998</v>
      </c>
      <c r="F886">
        <f t="shared" si="770"/>
        <v>0.45678743433429969</v>
      </c>
      <c r="G886">
        <f t="shared" si="765"/>
        <v>2.6672121628977341</v>
      </c>
      <c r="H886">
        <f t="shared" si="766"/>
        <v>0.4567874343342998</v>
      </c>
      <c r="I886">
        <f t="shared" si="767"/>
        <v>0.45678743433429969</v>
      </c>
      <c r="J886">
        <f t="shared" si="815"/>
        <v>1.3936893279373166E+20</v>
      </c>
      <c r="K886">
        <f t="shared" si="816"/>
        <v>1.3936893279373166E+20</v>
      </c>
      <c r="L886">
        <f t="shared" si="771"/>
        <v>1</v>
      </c>
      <c r="M886">
        <f t="shared" si="768"/>
        <v>4.7438049069205891E-21</v>
      </c>
      <c r="N886" s="9">
        <f t="shared" si="817"/>
        <v>4.7438049069205891E-21</v>
      </c>
      <c r="O886">
        <f t="shared" si="818"/>
        <v>4.7438049069205891E-21</v>
      </c>
      <c r="Q886">
        <f t="shared" si="772"/>
        <v>46.383656283634885</v>
      </c>
      <c r="R886">
        <f t="shared" si="773"/>
        <v>0</v>
      </c>
      <c r="S886">
        <f t="shared" si="795"/>
        <v>-46.797447416198729</v>
      </c>
      <c r="T886" s="9" t="e">
        <f t="shared" si="774"/>
        <v>#N/A</v>
      </c>
      <c r="U886">
        <f t="shared" si="796"/>
        <v>-1.0000000000000001E+300</v>
      </c>
      <c r="V886">
        <f t="shared" si="797"/>
        <v>0</v>
      </c>
      <c r="W886">
        <f t="shared" si="798"/>
        <v>0</v>
      </c>
      <c r="X886">
        <f t="shared" si="775"/>
        <v>0.47438049069205901</v>
      </c>
      <c r="Y886">
        <f t="shared" si="776"/>
        <v>7.8539816339744828</v>
      </c>
      <c r="Z886">
        <f t="shared" si="777"/>
        <v>-0.47438049069205901</v>
      </c>
      <c r="AA886">
        <f t="shared" si="799"/>
        <v>-0.92383767377308279</v>
      </c>
      <c r="AB886">
        <f t="shared" si="778"/>
        <v>6.9301439602014003</v>
      </c>
      <c r="AC886">
        <f t="shared" si="800"/>
        <v>-1.1973282616072669</v>
      </c>
      <c r="AD886">
        <f t="shared" si="779"/>
        <v>0.78353712904342698</v>
      </c>
      <c r="AE886" s="9">
        <f t="shared" si="801"/>
        <v>6.5163528276375597</v>
      </c>
      <c r="AF886">
        <f t="shared" si="802"/>
        <v>1.5850471975904437E-291</v>
      </c>
      <c r="AH886">
        <f t="shared" si="780"/>
        <v>7.8539816339744828</v>
      </c>
      <c r="AI886">
        <f t="shared" si="781"/>
        <v>-0.92383767377308268</v>
      </c>
      <c r="AJ886">
        <f t="shared" si="782"/>
        <v>-1.197328261607268</v>
      </c>
      <c r="AK886">
        <f t="shared" si="783"/>
        <v>0.78353712904342698</v>
      </c>
      <c r="AL886" s="9">
        <f t="shared" si="803"/>
        <v>6.5163528276375597</v>
      </c>
      <c r="AM886" t="e">
        <f t="shared" si="784"/>
        <v>#N/A</v>
      </c>
      <c r="AN886" t="e">
        <f t="shared" si="804"/>
        <v>#N/A</v>
      </c>
      <c r="AO886">
        <f t="shared" si="785"/>
        <v>0</v>
      </c>
      <c r="AP886">
        <f t="shared" si="786"/>
        <v>0</v>
      </c>
      <c r="AQ886">
        <f t="shared" si="787"/>
        <v>0</v>
      </c>
      <c r="AR886">
        <f t="shared" si="805"/>
        <v>0</v>
      </c>
      <c r="AS886">
        <f t="shared" si="788"/>
        <v>0</v>
      </c>
      <c r="AT886">
        <f t="shared" si="806"/>
        <v>0</v>
      </c>
      <c r="AU886">
        <f t="shared" si="807"/>
        <v>1.5850471975904437E-291</v>
      </c>
      <c r="AV886">
        <f t="shared" si="789"/>
        <v>4.7438049069205898E-21</v>
      </c>
      <c r="AW886" t="b">
        <f t="shared" si="808"/>
        <v>1</v>
      </c>
      <c r="AX886">
        <f t="shared" si="790"/>
        <v>7.8539816339744828</v>
      </c>
      <c r="AY886">
        <f t="shared" si="791"/>
        <v>-0.92383767377308301</v>
      </c>
      <c r="AZ886">
        <f t="shared" si="792"/>
        <v>-1.1973282616072669</v>
      </c>
      <c r="BA886">
        <f t="shared" si="793"/>
        <v>0.78353712904342721</v>
      </c>
      <c r="BB886">
        <f t="shared" si="794"/>
        <v>-1.2337005501361696E-20</v>
      </c>
      <c r="BD886" s="15">
        <f t="shared" si="809"/>
        <v>6.5163528276375597</v>
      </c>
      <c r="BE886" s="10">
        <f t="shared" si="810"/>
        <v>0</v>
      </c>
      <c r="BF886">
        <f t="shared" si="811"/>
        <v>0</v>
      </c>
      <c r="BG886">
        <f t="shared" si="812"/>
        <v>0</v>
      </c>
      <c r="BH886">
        <f t="shared" si="813"/>
        <v>0</v>
      </c>
      <c r="BI886">
        <f t="shared" si="814"/>
        <v>0</v>
      </c>
    </row>
    <row r="887" spans="1:61" x14ac:dyDescent="0.3">
      <c r="A887">
        <f t="shared" si="819"/>
        <v>0.85</v>
      </c>
      <c r="B887">
        <f t="shared" si="762"/>
        <v>2.6703537555513241</v>
      </c>
      <c r="C887">
        <f t="shared" si="763"/>
        <v>0.47123889803846897</v>
      </c>
      <c r="D887">
        <f t="shared" si="764"/>
        <v>0.47123889803846897</v>
      </c>
      <c r="E887">
        <f t="shared" si="769"/>
        <v>0.45399049973954686</v>
      </c>
      <c r="F887">
        <f t="shared" si="770"/>
        <v>0.45399049973954675</v>
      </c>
      <c r="G887">
        <f t="shared" si="765"/>
        <v>2.6703537555513241</v>
      </c>
      <c r="H887">
        <f t="shared" si="766"/>
        <v>0.45399049973954686</v>
      </c>
      <c r="I887">
        <f t="shared" si="767"/>
        <v>0.45399049973954675</v>
      </c>
      <c r="J887">
        <f t="shared" si="815"/>
        <v>1.4022755382167876E+20</v>
      </c>
      <c r="K887">
        <f t="shared" si="816"/>
        <v>1.4022755382167876E+20</v>
      </c>
      <c r="L887">
        <f t="shared" si="771"/>
        <v>1</v>
      </c>
      <c r="M887">
        <f t="shared" si="768"/>
        <v>4.7123889803846895E-21</v>
      </c>
      <c r="N887" s="9">
        <f t="shared" si="817"/>
        <v>4.7123889803846895E-21</v>
      </c>
      <c r="O887">
        <f t="shared" si="818"/>
        <v>4.7123889803846895E-21</v>
      </c>
      <c r="Q887">
        <f t="shared" si="772"/>
        <v>46.38979816143501</v>
      </c>
      <c r="R887">
        <f t="shared" si="773"/>
        <v>0</v>
      </c>
      <c r="S887">
        <f t="shared" si="795"/>
        <v>-46.804091958917397</v>
      </c>
      <c r="T887" s="9" t="e">
        <f t="shared" si="774"/>
        <v>#N/A</v>
      </c>
      <c r="U887">
        <f t="shared" si="796"/>
        <v>-1.0000000000000001E+300</v>
      </c>
      <c r="V887">
        <f t="shared" si="797"/>
        <v>0</v>
      </c>
      <c r="W887">
        <f t="shared" si="798"/>
        <v>0</v>
      </c>
      <c r="X887">
        <f t="shared" si="775"/>
        <v>0.47123889803846897</v>
      </c>
      <c r="Y887">
        <f t="shared" si="776"/>
        <v>7.8539816339744828</v>
      </c>
      <c r="Z887">
        <f t="shared" si="777"/>
        <v>-0.47123889803846897</v>
      </c>
      <c r="AA887">
        <f t="shared" si="799"/>
        <v>-0.92485841189296958</v>
      </c>
      <c r="AB887">
        <f t="shared" si="778"/>
        <v>6.9291232220815129</v>
      </c>
      <c r="AC887">
        <f t="shared" si="800"/>
        <v>-1.2039728043259361</v>
      </c>
      <c r="AD887">
        <f t="shared" si="779"/>
        <v>0.78967900684355175</v>
      </c>
      <c r="AE887" s="9">
        <f t="shared" si="801"/>
        <v>6.5148294245991289</v>
      </c>
      <c r="AF887">
        <f t="shared" si="802"/>
        <v>4.4295217503630047E-291</v>
      </c>
      <c r="AH887">
        <f t="shared" si="780"/>
        <v>7.8539816339744828</v>
      </c>
      <c r="AI887">
        <f t="shared" si="781"/>
        <v>-0.92485841189297002</v>
      </c>
      <c r="AJ887">
        <f t="shared" si="782"/>
        <v>-1.2039728043259359</v>
      </c>
      <c r="AK887">
        <f t="shared" si="783"/>
        <v>0.78967900684355175</v>
      </c>
      <c r="AL887" s="9">
        <f t="shared" si="803"/>
        <v>6.5148294245991289</v>
      </c>
      <c r="AM887" t="e">
        <f t="shared" si="784"/>
        <v>#N/A</v>
      </c>
      <c r="AN887" t="e">
        <f t="shared" si="804"/>
        <v>#N/A</v>
      </c>
      <c r="AO887">
        <f t="shared" si="785"/>
        <v>0</v>
      </c>
      <c r="AP887">
        <f t="shared" si="786"/>
        <v>0</v>
      </c>
      <c r="AQ887">
        <f t="shared" si="787"/>
        <v>0</v>
      </c>
      <c r="AR887">
        <f t="shared" si="805"/>
        <v>0</v>
      </c>
      <c r="AS887">
        <f t="shared" si="788"/>
        <v>0</v>
      </c>
      <c r="AT887">
        <f t="shared" si="806"/>
        <v>0</v>
      </c>
      <c r="AU887">
        <f t="shared" si="807"/>
        <v>4.4295217503630047E-291</v>
      </c>
      <c r="AV887">
        <f t="shared" si="789"/>
        <v>4.7123889803846895E-21</v>
      </c>
      <c r="AW887" t="b">
        <f t="shared" si="808"/>
        <v>1</v>
      </c>
      <c r="AX887">
        <f t="shared" si="790"/>
        <v>7.8539816339744828</v>
      </c>
      <c r="AY887">
        <f t="shared" si="791"/>
        <v>-0.92485841189296958</v>
      </c>
      <c r="AZ887">
        <f t="shared" si="792"/>
        <v>-1.2039728043259361</v>
      </c>
      <c r="BA887">
        <f t="shared" si="793"/>
        <v>0.78967900684355197</v>
      </c>
      <c r="BB887">
        <f t="shared" si="794"/>
        <v>-1.2337005501361696E-20</v>
      </c>
      <c r="BD887" s="15">
        <f t="shared" si="809"/>
        <v>6.5148294245991289</v>
      </c>
      <c r="BE887" s="10">
        <f t="shared" si="810"/>
        <v>0</v>
      </c>
      <c r="BF887">
        <f t="shared" si="811"/>
        <v>0</v>
      </c>
      <c r="BG887">
        <f t="shared" si="812"/>
        <v>0</v>
      </c>
      <c r="BH887">
        <f t="shared" si="813"/>
        <v>0</v>
      </c>
      <c r="BI887">
        <f t="shared" si="814"/>
        <v>0</v>
      </c>
    </row>
    <row r="888" spans="1:61" x14ac:dyDescent="0.3">
      <c r="A888">
        <f t="shared" si="819"/>
        <v>0.85099999999999998</v>
      </c>
      <c r="B888">
        <f t="shared" si="762"/>
        <v>2.6734953482049137</v>
      </c>
      <c r="C888">
        <f t="shared" si="763"/>
        <v>0.46809730538487937</v>
      </c>
      <c r="D888">
        <f t="shared" si="764"/>
        <v>0.46809730538487937</v>
      </c>
      <c r="E888">
        <f t="shared" si="769"/>
        <v>0.4511890844418453</v>
      </c>
      <c r="F888">
        <f t="shared" si="770"/>
        <v>0.45118908444184519</v>
      </c>
      <c r="G888">
        <f t="shared" si="765"/>
        <v>2.6734953482049137</v>
      </c>
      <c r="H888">
        <f t="shared" si="766"/>
        <v>0.4511890844418453</v>
      </c>
      <c r="I888">
        <f t="shared" si="767"/>
        <v>0.45118908444184519</v>
      </c>
      <c r="J888">
        <f t="shared" si="815"/>
        <v>1.4109822119369926E+20</v>
      </c>
      <c r="K888">
        <f t="shared" si="816"/>
        <v>1.4109822119369926E+20</v>
      </c>
      <c r="L888">
        <f t="shared" si="771"/>
        <v>1</v>
      </c>
      <c r="M888">
        <f t="shared" si="768"/>
        <v>4.6809730538487928E-21</v>
      </c>
      <c r="N888" s="9">
        <f t="shared" si="817"/>
        <v>4.6809730538487928E-21</v>
      </c>
      <c r="O888">
        <f t="shared" si="818"/>
        <v>4.6809730538487928E-21</v>
      </c>
      <c r="Q888">
        <f t="shared" si="772"/>
        <v>46.395987925965528</v>
      </c>
      <c r="R888">
        <f t="shared" si="773"/>
        <v>0</v>
      </c>
      <c r="S888">
        <f t="shared" si="795"/>
        <v>-46.810780947068189</v>
      </c>
      <c r="T888" s="9" t="e">
        <f t="shared" si="774"/>
        <v>#N/A</v>
      </c>
      <c r="U888">
        <f t="shared" si="796"/>
        <v>-1.0000000000000001E+300</v>
      </c>
      <c r="V888">
        <f t="shared" si="797"/>
        <v>0</v>
      </c>
      <c r="W888">
        <f t="shared" si="798"/>
        <v>0</v>
      </c>
      <c r="X888">
        <f t="shared" si="775"/>
        <v>0.46809730538487937</v>
      </c>
      <c r="Y888">
        <f t="shared" si="776"/>
        <v>7.8539816339744828</v>
      </c>
      <c r="Z888">
        <f t="shared" si="777"/>
        <v>-0.46809730538487937</v>
      </c>
      <c r="AA888">
        <f t="shared" si="799"/>
        <v>-0.92587195358569097</v>
      </c>
      <c r="AB888">
        <f t="shared" si="778"/>
        <v>6.9281096803887916</v>
      </c>
      <c r="AC888">
        <f t="shared" si="800"/>
        <v>-1.2106617924767322</v>
      </c>
      <c r="AD888">
        <f t="shared" si="779"/>
        <v>0.79586877137407019</v>
      </c>
      <c r="AE888" s="9">
        <f t="shared" si="801"/>
        <v>6.5133166592861294</v>
      </c>
      <c r="AF888">
        <f t="shared" si="802"/>
        <v>1.227104708625762E-290</v>
      </c>
      <c r="AH888">
        <f t="shared" si="780"/>
        <v>7.8539816339744828</v>
      </c>
      <c r="AI888">
        <f t="shared" si="781"/>
        <v>-0.92587195358569052</v>
      </c>
      <c r="AJ888">
        <f t="shared" si="782"/>
        <v>-1.2106617924767278</v>
      </c>
      <c r="AK888">
        <f t="shared" si="783"/>
        <v>0.79586877137407019</v>
      </c>
      <c r="AL888" s="9">
        <f t="shared" si="803"/>
        <v>6.5133166592861347</v>
      </c>
      <c r="AM888" t="e">
        <f t="shared" si="784"/>
        <v>#N/A</v>
      </c>
      <c r="AN888" t="e">
        <f t="shared" si="804"/>
        <v>#N/A</v>
      </c>
      <c r="AO888">
        <f t="shared" si="785"/>
        <v>0</v>
      </c>
      <c r="AP888">
        <f t="shared" si="786"/>
        <v>0</v>
      </c>
      <c r="AQ888">
        <f t="shared" si="787"/>
        <v>4.4408920985006262E-15</v>
      </c>
      <c r="AR888">
        <f t="shared" si="805"/>
        <v>0</v>
      </c>
      <c r="AS888">
        <f t="shared" si="788"/>
        <v>0</v>
      </c>
      <c r="AT888">
        <f t="shared" si="806"/>
        <v>0</v>
      </c>
      <c r="AU888">
        <f t="shared" si="807"/>
        <v>1.2271047086213045E-290</v>
      </c>
      <c r="AV888">
        <f t="shared" si="789"/>
        <v>4.6809730538487936E-21</v>
      </c>
      <c r="AW888" t="b">
        <f t="shared" si="808"/>
        <v>1</v>
      </c>
      <c r="AX888">
        <f t="shared" si="790"/>
        <v>7.8539816339744828</v>
      </c>
      <c r="AY888">
        <f t="shared" si="791"/>
        <v>-0.92587195358569108</v>
      </c>
      <c r="AZ888">
        <f t="shared" si="792"/>
        <v>-1.210661792476732</v>
      </c>
      <c r="BA888">
        <f t="shared" si="793"/>
        <v>0.79586877137407042</v>
      </c>
      <c r="BB888">
        <f t="shared" si="794"/>
        <v>-1.2337005501361696E-20</v>
      </c>
      <c r="BD888" s="15">
        <f t="shared" si="809"/>
        <v>6.5133166592861294</v>
      </c>
      <c r="BE888" s="10">
        <f t="shared" si="810"/>
        <v>0</v>
      </c>
      <c r="BF888">
        <f t="shared" si="811"/>
        <v>0</v>
      </c>
      <c r="BG888">
        <f t="shared" si="812"/>
        <v>0</v>
      </c>
      <c r="BH888">
        <f t="shared" si="813"/>
        <v>0</v>
      </c>
      <c r="BI888">
        <f t="shared" si="814"/>
        <v>0</v>
      </c>
    </row>
    <row r="889" spans="1:61" x14ac:dyDescent="0.3">
      <c r="A889">
        <f t="shared" si="819"/>
        <v>0.85199999999999998</v>
      </c>
      <c r="B889">
        <f t="shared" si="762"/>
        <v>2.6766369408585038</v>
      </c>
      <c r="C889">
        <f t="shared" si="763"/>
        <v>0.46495571273128933</v>
      </c>
      <c r="D889">
        <f t="shared" si="764"/>
        <v>0.46495571273128933</v>
      </c>
      <c r="E889">
        <f t="shared" si="769"/>
        <v>0.44838321609003229</v>
      </c>
      <c r="F889">
        <f t="shared" si="770"/>
        <v>0.44838321609003218</v>
      </c>
      <c r="G889">
        <f t="shared" si="765"/>
        <v>2.6766369408585038</v>
      </c>
      <c r="H889">
        <f t="shared" si="766"/>
        <v>0.44838321609003229</v>
      </c>
      <c r="I889">
        <f t="shared" si="767"/>
        <v>0.44838321609003218</v>
      </c>
      <c r="J889">
        <f t="shared" si="815"/>
        <v>1.4198117804653788E+20</v>
      </c>
      <c r="K889">
        <f t="shared" si="816"/>
        <v>1.4198117804653788E+20</v>
      </c>
      <c r="L889">
        <f t="shared" si="771"/>
        <v>1</v>
      </c>
      <c r="M889">
        <f t="shared" si="768"/>
        <v>4.6495571273128932E-21</v>
      </c>
      <c r="N889" s="9">
        <f t="shared" si="817"/>
        <v>4.6495571273128932E-21</v>
      </c>
      <c r="O889">
        <f t="shared" si="818"/>
        <v>4.6495571273128932E-21</v>
      </c>
      <c r="Q889">
        <f t="shared" si="772"/>
        <v>46.402226173740651</v>
      </c>
      <c r="R889">
        <f t="shared" si="773"/>
        <v>0</v>
      </c>
      <c r="S889">
        <f t="shared" si="795"/>
        <v>-46.817514979249538</v>
      </c>
      <c r="T889" s="9" t="e">
        <f t="shared" si="774"/>
        <v>#N/A</v>
      </c>
      <c r="U889">
        <f t="shared" si="796"/>
        <v>-1.0000000000000001E+300</v>
      </c>
      <c r="V889">
        <f t="shared" si="797"/>
        <v>0</v>
      </c>
      <c r="W889">
        <f t="shared" si="798"/>
        <v>0</v>
      </c>
      <c r="X889">
        <f t="shared" si="775"/>
        <v>0.46495571273128933</v>
      </c>
      <c r="Y889">
        <f t="shared" si="776"/>
        <v>7.8539816339744828</v>
      </c>
      <c r="Z889">
        <f t="shared" si="777"/>
        <v>-0.46495571273128933</v>
      </c>
      <c r="AA889">
        <f t="shared" si="799"/>
        <v>-0.92687830748676503</v>
      </c>
      <c r="AB889">
        <f t="shared" si="778"/>
        <v>6.9271033264877175</v>
      </c>
      <c r="AC889">
        <f t="shared" si="800"/>
        <v>-1.2173958246580767</v>
      </c>
      <c r="AD889">
        <f t="shared" si="779"/>
        <v>0.80210701914919025</v>
      </c>
      <c r="AE889" s="9">
        <f t="shared" si="801"/>
        <v>6.511814520978831</v>
      </c>
      <c r="AF889">
        <f t="shared" si="802"/>
        <v>3.3700383037233368E-290</v>
      </c>
      <c r="AH889">
        <f t="shared" si="780"/>
        <v>7.8539816339744828</v>
      </c>
      <c r="AI889">
        <f t="shared" si="781"/>
        <v>-0.92687830748676525</v>
      </c>
      <c r="AJ889">
        <f t="shared" si="782"/>
        <v>-1.2173958246580767</v>
      </c>
      <c r="AK889">
        <f t="shared" si="783"/>
        <v>0.80210701914919025</v>
      </c>
      <c r="AL889" s="9">
        <f t="shared" si="803"/>
        <v>6.511814520978831</v>
      </c>
      <c r="AM889" t="e">
        <f t="shared" si="784"/>
        <v>#N/A</v>
      </c>
      <c r="AN889" t="e">
        <f t="shared" si="804"/>
        <v>#N/A</v>
      </c>
      <c r="AO889">
        <f t="shared" si="785"/>
        <v>0</v>
      </c>
      <c r="AP889">
        <f t="shared" si="786"/>
        <v>0</v>
      </c>
      <c r="AQ889">
        <f t="shared" si="787"/>
        <v>0</v>
      </c>
      <c r="AR889">
        <f t="shared" si="805"/>
        <v>0</v>
      </c>
      <c r="AS889">
        <f t="shared" si="788"/>
        <v>0</v>
      </c>
      <c r="AT889">
        <f t="shared" si="806"/>
        <v>0</v>
      </c>
      <c r="AU889">
        <f t="shared" si="807"/>
        <v>3.3700383037233368E-290</v>
      </c>
      <c r="AV889">
        <f t="shared" si="789"/>
        <v>4.6495571273128932E-21</v>
      </c>
      <c r="AW889" t="b">
        <f t="shared" si="808"/>
        <v>1</v>
      </c>
      <c r="AX889">
        <f t="shared" si="790"/>
        <v>7.8539816339744828</v>
      </c>
      <c r="AY889">
        <f t="shared" si="791"/>
        <v>-0.92687830748676525</v>
      </c>
      <c r="AZ889">
        <f t="shared" si="792"/>
        <v>-1.2173958246580767</v>
      </c>
      <c r="BA889">
        <f t="shared" si="793"/>
        <v>0.80210701914919047</v>
      </c>
      <c r="BB889">
        <f t="shared" si="794"/>
        <v>-1.2337005501361696E-20</v>
      </c>
      <c r="BD889" s="15">
        <f t="shared" si="809"/>
        <v>6.511814520978831</v>
      </c>
      <c r="BE889" s="10">
        <f t="shared" si="810"/>
        <v>0</v>
      </c>
      <c r="BF889">
        <f t="shared" si="811"/>
        <v>0</v>
      </c>
      <c r="BG889">
        <f t="shared" si="812"/>
        <v>0</v>
      </c>
      <c r="BH889">
        <f t="shared" si="813"/>
        <v>0</v>
      </c>
      <c r="BI889">
        <f t="shared" si="814"/>
        <v>0</v>
      </c>
    </row>
    <row r="890" spans="1:61" x14ac:dyDescent="0.3">
      <c r="A890">
        <f t="shared" si="819"/>
        <v>0.85299999999999998</v>
      </c>
      <c r="B890">
        <f t="shared" si="762"/>
        <v>2.6797785335120934</v>
      </c>
      <c r="C890">
        <f t="shared" si="763"/>
        <v>0.46181412007769973</v>
      </c>
      <c r="D890">
        <f t="shared" si="764"/>
        <v>0.46181412007769973</v>
      </c>
      <c r="E890">
        <f t="shared" si="769"/>
        <v>0.4455729223768965</v>
      </c>
      <c r="F890">
        <f t="shared" si="770"/>
        <v>0.44557292237689639</v>
      </c>
      <c r="G890">
        <f t="shared" si="765"/>
        <v>2.6797785335120934</v>
      </c>
      <c r="H890">
        <f t="shared" si="766"/>
        <v>0.4455729223768965</v>
      </c>
      <c r="I890">
        <f t="shared" si="767"/>
        <v>0.44557292237689639</v>
      </c>
      <c r="J890">
        <f t="shared" si="815"/>
        <v>1.4287667414158624E+20</v>
      </c>
      <c r="K890">
        <f t="shared" si="816"/>
        <v>1.4287667414158624E+20</v>
      </c>
      <c r="L890">
        <f t="shared" si="771"/>
        <v>1</v>
      </c>
      <c r="M890">
        <f t="shared" si="768"/>
        <v>4.6181412007769966E-21</v>
      </c>
      <c r="N890" s="9">
        <f t="shared" si="817"/>
        <v>4.6181412007769966E-21</v>
      </c>
      <c r="O890">
        <f t="shared" si="818"/>
        <v>4.6181412007769966E-21</v>
      </c>
      <c r="Q890">
        <f t="shared" si="772"/>
        <v>46.408513513465557</v>
      </c>
      <c r="R890">
        <f t="shared" si="773"/>
        <v>-710542.73576010019</v>
      </c>
      <c r="S890">
        <f t="shared" si="795"/>
        <v>-46.824294666234913</v>
      </c>
      <c r="T890" s="9" t="e">
        <f t="shared" si="774"/>
        <v>#N/A</v>
      </c>
      <c r="U890">
        <f t="shared" si="796"/>
        <v>-1.0000000000000001E+300</v>
      </c>
      <c r="V890">
        <f t="shared" si="797"/>
        <v>0</v>
      </c>
      <c r="W890">
        <f t="shared" si="798"/>
        <v>0</v>
      </c>
      <c r="X890">
        <f t="shared" si="775"/>
        <v>0.46181412007769973</v>
      </c>
      <c r="Y890">
        <f t="shared" si="776"/>
        <v>7.8539816339744828</v>
      </c>
      <c r="Z890">
        <f t="shared" si="777"/>
        <v>-0.46181412007769973</v>
      </c>
      <c r="AA890">
        <f t="shared" si="799"/>
        <v>-0.9278774821617165</v>
      </c>
      <c r="AB890">
        <f t="shared" si="778"/>
        <v>6.9261041518127664</v>
      </c>
      <c r="AC890">
        <f t="shared" si="800"/>
        <v>-1.2241755116434552</v>
      </c>
      <c r="AD890">
        <f t="shared" si="779"/>
        <v>0.80839435887410138</v>
      </c>
      <c r="AE890" s="9">
        <f t="shared" si="801"/>
        <v>6.5103229990434119</v>
      </c>
      <c r="AF890">
        <f t="shared" si="802"/>
        <v>9.1756022943483078E-290</v>
      </c>
      <c r="AH890">
        <f t="shared" si="780"/>
        <v>7.8539816339744828</v>
      </c>
      <c r="AI890">
        <f t="shared" si="781"/>
        <v>-0.92787748216171617</v>
      </c>
      <c r="AJ890">
        <f t="shared" si="782"/>
        <v>-1.2241755116434518</v>
      </c>
      <c r="AK890">
        <f t="shared" si="783"/>
        <v>0.80839435887410138</v>
      </c>
      <c r="AL890" s="9">
        <f t="shared" si="803"/>
        <v>6.5103229990434155</v>
      </c>
      <c r="AM890" t="e">
        <f t="shared" si="784"/>
        <v>#N/A</v>
      </c>
      <c r="AN890" t="e">
        <f t="shared" si="804"/>
        <v>#N/A</v>
      </c>
      <c r="AO890">
        <f t="shared" si="785"/>
        <v>0</v>
      </c>
      <c r="AP890">
        <f t="shared" si="786"/>
        <v>0</v>
      </c>
      <c r="AQ890">
        <f t="shared" si="787"/>
        <v>3.3306690738754696E-15</v>
      </c>
      <c r="AR890">
        <f t="shared" si="805"/>
        <v>0</v>
      </c>
      <c r="AS890">
        <f t="shared" si="788"/>
        <v>0</v>
      </c>
      <c r="AT890">
        <f t="shared" si="806"/>
        <v>0</v>
      </c>
      <c r="AU890">
        <f t="shared" si="807"/>
        <v>9.1756022943264333E-290</v>
      </c>
      <c r="AV890">
        <f t="shared" si="789"/>
        <v>4.6181412007769974E-21</v>
      </c>
      <c r="AW890" t="b">
        <f t="shared" si="808"/>
        <v>1</v>
      </c>
      <c r="AX890">
        <f t="shared" si="790"/>
        <v>7.8539816339744828</v>
      </c>
      <c r="AY890">
        <f t="shared" si="791"/>
        <v>-0.92787748216171673</v>
      </c>
      <c r="AZ890">
        <f t="shared" si="792"/>
        <v>-1.2241755116434549</v>
      </c>
      <c r="BA890">
        <f t="shared" si="793"/>
        <v>0.8083943588741016</v>
      </c>
      <c r="BB890">
        <f t="shared" si="794"/>
        <v>-1.2337005501361696E-20</v>
      </c>
      <c r="BD890" s="15">
        <f t="shared" si="809"/>
        <v>6.5103229990434137</v>
      </c>
      <c r="BE890" s="10">
        <f t="shared" si="810"/>
        <v>0</v>
      </c>
      <c r="BF890">
        <f t="shared" si="811"/>
        <v>0</v>
      </c>
      <c r="BG890">
        <f t="shared" si="812"/>
        <v>0</v>
      </c>
      <c r="BH890">
        <f t="shared" si="813"/>
        <v>0</v>
      </c>
      <c r="BI890">
        <f t="shared" si="814"/>
        <v>0</v>
      </c>
    </row>
    <row r="891" spans="1:61" x14ac:dyDescent="0.3">
      <c r="A891">
        <f t="shared" si="819"/>
        <v>0.85399999999999998</v>
      </c>
      <c r="B891">
        <f t="shared" si="762"/>
        <v>2.6829201261656834</v>
      </c>
      <c r="C891">
        <f t="shared" si="763"/>
        <v>0.45867252742410969</v>
      </c>
      <c r="D891">
        <f t="shared" si="764"/>
        <v>0.45867252742410969</v>
      </c>
      <c r="E891">
        <f t="shared" si="769"/>
        <v>0.44275823103890155</v>
      </c>
      <c r="F891">
        <f t="shared" si="770"/>
        <v>0.44275823103890144</v>
      </c>
      <c r="G891">
        <f t="shared" si="765"/>
        <v>2.6829201261656834</v>
      </c>
      <c r="H891">
        <f t="shared" si="766"/>
        <v>0.44275823103890155</v>
      </c>
      <c r="I891">
        <f t="shared" si="767"/>
        <v>0.44275823103890144</v>
      </c>
      <c r="J891">
        <f t="shared" si="815"/>
        <v>1.4378496609171944E+20</v>
      </c>
      <c r="K891">
        <f t="shared" si="816"/>
        <v>1.4378496609171944E+20</v>
      </c>
      <c r="L891">
        <f t="shared" si="771"/>
        <v>1</v>
      </c>
      <c r="M891">
        <f t="shared" si="768"/>
        <v>4.586725274241097E-21</v>
      </c>
      <c r="N891" s="9">
        <f t="shared" si="817"/>
        <v>4.586725274241097E-21</v>
      </c>
      <c r="O891">
        <f t="shared" si="818"/>
        <v>4.586725274241097E-21</v>
      </c>
      <c r="Q891">
        <f t="shared" si="772"/>
        <v>46.414850566368827</v>
      </c>
      <c r="R891">
        <f t="shared" si="773"/>
        <v>-710542.73576010019</v>
      </c>
      <c r="S891">
        <f t="shared" si="795"/>
        <v>-46.831120631305318</v>
      </c>
      <c r="T891" s="9" t="e">
        <f t="shared" si="774"/>
        <v>#N/A</v>
      </c>
      <c r="U891">
        <f t="shared" si="796"/>
        <v>-1.0000000000000001E+300</v>
      </c>
      <c r="V891">
        <f t="shared" si="797"/>
        <v>0</v>
      </c>
      <c r="W891">
        <f t="shared" si="798"/>
        <v>0</v>
      </c>
      <c r="X891">
        <f t="shared" si="775"/>
        <v>0.45867252742410969</v>
      </c>
      <c r="Y891">
        <f t="shared" si="776"/>
        <v>7.8539816339744828</v>
      </c>
      <c r="Z891">
        <f t="shared" si="777"/>
        <v>-0.45867252742410969</v>
      </c>
      <c r="AA891">
        <f t="shared" si="799"/>
        <v>-0.92886948610634379</v>
      </c>
      <c r="AB891">
        <f t="shared" si="778"/>
        <v>6.9251121478681394</v>
      </c>
      <c r="AC891">
        <f t="shared" si="800"/>
        <v>-1.2310014767138555</v>
      </c>
      <c r="AD891">
        <f t="shared" si="779"/>
        <v>0.81473141177737129</v>
      </c>
      <c r="AE891" s="9">
        <f t="shared" si="801"/>
        <v>6.5088420829316558</v>
      </c>
      <c r="AF891">
        <f t="shared" si="802"/>
        <v>2.4768446555664112E-289</v>
      </c>
      <c r="AH891">
        <f t="shared" si="780"/>
        <v>7.8539816339744828</v>
      </c>
      <c r="AI891">
        <f t="shared" si="781"/>
        <v>-0.92886948610634312</v>
      </c>
      <c r="AJ891">
        <f t="shared" si="782"/>
        <v>-1.2310014767138568</v>
      </c>
      <c r="AK891">
        <f t="shared" si="783"/>
        <v>0.81473141177737129</v>
      </c>
      <c r="AL891" s="9">
        <f t="shared" si="803"/>
        <v>6.508842082931654</v>
      </c>
      <c r="AM891" t="e">
        <f t="shared" si="784"/>
        <v>#N/A</v>
      </c>
      <c r="AN891" t="e">
        <f t="shared" si="804"/>
        <v>#N/A</v>
      </c>
      <c r="AO891">
        <f t="shared" si="785"/>
        <v>0</v>
      </c>
      <c r="AP891">
        <f t="shared" si="786"/>
        <v>0</v>
      </c>
      <c r="AQ891">
        <f t="shared" si="787"/>
        <v>0</v>
      </c>
      <c r="AR891">
        <f t="shared" si="805"/>
        <v>0</v>
      </c>
      <c r="AS891">
        <f t="shared" si="788"/>
        <v>0</v>
      </c>
      <c r="AT891">
        <f t="shared" si="806"/>
        <v>0</v>
      </c>
      <c r="AU891">
        <f t="shared" si="807"/>
        <v>2.4768446555695036E-289</v>
      </c>
      <c r="AV891">
        <f t="shared" si="789"/>
        <v>4.5867252742410963E-21</v>
      </c>
      <c r="AW891" t="b">
        <f t="shared" si="808"/>
        <v>1</v>
      </c>
      <c r="AX891">
        <f t="shared" si="790"/>
        <v>7.8539816339744828</v>
      </c>
      <c r="AY891">
        <f t="shared" si="791"/>
        <v>-0.9288694861063439</v>
      </c>
      <c r="AZ891">
        <f t="shared" si="792"/>
        <v>-1.2310014767138555</v>
      </c>
      <c r="BA891">
        <f t="shared" si="793"/>
        <v>0.81473141177737152</v>
      </c>
      <c r="BB891">
        <f t="shared" si="794"/>
        <v>-1.2337005501361696E-20</v>
      </c>
      <c r="BD891" s="15">
        <f t="shared" si="809"/>
        <v>6.508842082931654</v>
      </c>
      <c r="BE891" s="10">
        <f t="shared" si="810"/>
        <v>0</v>
      </c>
      <c r="BF891">
        <f t="shared" si="811"/>
        <v>0</v>
      </c>
      <c r="BG891">
        <f t="shared" si="812"/>
        <v>0</v>
      </c>
      <c r="BH891">
        <f t="shared" si="813"/>
        <v>0</v>
      </c>
      <c r="BI891">
        <f t="shared" si="814"/>
        <v>0</v>
      </c>
    </row>
    <row r="892" spans="1:61" x14ac:dyDescent="0.3">
      <c r="A892">
        <f t="shared" si="819"/>
        <v>0.85499999999999998</v>
      </c>
      <c r="B892">
        <f t="shared" si="762"/>
        <v>2.686061718819273</v>
      </c>
      <c r="C892">
        <f t="shared" si="763"/>
        <v>0.45553093477052009</v>
      </c>
      <c r="D892">
        <f t="shared" si="764"/>
        <v>0.45553093477052009</v>
      </c>
      <c r="E892">
        <f t="shared" si="769"/>
        <v>0.4399391698559153</v>
      </c>
      <c r="F892">
        <f t="shared" si="770"/>
        <v>0.43993916985591519</v>
      </c>
      <c r="G892">
        <f t="shared" si="765"/>
        <v>2.686061718819273</v>
      </c>
      <c r="H892">
        <f t="shared" si="766"/>
        <v>0.4399391698559153</v>
      </c>
      <c r="I892">
        <f t="shared" si="767"/>
        <v>0.43993916985591519</v>
      </c>
      <c r="J892">
        <f t="shared" si="815"/>
        <v>1.447063175975172E+20</v>
      </c>
      <c r="K892">
        <f t="shared" si="816"/>
        <v>1.447063175975172E+20</v>
      </c>
      <c r="L892">
        <f t="shared" si="771"/>
        <v>1</v>
      </c>
      <c r="M892">
        <f t="shared" si="768"/>
        <v>4.5553093477052004E-21</v>
      </c>
      <c r="N892" s="9">
        <f t="shared" si="817"/>
        <v>4.5553093477052004E-21</v>
      </c>
      <c r="O892">
        <f t="shared" si="818"/>
        <v>4.5553093477052004E-21</v>
      </c>
      <c r="Q892">
        <f t="shared" si="772"/>
        <v>46.421237966546215</v>
      </c>
      <c r="R892">
        <f t="shared" si="773"/>
        <v>0</v>
      </c>
      <c r="S892">
        <f t="shared" si="795"/>
        <v>-46.837993510593073</v>
      </c>
      <c r="T892" s="9" t="e">
        <f t="shared" si="774"/>
        <v>#N/A</v>
      </c>
      <c r="U892">
        <f t="shared" si="796"/>
        <v>-1.0000000000000001E+300</v>
      </c>
      <c r="V892">
        <f t="shared" si="797"/>
        <v>0</v>
      </c>
      <c r="W892">
        <f t="shared" si="798"/>
        <v>0</v>
      </c>
      <c r="X892">
        <f t="shared" si="775"/>
        <v>0.45553093477052009</v>
      </c>
      <c r="Y892">
        <f t="shared" si="776"/>
        <v>7.8539816339744828</v>
      </c>
      <c r="Z892">
        <f t="shared" si="777"/>
        <v>-0.45553093477052009</v>
      </c>
      <c r="AA892">
        <f t="shared" si="799"/>
        <v>-0.92985432774698162</v>
      </c>
      <c r="AB892">
        <f t="shared" si="778"/>
        <v>6.9241273062275015</v>
      </c>
      <c r="AC892">
        <f t="shared" si="800"/>
        <v>-1.2378743560016172</v>
      </c>
      <c r="AD892">
        <f t="shared" si="779"/>
        <v>0.82111881195475289</v>
      </c>
      <c r="AE892" s="9">
        <f t="shared" si="801"/>
        <v>6.5073717621806368</v>
      </c>
      <c r="AF892">
        <f t="shared" si="802"/>
        <v>6.6289559029904831E-289</v>
      </c>
      <c r="AH892">
        <f t="shared" si="780"/>
        <v>7.8539816339744828</v>
      </c>
      <c r="AI892">
        <f t="shared" si="781"/>
        <v>-0.92985432774698207</v>
      </c>
      <c r="AJ892">
        <f t="shared" si="782"/>
        <v>-1.2378743560016119</v>
      </c>
      <c r="AK892">
        <f t="shared" si="783"/>
        <v>0.82111881195475289</v>
      </c>
      <c r="AL892" s="9">
        <f t="shared" si="803"/>
        <v>6.5073717621806413</v>
      </c>
      <c r="AM892" t="e">
        <f t="shared" si="784"/>
        <v>#N/A</v>
      </c>
      <c r="AN892" t="e">
        <f t="shared" si="804"/>
        <v>#N/A</v>
      </c>
      <c r="AO892">
        <f t="shared" si="785"/>
        <v>0</v>
      </c>
      <c r="AP892">
        <f t="shared" si="786"/>
        <v>0</v>
      </c>
      <c r="AQ892">
        <f t="shared" si="787"/>
        <v>5.3290705182007514E-15</v>
      </c>
      <c r="AR892">
        <f t="shared" si="805"/>
        <v>0</v>
      </c>
      <c r="AS892">
        <f t="shared" si="788"/>
        <v>0</v>
      </c>
      <c r="AT892">
        <f t="shared" si="806"/>
        <v>0</v>
      </c>
      <c r="AU892">
        <f t="shared" si="807"/>
        <v>6.6289559029709183E-289</v>
      </c>
      <c r="AV892">
        <f t="shared" si="789"/>
        <v>4.5553093477052004E-21</v>
      </c>
      <c r="AW892" t="b">
        <f t="shared" si="808"/>
        <v>1</v>
      </c>
      <c r="AX892">
        <f t="shared" si="790"/>
        <v>7.8539816339744828</v>
      </c>
      <c r="AY892">
        <f t="shared" si="791"/>
        <v>-0.92985432774698173</v>
      </c>
      <c r="AZ892">
        <f t="shared" si="792"/>
        <v>-1.2378743560016172</v>
      </c>
      <c r="BA892">
        <f t="shared" si="793"/>
        <v>0.82111881195475311</v>
      </c>
      <c r="BB892">
        <f t="shared" si="794"/>
        <v>-1.2337005501361696E-20</v>
      </c>
      <c r="BD892" s="15">
        <f t="shared" si="809"/>
        <v>6.5073717621806368</v>
      </c>
      <c r="BE892" s="10">
        <f t="shared" si="810"/>
        <v>0</v>
      </c>
      <c r="BF892">
        <f t="shared" si="811"/>
        <v>0</v>
      </c>
      <c r="BG892">
        <f t="shared" si="812"/>
        <v>0</v>
      </c>
      <c r="BH892">
        <f t="shared" si="813"/>
        <v>0</v>
      </c>
      <c r="BI892">
        <f t="shared" si="814"/>
        <v>0</v>
      </c>
    </row>
    <row r="893" spans="1:61" x14ac:dyDescent="0.3">
      <c r="A893">
        <f t="shared" si="819"/>
        <v>0.85599999999999998</v>
      </c>
      <c r="B893">
        <f t="shared" si="762"/>
        <v>2.6892033114728631</v>
      </c>
      <c r="C893">
        <f t="shared" si="763"/>
        <v>0.45238934211693005</v>
      </c>
      <c r="D893">
        <f t="shared" si="764"/>
        <v>0.45238934211693005</v>
      </c>
      <c r="E893">
        <f t="shared" si="769"/>
        <v>0.43711576665093288</v>
      </c>
      <c r="F893">
        <f t="shared" si="770"/>
        <v>0.43711576665093277</v>
      </c>
      <c r="G893">
        <f t="shared" si="765"/>
        <v>2.6892033114728631</v>
      </c>
      <c r="H893">
        <f t="shared" si="766"/>
        <v>0.43711576665093288</v>
      </c>
      <c r="I893">
        <f t="shared" si="767"/>
        <v>0.43711576665093277</v>
      </c>
      <c r="J893">
        <f t="shared" si="815"/>
        <v>1.4564099969332981E+20</v>
      </c>
      <c r="K893">
        <f t="shared" si="816"/>
        <v>1.4564099969332981E+20</v>
      </c>
      <c r="L893">
        <f t="shared" si="771"/>
        <v>1</v>
      </c>
      <c r="M893">
        <f t="shared" si="768"/>
        <v>4.5238934211693008E-21</v>
      </c>
      <c r="N893" s="9">
        <f t="shared" si="817"/>
        <v>4.5238934211693008E-21</v>
      </c>
      <c r="O893">
        <f t="shared" si="818"/>
        <v>4.5238934211693008E-21</v>
      </c>
      <c r="Q893">
        <f t="shared" si="772"/>
        <v>46.427676361316358</v>
      </c>
      <c r="R893">
        <f t="shared" si="773"/>
        <v>-710542.73576010019</v>
      </c>
      <c r="S893">
        <f t="shared" si="795"/>
        <v>-46.844913953437647</v>
      </c>
      <c r="T893" s="9" t="e">
        <f t="shared" si="774"/>
        <v>#N/A</v>
      </c>
      <c r="U893">
        <f t="shared" si="796"/>
        <v>-1.0000000000000001E+300</v>
      </c>
      <c r="V893">
        <f t="shared" si="797"/>
        <v>0</v>
      </c>
      <c r="W893">
        <f t="shared" si="798"/>
        <v>0</v>
      </c>
      <c r="X893">
        <f t="shared" si="775"/>
        <v>0.45238934211693005</v>
      </c>
      <c r="Y893">
        <f t="shared" si="776"/>
        <v>7.8539816339744828</v>
      </c>
      <c r="Z893">
        <f t="shared" si="777"/>
        <v>-0.45238934211693005</v>
      </c>
      <c r="AA893">
        <f t="shared" si="799"/>
        <v>-0.93083201544076422</v>
      </c>
      <c r="AB893">
        <f t="shared" si="778"/>
        <v>6.9231496185337189</v>
      </c>
      <c r="AC893">
        <f t="shared" si="800"/>
        <v>-1.2447947988461914</v>
      </c>
      <c r="AD893">
        <f t="shared" si="779"/>
        <v>0.82755720672490207</v>
      </c>
      <c r="AE893" s="9">
        <f t="shared" si="801"/>
        <v>6.5059120264124291</v>
      </c>
      <c r="AF893">
        <f t="shared" si="802"/>
        <v>1.7591027655708733E-288</v>
      </c>
      <c r="AH893">
        <f t="shared" si="780"/>
        <v>7.8539816339744828</v>
      </c>
      <c r="AI893">
        <f t="shared" si="781"/>
        <v>-0.93083201544076355</v>
      </c>
      <c r="AJ893">
        <f t="shared" si="782"/>
        <v>-1.2447947988461863</v>
      </c>
      <c r="AK893">
        <f t="shared" si="783"/>
        <v>0.82755720672490207</v>
      </c>
      <c r="AL893" s="9">
        <f t="shared" si="803"/>
        <v>6.5059120264124344</v>
      </c>
      <c r="AM893" t="e">
        <f t="shared" si="784"/>
        <v>#N/A</v>
      </c>
      <c r="AN893" t="e">
        <f t="shared" si="804"/>
        <v>#N/A</v>
      </c>
      <c r="AO893">
        <f t="shared" si="785"/>
        <v>0</v>
      </c>
      <c r="AP893">
        <f t="shared" si="786"/>
        <v>0</v>
      </c>
      <c r="AQ893">
        <f t="shared" si="787"/>
        <v>5.1070259132757201E-15</v>
      </c>
      <c r="AR893">
        <f t="shared" si="805"/>
        <v>0</v>
      </c>
      <c r="AS893">
        <f t="shared" si="788"/>
        <v>0</v>
      </c>
      <c r="AT893">
        <f t="shared" si="806"/>
        <v>0</v>
      </c>
      <c r="AU893">
        <f t="shared" si="807"/>
        <v>1.7591027655646832E-288</v>
      </c>
      <c r="AV893">
        <f t="shared" si="789"/>
        <v>4.5238934211693E-21</v>
      </c>
      <c r="AW893" t="b">
        <f t="shared" si="808"/>
        <v>1</v>
      </c>
      <c r="AX893">
        <f t="shared" si="790"/>
        <v>7.8539816339744828</v>
      </c>
      <c r="AY893">
        <f t="shared" si="791"/>
        <v>-0.93083201544076433</v>
      </c>
      <c r="AZ893">
        <f t="shared" si="792"/>
        <v>-1.2447947988461914</v>
      </c>
      <c r="BA893">
        <f t="shared" si="793"/>
        <v>0.82755720672490241</v>
      </c>
      <c r="BB893">
        <f t="shared" si="794"/>
        <v>-1.2337005501361696E-20</v>
      </c>
      <c r="BD893" s="15">
        <f t="shared" si="809"/>
        <v>6.5059120264124299</v>
      </c>
      <c r="BE893" s="10">
        <f t="shared" si="810"/>
        <v>0</v>
      </c>
      <c r="BF893">
        <f t="shared" si="811"/>
        <v>0</v>
      </c>
      <c r="BG893">
        <f t="shared" si="812"/>
        <v>0</v>
      </c>
      <c r="BH893">
        <f t="shared" si="813"/>
        <v>0</v>
      </c>
      <c r="BI893">
        <f t="shared" si="814"/>
        <v>0</v>
      </c>
    </row>
    <row r="894" spans="1:61" x14ac:dyDescent="0.3">
      <c r="A894">
        <f t="shared" si="819"/>
        <v>0.85699999999999998</v>
      </c>
      <c r="B894">
        <f t="shared" si="762"/>
        <v>2.6923449041264527</v>
      </c>
      <c r="C894">
        <f t="shared" si="763"/>
        <v>0.44924774946334045</v>
      </c>
      <c r="D894">
        <f t="shared" si="764"/>
        <v>0.44924774946334045</v>
      </c>
      <c r="E894">
        <f t="shared" si="769"/>
        <v>0.43428804928980475</v>
      </c>
      <c r="F894">
        <f t="shared" si="770"/>
        <v>0.43428804928980463</v>
      </c>
      <c r="G894">
        <f t="shared" si="765"/>
        <v>2.6923449041264527</v>
      </c>
      <c r="H894">
        <f t="shared" si="766"/>
        <v>0.43428804928980475</v>
      </c>
      <c r="I894">
        <f t="shared" si="767"/>
        <v>0.43428804928980463</v>
      </c>
      <c r="J894">
        <f t="shared" si="815"/>
        <v>1.4658929100366719E+20</v>
      </c>
      <c r="K894">
        <f t="shared" si="816"/>
        <v>1.4658929100366719E+20</v>
      </c>
      <c r="L894" t="e">
        <f t="shared" si="771"/>
        <v>#NUM!</v>
      </c>
      <c r="M894">
        <f t="shared" si="768"/>
        <v>4.4924774946334042E-21</v>
      </c>
      <c r="N894" s="9" t="e">
        <f t="shared" si="817"/>
        <v>#NUM!</v>
      </c>
      <c r="O894" t="e">
        <f t="shared" si="818"/>
        <v>#NUM!</v>
      </c>
      <c r="Q894">
        <f t="shared" si="772"/>
        <v>46.43416641158894</v>
      </c>
      <c r="R894">
        <f t="shared" si="773"/>
        <v>0</v>
      </c>
      <c r="S894">
        <f t="shared" si="795"/>
        <v>-46.851882622753742</v>
      </c>
      <c r="T894" s="9" t="e">
        <f t="shared" si="774"/>
        <v>#N/A</v>
      </c>
      <c r="U894">
        <f t="shared" si="796"/>
        <v>-1.0000000000000001E+300</v>
      </c>
      <c r="V894">
        <f t="shared" si="797"/>
        <v>0</v>
      </c>
      <c r="W894">
        <f t="shared" si="798"/>
        <v>0</v>
      </c>
      <c r="X894">
        <f t="shared" si="775"/>
        <v>0.44924774946334045</v>
      </c>
      <c r="Y894">
        <f t="shared" si="776"/>
        <v>7.8539816339744828</v>
      </c>
      <c r="Z894">
        <f t="shared" si="777"/>
        <v>-0.44924774946334045</v>
      </c>
      <c r="AA894">
        <f t="shared" si="799"/>
        <v>-0.93180255747588281</v>
      </c>
      <c r="AB894">
        <f t="shared" si="778"/>
        <v>6.9221790764986002</v>
      </c>
      <c r="AC894">
        <f t="shared" si="800"/>
        <v>-1.2517634681622845</v>
      </c>
      <c r="AD894">
        <f t="shared" si="779"/>
        <v>0.8340472569974815</v>
      </c>
      <c r="AE894" s="9">
        <f t="shared" si="801"/>
        <v>6.5044628653337977</v>
      </c>
      <c r="AF894">
        <f t="shared" si="802"/>
        <v>4.6286503928220168E-288</v>
      </c>
      <c r="AH894">
        <f t="shared" si="780"/>
        <v>7.8539816339744828</v>
      </c>
      <c r="AI894">
        <f t="shared" si="781"/>
        <v>-0.9318025574758827</v>
      </c>
      <c r="AJ894">
        <f t="shared" si="782"/>
        <v>-1.2517634681622809</v>
      </c>
      <c r="AK894">
        <f t="shared" si="783"/>
        <v>0.8340472569974815</v>
      </c>
      <c r="AL894" s="9">
        <f t="shared" si="803"/>
        <v>6.5044628653338012</v>
      </c>
      <c r="AM894" t="e">
        <f t="shared" si="784"/>
        <v>#N/A</v>
      </c>
      <c r="AN894" t="e">
        <f t="shared" si="804"/>
        <v>#N/A</v>
      </c>
      <c r="AO894">
        <f t="shared" si="785"/>
        <v>0</v>
      </c>
      <c r="AP894">
        <f t="shared" si="786"/>
        <v>0</v>
      </c>
      <c r="AQ894">
        <f t="shared" si="787"/>
        <v>3.5527136788005009E-15</v>
      </c>
      <c r="AR894">
        <f t="shared" si="805"/>
        <v>0</v>
      </c>
      <c r="AS894">
        <f t="shared" si="788"/>
        <v>0</v>
      </c>
      <c r="AT894">
        <f t="shared" si="806"/>
        <v>0</v>
      </c>
      <c r="AU894">
        <f t="shared" si="807"/>
        <v>4.6286503928109824E-288</v>
      </c>
      <c r="AV894">
        <f t="shared" si="789"/>
        <v>4.4924774946334042E-21</v>
      </c>
      <c r="AW894" t="b">
        <f t="shared" si="808"/>
        <v>1</v>
      </c>
      <c r="AX894">
        <f t="shared" si="790"/>
        <v>7.8539816339744828</v>
      </c>
      <c r="AY894">
        <f t="shared" si="791"/>
        <v>-0.93180255747588281</v>
      </c>
      <c r="AZ894">
        <f t="shared" si="792"/>
        <v>-1.2517634681622845</v>
      </c>
      <c r="BA894">
        <f t="shared" si="793"/>
        <v>0.83404725699748172</v>
      </c>
      <c r="BB894">
        <f t="shared" si="794"/>
        <v>-1.2337005501361696E-20</v>
      </c>
      <c r="BD894" s="15">
        <f t="shared" si="809"/>
        <v>6.5044628653337977</v>
      </c>
      <c r="BE894" s="10">
        <f t="shared" si="810"/>
        <v>0</v>
      </c>
      <c r="BF894">
        <f t="shared" si="811"/>
        <v>0</v>
      </c>
      <c r="BG894">
        <f t="shared" si="812"/>
        <v>0</v>
      </c>
      <c r="BH894">
        <f t="shared" si="813"/>
        <v>0</v>
      </c>
      <c r="BI894">
        <f t="shared" si="814"/>
        <v>0</v>
      </c>
    </row>
    <row r="895" spans="1:61" x14ac:dyDescent="0.3">
      <c r="A895">
        <f t="shared" si="819"/>
        <v>0.85799999999999998</v>
      </c>
      <c r="B895">
        <f t="shared" si="762"/>
        <v>2.6954864967800423</v>
      </c>
      <c r="C895">
        <f t="shared" si="763"/>
        <v>0.44610615680975085</v>
      </c>
      <c r="D895">
        <f t="shared" si="764"/>
        <v>0.44610615680975085</v>
      </c>
      <c r="E895">
        <f t="shared" si="769"/>
        <v>0.4314560456809593</v>
      </c>
      <c r="F895">
        <f t="shared" si="770"/>
        <v>0.43145604568095919</v>
      </c>
      <c r="G895">
        <f t="shared" si="765"/>
        <v>2.6954864967800423</v>
      </c>
      <c r="H895">
        <f t="shared" si="766"/>
        <v>0.4314560456809593</v>
      </c>
      <c r="I895">
        <f t="shared" si="767"/>
        <v>0.43145604568095919</v>
      </c>
      <c r="J895">
        <f t="shared" si="815"/>
        <v>1.4755147801042303E+20</v>
      </c>
      <c r="K895">
        <f t="shared" si="816"/>
        <v>1.4755147801042303E+20</v>
      </c>
      <c r="L895">
        <f t="shared" si="771"/>
        <v>1</v>
      </c>
      <c r="M895">
        <f t="shared" si="768"/>
        <v>4.4610615680975076E-21</v>
      </c>
      <c r="N895" s="9">
        <f t="shared" si="817"/>
        <v>4.4610615680975076E-21</v>
      </c>
      <c r="O895">
        <f t="shared" si="818"/>
        <v>4.4610615680975076E-21</v>
      </c>
      <c r="Q895">
        <f t="shared" si="772"/>
        <v>46.440708792245651</v>
      </c>
      <c r="R895">
        <f t="shared" si="773"/>
        <v>0</v>
      </c>
      <c r="S895">
        <f t="shared" si="795"/>
        <v>-46.858900195412389</v>
      </c>
      <c r="T895" s="9" t="e">
        <f t="shared" si="774"/>
        <v>#N/A</v>
      </c>
      <c r="U895">
        <f t="shared" si="796"/>
        <v>-1.0000000000000001E+300</v>
      </c>
      <c r="V895">
        <f t="shared" si="797"/>
        <v>0</v>
      </c>
      <c r="W895">
        <f t="shared" si="798"/>
        <v>0</v>
      </c>
      <c r="X895">
        <f t="shared" si="775"/>
        <v>0.44610615680975085</v>
      </c>
      <c r="Y895">
        <f t="shared" si="776"/>
        <v>7.8539816339744828</v>
      </c>
      <c r="Z895">
        <f t="shared" si="777"/>
        <v>-0.44610615680975085</v>
      </c>
      <c r="AA895">
        <f t="shared" si="799"/>
        <v>-0.9327659620718427</v>
      </c>
      <c r="AB895">
        <f t="shared" si="778"/>
        <v>6.9212156719026403</v>
      </c>
      <c r="AC895">
        <f t="shared" si="800"/>
        <v>-1.2587810408209306</v>
      </c>
      <c r="AD895">
        <f t="shared" si="779"/>
        <v>0.84058963765419159</v>
      </c>
      <c r="AE895" s="9">
        <f t="shared" si="801"/>
        <v>6.503024268735901</v>
      </c>
      <c r="AF895">
        <f t="shared" si="802"/>
        <v>1.2076798500009075E-287</v>
      </c>
      <c r="AH895">
        <f t="shared" si="780"/>
        <v>7.8539816339744828</v>
      </c>
      <c r="AI895">
        <f t="shared" si="781"/>
        <v>-0.93276596207184248</v>
      </c>
      <c r="AJ895">
        <f t="shared" si="782"/>
        <v>-1.2587810408209279</v>
      </c>
      <c r="AK895">
        <f t="shared" si="783"/>
        <v>0.84058963765419159</v>
      </c>
      <c r="AL895" s="9">
        <f t="shared" si="803"/>
        <v>6.5030242687359037</v>
      </c>
      <c r="AM895" t="e">
        <f t="shared" si="784"/>
        <v>#N/A</v>
      </c>
      <c r="AN895" t="e">
        <f t="shared" si="804"/>
        <v>#N/A</v>
      </c>
      <c r="AO895">
        <f t="shared" si="785"/>
        <v>0</v>
      </c>
      <c r="AP895">
        <f t="shared" si="786"/>
        <v>0</v>
      </c>
      <c r="AQ895">
        <f t="shared" si="787"/>
        <v>2.6645352591003757E-15</v>
      </c>
      <c r="AR895">
        <f t="shared" si="805"/>
        <v>0</v>
      </c>
      <c r="AS895">
        <f t="shared" si="788"/>
        <v>0</v>
      </c>
      <c r="AT895">
        <f t="shared" si="806"/>
        <v>0</v>
      </c>
      <c r="AU895">
        <f t="shared" si="807"/>
        <v>1.2076798499987141E-287</v>
      </c>
      <c r="AV895">
        <f t="shared" si="789"/>
        <v>4.4610615680975083E-21</v>
      </c>
      <c r="AW895" t="b">
        <f t="shared" si="808"/>
        <v>1</v>
      </c>
      <c r="AX895">
        <f t="shared" si="790"/>
        <v>7.8539816339744828</v>
      </c>
      <c r="AY895">
        <f t="shared" si="791"/>
        <v>-0.9327659620718427</v>
      </c>
      <c r="AZ895">
        <f t="shared" si="792"/>
        <v>-1.2587810408209306</v>
      </c>
      <c r="BA895">
        <f t="shared" si="793"/>
        <v>0.84058963765419181</v>
      </c>
      <c r="BB895">
        <f t="shared" si="794"/>
        <v>-1.2337005501361696E-20</v>
      </c>
      <c r="BD895" s="15">
        <f t="shared" si="809"/>
        <v>6.5030242687359019</v>
      </c>
      <c r="BE895" s="10">
        <f t="shared" si="810"/>
        <v>0</v>
      </c>
      <c r="BF895">
        <f t="shared" si="811"/>
        <v>0</v>
      </c>
      <c r="BG895">
        <f t="shared" si="812"/>
        <v>0</v>
      </c>
      <c r="BH895">
        <f t="shared" si="813"/>
        <v>0</v>
      </c>
      <c r="BI895">
        <f t="shared" si="814"/>
        <v>0</v>
      </c>
    </row>
    <row r="896" spans="1:61" x14ac:dyDescent="0.3">
      <c r="A896">
        <f t="shared" si="819"/>
        <v>0.85899999999999999</v>
      </c>
      <c r="B896">
        <f t="shared" si="762"/>
        <v>2.6986280894336323</v>
      </c>
      <c r="C896">
        <f t="shared" si="763"/>
        <v>0.44296456415616081</v>
      </c>
      <c r="D896">
        <f t="shared" si="764"/>
        <v>0.44296456415616081</v>
      </c>
      <c r="E896">
        <f t="shared" si="769"/>
        <v>0.42861978377512844</v>
      </c>
      <c r="F896">
        <f t="shared" si="770"/>
        <v>0.42861978377512833</v>
      </c>
      <c r="G896">
        <f t="shared" si="765"/>
        <v>2.6986280894336323</v>
      </c>
      <c r="H896">
        <f t="shared" si="766"/>
        <v>0.42861978377512844</v>
      </c>
      <c r="I896">
        <f t="shared" si="767"/>
        <v>0.42861978377512833</v>
      </c>
      <c r="J896">
        <f t="shared" si="815"/>
        <v>1.4852785533146979E+20</v>
      </c>
      <c r="K896">
        <f t="shared" si="816"/>
        <v>1.4852785533146979E+20</v>
      </c>
      <c r="L896">
        <f t="shared" si="771"/>
        <v>1</v>
      </c>
      <c r="M896">
        <f t="shared" si="768"/>
        <v>4.429645641561608E-21</v>
      </c>
      <c r="N896" s="9">
        <f t="shared" si="817"/>
        <v>4.429645641561608E-21</v>
      </c>
      <c r="O896">
        <f t="shared" si="818"/>
        <v>4.429645641561608E-21</v>
      </c>
      <c r="Q896">
        <f t="shared" si="772"/>
        <v>46.447304192534723</v>
      </c>
      <c r="R896">
        <f t="shared" si="773"/>
        <v>0</v>
      </c>
      <c r="S896">
        <f t="shared" si="795"/>
        <v>-46.86596736263548</v>
      </c>
      <c r="T896" s="9" t="e">
        <f t="shared" si="774"/>
        <v>#N/A</v>
      </c>
      <c r="U896">
        <f t="shared" si="796"/>
        <v>-1.0000000000000001E+300</v>
      </c>
      <c r="V896">
        <f t="shared" si="797"/>
        <v>0</v>
      </c>
      <c r="W896">
        <f t="shared" si="798"/>
        <v>0</v>
      </c>
      <c r="X896">
        <f t="shared" si="775"/>
        <v>0.44296456415616081</v>
      </c>
      <c r="Y896">
        <f t="shared" si="776"/>
        <v>7.8539816339744828</v>
      </c>
      <c r="Z896">
        <f t="shared" si="777"/>
        <v>-0.44296456415616081</v>
      </c>
      <c r="AA896">
        <f t="shared" si="799"/>
        <v>-0.93372223737971782</v>
      </c>
      <c r="AB896">
        <f t="shared" si="778"/>
        <v>6.9202593965947647</v>
      </c>
      <c r="AC896">
        <f t="shared" si="800"/>
        <v>-1.2658482080440236</v>
      </c>
      <c r="AD896">
        <f t="shared" si="779"/>
        <v>0.84718503794326183</v>
      </c>
      <c r="AE896" s="9">
        <f t="shared" si="801"/>
        <v>6.5015962264940024</v>
      </c>
      <c r="AF896">
        <f t="shared" si="802"/>
        <v>3.1246439893439147E-287</v>
      </c>
      <c r="AH896">
        <f t="shared" si="780"/>
        <v>7.8539816339744828</v>
      </c>
      <c r="AI896">
        <f t="shared" si="781"/>
        <v>-0.93372223737971771</v>
      </c>
      <c r="AJ896">
        <f t="shared" si="782"/>
        <v>-1.2658482080440194</v>
      </c>
      <c r="AK896">
        <f t="shared" si="783"/>
        <v>0.84718503794326183</v>
      </c>
      <c r="AL896" s="9">
        <f t="shared" si="803"/>
        <v>6.5015962264940068</v>
      </c>
      <c r="AM896" t="e">
        <f t="shared" si="784"/>
        <v>#N/A</v>
      </c>
      <c r="AN896" t="e">
        <f t="shared" si="804"/>
        <v>#N/A</v>
      </c>
      <c r="AO896">
        <f t="shared" si="785"/>
        <v>0</v>
      </c>
      <c r="AP896">
        <f t="shared" si="786"/>
        <v>0</v>
      </c>
      <c r="AQ896">
        <f t="shared" si="787"/>
        <v>4.2188474935755949E-15</v>
      </c>
      <c r="AR896">
        <f t="shared" si="805"/>
        <v>0</v>
      </c>
      <c r="AS896">
        <f t="shared" si="788"/>
        <v>0</v>
      </c>
      <c r="AT896">
        <f t="shared" si="806"/>
        <v>0</v>
      </c>
      <c r="AU896">
        <f t="shared" si="807"/>
        <v>3.1246439893343377E-287</v>
      </c>
      <c r="AV896">
        <f t="shared" si="789"/>
        <v>4.429645641561608E-21</v>
      </c>
      <c r="AW896" t="b">
        <f t="shared" si="808"/>
        <v>1</v>
      </c>
      <c r="AX896">
        <f t="shared" si="790"/>
        <v>7.8539816339744828</v>
      </c>
      <c r="AY896">
        <f t="shared" si="791"/>
        <v>-0.93372223737971793</v>
      </c>
      <c r="AZ896">
        <f t="shared" si="792"/>
        <v>-1.2658482080440234</v>
      </c>
      <c r="BA896">
        <f t="shared" si="793"/>
        <v>0.84718503794326216</v>
      </c>
      <c r="BB896">
        <f t="shared" si="794"/>
        <v>-1.2337005501361696E-20</v>
      </c>
      <c r="BD896" s="15">
        <f t="shared" si="809"/>
        <v>6.5015962264940033</v>
      </c>
      <c r="BE896" s="10">
        <f t="shared" si="810"/>
        <v>0</v>
      </c>
      <c r="BF896">
        <f t="shared" si="811"/>
        <v>0</v>
      </c>
      <c r="BG896">
        <f t="shared" si="812"/>
        <v>0</v>
      </c>
      <c r="BH896">
        <f t="shared" si="813"/>
        <v>0</v>
      </c>
      <c r="BI896">
        <f t="shared" si="814"/>
        <v>0</v>
      </c>
    </row>
    <row r="897" spans="1:61" x14ac:dyDescent="0.3">
      <c r="A897">
        <f t="shared" si="819"/>
        <v>0.86</v>
      </c>
      <c r="B897">
        <f t="shared" si="762"/>
        <v>2.7017696820872219</v>
      </c>
      <c r="C897">
        <f t="shared" si="763"/>
        <v>0.43982297150257121</v>
      </c>
      <c r="D897">
        <f t="shared" si="764"/>
        <v>0.43982297150257121</v>
      </c>
      <c r="E897">
        <f t="shared" si="769"/>
        <v>0.42577929156507288</v>
      </c>
      <c r="F897">
        <f t="shared" si="770"/>
        <v>0.42577929156507277</v>
      </c>
      <c r="G897">
        <f t="shared" si="765"/>
        <v>2.7017696820872219</v>
      </c>
      <c r="H897">
        <f t="shared" si="766"/>
        <v>0.42577929156507288</v>
      </c>
      <c r="I897">
        <f t="shared" si="767"/>
        <v>0.42577929156507277</v>
      </c>
      <c r="J897">
        <f t="shared" si="815"/>
        <v>1.4951872601119336E+20</v>
      </c>
      <c r="K897">
        <f t="shared" si="816"/>
        <v>1.4951872601119336E+20</v>
      </c>
      <c r="L897">
        <f t="shared" si="771"/>
        <v>1</v>
      </c>
      <c r="M897">
        <f t="shared" si="768"/>
        <v>4.3982297150257114E-21</v>
      </c>
      <c r="N897" s="9">
        <f t="shared" si="817"/>
        <v>4.3982297150257114E-21</v>
      </c>
      <c r="O897">
        <f t="shared" si="818"/>
        <v>4.3982297150257114E-21</v>
      </c>
      <c r="Q897">
        <f t="shared" si="772"/>
        <v>46.453953316479442</v>
      </c>
      <c r="R897">
        <f t="shared" si="773"/>
        <v>0</v>
      </c>
      <c r="S897">
        <f t="shared" si="795"/>
        <v>-46.873084830404345</v>
      </c>
      <c r="T897" s="9" t="e">
        <f t="shared" si="774"/>
        <v>#N/A</v>
      </c>
      <c r="U897">
        <f t="shared" si="796"/>
        <v>-1.0000000000000001E+300</v>
      </c>
      <c r="V897">
        <f t="shared" si="797"/>
        <v>0</v>
      </c>
      <c r="W897">
        <f t="shared" si="798"/>
        <v>0</v>
      </c>
      <c r="X897">
        <f t="shared" si="775"/>
        <v>0.43982297150257121</v>
      </c>
      <c r="Y897">
        <f t="shared" si="776"/>
        <v>7.8539816339744828</v>
      </c>
      <c r="Z897">
        <f t="shared" si="777"/>
        <v>-0.43982297150257121</v>
      </c>
      <c r="AA897">
        <f t="shared" si="799"/>
        <v>-0.93467139148240097</v>
      </c>
      <c r="AB897">
        <f t="shared" si="778"/>
        <v>6.9193102424920818</v>
      </c>
      <c r="AC897">
        <f t="shared" si="800"/>
        <v>-1.2729656758128869</v>
      </c>
      <c r="AD897">
        <f t="shared" si="779"/>
        <v>0.85383416188798189</v>
      </c>
      <c r="AE897" s="9">
        <f t="shared" si="801"/>
        <v>6.5001787285671773</v>
      </c>
      <c r="AF897">
        <f t="shared" si="802"/>
        <v>8.017101424907924E-287</v>
      </c>
      <c r="AH897">
        <f t="shared" si="780"/>
        <v>7.8539816339744828</v>
      </c>
      <c r="AI897">
        <f t="shared" si="781"/>
        <v>-0.93467139148240042</v>
      </c>
      <c r="AJ897">
        <f t="shared" si="782"/>
        <v>-1.272965675812884</v>
      </c>
      <c r="AK897">
        <f t="shared" si="783"/>
        <v>0.85383416188798189</v>
      </c>
      <c r="AL897" s="9">
        <f t="shared" si="803"/>
        <v>6.5001787285671808</v>
      </c>
      <c r="AM897" t="e">
        <f t="shared" si="784"/>
        <v>#N/A</v>
      </c>
      <c r="AN897" t="e">
        <f t="shared" si="804"/>
        <v>#N/A</v>
      </c>
      <c r="AO897">
        <f t="shared" si="785"/>
        <v>0</v>
      </c>
      <c r="AP897">
        <f t="shared" si="786"/>
        <v>0</v>
      </c>
      <c r="AQ897">
        <f t="shared" si="787"/>
        <v>2.886579864025407E-15</v>
      </c>
      <c r="AR897">
        <f t="shared" si="805"/>
        <v>0</v>
      </c>
      <c r="AS897">
        <f t="shared" si="788"/>
        <v>0</v>
      </c>
      <c r="AT897">
        <f t="shared" si="806"/>
        <v>0</v>
      </c>
      <c r="AU897">
        <f t="shared" si="807"/>
        <v>8.0171014248888131E-287</v>
      </c>
      <c r="AV897">
        <f t="shared" si="789"/>
        <v>4.3982297150257121E-21</v>
      </c>
      <c r="AW897" t="b">
        <f t="shared" si="808"/>
        <v>1</v>
      </c>
      <c r="AX897">
        <f t="shared" si="790"/>
        <v>7.8539816339744828</v>
      </c>
      <c r="AY897">
        <f t="shared" si="791"/>
        <v>-0.93467139148240119</v>
      </c>
      <c r="AZ897">
        <f t="shared" si="792"/>
        <v>-1.2729656758128869</v>
      </c>
      <c r="BA897">
        <f t="shared" si="793"/>
        <v>0.85383416188798211</v>
      </c>
      <c r="BB897">
        <f t="shared" si="794"/>
        <v>-1.2337005501361696E-20</v>
      </c>
      <c r="BD897" s="15">
        <f t="shared" si="809"/>
        <v>6.5001787285671773</v>
      </c>
      <c r="BE897" s="10">
        <f t="shared" si="810"/>
        <v>0</v>
      </c>
      <c r="BF897">
        <f t="shared" si="811"/>
        <v>0</v>
      </c>
      <c r="BG897">
        <f t="shared" si="812"/>
        <v>0</v>
      </c>
      <c r="BH897">
        <f t="shared" si="813"/>
        <v>0</v>
      </c>
      <c r="BI897">
        <f t="shared" si="814"/>
        <v>0</v>
      </c>
    </row>
    <row r="898" spans="1:61" x14ac:dyDescent="0.3">
      <c r="A898">
        <f t="shared" si="819"/>
        <v>0.86099999999999999</v>
      </c>
      <c r="B898">
        <f t="shared" si="762"/>
        <v>2.7049112747408119</v>
      </c>
      <c r="C898">
        <f t="shared" si="763"/>
        <v>0.43668137884898117</v>
      </c>
      <c r="D898">
        <f t="shared" si="764"/>
        <v>0.43668137884898117</v>
      </c>
      <c r="E898">
        <f t="shared" si="769"/>
        <v>0.42293459708530329</v>
      </c>
      <c r="F898">
        <f t="shared" si="770"/>
        <v>0.42293459708530318</v>
      </c>
      <c r="G898">
        <f t="shared" si="765"/>
        <v>2.7049112747408119</v>
      </c>
      <c r="H898">
        <f t="shared" si="766"/>
        <v>0.42293459708530329</v>
      </c>
      <c r="I898">
        <f t="shared" si="767"/>
        <v>0.42293459708530318</v>
      </c>
      <c r="J898">
        <f t="shared" si="815"/>
        <v>1.5052440182357066E+20</v>
      </c>
      <c r="K898">
        <f t="shared" si="816"/>
        <v>1.5052440182357066E+20</v>
      </c>
      <c r="L898" t="e">
        <f t="shared" si="771"/>
        <v>#NUM!</v>
      </c>
      <c r="M898">
        <f t="shared" si="768"/>
        <v>4.3668137884898117E-21</v>
      </c>
      <c r="N898" s="9" t="e">
        <f t="shared" si="817"/>
        <v>#NUM!</v>
      </c>
      <c r="O898" t="e">
        <f t="shared" si="818"/>
        <v>#NUM!</v>
      </c>
      <c r="Q898">
        <f t="shared" si="772"/>
        <v>46.460656883301347</v>
      </c>
      <c r="R898">
        <f t="shared" si="773"/>
        <v>0</v>
      </c>
      <c r="S898">
        <f t="shared" si="795"/>
        <v>-46.880253319882961</v>
      </c>
      <c r="T898" s="9" t="e">
        <f t="shared" si="774"/>
        <v>#N/A</v>
      </c>
      <c r="U898">
        <f t="shared" si="796"/>
        <v>-1.0000000000000001E+300</v>
      </c>
      <c r="V898">
        <f t="shared" si="797"/>
        <v>0</v>
      </c>
      <c r="W898">
        <f t="shared" si="798"/>
        <v>0</v>
      </c>
      <c r="X898">
        <f t="shared" si="775"/>
        <v>0.43668137884898117</v>
      </c>
      <c r="Y898">
        <f t="shared" si="776"/>
        <v>7.8539816339744828</v>
      </c>
      <c r="Z898">
        <f t="shared" si="777"/>
        <v>-0.43668137884898117</v>
      </c>
      <c r="AA898">
        <f t="shared" si="799"/>
        <v>-0.93561343239485473</v>
      </c>
      <c r="AB898">
        <f t="shared" si="778"/>
        <v>6.9183682015796277</v>
      </c>
      <c r="AC898">
        <f t="shared" si="800"/>
        <v>-1.2801341652915001</v>
      </c>
      <c r="AD898">
        <f t="shared" si="779"/>
        <v>0.86053772870988576</v>
      </c>
      <c r="AE898" s="9">
        <f t="shared" si="801"/>
        <v>6.4987717649980139</v>
      </c>
      <c r="AF898">
        <f t="shared" si="802"/>
        <v>2.0399474624428553E-286</v>
      </c>
      <c r="AH898">
        <f t="shared" si="780"/>
        <v>7.8539816339744828</v>
      </c>
      <c r="AI898">
        <f t="shared" si="781"/>
        <v>-0.93561343239485395</v>
      </c>
      <c r="AJ898">
        <f t="shared" si="782"/>
        <v>-1.2801341652914999</v>
      </c>
      <c r="AK898">
        <f t="shared" si="783"/>
        <v>0.86053772870988576</v>
      </c>
      <c r="AL898" s="9">
        <f t="shared" si="803"/>
        <v>6.4987717649980148</v>
      </c>
      <c r="AM898" t="e">
        <f t="shared" si="784"/>
        <v>#N/A</v>
      </c>
      <c r="AN898" t="e">
        <f t="shared" si="804"/>
        <v>#N/A</v>
      </c>
      <c r="AO898">
        <f t="shared" si="785"/>
        <v>0</v>
      </c>
      <c r="AP898">
        <f t="shared" si="786"/>
        <v>0</v>
      </c>
      <c r="AQ898">
        <f t="shared" si="787"/>
        <v>0</v>
      </c>
      <c r="AR898">
        <f t="shared" si="805"/>
        <v>0</v>
      </c>
      <c r="AS898">
        <f t="shared" si="788"/>
        <v>0</v>
      </c>
      <c r="AT898">
        <f t="shared" si="806"/>
        <v>0</v>
      </c>
      <c r="AU898">
        <f t="shared" si="807"/>
        <v>2.0399474624414657E-286</v>
      </c>
      <c r="AV898">
        <f t="shared" si="789"/>
        <v>4.3668137884898117E-21</v>
      </c>
      <c r="AW898" t="b">
        <f t="shared" si="808"/>
        <v>1</v>
      </c>
      <c r="AX898">
        <f t="shared" si="790"/>
        <v>7.8539816339744828</v>
      </c>
      <c r="AY898">
        <f t="shared" si="791"/>
        <v>-0.93561343239485484</v>
      </c>
      <c r="AZ898">
        <f t="shared" si="792"/>
        <v>-1.2801341652915001</v>
      </c>
      <c r="BA898">
        <f t="shared" si="793"/>
        <v>0.86053772870988599</v>
      </c>
      <c r="BB898">
        <f t="shared" si="794"/>
        <v>-1.2337005501361696E-20</v>
      </c>
      <c r="BD898" s="15">
        <f t="shared" si="809"/>
        <v>6.4987717649980139</v>
      </c>
      <c r="BE898" s="10">
        <f t="shared" si="810"/>
        <v>0</v>
      </c>
      <c r="BF898">
        <f t="shared" si="811"/>
        <v>0</v>
      </c>
      <c r="BG898">
        <f t="shared" si="812"/>
        <v>0</v>
      </c>
      <c r="BH898">
        <f t="shared" si="813"/>
        <v>0</v>
      </c>
      <c r="BI898">
        <f t="shared" si="814"/>
        <v>0</v>
      </c>
    </row>
    <row r="899" spans="1:61" x14ac:dyDescent="0.3">
      <c r="A899">
        <f t="shared" si="819"/>
        <v>0.86199999999999999</v>
      </c>
      <c r="B899">
        <f t="shared" si="762"/>
        <v>2.7080528673944015</v>
      </c>
      <c r="C899">
        <f t="shared" si="763"/>
        <v>0.43353978619539157</v>
      </c>
      <c r="D899">
        <f t="shared" si="764"/>
        <v>0.43353978619539157</v>
      </c>
      <c r="E899">
        <f t="shared" si="769"/>
        <v>0.42008572841180647</v>
      </c>
      <c r="F899">
        <f t="shared" si="770"/>
        <v>0.42008572841180636</v>
      </c>
      <c r="G899">
        <f t="shared" si="765"/>
        <v>2.7080528673944015</v>
      </c>
      <c r="H899">
        <f t="shared" si="766"/>
        <v>0.42008572841180647</v>
      </c>
      <c r="I899">
        <f t="shared" si="767"/>
        <v>0.42008572841180636</v>
      </c>
      <c r="J899">
        <f t="shared" si="815"/>
        <v>1.5154520358842289E+20</v>
      </c>
      <c r="K899">
        <f t="shared" si="816"/>
        <v>1.5154520358842289E+20</v>
      </c>
      <c r="L899">
        <f t="shared" si="771"/>
        <v>1</v>
      </c>
      <c r="M899">
        <f t="shared" si="768"/>
        <v>4.3353978619539151E-21</v>
      </c>
      <c r="N899" s="9">
        <f t="shared" si="817"/>
        <v>4.3353978619539151E-21</v>
      </c>
      <c r="O899">
        <f t="shared" si="818"/>
        <v>4.3353978619539151E-21</v>
      </c>
      <c r="Q899">
        <f t="shared" si="772"/>
        <v>46.467415627858664</v>
      </c>
      <c r="R899">
        <f t="shared" si="773"/>
        <v>0</v>
      </c>
      <c r="S899">
        <f t="shared" si="795"/>
        <v>-46.887473567856446</v>
      </c>
      <c r="T899" s="9" t="e">
        <f t="shared" si="774"/>
        <v>#N/A</v>
      </c>
      <c r="U899">
        <f t="shared" si="796"/>
        <v>-1.0000000000000001E+300</v>
      </c>
      <c r="V899">
        <f t="shared" si="797"/>
        <v>0</v>
      </c>
      <c r="W899">
        <f t="shared" si="798"/>
        <v>0</v>
      </c>
      <c r="X899">
        <f t="shared" si="775"/>
        <v>0.43353978619539157</v>
      </c>
      <c r="Y899">
        <f t="shared" si="776"/>
        <v>7.8539816339744828</v>
      </c>
      <c r="Z899">
        <f t="shared" si="777"/>
        <v>-0.43353978619539157</v>
      </c>
      <c r="AA899">
        <f t="shared" si="799"/>
        <v>-0.93654836806435648</v>
      </c>
      <c r="AB899">
        <f t="shared" si="778"/>
        <v>6.9174332659101267</v>
      </c>
      <c r="AC899">
        <f t="shared" si="800"/>
        <v>-1.2873544132649868</v>
      </c>
      <c r="AD899">
        <f t="shared" si="779"/>
        <v>0.86729647326720383</v>
      </c>
      <c r="AE899" s="9">
        <f t="shared" si="801"/>
        <v>6.4973753259123432</v>
      </c>
      <c r="AF899">
        <f t="shared" si="802"/>
        <v>5.1478020545458117E-286</v>
      </c>
      <c r="AH899">
        <f t="shared" si="780"/>
        <v>7.8539816339744828</v>
      </c>
      <c r="AI899">
        <f t="shared" si="781"/>
        <v>-0.93654836806435715</v>
      </c>
      <c r="AJ899">
        <f t="shared" si="782"/>
        <v>-1.2873544132649855</v>
      </c>
      <c r="AK899">
        <f t="shared" si="783"/>
        <v>0.86729647326720383</v>
      </c>
      <c r="AL899" s="9">
        <f t="shared" si="803"/>
        <v>6.4973753259123441</v>
      </c>
      <c r="AM899" t="e">
        <f t="shared" si="784"/>
        <v>#N/A</v>
      </c>
      <c r="AN899" t="e">
        <f t="shared" si="804"/>
        <v>#N/A</v>
      </c>
      <c r="AO899">
        <f t="shared" si="785"/>
        <v>0</v>
      </c>
      <c r="AP899">
        <f t="shared" si="786"/>
        <v>0</v>
      </c>
      <c r="AQ899">
        <f t="shared" si="787"/>
        <v>0</v>
      </c>
      <c r="AR899">
        <f t="shared" si="805"/>
        <v>0</v>
      </c>
      <c r="AS899">
        <f t="shared" si="788"/>
        <v>0</v>
      </c>
      <c r="AT899">
        <f t="shared" si="806"/>
        <v>0</v>
      </c>
      <c r="AU899">
        <f t="shared" si="807"/>
        <v>5.1478020545423064E-286</v>
      </c>
      <c r="AV899">
        <f t="shared" si="789"/>
        <v>4.3353978619539151E-21</v>
      </c>
      <c r="AW899" t="b">
        <f t="shared" si="808"/>
        <v>1</v>
      </c>
      <c r="AX899">
        <f t="shared" si="790"/>
        <v>7.8539816339744828</v>
      </c>
      <c r="AY899">
        <f t="shared" si="791"/>
        <v>-0.9365483680643566</v>
      </c>
      <c r="AZ899">
        <f t="shared" si="792"/>
        <v>-1.2873544132649868</v>
      </c>
      <c r="BA899">
        <f t="shared" si="793"/>
        <v>0.86729647326720416</v>
      </c>
      <c r="BB899">
        <f t="shared" si="794"/>
        <v>-1.2337005501361696E-20</v>
      </c>
      <c r="BD899" s="15">
        <f t="shared" si="809"/>
        <v>6.4973753259123441</v>
      </c>
      <c r="BE899" s="10">
        <f t="shared" si="810"/>
        <v>0</v>
      </c>
      <c r="BF899">
        <f t="shared" si="811"/>
        <v>0</v>
      </c>
      <c r="BG899">
        <f t="shared" si="812"/>
        <v>0</v>
      </c>
      <c r="BH899">
        <f t="shared" si="813"/>
        <v>0</v>
      </c>
      <c r="BI899">
        <f t="shared" si="814"/>
        <v>0</v>
      </c>
    </row>
    <row r="900" spans="1:61" x14ac:dyDescent="0.3">
      <c r="A900">
        <f t="shared" si="819"/>
        <v>0.86299999999999999</v>
      </c>
      <c r="B900">
        <f t="shared" si="762"/>
        <v>2.7111944600479916</v>
      </c>
      <c r="C900">
        <f t="shared" si="763"/>
        <v>0.43039819354180153</v>
      </c>
      <c r="D900">
        <f t="shared" si="764"/>
        <v>0.43039819354180153</v>
      </c>
      <c r="E900">
        <f t="shared" si="769"/>
        <v>0.41723271366176529</v>
      </c>
      <c r="F900">
        <f t="shared" si="770"/>
        <v>0.41723271366176518</v>
      </c>
      <c r="G900">
        <f t="shared" si="765"/>
        <v>2.7111944600479916</v>
      </c>
      <c r="H900">
        <f t="shared" si="766"/>
        <v>0.41723271366176529</v>
      </c>
      <c r="I900">
        <f t="shared" si="767"/>
        <v>0.41723271366176518</v>
      </c>
      <c r="J900">
        <f t="shared" si="815"/>
        <v>1.5258146150152189E+20</v>
      </c>
      <c r="K900">
        <f t="shared" si="816"/>
        <v>1.5258146150152189E+20</v>
      </c>
      <c r="L900">
        <f t="shared" si="771"/>
        <v>1</v>
      </c>
      <c r="M900">
        <f t="shared" si="768"/>
        <v>4.3039819354180125E-21</v>
      </c>
      <c r="N900" s="9">
        <f t="shared" si="817"/>
        <v>4.3039819354180125E-21</v>
      </c>
      <c r="O900">
        <f t="shared" si="818"/>
        <v>4.3039819354180125E-21</v>
      </c>
      <c r="Q900">
        <f t="shared" si="772"/>
        <v>46.474230301100732</v>
      </c>
      <c r="R900">
        <f t="shared" si="773"/>
        <v>0</v>
      </c>
      <c r="S900">
        <f t="shared" si="795"/>
        <v>-46.89474632718553</v>
      </c>
      <c r="T900" s="9" t="e">
        <f t="shared" si="774"/>
        <v>#N/A</v>
      </c>
      <c r="U900">
        <f t="shared" si="796"/>
        <v>-1.0000000000000001E+300</v>
      </c>
      <c r="V900">
        <f t="shared" si="797"/>
        <v>0</v>
      </c>
      <c r="W900">
        <f t="shared" si="798"/>
        <v>0</v>
      </c>
      <c r="X900">
        <f t="shared" si="775"/>
        <v>0.43039819354180153</v>
      </c>
      <c r="Y900">
        <f t="shared" si="776"/>
        <v>7.8539816339744828</v>
      </c>
      <c r="Z900">
        <f t="shared" si="777"/>
        <v>-0.43039819354180153</v>
      </c>
      <c r="AA900">
        <f t="shared" si="799"/>
        <v>-0.93747620637074447</v>
      </c>
      <c r="AB900">
        <f t="shared" si="778"/>
        <v>6.9165054276037381</v>
      </c>
      <c r="AC900">
        <f t="shared" si="800"/>
        <v>-1.2946271725940672</v>
      </c>
      <c r="AD900">
        <f t="shared" si="779"/>
        <v>0.87411114650927413</v>
      </c>
      <c r="AE900" s="9">
        <f t="shared" si="801"/>
        <v>6.495989401518945</v>
      </c>
      <c r="AF900">
        <f t="shared" si="802"/>
        <v>1.2883749034996786E-285</v>
      </c>
      <c r="AH900">
        <f t="shared" si="780"/>
        <v>7.8539816339744828</v>
      </c>
      <c r="AI900">
        <f t="shared" si="781"/>
        <v>-0.93747620637074414</v>
      </c>
      <c r="AJ900">
        <f t="shared" si="782"/>
        <v>-1.294627172594069</v>
      </c>
      <c r="AK900">
        <f t="shared" si="783"/>
        <v>0.87411114650927413</v>
      </c>
      <c r="AL900" s="9">
        <f t="shared" si="803"/>
        <v>6.4959894015189441</v>
      </c>
      <c r="AM900" t="e">
        <f t="shared" si="784"/>
        <v>#N/A</v>
      </c>
      <c r="AN900" t="e">
        <f t="shared" si="804"/>
        <v>#N/A</v>
      </c>
      <c r="AO900">
        <f t="shared" si="785"/>
        <v>0</v>
      </c>
      <c r="AP900">
        <f t="shared" si="786"/>
        <v>0</v>
      </c>
      <c r="AQ900">
        <f t="shared" si="787"/>
        <v>-1.7763568394002505E-15</v>
      </c>
      <c r="AR900">
        <f t="shared" si="805"/>
        <v>0</v>
      </c>
      <c r="AS900">
        <f t="shared" si="788"/>
        <v>0</v>
      </c>
      <c r="AT900">
        <f t="shared" si="806"/>
        <v>0</v>
      </c>
      <c r="AU900">
        <f t="shared" si="807"/>
        <v>1.2883749035004097E-285</v>
      </c>
      <c r="AV900">
        <f t="shared" si="789"/>
        <v>4.3039819354180148E-21</v>
      </c>
      <c r="AW900" t="b">
        <f t="shared" si="808"/>
        <v>1</v>
      </c>
      <c r="AX900">
        <f t="shared" si="790"/>
        <v>7.8539816339744828</v>
      </c>
      <c r="AY900">
        <f t="shared" si="791"/>
        <v>-0.93747620637074425</v>
      </c>
      <c r="AZ900">
        <f t="shared" si="792"/>
        <v>-1.2946271725940672</v>
      </c>
      <c r="BA900">
        <f t="shared" si="793"/>
        <v>0.87411114650927446</v>
      </c>
      <c r="BB900">
        <f t="shared" si="794"/>
        <v>-1.2337005501361696E-20</v>
      </c>
      <c r="BD900" s="15">
        <f t="shared" si="809"/>
        <v>6.495989401518945</v>
      </c>
      <c r="BE900" s="10">
        <f t="shared" si="810"/>
        <v>0</v>
      </c>
      <c r="BF900">
        <f t="shared" si="811"/>
        <v>0</v>
      </c>
      <c r="BG900">
        <f t="shared" si="812"/>
        <v>0</v>
      </c>
      <c r="BH900">
        <f t="shared" si="813"/>
        <v>0</v>
      </c>
      <c r="BI900">
        <f t="shared" si="814"/>
        <v>0</v>
      </c>
    </row>
    <row r="901" spans="1:61" x14ac:dyDescent="0.3">
      <c r="A901">
        <f t="shared" si="819"/>
        <v>0.86399999999999999</v>
      </c>
      <c r="B901">
        <f t="shared" si="762"/>
        <v>2.7143360527015812</v>
      </c>
      <c r="C901">
        <f t="shared" si="763"/>
        <v>0.42725660088821193</v>
      </c>
      <c r="D901">
        <f t="shared" si="764"/>
        <v>0.42725660088821193</v>
      </c>
      <c r="E901">
        <f t="shared" si="769"/>
        <v>0.41437558099328431</v>
      </c>
      <c r="F901">
        <f t="shared" si="770"/>
        <v>0.4143755809932842</v>
      </c>
      <c r="G901">
        <f t="shared" si="765"/>
        <v>2.7143360527015812</v>
      </c>
      <c r="H901">
        <f t="shared" si="766"/>
        <v>0.41437558099328431</v>
      </c>
      <c r="I901">
        <f t="shared" si="767"/>
        <v>0.4143755809932842</v>
      </c>
      <c r="J901">
        <f t="shared" si="815"/>
        <v>1.5363351547925768E+20</v>
      </c>
      <c r="K901">
        <f t="shared" si="816"/>
        <v>1.5363351547925768E+20</v>
      </c>
      <c r="L901">
        <f t="shared" si="771"/>
        <v>1</v>
      </c>
      <c r="M901">
        <f t="shared" si="768"/>
        <v>4.2725660088821189E-21</v>
      </c>
      <c r="N901" s="9">
        <f t="shared" si="817"/>
        <v>4.2725660088821189E-21</v>
      </c>
      <c r="O901">
        <f t="shared" si="818"/>
        <v>4.2725660088821189E-21</v>
      </c>
      <c r="Q901">
        <f t="shared" si="772"/>
        <v>46.481101670539047</v>
      </c>
      <c r="R901">
        <f t="shared" si="773"/>
        <v>0</v>
      </c>
      <c r="S901">
        <f t="shared" si="795"/>
        <v>-46.902072367277597</v>
      </c>
      <c r="T901" s="9" t="e">
        <f t="shared" si="774"/>
        <v>#N/A</v>
      </c>
      <c r="U901">
        <f t="shared" si="796"/>
        <v>-1.0000000000000001E+300</v>
      </c>
      <c r="V901">
        <f t="shared" si="797"/>
        <v>0</v>
      </c>
      <c r="W901">
        <f t="shared" si="798"/>
        <v>0</v>
      </c>
      <c r="X901">
        <f t="shared" si="775"/>
        <v>0.42725660088821193</v>
      </c>
      <c r="Y901">
        <f t="shared" si="776"/>
        <v>7.8539816339744828</v>
      </c>
      <c r="Z901">
        <f t="shared" si="777"/>
        <v>-0.42725660088821193</v>
      </c>
      <c r="AA901">
        <f t="shared" si="799"/>
        <v>-0.93839695512665811</v>
      </c>
      <c r="AB901">
        <f t="shared" si="778"/>
        <v>6.915584678847825</v>
      </c>
      <c r="AC901">
        <f t="shared" si="800"/>
        <v>-1.3019532126861397</v>
      </c>
      <c r="AD901">
        <f t="shared" si="779"/>
        <v>0.88098251594758592</v>
      </c>
      <c r="AE901" s="9">
        <f t="shared" si="801"/>
        <v>6.4946139821092714</v>
      </c>
      <c r="AF901">
        <f t="shared" si="802"/>
        <v>3.1981319200296937E-285</v>
      </c>
      <c r="AH901">
        <f t="shared" si="780"/>
        <v>7.8539816339744828</v>
      </c>
      <c r="AI901">
        <f t="shared" si="781"/>
        <v>-0.93839695512665799</v>
      </c>
      <c r="AJ901">
        <f t="shared" si="782"/>
        <v>-1.3019532126861364</v>
      </c>
      <c r="AK901">
        <f t="shared" si="783"/>
        <v>0.88098251594758592</v>
      </c>
      <c r="AL901" s="9">
        <f t="shared" si="803"/>
        <v>6.494613982109275</v>
      </c>
      <c r="AM901" t="e">
        <f t="shared" si="784"/>
        <v>#N/A</v>
      </c>
      <c r="AN901" t="e">
        <f t="shared" si="804"/>
        <v>#N/A</v>
      </c>
      <c r="AO901">
        <f t="shared" si="785"/>
        <v>0</v>
      </c>
      <c r="AP901">
        <f t="shared" si="786"/>
        <v>0</v>
      </c>
      <c r="AQ901">
        <f t="shared" si="787"/>
        <v>3.3306690738754696E-15</v>
      </c>
      <c r="AR901">
        <f t="shared" si="805"/>
        <v>0</v>
      </c>
      <c r="AS901">
        <f t="shared" si="788"/>
        <v>0</v>
      </c>
      <c r="AT901">
        <f t="shared" si="806"/>
        <v>0</v>
      </c>
      <c r="AU901">
        <f t="shared" si="807"/>
        <v>3.1981319200224333E-285</v>
      </c>
      <c r="AV901">
        <f t="shared" si="789"/>
        <v>4.2725660088821189E-21</v>
      </c>
      <c r="AW901" t="b">
        <f t="shared" si="808"/>
        <v>1</v>
      </c>
      <c r="AX901">
        <f t="shared" si="790"/>
        <v>7.8539816339744828</v>
      </c>
      <c r="AY901">
        <f t="shared" si="791"/>
        <v>-0.93839695512665822</v>
      </c>
      <c r="AZ901">
        <f t="shared" si="792"/>
        <v>-1.3019532126861397</v>
      </c>
      <c r="BA901">
        <f t="shared" si="793"/>
        <v>0.88098251594758625</v>
      </c>
      <c r="BB901">
        <f t="shared" si="794"/>
        <v>-1.2337005501361696E-20</v>
      </c>
      <c r="BD901" s="15">
        <f t="shared" si="809"/>
        <v>6.4946139821092714</v>
      </c>
      <c r="BE901" s="10">
        <f t="shared" si="810"/>
        <v>0</v>
      </c>
      <c r="BF901">
        <f t="shared" si="811"/>
        <v>0</v>
      </c>
      <c r="BG901">
        <f t="shared" si="812"/>
        <v>0</v>
      </c>
      <c r="BH901">
        <f t="shared" si="813"/>
        <v>0</v>
      </c>
      <c r="BI901">
        <f t="shared" si="814"/>
        <v>0</v>
      </c>
    </row>
    <row r="902" spans="1:61" x14ac:dyDescent="0.3">
      <c r="A902">
        <f t="shared" si="819"/>
        <v>0.86499999999999999</v>
      </c>
      <c r="B902">
        <f t="shared" si="762"/>
        <v>2.7174776453551712</v>
      </c>
      <c r="C902">
        <f t="shared" si="763"/>
        <v>0.42411500823462189</v>
      </c>
      <c r="D902">
        <f t="shared" si="764"/>
        <v>0.42411500823462189</v>
      </c>
      <c r="E902">
        <f t="shared" si="769"/>
        <v>0.41151435860510871</v>
      </c>
      <c r="F902">
        <f t="shared" si="770"/>
        <v>0.4115143586051086</v>
      </c>
      <c r="G902">
        <f t="shared" si="765"/>
        <v>2.7174776453551712</v>
      </c>
      <c r="H902">
        <f t="shared" si="766"/>
        <v>0.41151435860510871</v>
      </c>
      <c r="I902">
        <f t="shared" si="767"/>
        <v>0.4115143586051086</v>
      </c>
      <c r="J902">
        <f t="shared" si="815"/>
        <v>1.5470171551862787E+20</v>
      </c>
      <c r="K902">
        <f t="shared" si="816"/>
        <v>1.5470171551862787E+20</v>
      </c>
      <c r="L902">
        <f t="shared" si="771"/>
        <v>1</v>
      </c>
      <c r="M902">
        <f t="shared" si="768"/>
        <v>4.2411500823462193E-21</v>
      </c>
      <c r="N902" s="9">
        <f t="shared" si="817"/>
        <v>4.2411500823462193E-21</v>
      </c>
      <c r="O902">
        <f t="shared" si="818"/>
        <v>4.2411500823462193E-21</v>
      </c>
      <c r="Q902">
        <f t="shared" si="772"/>
        <v>46.488030520735684</v>
      </c>
      <c r="R902">
        <f t="shared" si="773"/>
        <v>0</v>
      </c>
      <c r="S902">
        <f t="shared" si="795"/>
        <v>-46.909452474575218</v>
      </c>
      <c r="T902" s="9" t="e">
        <f t="shared" si="774"/>
        <v>#N/A</v>
      </c>
      <c r="U902">
        <f t="shared" si="796"/>
        <v>-1.0000000000000001E+300</v>
      </c>
      <c r="V902">
        <f t="shared" si="797"/>
        <v>0</v>
      </c>
      <c r="W902">
        <f t="shared" si="798"/>
        <v>0</v>
      </c>
      <c r="X902">
        <f t="shared" si="775"/>
        <v>0.42411500823462189</v>
      </c>
      <c r="Y902">
        <f t="shared" si="776"/>
        <v>7.8539816339744828</v>
      </c>
      <c r="Z902">
        <f t="shared" si="777"/>
        <v>-0.42411500823462189</v>
      </c>
      <c r="AA902">
        <f t="shared" si="799"/>
        <v>-0.93931062207777993</v>
      </c>
      <c r="AB902">
        <f t="shared" si="778"/>
        <v>6.9146710118967025</v>
      </c>
      <c r="AC902">
        <f t="shared" si="800"/>
        <v>-1.3093333199837627</v>
      </c>
      <c r="AD902">
        <f t="shared" si="779"/>
        <v>0.88791136614422328</v>
      </c>
      <c r="AE902" s="9">
        <f t="shared" si="801"/>
        <v>6.4932490580571631</v>
      </c>
      <c r="AF902">
        <f t="shared" si="802"/>
        <v>7.8740861124736666E-285</v>
      </c>
      <c r="AH902">
        <f t="shared" si="780"/>
        <v>7.8539816339744828</v>
      </c>
      <c r="AI902">
        <f t="shared" si="781"/>
        <v>-0.9393106220777796</v>
      </c>
      <c r="AJ902">
        <f t="shared" si="782"/>
        <v>-1.3093333199837573</v>
      </c>
      <c r="AK902">
        <f t="shared" si="783"/>
        <v>0.88791136614422328</v>
      </c>
      <c r="AL902" s="9">
        <f t="shared" si="803"/>
        <v>6.4932490580571693</v>
      </c>
      <c r="AM902" t="e">
        <f t="shared" si="784"/>
        <v>#N/A</v>
      </c>
      <c r="AN902" t="e">
        <f t="shared" si="804"/>
        <v>#N/A</v>
      </c>
      <c r="AO902">
        <f t="shared" si="785"/>
        <v>0</v>
      </c>
      <c r="AP902">
        <f t="shared" si="786"/>
        <v>0</v>
      </c>
      <c r="AQ902">
        <f t="shared" si="787"/>
        <v>5.3290705182007514E-15</v>
      </c>
      <c r="AR902">
        <f t="shared" si="805"/>
        <v>0</v>
      </c>
      <c r="AS902">
        <f t="shared" si="788"/>
        <v>0</v>
      </c>
      <c r="AT902">
        <f t="shared" si="806"/>
        <v>0</v>
      </c>
      <c r="AU902">
        <f t="shared" si="807"/>
        <v>7.8740861124414907E-285</v>
      </c>
      <c r="AV902">
        <f t="shared" si="789"/>
        <v>4.2411500823462186E-21</v>
      </c>
      <c r="AW902" t="b">
        <f t="shared" si="808"/>
        <v>1</v>
      </c>
      <c r="AX902">
        <f t="shared" si="790"/>
        <v>7.8539816339744828</v>
      </c>
      <c r="AY902">
        <f t="shared" si="791"/>
        <v>-0.93931062207778016</v>
      </c>
      <c r="AZ902">
        <f t="shared" si="792"/>
        <v>-1.3093333199837627</v>
      </c>
      <c r="BA902">
        <f t="shared" si="793"/>
        <v>0.88791136614422361</v>
      </c>
      <c r="BB902">
        <f t="shared" si="794"/>
        <v>-1.2337005501361696E-20</v>
      </c>
      <c r="BD902" s="15">
        <f t="shared" si="809"/>
        <v>6.4932490580571631</v>
      </c>
      <c r="BE902" s="10">
        <f t="shared" si="810"/>
        <v>0</v>
      </c>
      <c r="BF902">
        <f t="shared" si="811"/>
        <v>0</v>
      </c>
      <c r="BG902">
        <f t="shared" si="812"/>
        <v>0</v>
      </c>
      <c r="BH902">
        <f t="shared" si="813"/>
        <v>0</v>
      </c>
      <c r="BI902">
        <f t="shared" si="814"/>
        <v>0</v>
      </c>
    </row>
    <row r="903" spans="1:61" x14ac:dyDescent="0.3">
      <c r="A903">
        <f t="shared" si="819"/>
        <v>0.86599999999999999</v>
      </c>
      <c r="B903">
        <f t="shared" si="762"/>
        <v>2.7206192380087608</v>
      </c>
      <c r="C903">
        <f t="shared" si="763"/>
        <v>0.4209734155810323</v>
      </c>
      <c r="D903">
        <f t="shared" si="764"/>
        <v>0.4209734155810323</v>
      </c>
      <c r="E903">
        <f t="shared" si="769"/>
        <v>0.40864907473634915</v>
      </c>
      <c r="F903">
        <f t="shared" si="770"/>
        <v>0.40864907473634904</v>
      </c>
      <c r="G903">
        <f t="shared" si="765"/>
        <v>2.7206192380087608</v>
      </c>
      <c r="H903">
        <f t="shared" si="766"/>
        <v>0.40864907473634915</v>
      </c>
      <c r="I903">
        <f t="shared" si="767"/>
        <v>0.40864907473634904</v>
      </c>
      <c r="J903">
        <f t="shared" si="815"/>
        <v>1.5578642207334341E+20</v>
      </c>
      <c r="K903">
        <f t="shared" si="816"/>
        <v>1.5578642207334341E+20</v>
      </c>
      <c r="L903">
        <f t="shared" si="771"/>
        <v>1</v>
      </c>
      <c r="M903">
        <f t="shared" si="768"/>
        <v>4.2097341558103257E-21</v>
      </c>
      <c r="N903" s="9">
        <f t="shared" si="817"/>
        <v>4.2097341558103257E-21</v>
      </c>
      <c r="O903">
        <f t="shared" si="818"/>
        <v>4.2097341558103257E-21</v>
      </c>
      <c r="Q903">
        <f t="shared" si="772"/>
        <v>46.49501765380991</v>
      </c>
      <c r="R903">
        <f t="shared" si="773"/>
        <v>0</v>
      </c>
      <c r="S903">
        <f t="shared" si="795"/>
        <v>-46.916887453062742</v>
      </c>
      <c r="T903" s="9" t="e">
        <f t="shared" si="774"/>
        <v>#N/A</v>
      </c>
      <c r="U903">
        <f t="shared" si="796"/>
        <v>-1.0000000000000001E+300</v>
      </c>
      <c r="V903">
        <f t="shared" si="797"/>
        <v>0</v>
      </c>
      <c r="W903">
        <f t="shared" si="798"/>
        <v>0</v>
      </c>
      <c r="X903">
        <f t="shared" si="775"/>
        <v>0.4209734155810323</v>
      </c>
      <c r="Y903">
        <f t="shared" si="776"/>
        <v>7.8539816339744828</v>
      </c>
      <c r="Z903">
        <f t="shared" si="777"/>
        <v>-0.4209734155810323</v>
      </c>
      <c r="AA903">
        <f t="shared" si="799"/>
        <v>-0.94021721490307042</v>
      </c>
      <c r="AB903">
        <f t="shared" si="778"/>
        <v>6.9137644190714127</v>
      </c>
      <c r="AC903">
        <f t="shared" si="800"/>
        <v>-1.3167682984712803</v>
      </c>
      <c r="AD903">
        <f t="shared" si="779"/>
        <v>0.89489849921845266</v>
      </c>
      <c r="AE903" s="9">
        <f t="shared" si="801"/>
        <v>6.4918946198185852</v>
      </c>
      <c r="AF903">
        <f t="shared" si="802"/>
        <v>1.9229562984446819E-284</v>
      </c>
      <c r="AH903">
        <f t="shared" si="780"/>
        <v>7.8539816339744828</v>
      </c>
      <c r="AI903">
        <f t="shared" si="781"/>
        <v>-0.9402172149030712</v>
      </c>
      <c r="AJ903">
        <f t="shared" si="782"/>
        <v>-1.3167682984712812</v>
      </c>
      <c r="AK903">
        <f t="shared" si="783"/>
        <v>0.89489849921845266</v>
      </c>
      <c r="AL903" s="9">
        <f t="shared" si="803"/>
        <v>6.4918946198185834</v>
      </c>
      <c r="AM903" t="e">
        <f t="shared" si="784"/>
        <v>#N/A</v>
      </c>
      <c r="AN903" t="e">
        <f t="shared" si="804"/>
        <v>#N/A</v>
      </c>
      <c r="AO903">
        <f t="shared" si="785"/>
        <v>0</v>
      </c>
      <c r="AP903">
        <f t="shared" si="786"/>
        <v>0</v>
      </c>
      <c r="AQ903">
        <f t="shared" si="787"/>
        <v>0</v>
      </c>
      <c r="AR903">
        <f t="shared" si="805"/>
        <v>0</v>
      </c>
      <c r="AS903">
        <f t="shared" si="788"/>
        <v>0</v>
      </c>
      <c r="AT903">
        <f t="shared" si="806"/>
        <v>0</v>
      </c>
      <c r="AU903">
        <f t="shared" si="807"/>
        <v>1.9229562984470833E-284</v>
      </c>
      <c r="AV903">
        <f t="shared" si="789"/>
        <v>4.2097341558103227E-21</v>
      </c>
      <c r="AW903" t="b">
        <f t="shared" si="808"/>
        <v>1</v>
      </c>
      <c r="AX903">
        <f t="shared" si="790"/>
        <v>7.8539816339744828</v>
      </c>
      <c r="AY903">
        <f t="shared" si="791"/>
        <v>-0.94021721490307053</v>
      </c>
      <c r="AZ903">
        <f t="shared" si="792"/>
        <v>-1.3167682984712803</v>
      </c>
      <c r="BA903">
        <f t="shared" si="793"/>
        <v>0.89489849921845288</v>
      </c>
      <c r="BB903">
        <f t="shared" si="794"/>
        <v>-1.2337005501361696E-20</v>
      </c>
      <c r="BD903" s="15">
        <f t="shared" si="809"/>
        <v>6.4918946198185852</v>
      </c>
      <c r="BE903" s="10">
        <f t="shared" si="810"/>
        <v>0</v>
      </c>
      <c r="BF903">
        <f t="shared" si="811"/>
        <v>0</v>
      </c>
      <c r="BG903">
        <f t="shared" si="812"/>
        <v>0</v>
      </c>
      <c r="BH903">
        <f t="shared" si="813"/>
        <v>0</v>
      </c>
      <c r="BI903">
        <f t="shared" si="814"/>
        <v>0</v>
      </c>
    </row>
    <row r="904" spans="1:61" x14ac:dyDescent="0.3">
      <c r="A904">
        <f t="shared" si="819"/>
        <v>0.86699999999999999</v>
      </c>
      <c r="B904">
        <f t="shared" si="762"/>
        <v>2.7237608306623504</v>
      </c>
      <c r="C904">
        <f t="shared" si="763"/>
        <v>0.4178318229274427</v>
      </c>
      <c r="D904">
        <f t="shared" si="764"/>
        <v>0.4178318229274427</v>
      </c>
      <c r="E904">
        <f t="shared" si="769"/>
        <v>0.40577975766620028</v>
      </c>
      <c r="F904">
        <f t="shared" si="770"/>
        <v>0.40577975766620017</v>
      </c>
      <c r="G904">
        <f t="shared" si="765"/>
        <v>2.7237608306623504</v>
      </c>
      <c r="H904">
        <f t="shared" si="766"/>
        <v>0.40577975766620028</v>
      </c>
      <c r="I904">
        <f t="shared" si="767"/>
        <v>0.40577975766620017</v>
      </c>
      <c r="J904">
        <f t="shared" si="815"/>
        <v>1.5688800644690441E+20</v>
      </c>
      <c r="K904">
        <f t="shared" si="816"/>
        <v>1.5688800644690441E+20</v>
      </c>
      <c r="L904">
        <f t="shared" si="771"/>
        <v>1</v>
      </c>
      <c r="M904">
        <f t="shared" si="768"/>
        <v>4.1783182292744261E-21</v>
      </c>
      <c r="N904" s="9">
        <f t="shared" si="817"/>
        <v>4.1783182292744261E-21</v>
      </c>
      <c r="O904">
        <f t="shared" si="818"/>
        <v>4.1783182292744261E-21</v>
      </c>
      <c r="Q904">
        <f t="shared" si="772"/>
        <v>46.502063889963758</v>
      </c>
      <c r="R904">
        <f t="shared" si="773"/>
        <v>-710542.73576010019</v>
      </c>
      <c r="S904">
        <f t="shared" si="795"/>
        <v>-46.924378124791893</v>
      </c>
      <c r="T904" s="9" t="e">
        <f t="shared" si="774"/>
        <v>#N/A</v>
      </c>
      <c r="U904">
        <f t="shared" si="796"/>
        <v>-1.0000000000000001E+300</v>
      </c>
      <c r="V904">
        <f t="shared" si="797"/>
        <v>0</v>
      </c>
      <c r="W904">
        <f t="shared" si="798"/>
        <v>0</v>
      </c>
      <c r="X904">
        <f t="shared" si="775"/>
        <v>0.4178318229274427</v>
      </c>
      <c r="Y904">
        <f t="shared" si="776"/>
        <v>7.8539816339744828</v>
      </c>
      <c r="Z904">
        <f t="shared" si="777"/>
        <v>-0.4178318229274427</v>
      </c>
      <c r="AA904">
        <f t="shared" si="799"/>
        <v>-0.94111674121500455</v>
      </c>
      <c r="AB904">
        <f t="shared" si="778"/>
        <v>6.9128648927594778</v>
      </c>
      <c r="AC904">
        <f t="shared" si="800"/>
        <v>-1.3242589702004375</v>
      </c>
      <c r="AD904">
        <f t="shared" si="779"/>
        <v>0.90194473537230047</v>
      </c>
      <c r="AE904" s="9">
        <f t="shared" si="801"/>
        <v>6.4905506579313403</v>
      </c>
      <c r="AF904">
        <f t="shared" si="802"/>
        <v>4.6582175812202273E-284</v>
      </c>
      <c r="AH904">
        <f t="shared" si="780"/>
        <v>7.8539816339744828</v>
      </c>
      <c r="AI904">
        <f t="shared" si="781"/>
        <v>-0.9411167412150041</v>
      </c>
      <c r="AJ904">
        <f t="shared" si="782"/>
        <v>-1.3242589702004324</v>
      </c>
      <c r="AK904">
        <f t="shared" si="783"/>
        <v>0.90194473537230047</v>
      </c>
      <c r="AL904" s="9">
        <f t="shared" si="803"/>
        <v>6.4905506579313466</v>
      </c>
      <c r="AM904" t="e">
        <f t="shared" si="784"/>
        <v>#N/A</v>
      </c>
      <c r="AN904" t="e">
        <f t="shared" si="804"/>
        <v>#N/A</v>
      </c>
      <c r="AO904">
        <f t="shared" si="785"/>
        <v>0</v>
      </c>
      <c r="AP904">
        <f t="shared" si="786"/>
        <v>0</v>
      </c>
      <c r="AQ904">
        <f t="shared" si="787"/>
        <v>5.1070259132757201E-15</v>
      </c>
      <c r="AR904">
        <f t="shared" si="805"/>
        <v>0</v>
      </c>
      <c r="AS904">
        <f t="shared" si="788"/>
        <v>0</v>
      </c>
      <c r="AT904">
        <f t="shared" si="806"/>
        <v>0</v>
      </c>
      <c r="AU904">
        <f t="shared" si="807"/>
        <v>4.6582175812011905E-284</v>
      </c>
      <c r="AV904">
        <f t="shared" si="789"/>
        <v>4.1783182292744268E-21</v>
      </c>
      <c r="AW904" t="b">
        <f t="shared" si="808"/>
        <v>1</v>
      </c>
      <c r="AX904">
        <f t="shared" si="790"/>
        <v>7.8539816339744828</v>
      </c>
      <c r="AY904">
        <f t="shared" si="791"/>
        <v>-0.94111674121500466</v>
      </c>
      <c r="AZ904">
        <f t="shared" si="792"/>
        <v>-1.3242589702004373</v>
      </c>
      <c r="BA904">
        <f t="shared" si="793"/>
        <v>0.90194473537230069</v>
      </c>
      <c r="BB904">
        <f t="shared" si="794"/>
        <v>-1.2337005501361696E-20</v>
      </c>
      <c r="BD904" s="15">
        <f t="shared" si="809"/>
        <v>6.4905506579313403</v>
      </c>
      <c r="BE904" s="10">
        <f t="shared" si="810"/>
        <v>0</v>
      </c>
      <c r="BF904">
        <f t="shared" si="811"/>
        <v>0</v>
      </c>
      <c r="BG904">
        <f t="shared" si="812"/>
        <v>0</v>
      </c>
      <c r="BH904">
        <f t="shared" si="813"/>
        <v>0</v>
      </c>
      <c r="BI904">
        <f t="shared" si="814"/>
        <v>0</v>
      </c>
    </row>
    <row r="905" spans="1:61" x14ac:dyDescent="0.3">
      <c r="A905">
        <f t="shared" si="819"/>
        <v>0.86799999999999999</v>
      </c>
      <c r="B905">
        <f t="shared" si="762"/>
        <v>2.7269024233159405</v>
      </c>
      <c r="C905">
        <f t="shared" si="763"/>
        <v>0.41469023027385266</v>
      </c>
      <c r="D905">
        <f t="shared" si="764"/>
        <v>0.41469023027385266</v>
      </c>
      <c r="E905">
        <f t="shared" si="769"/>
        <v>0.40290643571366275</v>
      </c>
      <c r="F905">
        <f t="shared" si="770"/>
        <v>0.40290643571366264</v>
      </c>
      <c r="G905">
        <f t="shared" si="765"/>
        <v>2.7269024233159405</v>
      </c>
      <c r="H905">
        <f t="shared" si="766"/>
        <v>0.40290643571366275</v>
      </c>
      <c r="I905">
        <f t="shared" si="767"/>
        <v>0.40290643571366264</v>
      </c>
      <c r="J905">
        <f t="shared" si="815"/>
        <v>1.5800685120354193E+20</v>
      </c>
      <c r="K905">
        <f t="shared" si="816"/>
        <v>1.5800685120354193E+20</v>
      </c>
      <c r="L905">
        <f t="shared" si="771"/>
        <v>1</v>
      </c>
      <c r="M905">
        <f t="shared" si="768"/>
        <v>4.1469023027385265E-21</v>
      </c>
      <c r="N905" s="9">
        <f t="shared" si="817"/>
        <v>4.1469023027385265E-21</v>
      </c>
      <c r="O905">
        <f t="shared" si="818"/>
        <v>4.1469023027385265E-21</v>
      </c>
      <c r="Q905">
        <f t="shared" si="772"/>
        <v>46.509170068027416</v>
      </c>
      <c r="R905">
        <f t="shared" si="773"/>
        <v>0</v>
      </c>
      <c r="S905">
        <f t="shared" si="795"/>
        <v>-46.931925330427276</v>
      </c>
      <c r="T905" s="9" t="e">
        <f t="shared" si="774"/>
        <v>#N/A</v>
      </c>
      <c r="U905">
        <f t="shared" si="796"/>
        <v>-1.0000000000000001E+300</v>
      </c>
      <c r="V905">
        <f t="shared" si="797"/>
        <v>0</v>
      </c>
      <c r="W905">
        <f t="shared" si="798"/>
        <v>0</v>
      </c>
      <c r="X905">
        <f t="shared" si="775"/>
        <v>0.41469023027385266</v>
      </c>
      <c r="Y905">
        <f t="shared" si="776"/>
        <v>7.8539816339744828</v>
      </c>
      <c r="Z905">
        <f t="shared" si="777"/>
        <v>-0.41469023027385266</v>
      </c>
      <c r="AA905">
        <f t="shared" si="799"/>
        <v>-0.94200920855980474</v>
      </c>
      <c r="AB905">
        <f t="shared" si="778"/>
        <v>6.9119724254146782</v>
      </c>
      <c r="AC905">
        <f t="shared" si="800"/>
        <v>-1.3318061758358211</v>
      </c>
      <c r="AD905">
        <f t="shared" si="779"/>
        <v>0.90905091343595745</v>
      </c>
      <c r="AE905" s="9">
        <f t="shared" si="801"/>
        <v>6.489217163014815</v>
      </c>
      <c r="AF905">
        <f t="shared" si="802"/>
        <v>1.1193520369111577E-283</v>
      </c>
      <c r="AH905">
        <f t="shared" si="780"/>
        <v>7.8539816339744828</v>
      </c>
      <c r="AI905">
        <f t="shared" si="781"/>
        <v>-0.94200920855980408</v>
      </c>
      <c r="AJ905">
        <f t="shared" si="782"/>
        <v>-1.3318061758358155</v>
      </c>
      <c r="AK905">
        <f t="shared" si="783"/>
        <v>0.90905091343595745</v>
      </c>
      <c r="AL905" s="9">
        <f t="shared" si="803"/>
        <v>6.4892171630148212</v>
      </c>
      <c r="AM905" t="e">
        <f t="shared" si="784"/>
        <v>#N/A</v>
      </c>
      <c r="AN905" t="e">
        <f t="shared" si="804"/>
        <v>#N/A</v>
      </c>
      <c r="AO905">
        <f t="shared" si="785"/>
        <v>0</v>
      </c>
      <c r="AP905">
        <f t="shared" si="786"/>
        <v>0</v>
      </c>
      <c r="AQ905">
        <f t="shared" si="787"/>
        <v>5.5511151231257827E-15</v>
      </c>
      <c r="AR905">
        <f t="shared" si="805"/>
        <v>0</v>
      </c>
      <c r="AS905">
        <f t="shared" si="788"/>
        <v>0</v>
      </c>
      <c r="AT905">
        <f t="shared" si="806"/>
        <v>0</v>
      </c>
      <c r="AU905">
        <f t="shared" si="807"/>
        <v>1.1193520369065834E-283</v>
      </c>
      <c r="AV905">
        <f t="shared" si="789"/>
        <v>4.1469023027385265E-21</v>
      </c>
      <c r="AW905" t="b">
        <f t="shared" si="808"/>
        <v>1</v>
      </c>
      <c r="AX905">
        <f t="shared" si="790"/>
        <v>7.8539816339744828</v>
      </c>
      <c r="AY905">
        <f t="shared" si="791"/>
        <v>-0.94200920855980497</v>
      </c>
      <c r="AZ905">
        <f t="shared" si="792"/>
        <v>-1.3318061758358208</v>
      </c>
      <c r="BA905">
        <f t="shared" si="793"/>
        <v>0.90905091343595779</v>
      </c>
      <c r="BB905">
        <f t="shared" si="794"/>
        <v>-1.2337005501361696E-20</v>
      </c>
      <c r="BD905" s="15">
        <f t="shared" si="809"/>
        <v>6.489217163014815</v>
      </c>
      <c r="BE905" s="10">
        <f t="shared" si="810"/>
        <v>0</v>
      </c>
      <c r="BF905">
        <f t="shared" si="811"/>
        <v>0</v>
      </c>
      <c r="BG905">
        <f t="shared" si="812"/>
        <v>0</v>
      </c>
      <c r="BH905">
        <f t="shared" si="813"/>
        <v>0</v>
      </c>
      <c r="BI905">
        <f t="shared" si="814"/>
        <v>0</v>
      </c>
    </row>
    <row r="906" spans="1:61" x14ac:dyDescent="0.3">
      <c r="A906">
        <f t="shared" si="819"/>
        <v>0.86899999999999999</v>
      </c>
      <c r="B906">
        <f t="shared" si="762"/>
        <v>2.7300440159695301</v>
      </c>
      <c r="C906">
        <f t="shared" si="763"/>
        <v>0.41154863762026306</v>
      </c>
      <c r="D906">
        <f t="shared" si="764"/>
        <v>0.41154863762026306</v>
      </c>
      <c r="E906">
        <f t="shared" si="769"/>
        <v>0.40002913723726502</v>
      </c>
      <c r="F906">
        <f t="shared" si="770"/>
        <v>0.40002913723726491</v>
      </c>
      <c r="G906">
        <f t="shared" si="765"/>
        <v>2.7300440159695301</v>
      </c>
      <c r="H906">
        <f t="shared" si="766"/>
        <v>0.40002913723726502</v>
      </c>
      <c r="I906">
        <f t="shared" si="767"/>
        <v>0.40002913723726491</v>
      </c>
      <c r="J906">
        <f t="shared" si="815"/>
        <v>1.5914335059798154E+20</v>
      </c>
      <c r="K906">
        <f t="shared" si="816"/>
        <v>1.5914335059798154E+20</v>
      </c>
      <c r="L906">
        <f t="shared" si="771"/>
        <v>1</v>
      </c>
      <c r="M906">
        <f t="shared" si="768"/>
        <v>4.1154863762026329E-21</v>
      </c>
      <c r="N906" s="9">
        <f t="shared" si="817"/>
        <v>4.1154863762026329E-21</v>
      </c>
      <c r="O906">
        <f t="shared" si="818"/>
        <v>4.1154863762026329E-21</v>
      </c>
      <c r="Q906">
        <f t="shared" si="772"/>
        <v>46.516337046025377</v>
      </c>
      <c r="R906">
        <f t="shared" si="773"/>
        <v>-710542.73576010019</v>
      </c>
      <c r="S906">
        <f t="shared" si="795"/>
        <v>-46.939529929812501</v>
      </c>
      <c r="T906" s="9" t="e">
        <f t="shared" si="774"/>
        <v>#N/A</v>
      </c>
      <c r="U906">
        <f t="shared" si="796"/>
        <v>-1.0000000000000001E+300</v>
      </c>
      <c r="V906">
        <f t="shared" si="797"/>
        <v>0</v>
      </c>
      <c r="W906">
        <f t="shared" si="798"/>
        <v>0</v>
      </c>
      <c r="X906">
        <f t="shared" si="775"/>
        <v>0.41154863762026306</v>
      </c>
      <c r="Y906">
        <f t="shared" si="776"/>
        <v>7.8539816339744828</v>
      </c>
      <c r="Z906">
        <f t="shared" si="777"/>
        <v>-0.41154863762026306</v>
      </c>
      <c r="AA906">
        <f t="shared" si="799"/>
        <v>-0.94289462441766969</v>
      </c>
      <c r="AB906">
        <f t="shared" si="778"/>
        <v>6.9110870095568133</v>
      </c>
      <c r="AC906">
        <f t="shared" si="800"/>
        <v>-1.3394107752210398</v>
      </c>
      <c r="AD906">
        <f t="shared" si="779"/>
        <v>0.91621789143392185</v>
      </c>
      <c r="AE906" s="9">
        <f t="shared" si="801"/>
        <v>6.4878941257696958</v>
      </c>
      <c r="AF906">
        <f t="shared" si="802"/>
        <v>2.6682436690509345E-283</v>
      </c>
      <c r="AH906">
        <f t="shared" si="780"/>
        <v>7.8539816339744828</v>
      </c>
      <c r="AI906">
        <f t="shared" si="781"/>
        <v>-0.94289462441766991</v>
      </c>
      <c r="AJ906">
        <f t="shared" si="782"/>
        <v>-1.3394107752210402</v>
      </c>
      <c r="AK906">
        <f t="shared" si="783"/>
        <v>0.91621789143392185</v>
      </c>
      <c r="AL906" s="9">
        <f t="shared" si="803"/>
        <v>6.487894125769694</v>
      </c>
      <c r="AM906" t="e">
        <f t="shared" si="784"/>
        <v>#N/A</v>
      </c>
      <c r="AN906" t="e">
        <f t="shared" si="804"/>
        <v>#N/A</v>
      </c>
      <c r="AO906">
        <f t="shared" si="785"/>
        <v>0</v>
      </c>
      <c r="AP906">
        <f t="shared" si="786"/>
        <v>0</v>
      </c>
      <c r="AQ906">
        <f t="shared" si="787"/>
        <v>0</v>
      </c>
      <c r="AR906">
        <f t="shared" si="805"/>
        <v>0</v>
      </c>
      <c r="AS906">
        <f t="shared" si="788"/>
        <v>0</v>
      </c>
      <c r="AT906">
        <f t="shared" si="806"/>
        <v>0</v>
      </c>
      <c r="AU906">
        <f t="shared" si="807"/>
        <v>2.6682436690539634E-283</v>
      </c>
      <c r="AV906">
        <f t="shared" si="789"/>
        <v>4.1154863762026306E-21</v>
      </c>
      <c r="AW906" t="b">
        <f t="shared" si="808"/>
        <v>1</v>
      </c>
      <c r="AX906">
        <f t="shared" si="790"/>
        <v>7.8539816339744828</v>
      </c>
      <c r="AY906">
        <f t="shared" si="791"/>
        <v>-0.9428946244176698</v>
      </c>
      <c r="AZ906">
        <f t="shared" si="792"/>
        <v>-1.3394107752210398</v>
      </c>
      <c r="BA906">
        <f t="shared" si="793"/>
        <v>0.91621789143392207</v>
      </c>
      <c r="BB906">
        <f t="shared" si="794"/>
        <v>-1.2337005501361696E-20</v>
      </c>
      <c r="BD906" s="15">
        <f t="shared" si="809"/>
        <v>6.4878941257696958</v>
      </c>
      <c r="BE906" s="10">
        <f t="shared" si="810"/>
        <v>0</v>
      </c>
      <c r="BF906">
        <f t="shared" si="811"/>
        <v>0</v>
      </c>
      <c r="BG906">
        <f t="shared" si="812"/>
        <v>0</v>
      </c>
      <c r="BH906">
        <f t="shared" si="813"/>
        <v>0</v>
      </c>
      <c r="BI906">
        <f t="shared" si="814"/>
        <v>0</v>
      </c>
    </row>
    <row r="907" spans="1:61" x14ac:dyDescent="0.3">
      <c r="A907">
        <f t="shared" si="819"/>
        <v>0.87</v>
      </c>
      <c r="B907">
        <f t="shared" si="762"/>
        <v>2.7331856086231201</v>
      </c>
      <c r="C907">
        <f t="shared" si="763"/>
        <v>0.40840704496667302</v>
      </c>
      <c r="D907">
        <f t="shared" si="764"/>
        <v>0.40840704496667302</v>
      </c>
      <c r="E907">
        <f t="shared" si="769"/>
        <v>0.39714789063478062</v>
      </c>
      <c r="F907">
        <f t="shared" si="770"/>
        <v>0.39714789063478051</v>
      </c>
      <c r="G907">
        <f t="shared" si="765"/>
        <v>2.7331856086231201</v>
      </c>
      <c r="H907">
        <f t="shared" si="766"/>
        <v>0.39714789063478062</v>
      </c>
      <c r="I907">
        <f t="shared" si="767"/>
        <v>0.39714789063478051</v>
      </c>
      <c r="J907">
        <f t="shared" si="815"/>
        <v>1.6029791102504442E+20</v>
      </c>
      <c r="K907">
        <f t="shared" si="816"/>
        <v>1.6029791102504442E+20</v>
      </c>
      <c r="L907">
        <f t="shared" si="771"/>
        <v>1</v>
      </c>
      <c r="M907">
        <f t="shared" si="768"/>
        <v>4.0840704496667272E-21</v>
      </c>
      <c r="N907" s="9">
        <f t="shared" si="817"/>
        <v>4.0840704496667272E-21</v>
      </c>
      <c r="O907">
        <f t="shared" si="818"/>
        <v>4.0840704496667272E-21</v>
      </c>
      <c r="Q907">
        <f t="shared" si="772"/>
        <v>46.523565701764305</v>
      </c>
      <c r="R907">
        <f t="shared" si="773"/>
        <v>0</v>
      </c>
      <c r="S907">
        <f t="shared" si="795"/>
        <v>-46.947192802558071</v>
      </c>
      <c r="T907" s="9" t="e">
        <f t="shared" si="774"/>
        <v>#N/A</v>
      </c>
      <c r="U907">
        <f t="shared" si="796"/>
        <v>-1.0000000000000001E+300</v>
      </c>
      <c r="V907">
        <f t="shared" si="797"/>
        <v>0</v>
      </c>
      <c r="W907">
        <f t="shared" si="798"/>
        <v>0</v>
      </c>
      <c r="X907">
        <f t="shared" si="775"/>
        <v>0.40840704496667302</v>
      </c>
      <c r="Y907">
        <f t="shared" si="776"/>
        <v>7.8539816339744828</v>
      </c>
      <c r="Z907">
        <f t="shared" si="777"/>
        <v>-0.40840704496667302</v>
      </c>
      <c r="AA907">
        <f t="shared" si="799"/>
        <v>-0.94377299620300403</v>
      </c>
      <c r="AB907">
        <f t="shared" si="778"/>
        <v>6.9102086377714791</v>
      </c>
      <c r="AC907">
        <f t="shared" si="800"/>
        <v>-1.3470736479666094</v>
      </c>
      <c r="AD907">
        <f t="shared" si="779"/>
        <v>0.92344654717284635</v>
      </c>
      <c r="AE907" s="9">
        <f t="shared" si="801"/>
        <v>6.4865815369777167</v>
      </c>
      <c r="AF907">
        <f t="shared" si="802"/>
        <v>6.3097374719390452E-283</v>
      </c>
      <c r="AH907">
        <f t="shared" si="780"/>
        <v>7.8539816339744828</v>
      </c>
      <c r="AI907">
        <f t="shared" si="781"/>
        <v>-0.94377299620300215</v>
      </c>
      <c r="AJ907">
        <f t="shared" si="782"/>
        <v>-1.3470736479666101</v>
      </c>
      <c r="AK907">
        <f t="shared" si="783"/>
        <v>0.92344654717284635</v>
      </c>
      <c r="AL907" s="9">
        <f t="shared" si="803"/>
        <v>6.4865815369777167</v>
      </c>
      <c r="AM907" t="e">
        <f t="shared" si="784"/>
        <v>#N/A</v>
      </c>
      <c r="AN907" t="e">
        <f t="shared" si="804"/>
        <v>#N/A</v>
      </c>
      <c r="AO907">
        <f t="shared" si="785"/>
        <v>0</v>
      </c>
      <c r="AP907">
        <f t="shared" si="786"/>
        <v>1.8873791418627661E-15</v>
      </c>
      <c r="AQ907">
        <f t="shared" si="787"/>
        <v>0</v>
      </c>
      <c r="AR907">
        <f t="shared" si="805"/>
        <v>-1.9998232090302336E-15</v>
      </c>
      <c r="AS907">
        <f t="shared" si="788"/>
        <v>0</v>
      </c>
      <c r="AT907">
        <f t="shared" si="806"/>
        <v>0</v>
      </c>
      <c r="AU907">
        <f t="shared" si="807"/>
        <v>6.3097374719390452E-283</v>
      </c>
      <c r="AV907">
        <f t="shared" si="789"/>
        <v>4.0840704496667303E-21</v>
      </c>
      <c r="AW907" t="b">
        <f t="shared" si="808"/>
        <v>1</v>
      </c>
      <c r="AX907">
        <f t="shared" si="790"/>
        <v>7.8539816339744828</v>
      </c>
      <c r="AY907">
        <f t="shared" si="791"/>
        <v>-0.94377299620300426</v>
      </c>
      <c r="AZ907">
        <f t="shared" si="792"/>
        <v>-1.3470736479666094</v>
      </c>
      <c r="BA907">
        <f t="shared" si="793"/>
        <v>0.92344654717284669</v>
      </c>
      <c r="BB907">
        <f t="shared" si="794"/>
        <v>-1.2337005501361696E-20</v>
      </c>
      <c r="BD907" s="15">
        <f t="shared" si="809"/>
        <v>6.4865815369777158</v>
      </c>
      <c r="BE907" s="10">
        <f t="shared" si="810"/>
        <v>0</v>
      </c>
      <c r="BF907">
        <f t="shared" si="811"/>
        <v>0</v>
      </c>
      <c r="BG907">
        <f t="shared" si="812"/>
        <v>0</v>
      </c>
      <c r="BH907">
        <f t="shared" si="813"/>
        <v>0</v>
      </c>
      <c r="BI907">
        <f t="shared" si="814"/>
        <v>0</v>
      </c>
    </row>
    <row r="908" spans="1:61" x14ac:dyDescent="0.3">
      <c r="A908">
        <f t="shared" si="819"/>
        <v>0.871</v>
      </c>
      <c r="B908">
        <f t="shared" si="762"/>
        <v>2.7363272012767097</v>
      </c>
      <c r="C908">
        <f t="shared" si="763"/>
        <v>0.40526545231308342</v>
      </c>
      <c r="D908">
        <f t="shared" si="764"/>
        <v>0.40526545231308342</v>
      </c>
      <c r="E908">
        <f t="shared" si="769"/>
        <v>0.39426272434295118</v>
      </c>
      <c r="F908">
        <f t="shared" si="770"/>
        <v>0.39426272434295107</v>
      </c>
      <c r="G908">
        <f t="shared" si="765"/>
        <v>2.7363272012767097</v>
      </c>
      <c r="H908">
        <f t="shared" si="766"/>
        <v>0.39426272434295118</v>
      </c>
      <c r="I908">
        <f t="shared" si="767"/>
        <v>0.39426272434295107</v>
      </c>
      <c r="J908">
        <f t="shared" si="815"/>
        <v>1.6147095149015784E+20</v>
      </c>
      <c r="K908">
        <f t="shared" si="816"/>
        <v>1.6147095149015784E+20</v>
      </c>
      <c r="L908">
        <f t="shared" si="771"/>
        <v>1</v>
      </c>
      <c r="M908">
        <f t="shared" si="768"/>
        <v>4.0526545231308337E-21</v>
      </c>
      <c r="N908" s="9">
        <f t="shared" si="817"/>
        <v>4.0526545231308337E-21</v>
      </c>
      <c r="O908">
        <f t="shared" si="818"/>
        <v>4.0526545231308337E-21</v>
      </c>
      <c r="Q908">
        <f t="shared" si="772"/>
        <v>46.53085693344353</v>
      </c>
      <c r="R908">
        <f t="shared" si="773"/>
        <v>0</v>
      </c>
      <c r="S908">
        <f t="shared" si="795"/>
        <v>-46.954914848651981</v>
      </c>
      <c r="T908" s="9" t="e">
        <f t="shared" si="774"/>
        <v>#N/A</v>
      </c>
      <c r="U908">
        <f t="shared" si="796"/>
        <v>-1.0000000000000001E+300</v>
      </c>
      <c r="V908">
        <f t="shared" si="797"/>
        <v>0</v>
      </c>
      <c r="W908">
        <f t="shared" si="798"/>
        <v>0</v>
      </c>
      <c r="X908">
        <f t="shared" si="775"/>
        <v>0.40526545231308342</v>
      </c>
      <c r="Y908">
        <f t="shared" si="776"/>
        <v>7.8539816339744828</v>
      </c>
      <c r="Z908">
        <f t="shared" si="777"/>
        <v>-0.40526545231308342</v>
      </c>
      <c r="AA908">
        <f t="shared" si="799"/>
        <v>-0.94464433126464364</v>
      </c>
      <c r="AB908">
        <f t="shared" si="778"/>
        <v>6.9093373027098393</v>
      </c>
      <c r="AC908">
        <f t="shared" si="800"/>
        <v>-1.3547956940605195</v>
      </c>
      <c r="AD908">
        <f t="shared" si="779"/>
        <v>0.93073777885207054</v>
      </c>
      <c r="AE908" s="9">
        <f t="shared" si="801"/>
        <v>6.4852793875013903</v>
      </c>
      <c r="AF908">
        <f t="shared" si="802"/>
        <v>1.4802636594865886E-282</v>
      </c>
      <c r="AH908">
        <f t="shared" si="780"/>
        <v>7.8539816339744828</v>
      </c>
      <c r="AI908">
        <f t="shared" si="781"/>
        <v>-0.94464433126464398</v>
      </c>
      <c r="AJ908">
        <f t="shared" si="782"/>
        <v>-1.3547956940605204</v>
      </c>
      <c r="AK908">
        <f t="shared" si="783"/>
        <v>0.93073777885207054</v>
      </c>
      <c r="AL908" s="9">
        <f t="shared" si="803"/>
        <v>6.4852793875013885</v>
      </c>
      <c r="AM908" t="e">
        <f t="shared" si="784"/>
        <v>#N/A</v>
      </c>
      <c r="AN908" t="e">
        <f t="shared" si="804"/>
        <v>#N/A</v>
      </c>
      <c r="AO908">
        <f t="shared" si="785"/>
        <v>0</v>
      </c>
      <c r="AP908">
        <f t="shared" si="786"/>
        <v>0</v>
      </c>
      <c r="AQ908">
        <f t="shared" si="787"/>
        <v>0</v>
      </c>
      <c r="AR908">
        <f t="shared" si="805"/>
        <v>0</v>
      </c>
      <c r="AS908">
        <f t="shared" si="788"/>
        <v>0</v>
      </c>
      <c r="AT908">
        <f t="shared" si="806"/>
        <v>0</v>
      </c>
      <c r="AU908">
        <f t="shared" si="807"/>
        <v>1.4802636594882689E-282</v>
      </c>
      <c r="AV908">
        <f t="shared" si="789"/>
        <v>4.0526545231308337E-21</v>
      </c>
      <c r="AW908" t="b">
        <f t="shared" si="808"/>
        <v>1</v>
      </c>
      <c r="AX908">
        <f t="shared" si="790"/>
        <v>7.8539816339744828</v>
      </c>
      <c r="AY908">
        <f t="shared" si="791"/>
        <v>-0.94464433126464364</v>
      </c>
      <c r="AZ908">
        <f t="shared" si="792"/>
        <v>-1.3547956940605195</v>
      </c>
      <c r="BA908">
        <f t="shared" si="793"/>
        <v>0.93073777885207076</v>
      </c>
      <c r="BB908">
        <f t="shared" si="794"/>
        <v>-1.2337005501361696E-20</v>
      </c>
      <c r="BD908" s="15">
        <f t="shared" si="809"/>
        <v>6.4852793875013903</v>
      </c>
      <c r="BE908" s="10">
        <f t="shared" si="810"/>
        <v>0</v>
      </c>
      <c r="BF908">
        <f t="shared" si="811"/>
        <v>0</v>
      </c>
      <c r="BG908">
        <f t="shared" si="812"/>
        <v>0</v>
      </c>
      <c r="BH908">
        <f t="shared" si="813"/>
        <v>0</v>
      </c>
      <c r="BI908">
        <f t="shared" si="814"/>
        <v>0</v>
      </c>
    </row>
    <row r="909" spans="1:61" x14ac:dyDescent="0.3">
      <c r="A909">
        <f t="shared" si="819"/>
        <v>0.872</v>
      </c>
      <c r="B909">
        <f t="shared" si="762"/>
        <v>2.7394687939302997</v>
      </c>
      <c r="C909">
        <f t="shared" si="763"/>
        <v>0.40212385965949338</v>
      </c>
      <c r="D909">
        <f t="shared" si="764"/>
        <v>0.40212385965949338</v>
      </c>
      <c r="E909">
        <f t="shared" si="769"/>
        <v>0.39137366683720237</v>
      </c>
      <c r="F909">
        <f t="shared" si="770"/>
        <v>0.39137366683720226</v>
      </c>
      <c r="G909">
        <f t="shared" si="765"/>
        <v>2.7394687939302997</v>
      </c>
      <c r="H909">
        <f t="shared" si="766"/>
        <v>0.39137366683720237</v>
      </c>
      <c r="I909">
        <f t="shared" si="767"/>
        <v>0.39137366683720226</v>
      </c>
      <c r="J909">
        <f t="shared" si="815"/>
        <v>1.6266290410192385E+20</v>
      </c>
      <c r="K909">
        <f t="shared" si="816"/>
        <v>1.6266290410192385E+20</v>
      </c>
      <c r="L909" t="e">
        <f t="shared" si="771"/>
        <v>#NUM!</v>
      </c>
      <c r="M909">
        <f t="shared" si="768"/>
        <v>4.021238596594934E-21</v>
      </c>
      <c r="N909" s="9" t="e">
        <f t="shared" si="817"/>
        <v>#NUM!</v>
      </c>
      <c r="O909" t="e">
        <f t="shared" si="818"/>
        <v>#NUM!</v>
      </c>
      <c r="Q909">
        <f t="shared" si="772"/>
        <v>46.538211660289384</v>
      </c>
      <c r="R909">
        <f t="shared" si="773"/>
        <v>0</v>
      </c>
      <c r="S909">
        <f t="shared" si="795"/>
        <v>-46.962696989094034</v>
      </c>
      <c r="T909" s="9" t="e">
        <f t="shared" si="774"/>
        <v>#N/A</v>
      </c>
      <c r="U909">
        <f t="shared" si="796"/>
        <v>-1.0000000000000001E+300</v>
      </c>
      <c r="V909">
        <f t="shared" si="797"/>
        <v>0</v>
      </c>
      <c r="W909">
        <f t="shared" si="798"/>
        <v>0</v>
      </c>
      <c r="X909">
        <f t="shared" si="775"/>
        <v>0.40212385965949338</v>
      </c>
      <c r="Y909">
        <f t="shared" si="776"/>
        <v>7.8539816339744828</v>
      </c>
      <c r="Z909">
        <f t="shared" si="777"/>
        <v>-0.40212385965949338</v>
      </c>
      <c r="AA909">
        <f t="shared" si="799"/>
        <v>-0.94550863688607911</v>
      </c>
      <c r="AB909">
        <f t="shared" si="778"/>
        <v>6.9084729970884036</v>
      </c>
      <c r="AC909">
        <f t="shared" si="800"/>
        <v>-1.362577834502575</v>
      </c>
      <c r="AD909">
        <f t="shared" si="779"/>
        <v>0.93809250569792624</v>
      </c>
      <c r="AE909" s="9">
        <f t="shared" si="801"/>
        <v>6.4839876682837554</v>
      </c>
      <c r="AF909">
        <f t="shared" si="802"/>
        <v>3.4452731925142618E-282</v>
      </c>
      <c r="AH909">
        <f t="shared" si="780"/>
        <v>7.8539816339744828</v>
      </c>
      <c r="AI909">
        <f t="shared" si="781"/>
        <v>-0.94550863688607945</v>
      </c>
      <c r="AJ909">
        <f t="shared" si="782"/>
        <v>-1.3625778345025736</v>
      </c>
      <c r="AK909">
        <f t="shared" si="783"/>
        <v>0.93809250569792624</v>
      </c>
      <c r="AL909" s="9">
        <f t="shared" si="803"/>
        <v>6.4839876682837563</v>
      </c>
      <c r="AM909" t="e">
        <f t="shared" si="784"/>
        <v>#N/A</v>
      </c>
      <c r="AN909" t="e">
        <f t="shared" si="804"/>
        <v>#N/A</v>
      </c>
      <c r="AO909">
        <f t="shared" si="785"/>
        <v>0</v>
      </c>
      <c r="AP909">
        <f t="shared" si="786"/>
        <v>0</v>
      </c>
      <c r="AQ909">
        <f t="shared" si="787"/>
        <v>0</v>
      </c>
      <c r="AR909">
        <f t="shared" si="805"/>
        <v>0</v>
      </c>
      <c r="AS909">
        <f t="shared" si="788"/>
        <v>0</v>
      </c>
      <c r="AT909">
        <f t="shared" si="806"/>
        <v>0</v>
      </c>
      <c r="AU909">
        <f t="shared" si="807"/>
        <v>3.4452731925119154E-282</v>
      </c>
      <c r="AV909">
        <f t="shared" si="789"/>
        <v>4.0212385965949333E-21</v>
      </c>
      <c r="AW909" t="b">
        <f t="shared" si="808"/>
        <v>1</v>
      </c>
      <c r="AX909">
        <f t="shared" si="790"/>
        <v>7.8539816339744828</v>
      </c>
      <c r="AY909">
        <f t="shared" si="791"/>
        <v>-0.94550863688607922</v>
      </c>
      <c r="AZ909">
        <f t="shared" si="792"/>
        <v>-1.362577834502575</v>
      </c>
      <c r="BA909">
        <f t="shared" si="793"/>
        <v>0.93809250569792657</v>
      </c>
      <c r="BB909">
        <f t="shared" si="794"/>
        <v>-1.2337005501361696E-20</v>
      </c>
      <c r="BD909" s="15">
        <f t="shared" si="809"/>
        <v>6.4839876682837554</v>
      </c>
      <c r="BE909" s="10">
        <f t="shared" si="810"/>
        <v>0</v>
      </c>
      <c r="BF909">
        <f t="shared" si="811"/>
        <v>0</v>
      </c>
      <c r="BG909">
        <f t="shared" si="812"/>
        <v>0</v>
      </c>
      <c r="BH909">
        <f t="shared" si="813"/>
        <v>0</v>
      </c>
      <c r="BI909">
        <f t="shared" si="814"/>
        <v>0</v>
      </c>
    </row>
    <row r="910" spans="1:61" x14ac:dyDescent="0.3">
      <c r="A910">
        <f t="shared" si="819"/>
        <v>0.873</v>
      </c>
      <c r="B910">
        <f t="shared" si="762"/>
        <v>2.7426103865838893</v>
      </c>
      <c r="C910">
        <f t="shared" si="763"/>
        <v>0.39898226700590378</v>
      </c>
      <c r="D910">
        <f t="shared" si="764"/>
        <v>0.39898226700590378</v>
      </c>
      <c r="E910">
        <f t="shared" si="769"/>
        <v>0.38848074663136622</v>
      </c>
      <c r="F910">
        <f t="shared" si="770"/>
        <v>0.38848074663136611</v>
      </c>
      <c r="G910">
        <f t="shared" si="765"/>
        <v>2.7426103865838893</v>
      </c>
      <c r="H910">
        <f t="shared" si="766"/>
        <v>0.38848074663136622</v>
      </c>
      <c r="I910">
        <f t="shared" si="767"/>
        <v>0.38848074663136611</v>
      </c>
      <c r="J910">
        <f t="shared" si="815"/>
        <v>1.6387421458795669E+20</v>
      </c>
      <c r="K910">
        <f t="shared" si="816"/>
        <v>1.6387421458795669E+20</v>
      </c>
      <c r="L910">
        <f t="shared" si="771"/>
        <v>1</v>
      </c>
      <c r="M910">
        <f t="shared" si="768"/>
        <v>3.9898226700590404E-21</v>
      </c>
      <c r="N910" s="9">
        <f t="shared" si="817"/>
        <v>3.9898226700590404E-21</v>
      </c>
      <c r="O910">
        <f t="shared" si="818"/>
        <v>3.9898226700590404E-21</v>
      </c>
      <c r="Q910">
        <f t="shared" si="772"/>
        <v>46.545630823214367</v>
      </c>
      <c r="R910">
        <f t="shared" si="773"/>
        <v>0</v>
      </c>
      <c r="S910">
        <f t="shared" si="795"/>
        <v>-46.970540166555061</v>
      </c>
      <c r="T910" s="9" t="e">
        <f t="shared" si="774"/>
        <v>#N/A</v>
      </c>
      <c r="U910">
        <f t="shared" si="796"/>
        <v>-1.0000000000000001E+300</v>
      </c>
      <c r="V910">
        <f t="shared" si="797"/>
        <v>0</v>
      </c>
      <c r="W910">
        <f t="shared" si="798"/>
        <v>0</v>
      </c>
      <c r="X910">
        <f t="shared" si="775"/>
        <v>0.39898226700590378</v>
      </c>
      <c r="Y910">
        <f t="shared" si="776"/>
        <v>7.8539816339744828</v>
      </c>
      <c r="Z910">
        <f t="shared" si="777"/>
        <v>-0.39898226700590378</v>
      </c>
      <c r="AA910">
        <f t="shared" si="799"/>
        <v>-0.94636592028567668</v>
      </c>
      <c r="AB910">
        <f t="shared" si="778"/>
        <v>6.9076157136888057</v>
      </c>
      <c r="AC910">
        <f t="shared" si="800"/>
        <v>-1.3704210119636002</v>
      </c>
      <c r="AD910">
        <f t="shared" si="779"/>
        <v>0.9455116686229057</v>
      </c>
      <c r="AE910" s="9">
        <f t="shared" si="801"/>
        <v>6.4827063703481116</v>
      </c>
      <c r="AF910">
        <f t="shared" si="802"/>
        <v>7.9557240037806374E-282</v>
      </c>
      <c r="AH910">
        <f t="shared" si="780"/>
        <v>7.8539816339744828</v>
      </c>
      <c r="AI910">
        <f t="shared" si="781"/>
        <v>-0.94636592028567734</v>
      </c>
      <c r="AJ910">
        <f t="shared" si="782"/>
        <v>-1.3704210119636002</v>
      </c>
      <c r="AK910">
        <f t="shared" si="783"/>
        <v>0.9455116686229057</v>
      </c>
      <c r="AL910" s="9">
        <f t="shared" si="803"/>
        <v>6.4827063703481116</v>
      </c>
      <c r="AM910" t="e">
        <f t="shared" si="784"/>
        <v>#N/A</v>
      </c>
      <c r="AN910" t="e">
        <f t="shared" si="804"/>
        <v>#N/A</v>
      </c>
      <c r="AO910">
        <f t="shared" si="785"/>
        <v>0</v>
      </c>
      <c r="AP910">
        <f t="shared" si="786"/>
        <v>0</v>
      </c>
      <c r="AQ910">
        <f t="shared" si="787"/>
        <v>0</v>
      </c>
      <c r="AR910">
        <f t="shared" si="805"/>
        <v>0</v>
      </c>
      <c r="AS910">
        <f t="shared" si="788"/>
        <v>0</v>
      </c>
      <c r="AT910">
        <f t="shared" si="806"/>
        <v>0</v>
      </c>
      <c r="AU910">
        <f t="shared" si="807"/>
        <v>7.9557240037806374E-282</v>
      </c>
      <c r="AV910">
        <f t="shared" si="789"/>
        <v>3.9898226700590374E-21</v>
      </c>
      <c r="AW910" t="b">
        <f t="shared" si="808"/>
        <v>1</v>
      </c>
      <c r="AX910">
        <f t="shared" si="790"/>
        <v>7.8539816339744828</v>
      </c>
      <c r="AY910">
        <f t="shared" si="791"/>
        <v>-0.94636592028567679</v>
      </c>
      <c r="AZ910">
        <f t="shared" si="792"/>
        <v>-1.3704210119636002</v>
      </c>
      <c r="BA910">
        <f t="shared" si="793"/>
        <v>0.94551166862290592</v>
      </c>
      <c r="BB910">
        <f t="shared" si="794"/>
        <v>-1.2337005501361696E-20</v>
      </c>
      <c r="BD910" s="15">
        <f t="shared" si="809"/>
        <v>6.4827063703481116</v>
      </c>
      <c r="BE910" s="10">
        <f t="shared" si="810"/>
        <v>0</v>
      </c>
      <c r="BF910">
        <f t="shared" si="811"/>
        <v>0</v>
      </c>
      <c r="BG910">
        <f t="shared" si="812"/>
        <v>0</v>
      </c>
      <c r="BH910">
        <f t="shared" si="813"/>
        <v>0</v>
      </c>
      <c r="BI910">
        <f t="shared" si="814"/>
        <v>0</v>
      </c>
    </row>
    <row r="911" spans="1:61" x14ac:dyDescent="0.3">
      <c r="A911">
        <f t="shared" si="819"/>
        <v>0.874</v>
      </c>
      <c r="B911">
        <f t="shared" si="762"/>
        <v>2.7457519792374794</v>
      </c>
      <c r="C911">
        <f t="shared" si="763"/>
        <v>0.39584067435231374</v>
      </c>
      <c r="D911">
        <f t="shared" si="764"/>
        <v>0.39584067435231374</v>
      </c>
      <c r="E911">
        <f t="shared" si="769"/>
        <v>0.38558399227739648</v>
      </c>
      <c r="F911">
        <f t="shared" si="770"/>
        <v>0.38558399227739637</v>
      </c>
      <c r="G911">
        <f t="shared" si="765"/>
        <v>2.7457519792374794</v>
      </c>
      <c r="H911">
        <f t="shared" si="766"/>
        <v>0.38558399227739648</v>
      </c>
      <c r="I911">
        <f t="shared" si="767"/>
        <v>0.38558399227739637</v>
      </c>
      <c r="J911">
        <f t="shared" si="815"/>
        <v>1.6510534283528684E+20</v>
      </c>
      <c r="K911">
        <f t="shared" si="816"/>
        <v>1.6510534283528684E+20</v>
      </c>
      <c r="L911">
        <f t="shared" si="771"/>
        <v>1</v>
      </c>
      <c r="M911">
        <f t="shared" si="768"/>
        <v>3.9584067435231348E-21</v>
      </c>
      <c r="N911" s="9">
        <f t="shared" si="817"/>
        <v>3.9584067435231348E-21</v>
      </c>
      <c r="O911">
        <f t="shared" si="818"/>
        <v>3.9584067435231348E-21</v>
      </c>
      <c r="Q911">
        <f t="shared" si="772"/>
        <v>46.553115385502359</v>
      </c>
      <c r="R911">
        <f t="shared" si="773"/>
        <v>0</v>
      </c>
      <c r="S911">
        <f t="shared" si="795"/>
        <v>-46.978445346062173</v>
      </c>
      <c r="T911" s="9" t="e">
        <f t="shared" si="774"/>
        <v>#N/A</v>
      </c>
      <c r="U911">
        <f t="shared" si="796"/>
        <v>-1.0000000000000001E+300</v>
      </c>
      <c r="V911">
        <f t="shared" si="797"/>
        <v>0</v>
      </c>
      <c r="W911">
        <f t="shared" si="798"/>
        <v>0</v>
      </c>
      <c r="X911">
        <f t="shared" si="775"/>
        <v>0.39584067435231374</v>
      </c>
      <c r="Y911">
        <f t="shared" si="776"/>
        <v>7.8539816339744828</v>
      </c>
      <c r="Z911">
        <f t="shared" si="777"/>
        <v>-0.39584067435231374</v>
      </c>
      <c r="AA911">
        <f t="shared" si="799"/>
        <v>-0.94721618861689894</v>
      </c>
      <c r="AB911">
        <f t="shared" si="778"/>
        <v>6.9067654453575837</v>
      </c>
      <c r="AC911">
        <f t="shared" si="800"/>
        <v>-1.3783261914707141</v>
      </c>
      <c r="AD911">
        <f t="shared" si="779"/>
        <v>0.95299623091090069</v>
      </c>
      <c r="AE911" s="9">
        <f t="shared" si="801"/>
        <v>6.4814354847977702</v>
      </c>
      <c r="AF911">
        <f t="shared" si="802"/>
        <v>1.8227273263592024E-281</v>
      </c>
      <c r="AH911">
        <f t="shared" si="780"/>
        <v>7.8539816339744828</v>
      </c>
      <c r="AI911">
        <f t="shared" si="781"/>
        <v>-0.9472161886168976</v>
      </c>
      <c r="AJ911">
        <f t="shared" si="782"/>
        <v>-1.3783261914707126</v>
      </c>
      <c r="AK911">
        <f t="shared" si="783"/>
        <v>0.95299623091090069</v>
      </c>
      <c r="AL911" s="9">
        <f t="shared" si="803"/>
        <v>6.4814354847977738</v>
      </c>
      <c r="AM911" t="e">
        <f t="shared" si="784"/>
        <v>#N/A</v>
      </c>
      <c r="AN911" t="e">
        <f t="shared" si="804"/>
        <v>#N/A</v>
      </c>
      <c r="AO911">
        <f t="shared" si="785"/>
        <v>0</v>
      </c>
      <c r="AP911">
        <f t="shared" si="786"/>
        <v>1.3322676295501878E-15</v>
      </c>
      <c r="AQ911">
        <f t="shared" si="787"/>
        <v>0</v>
      </c>
      <c r="AR911">
        <f t="shared" si="805"/>
        <v>-1.4065085094201495E-15</v>
      </c>
      <c r="AS911">
        <f t="shared" si="788"/>
        <v>0</v>
      </c>
      <c r="AT911">
        <f t="shared" si="806"/>
        <v>0</v>
      </c>
      <c r="AU911">
        <f t="shared" si="807"/>
        <v>1.8227273263550647E-281</v>
      </c>
      <c r="AV911">
        <f t="shared" si="789"/>
        <v>3.9584067435231371E-21</v>
      </c>
      <c r="AW911" t="b">
        <f t="shared" si="808"/>
        <v>1</v>
      </c>
      <c r="AX911">
        <f t="shared" si="790"/>
        <v>7.8539816339744828</v>
      </c>
      <c r="AY911">
        <f t="shared" si="791"/>
        <v>-0.94721618861689905</v>
      </c>
      <c r="AZ911">
        <f t="shared" si="792"/>
        <v>-1.3783261914707141</v>
      </c>
      <c r="BA911">
        <f t="shared" si="793"/>
        <v>0.95299623091090091</v>
      </c>
      <c r="BB911">
        <f t="shared" si="794"/>
        <v>-1.2337005501361696E-20</v>
      </c>
      <c r="BD911" s="15">
        <f t="shared" si="809"/>
        <v>6.4814354847977702</v>
      </c>
      <c r="BE911" s="10">
        <f t="shared" si="810"/>
        <v>0</v>
      </c>
      <c r="BF911">
        <f t="shared" si="811"/>
        <v>0</v>
      </c>
      <c r="BG911">
        <f t="shared" si="812"/>
        <v>0</v>
      </c>
      <c r="BH911">
        <f t="shared" si="813"/>
        <v>0</v>
      </c>
      <c r="BI911">
        <f t="shared" si="814"/>
        <v>0</v>
      </c>
    </row>
    <row r="912" spans="1:61" x14ac:dyDescent="0.3">
      <c r="A912">
        <f t="shared" si="819"/>
        <v>0.875</v>
      </c>
      <c r="B912">
        <f t="shared" si="762"/>
        <v>2.748893571891069</v>
      </c>
      <c r="C912">
        <f t="shared" si="763"/>
        <v>0.39269908169872414</v>
      </c>
      <c r="D912">
        <f t="shared" si="764"/>
        <v>0.39269908169872414</v>
      </c>
      <c r="E912">
        <f t="shared" si="769"/>
        <v>0.38268343236508989</v>
      </c>
      <c r="F912">
        <f t="shared" si="770"/>
        <v>0.38268343236508978</v>
      </c>
      <c r="G912">
        <f t="shared" si="765"/>
        <v>2.748893571891069</v>
      </c>
      <c r="H912">
        <f t="shared" si="766"/>
        <v>0.38268343236508989</v>
      </c>
      <c r="I912">
        <f t="shared" si="767"/>
        <v>0.38268343236508978</v>
      </c>
      <c r="J912">
        <f t="shared" si="815"/>
        <v>1.6635676345670219E+20</v>
      </c>
      <c r="K912">
        <f t="shared" si="816"/>
        <v>1.6635676345670219E+20</v>
      </c>
      <c r="L912" t="e">
        <f t="shared" si="771"/>
        <v>#NUM!</v>
      </c>
      <c r="M912">
        <f t="shared" si="768"/>
        <v>3.9269908169872412E-21</v>
      </c>
      <c r="N912" s="9" t="e">
        <f t="shared" si="817"/>
        <v>#NUM!</v>
      </c>
      <c r="O912" t="e">
        <f t="shared" si="818"/>
        <v>#NUM!</v>
      </c>
      <c r="Q912">
        <f t="shared" si="772"/>
        <v>46.560666333521191</v>
      </c>
      <c r="R912">
        <f t="shared" si="773"/>
        <v>0</v>
      </c>
      <c r="S912">
        <f t="shared" si="795"/>
        <v>-46.986413515711348</v>
      </c>
      <c r="T912" s="9" t="e">
        <f t="shared" si="774"/>
        <v>#N/A</v>
      </c>
      <c r="U912">
        <f t="shared" si="796"/>
        <v>-1.0000000000000001E+300</v>
      </c>
      <c r="V912">
        <f t="shared" si="797"/>
        <v>0</v>
      </c>
      <c r="W912">
        <f t="shared" si="798"/>
        <v>0</v>
      </c>
      <c r="X912">
        <f t="shared" si="775"/>
        <v>0.39269908169872414</v>
      </c>
      <c r="Y912">
        <f t="shared" si="776"/>
        <v>7.8539816339744828</v>
      </c>
      <c r="Z912">
        <f t="shared" si="777"/>
        <v>-0.39269908169872414</v>
      </c>
      <c r="AA912">
        <f t="shared" si="799"/>
        <v>-0.9480594489685199</v>
      </c>
      <c r="AB912">
        <f t="shared" si="778"/>
        <v>6.9059221850059629</v>
      </c>
      <c r="AC912">
        <f t="shared" si="800"/>
        <v>-1.3862943611198906</v>
      </c>
      <c r="AD912">
        <f t="shared" si="779"/>
        <v>0.96054717892973018</v>
      </c>
      <c r="AE912" s="9">
        <f t="shared" si="801"/>
        <v>6.4801750028158018</v>
      </c>
      <c r="AF912">
        <f t="shared" si="802"/>
        <v>4.1434680373146072E-281</v>
      </c>
      <c r="AH912">
        <f t="shared" si="780"/>
        <v>7.8539816339744828</v>
      </c>
      <c r="AI912">
        <f t="shared" si="781"/>
        <v>-0.94805944896851879</v>
      </c>
      <c r="AJ912">
        <f t="shared" si="782"/>
        <v>-1.3862943611198872</v>
      </c>
      <c r="AK912">
        <f t="shared" si="783"/>
        <v>0.96054717892973018</v>
      </c>
      <c r="AL912" s="9">
        <f t="shared" si="803"/>
        <v>6.4801750028158072</v>
      </c>
      <c r="AM912" t="e">
        <f t="shared" si="784"/>
        <v>#N/A</v>
      </c>
      <c r="AN912" t="e">
        <f t="shared" si="804"/>
        <v>#N/A</v>
      </c>
      <c r="AO912">
        <f t="shared" si="785"/>
        <v>0</v>
      </c>
      <c r="AP912">
        <f t="shared" si="786"/>
        <v>1.1102230246251565E-15</v>
      </c>
      <c r="AQ912">
        <f t="shared" si="787"/>
        <v>3.3306690738754696E-15</v>
      </c>
      <c r="AR912">
        <f t="shared" si="805"/>
        <v>-1.1710478977168261E-15</v>
      </c>
      <c r="AS912">
        <f t="shared" si="788"/>
        <v>0</v>
      </c>
      <c r="AT912">
        <f t="shared" si="806"/>
        <v>0</v>
      </c>
      <c r="AU912">
        <f t="shared" si="807"/>
        <v>4.143468037300497E-281</v>
      </c>
      <c r="AV912">
        <f t="shared" si="789"/>
        <v>3.9269908169872412E-21</v>
      </c>
      <c r="AW912" t="b">
        <f t="shared" si="808"/>
        <v>1</v>
      </c>
      <c r="AX912">
        <f t="shared" si="790"/>
        <v>7.8539816339744828</v>
      </c>
      <c r="AY912">
        <f t="shared" si="791"/>
        <v>-0.9480594489685199</v>
      </c>
      <c r="AZ912">
        <f t="shared" si="792"/>
        <v>-1.3862943611198906</v>
      </c>
      <c r="BA912">
        <f t="shared" si="793"/>
        <v>0.96054717892973052</v>
      </c>
      <c r="BB912">
        <f t="shared" si="794"/>
        <v>-1.2337005501361696E-20</v>
      </c>
      <c r="BD912" s="15">
        <f t="shared" si="809"/>
        <v>6.4801750028158027</v>
      </c>
      <c r="BE912" s="10">
        <f t="shared" si="810"/>
        <v>0</v>
      </c>
      <c r="BF912">
        <f t="shared" si="811"/>
        <v>0</v>
      </c>
      <c r="BG912">
        <f t="shared" si="812"/>
        <v>0</v>
      </c>
      <c r="BH912">
        <f t="shared" si="813"/>
        <v>0</v>
      </c>
      <c r="BI912">
        <f t="shared" si="814"/>
        <v>0</v>
      </c>
    </row>
    <row r="913" spans="1:61" x14ac:dyDescent="0.3">
      <c r="A913">
        <f t="shared" si="819"/>
        <v>0.876</v>
      </c>
      <c r="B913">
        <f t="shared" si="762"/>
        <v>2.7520351645446586</v>
      </c>
      <c r="C913">
        <f t="shared" si="763"/>
        <v>0.38955748904513454</v>
      </c>
      <c r="D913">
        <f t="shared" si="764"/>
        <v>0.38955748904513454</v>
      </c>
      <c r="E913">
        <f t="shared" si="769"/>
        <v>0.37977909552180139</v>
      </c>
      <c r="F913">
        <f t="shared" si="770"/>
        <v>0.37977909552180128</v>
      </c>
      <c r="G913">
        <f t="shared" si="765"/>
        <v>2.7520351645446586</v>
      </c>
      <c r="H913">
        <f t="shared" si="766"/>
        <v>0.37977909552180139</v>
      </c>
      <c r="I913">
        <f t="shared" si="767"/>
        <v>0.37977909552180128</v>
      </c>
      <c r="J913">
        <f t="shared" si="815"/>
        <v>1.6762896638449549E+20</v>
      </c>
      <c r="K913">
        <f t="shared" si="816"/>
        <v>1.6762896638449549E+20</v>
      </c>
      <c r="L913" t="e">
        <f t="shared" si="771"/>
        <v>#NUM!</v>
      </c>
      <c r="M913">
        <f t="shared" si="768"/>
        <v>3.8955748904513476E-21</v>
      </c>
      <c r="N913" s="9" t="e">
        <f t="shared" si="817"/>
        <v>#NUM!</v>
      </c>
      <c r="O913" t="e">
        <f t="shared" si="818"/>
        <v>#NUM!</v>
      </c>
      <c r="Q913">
        <f t="shared" si="772"/>
        <v>46.568284677463758</v>
      </c>
      <c r="R913">
        <f t="shared" si="773"/>
        <v>0</v>
      </c>
      <c r="S913">
        <f t="shared" si="795"/>
        <v>-46.994445687408614</v>
      </c>
      <c r="T913" s="9" t="e">
        <f t="shared" si="774"/>
        <v>#N/A</v>
      </c>
      <c r="U913">
        <f t="shared" si="796"/>
        <v>-1.0000000000000001E+300</v>
      </c>
      <c r="V913">
        <f t="shared" si="797"/>
        <v>0</v>
      </c>
      <c r="W913">
        <f t="shared" si="798"/>
        <v>0</v>
      </c>
      <c r="X913">
        <f t="shared" si="775"/>
        <v>0.38955748904513454</v>
      </c>
      <c r="Y913">
        <f t="shared" si="776"/>
        <v>7.8539816339744828</v>
      </c>
      <c r="Z913">
        <f t="shared" si="777"/>
        <v>-0.38955748904513454</v>
      </c>
      <c r="AA913">
        <f t="shared" si="799"/>
        <v>-0.94889570836484027</v>
      </c>
      <c r="AB913">
        <f t="shared" si="778"/>
        <v>6.9050859256096428</v>
      </c>
      <c r="AC913">
        <f t="shared" si="800"/>
        <v>-1.3943265328171544</v>
      </c>
      <c r="AD913">
        <f t="shared" si="779"/>
        <v>0.96816552287230029</v>
      </c>
      <c r="AE913" s="9">
        <f t="shared" si="801"/>
        <v>6.4789249156647886</v>
      </c>
      <c r="AF913">
        <f t="shared" si="802"/>
        <v>9.345891977719139E-281</v>
      </c>
      <c r="AH913">
        <f t="shared" si="780"/>
        <v>7.8539816339744828</v>
      </c>
      <c r="AI913">
        <f t="shared" si="781"/>
        <v>-0.94889570836483972</v>
      </c>
      <c r="AJ913">
        <f t="shared" si="782"/>
        <v>-1.3943265328171535</v>
      </c>
      <c r="AK913">
        <f t="shared" si="783"/>
        <v>0.96816552287230029</v>
      </c>
      <c r="AL913" s="9">
        <f t="shared" si="803"/>
        <v>6.4789249156647895</v>
      </c>
      <c r="AM913" t="e">
        <f t="shared" si="784"/>
        <v>#N/A</v>
      </c>
      <c r="AN913" t="e">
        <f t="shared" si="804"/>
        <v>#N/A</v>
      </c>
      <c r="AO913">
        <f t="shared" si="785"/>
        <v>0</v>
      </c>
      <c r="AP913">
        <f t="shared" si="786"/>
        <v>0</v>
      </c>
      <c r="AQ913">
        <f t="shared" si="787"/>
        <v>0</v>
      </c>
      <c r="AR913">
        <f t="shared" si="805"/>
        <v>0</v>
      </c>
      <c r="AS913">
        <f t="shared" si="788"/>
        <v>0</v>
      </c>
      <c r="AT913">
        <f t="shared" si="806"/>
        <v>0</v>
      </c>
      <c r="AU913">
        <f t="shared" si="807"/>
        <v>9.345891977713835E-281</v>
      </c>
      <c r="AV913">
        <f t="shared" si="789"/>
        <v>3.8955748904513454E-21</v>
      </c>
      <c r="AW913" t="b">
        <f t="shared" si="808"/>
        <v>1</v>
      </c>
      <c r="AX913">
        <f t="shared" si="790"/>
        <v>7.8539816339744828</v>
      </c>
      <c r="AY913">
        <f t="shared" si="791"/>
        <v>-0.9488957083648405</v>
      </c>
      <c r="AZ913">
        <f t="shared" si="792"/>
        <v>-1.3943265328171544</v>
      </c>
      <c r="BA913">
        <f t="shared" si="793"/>
        <v>0.96816552287230051</v>
      </c>
      <c r="BB913">
        <f t="shared" si="794"/>
        <v>-1.2337005501361696E-20</v>
      </c>
      <c r="BD913" s="15">
        <f t="shared" si="809"/>
        <v>6.4789249156647877</v>
      </c>
      <c r="BE913" s="10">
        <f t="shared" si="810"/>
        <v>0</v>
      </c>
      <c r="BF913">
        <f t="shared" si="811"/>
        <v>0</v>
      </c>
      <c r="BG913">
        <f t="shared" si="812"/>
        <v>0</v>
      </c>
      <c r="BH913">
        <f t="shared" si="813"/>
        <v>0</v>
      </c>
      <c r="BI913">
        <f t="shared" si="814"/>
        <v>0</v>
      </c>
    </row>
    <row r="914" spans="1:61" x14ac:dyDescent="0.3">
      <c r="A914">
        <f t="shared" si="819"/>
        <v>0.877</v>
      </c>
      <c r="B914">
        <f t="shared" si="762"/>
        <v>2.7551767571982486</v>
      </c>
      <c r="C914">
        <f t="shared" si="763"/>
        <v>0.3864158963915445</v>
      </c>
      <c r="D914">
        <f t="shared" si="764"/>
        <v>0.3864158963915445</v>
      </c>
      <c r="E914">
        <f t="shared" si="769"/>
        <v>0.3768710104121627</v>
      </c>
      <c r="F914">
        <f t="shared" si="770"/>
        <v>0.37687101041216259</v>
      </c>
      <c r="G914">
        <f t="shared" si="765"/>
        <v>2.7551767571982486</v>
      </c>
      <c r="H914">
        <f t="shared" si="766"/>
        <v>0.3768710104121627</v>
      </c>
      <c r="I914">
        <f t="shared" si="767"/>
        <v>0.37687101041216259</v>
      </c>
      <c r="J914">
        <f t="shared" si="815"/>
        <v>1.6892245749317416E+20</v>
      </c>
      <c r="K914">
        <f t="shared" si="816"/>
        <v>1.6892245749317416E+20</v>
      </c>
      <c r="L914" t="e">
        <f t="shared" si="771"/>
        <v>#NUM!</v>
      </c>
      <c r="M914">
        <f t="shared" si="768"/>
        <v>3.864158963915448E-21</v>
      </c>
      <c r="N914" s="9" t="e">
        <f t="shared" si="817"/>
        <v>#NUM!</v>
      </c>
      <c r="O914" t="e">
        <f t="shared" si="818"/>
        <v>#NUM!</v>
      </c>
      <c r="Q914">
        <f t="shared" si="772"/>
        <v>46.575971452119219</v>
      </c>
      <c r="R914">
        <f t="shared" si="773"/>
        <v>-710542.73576010019</v>
      </c>
      <c r="S914">
        <f t="shared" si="795"/>
        <v>-47.002542897641234</v>
      </c>
      <c r="T914" s="9" t="e">
        <f t="shared" si="774"/>
        <v>#N/A</v>
      </c>
      <c r="U914">
        <f t="shared" si="796"/>
        <v>-1.0000000000000001E+300</v>
      </c>
      <c r="V914">
        <f t="shared" si="797"/>
        <v>0</v>
      </c>
      <c r="W914">
        <f t="shared" si="798"/>
        <v>0</v>
      </c>
      <c r="X914">
        <f t="shared" si="775"/>
        <v>0.3864158963915445</v>
      </c>
      <c r="Y914">
        <f t="shared" si="776"/>
        <v>7.8539816339744828</v>
      </c>
      <c r="Z914">
        <f t="shared" si="777"/>
        <v>-0.3864158963915445</v>
      </c>
      <c r="AA914">
        <f t="shared" si="799"/>
        <v>-0.94972497376590104</v>
      </c>
      <c r="AB914">
        <f t="shared" si="778"/>
        <v>6.9042566602085813</v>
      </c>
      <c r="AC914">
        <f t="shared" si="800"/>
        <v>-1.4024237430497744</v>
      </c>
      <c r="AD914">
        <f t="shared" si="779"/>
        <v>0.97585229752776315</v>
      </c>
      <c r="AE914" s="9">
        <f t="shared" si="801"/>
        <v>6.47768521468657</v>
      </c>
      <c r="AF914">
        <f t="shared" si="802"/>
        <v>2.0917319239106921E-280</v>
      </c>
      <c r="AH914">
        <f t="shared" si="780"/>
        <v>7.8539816339744828</v>
      </c>
      <c r="AI914">
        <f t="shared" si="781"/>
        <v>-0.94972497376590159</v>
      </c>
      <c r="AJ914">
        <f t="shared" si="782"/>
        <v>-1.4024237430497735</v>
      </c>
      <c r="AK914">
        <f t="shared" si="783"/>
        <v>0.97585229752776315</v>
      </c>
      <c r="AL914" s="9">
        <f t="shared" si="803"/>
        <v>6.4776852146865709</v>
      </c>
      <c r="AM914" t="e">
        <f t="shared" si="784"/>
        <v>#N/A</v>
      </c>
      <c r="AN914" t="e">
        <f t="shared" si="804"/>
        <v>#N/A</v>
      </c>
      <c r="AO914">
        <f t="shared" si="785"/>
        <v>0</v>
      </c>
      <c r="AP914">
        <f t="shared" si="786"/>
        <v>0</v>
      </c>
      <c r="AQ914">
        <f t="shared" si="787"/>
        <v>0</v>
      </c>
      <c r="AR914">
        <f t="shared" si="805"/>
        <v>0</v>
      </c>
      <c r="AS914">
        <f t="shared" si="788"/>
        <v>0</v>
      </c>
      <c r="AT914">
        <f t="shared" si="806"/>
        <v>0</v>
      </c>
      <c r="AU914">
        <f t="shared" si="807"/>
        <v>2.0917319239095049E-280</v>
      </c>
      <c r="AV914">
        <f t="shared" si="789"/>
        <v>3.864158963915445E-21</v>
      </c>
      <c r="AW914" t="b">
        <f t="shared" si="808"/>
        <v>1</v>
      </c>
      <c r="AX914">
        <f t="shared" si="790"/>
        <v>7.8539816339744828</v>
      </c>
      <c r="AY914">
        <f t="shared" si="791"/>
        <v>-0.94972497376590126</v>
      </c>
      <c r="AZ914">
        <f t="shared" si="792"/>
        <v>-1.4024237430497744</v>
      </c>
      <c r="BA914">
        <f t="shared" si="793"/>
        <v>0.97585229752776348</v>
      </c>
      <c r="BB914">
        <f t="shared" si="794"/>
        <v>-1.2337005501361696E-20</v>
      </c>
      <c r="BD914" s="15">
        <f t="shared" si="809"/>
        <v>6.47768521468657</v>
      </c>
      <c r="BE914" s="10">
        <f t="shared" si="810"/>
        <v>0</v>
      </c>
      <c r="BF914">
        <f t="shared" si="811"/>
        <v>0</v>
      </c>
      <c r="BG914">
        <f t="shared" si="812"/>
        <v>0</v>
      </c>
      <c r="BH914">
        <f t="shared" si="813"/>
        <v>0</v>
      </c>
      <c r="BI914">
        <f t="shared" si="814"/>
        <v>0</v>
      </c>
    </row>
    <row r="915" spans="1:61" x14ac:dyDescent="0.3">
      <c r="A915">
        <f t="shared" si="819"/>
        <v>0.878</v>
      </c>
      <c r="B915">
        <f t="shared" si="762"/>
        <v>2.7583183498518382</v>
      </c>
      <c r="C915">
        <f t="shared" si="763"/>
        <v>0.3832743037379549</v>
      </c>
      <c r="D915">
        <f t="shared" si="764"/>
        <v>0.3832743037379549</v>
      </c>
      <c r="E915">
        <f t="shared" si="769"/>
        <v>0.37395920573780067</v>
      </c>
      <c r="F915">
        <f t="shared" si="770"/>
        <v>0.37395920573780056</v>
      </c>
      <c r="G915">
        <f t="shared" si="765"/>
        <v>2.7583183498518382</v>
      </c>
      <c r="H915">
        <f t="shared" si="766"/>
        <v>0.37395920573780067</v>
      </c>
      <c r="I915">
        <f t="shared" si="767"/>
        <v>0.37395920573780056</v>
      </c>
      <c r="J915">
        <f t="shared" si="815"/>
        <v>1.70237759252795E+20</v>
      </c>
      <c r="K915">
        <f t="shared" si="816"/>
        <v>1.70237759252795E+20</v>
      </c>
      <c r="L915">
        <f t="shared" si="771"/>
        <v>1</v>
      </c>
      <c r="M915">
        <f t="shared" si="768"/>
        <v>3.8327430373795484E-21</v>
      </c>
      <c r="N915" s="9">
        <f t="shared" si="817"/>
        <v>3.8327430373795484E-21</v>
      </c>
      <c r="O915">
        <f t="shared" si="818"/>
        <v>3.8327430373795484E-21</v>
      </c>
      <c r="Q915">
        <f t="shared" si="772"/>
        <v>46.583727717675615</v>
      </c>
      <c r="R915">
        <f t="shared" si="773"/>
        <v>0</v>
      </c>
      <c r="S915">
        <f t="shared" si="795"/>
        <v>-47.010706208280396</v>
      </c>
      <c r="T915" s="9" t="e">
        <f t="shared" si="774"/>
        <v>#N/A</v>
      </c>
      <c r="U915">
        <f t="shared" si="796"/>
        <v>-1.0000000000000001E+300</v>
      </c>
      <c r="V915">
        <f t="shared" si="797"/>
        <v>0</v>
      </c>
      <c r="W915">
        <f t="shared" si="798"/>
        <v>0</v>
      </c>
      <c r="X915">
        <f t="shared" si="775"/>
        <v>0.3832743037379549</v>
      </c>
      <c r="Y915">
        <f t="shared" si="776"/>
        <v>7.8539816339744828</v>
      </c>
      <c r="Z915">
        <f t="shared" si="777"/>
        <v>-0.3832743037379549</v>
      </c>
      <c r="AA915">
        <f t="shared" si="799"/>
        <v>-0.95054725206769219</v>
      </c>
      <c r="AB915">
        <f t="shared" si="778"/>
        <v>6.9034343819067905</v>
      </c>
      <c r="AC915">
        <f t="shared" si="800"/>
        <v>-1.4105870536889349</v>
      </c>
      <c r="AD915">
        <f t="shared" si="779"/>
        <v>0.98360856308415534</v>
      </c>
      <c r="AE915" s="9">
        <f t="shared" si="801"/>
        <v>6.4764558913020114</v>
      </c>
      <c r="AF915">
        <f t="shared" si="802"/>
        <v>4.6455128959342936E-280</v>
      </c>
      <c r="AH915">
        <f t="shared" si="780"/>
        <v>7.8539816339744828</v>
      </c>
      <c r="AI915">
        <f t="shared" si="781"/>
        <v>-0.95054725206769275</v>
      </c>
      <c r="AJ915">
        <f t="shared" si="782"/>
        <v>-1.4105870536889356</v>
      </c>
      <c r="AK915">
        <f t="shared" si="783"/>
        <v>0.98360856308415534</v>
      </c>
      <c r="AL915" s="9">
        <f t="shared" si="803"/>
        <v>6.4764558913020096</v>
      </c>
      <c r="AM915" t="e">
        <f t="shared" si="784"/>
        <v>#N/A</v>
      </c>
      <c r="AN915" t="e">
        <f t="shared" si="804"/>
        <v>#N/A</v>
      </c>
      <c r="AO915">
        <f t="shared" si="785"/>
        <v>0</v>
      </c>
      <c r="AP915">
        <f t="shared" si="786"/>
        <v>0</v>
      </c>
      <c r="AQ915">
        <f t="shared" si="787"/>
        <v>0</v>
      </c>
      <c r="AR915">
        <f t="shared" si="805"/>
        <v>0</v>
      </c>
      <c r="AS915">
        <f t="shared" si="788"/>
        <v>0</v>
      </c>
      <c r="AT915">
        <f t="shared" si="806"/>
        <v>0</v>
      </c>
      <c r="AU915">
        <f t="shared" si="807"/>
        <v>4.6455128959395673E-280</v>
      </c>
      <c r="AV915">
        <f t="shared" si="789"/>
        <v>3.8327430373795491E-21</v>
      </c>
      <c r="AW915" t="b">
        <f t="shared" si="808"/>
        <v>1</v>
      </c>
      <c r="AX915">
        <f t="shared" si="790"/>
        <v>7.8539816339744828</v>
      </c>
      <c r="AY915">
        <f t="shared" si="791"/>
        <v>-0.95054725206769242</v>
      </c>
      <c r="AZ915">
        <f t="shared" si="792"/>
        <v>-1.4105870536889347</v>
      </c>
      <c r="BA915">
        <f t="shared" si="793"/>
        <v>0.98360856308415556</v>
      </c>
      <c r="BB915">
        <f t="shared" si="794"/>
        <v>-1.2337005501361696E-20</v>
      </c>
      <c r="BD915" s="15">
        <f t="shared" si="809"/>
        <v>6.4764558913020114</v>
      </c>
      <c r="BE915" s="10">
        <f t="shared" si="810"/>
        <v>0</v>
      </c>
      <c r="BF915">
        <f t="shared" si="811"/>
        <v>0</v>
      </c>
      <c r="BG915">
        <f t="shared" si="812"/>
        <v>0</v>
      </c>
      <c r="BH915">
        <f t="shared" si="813"/>
        <v>0</v>
      </c>
      <c r="BI915">
        <f t="shared" si="814"/>
        <v>0</v>
      </c>
    </row>
    <row r="916" spans="1:61" x14ac:dyDescent="0.3">
      <c r="A916">
        <f t="shared" si="819"/>
        <v>0.879</v>
      </c>
      <c r="B916">
        <f t="shared" si="762"/>
        <v>2.7614599425054283</v>
      </c>
      <c r="C916">
        <f t="shared" si="763"/>
        <v>0.38013271108436486</v>
      </c>
      <c r="D916">
        <f t="shared" si="764"/>
        <v>0.38013271108436486</v>
      </c>
      <c r="E916">
        <f t="shared" si="769"/>
        <v>0.37104371023705102</v>
      </c>
      <c r="F916">
        <f t="shared" si="770"/>
        <v>0.37104371023705091</v>
      </c>
      <c r="G916">
        <f t="shared" si="765"/>
        <v>2.7614599425054283</v>
      </c>
      <c r="H916">
        <f t="shared" si="766"/>
        <v>0.37104371023705102</v>
      </c>
      <c r="I916">
        <f t="shared" si="767"/>
        <v>0.37104371023705091</v>
      </c>
      <c r="J916">
        <f t="shared" si="815"/>
        <v>1.7157541141469833E+20</v>
      </c>
      <c r="K916">
        <f t="shared" si="816"/>
        <v>1.7157541141469833E+20</v>
      </c>
      <c r="L916">
        <f t="shared" si="771"/>
        <v>1</v>
      </c>
      <c r="M916">
        <f t="shared" si="768"/>
        <v>3.8013271108436488E-21</v>
      </c>
      <c r="N916" s="9">
        <f t="shared" si="817"/>
        <v>3.8013271108436488E-21</v>
      </c>
      <c r="O916">
        <f t="shared" si="818"/>
        <v>3.8013271108436488E-21</v>
      </c>
      <c r="Q916">
        <f t="shared" si="772"/>
        <v>46.591554560555537</v>
      </c>
      <c r="R916">
        <f t="shared" si="773"/>
        <v>0</v>
      </c>
      <c r="S916">
        <f t="shared" si="795"/>
        <v>-47.018936707416913</v>
      </c>
      <c r="T916" s="9" t="e">
        <f t="shared" si="774"/>
        <v>#N/A</v>
      </c>
      <c r="U916">
        <f t="shared" si="796"/>
        <v>-1.0000000000000001E+300</v>
      </c>
      <c r="V916">
        <f t="shared" si="797"/>
        <v>0</v>
      </c>
      <c r="W916">
        <f t="shared" si="798"/>
        <v>0</v>
      </c>
      <c r="X916">
        <f t="shared" si="775"/>
        <v>0.38013271108436486</v>
      </c>
      <c r="Y916">
        <f t="shared" si="776"/>
        <v>7.8539816339744828</v>
      </c>
      <c r="Z916">
        <f t="shared" si="777"/>
        <v>-0.38013271108436486</v>
      </c>
      <c r="AA916">
        <f t="shared" si="799"/>
        <v>-0.95136255010236181</v>
      </c>
      <c r="AB916">
        <f t="shared" si="778"/>
        <v>6.9026190838721213</v>
      </c>
      <c r="AC916">
        <f t="shared" si="800"/>
        <v>-1.418817552825451</v>
      </c>
      <c r="AD916">
        <f t="shared" si="779"/>
        <v>0.99143540596407909</v>
      </c>
      <c r="AE916" s="9">
        <f t="shared" si="801"/>
        <v>6.4752369370107496</v>
      </c>
      <c r="AF916">
        <f t="shared" si="802"/>
        <v>1.023805396580614E-279</v>
      </c>
      <c r="AH916">
        <f t="shared" si="780"/>
        <v>7.8539816339744828</v>
      </c>
      <c r="AI916">
        <f t="shared" si="781"/>
        <v>-0.9513625501023617</v>
      </c>
      <c r="AJ916">
        <f t="shared" si="782"/>
        <v>-1.4188175528254519</v>
      </c>
      <c r="AK916">
        <f t="shared" si="783"/>
        <v>0.99143540596407909</v>
      </c>
      <c r="AL916" s="9">
        <f t="shared" si="803"/>
        <v>6.4752369370107488</v>
      </c>
      <c r="AM916" t="e">
        <f t="shared" si="784"/>
        <v>#N/A</v>
      </c>
      <c r="AN916" t="e">
        <f t="shared" si="804"/>
        <v>#N/A</v>
      </c>
      <c r="AO916">
        <f t="shared" si="785"/>
        <v>0</v>
      </c>
      <c r="AP916">
        <f t="shared" si="786"/>
        <v>0</v>
      </c>
      <c r="AQ916">
        <f t="shared" si="787"/>
        <v>0</v>
      </c>
      <c r="AR916">
        <f t="shared" si="805"/>
        <v>0</v>
      </c>
      <c r="AS916">
        <f t="shared" si="788"/>
        <v>0</v>
      </c>
      <c r="AT916">
        <f t="shared" si="806"/>
        <v>0</v>
      </c>
      <c r="AU916">
        <f t="shared" si="807"/>
        <v>1.0238053965811952E-279</v>
      </c>
      <c r="AV916">
        <f t="shared" si="789"/>
        <v>3.8013271108436488E-21</v>
      </c>
      <c r="AW916" t="b">
        <f t="shared" si="808"/>
        <v>1</v>
      </c>
      <c r="AX916">
        <f t="shared" si="790"/>
        <v>7.8539816339744828</v>
      </c>
      <c r="AY916">
        <f t="shared" si="791"/>
        <v>-0.95136255010236226</v>
      </c>
      <c r="AZ916">
        <f t="shared" si="792"/>
        <v>-1.4188175528254507</v>
      </c>
      <c r="BA916">
        <f t="shared" si="793"/>
        <v>0.99143540596407931</v>
      </c>
      <c r="BB916">
        <f t="shared" si="794"/>
        <v>-1.2337005501361696E-20</v>
      </c>
      <c r="BD916" s="15">
        <f t="shared" si="809"/>
        <v>6.4752369370107488</v>
      </c>
      <c r="BE916" s="10">
        <f t="shared" si="810"/>
        <v>0</v>
      </c>
      <c r="BF916">
        <f t="shared" si="811"/>
        <v>0</v>
      </c>
      <c r="BG916">
        <f t="shared" si="812"/>
        <v>0</v>
      </c>
      <c r="BH916">
        <f t="shared" si="813"/>
        <v>0</v>
      </c>
      <c r="BI916">
        <f t="shared" si="814"/>
        <v>0</v>
      </c>
    </row>
    <row r="917" spans="1:61" x14ac:dyDescent="0.3">
      <c r="A917">
        <f t="shared" si="819"/>
        <v>0.88</v>
      </c>
      <c r="B917">
        <f t="shared" si="762"/>
        <v>2.7646015351590179</v>
      </c>
      <c r="C917">
        <f t="shared" si="763"/>
        <v>0.37699111843077526</v>
      </c>
      <c r="D917">
        <f t="shared" si="764"/>
        <v>0.37699111843077526</v>
      </c>
      <c r="E917">
        <f t="shared" si="769"/>
        <v>0.36812455268467814</v>
      </c>
      <c r="F917">
        <f t="shared" si="770"/>
        <v>0.36812455268467803</v>
      </c>
      <c r="G917">
        <f t="shared" si="765"/>
        <v>2.7646015351590179</v>
      </c>
      <c r="H917">
        <f t="shared" si="766"/>
        <v>0.36812455268467814</v>
      </c>
      <c r="I917">
        <f t="shared" si="767"/>
        <v>0.36812455268467803</v>
      </c>
      <c r="J917">
        <f t="shared" si="815"/>
        <v>1.7293597173152596E+20</v>
      </c>
      <c r="K917">
        <f t="shared" si="816"/>
        <v>1.7293597173152596E+20</v>
      </c>
      <c r="L917">
        <f t="shared" si="771"/>
        <v>1</v>
      </c>
      <c r="M917">
        <f t="shared" si="768"/>
        <v>3.7699111843077552E-21</v>
      </c>
      <c r="N917" s="9">
        <f t="shared" si="817"/>
        <v>3.7699111843077552E-21</v>
      </c>
      <c r="O917">
        <f t="shared" si="818"/>
        <v>3.7699111843077552E-21</v>
      </c>
      <c r="Q917">
        <f t="shared" si="772"/>
        <v>46.599453094286503</v>
      </c>
      <c r="R917">
        <f t="shared" si="773"/>
        <v>-710542.73576010019</v>
      </c>
      <c r="S917">
        <f t="shared" si="795"/>
        <v>-47.027235510231606</v>
      </c>
      <c r="T917" s="9" t="e">
        <f t="shared" si="774"/>
        <v>#N/A</v>
      </c>
      <c r="U917">
        <f t="shared" si="796"/>
        <v>-1.0000000000000001E+300</v>
      </c>
      <c r="V917">
        <f t="shared" si="797"/>
        <v>0</v>
      </c>
      <c r="W917">
        <f t="shared" si="798"/>
        <v>0</v>
      </c>
      <c r="X917">
        <f t="shared" si="775"/>
        <v>0.37699111843077526</v>
      </c>
      <c r="Y917">
        <f t="shared" si="776"/>
        <v>7.8539816339744828</v>
      </c>
      <c r="Z917">
        <f t="shared" si="777"/>
        <v>-0.37699111843077526</v>
      </c>
      <c r="AA917">
        <f t="shared" si="799"/>
        <v>-0.95217087463842198</v>
      </c>
      <c r="AB917">
        <f t="shared" si="778"/>
        <v>6.9018107593360609</v>
      </c>
      <c r="AC917">
        <f t="shared" si="800"/>
        <v>-1.4271163556401456</v>
      </c>
      <c r="AD917">
        <f t="shared" si="779"/>
        <v>0.99933393969504614</v>
      </c>
      <c r="AE917" s="9">
        <f t="shared" si="801"/>
        <v>6.4740283433909616</v>
      </c>
      <c r="AF917">
        <f t="shared" si="802"/>
        <v>2.2390862726364409E-279</v>
      </c>
      <c r="AH917">
        <f t="shared" si="780"/>
        <v>7.8539816339744828</v>
      </c>
      <c r="AI917">
        <f t="shared" si="781"/>
        <v>-0.95217087463842198</v>
      </c>
      <c r="AJ917">
        <f t="shared" si="782"/>
        <v>-1.4271163556401447</v>
      </c>
      <c r="AK917">
        <f t="shared" si="783"/>
        <v>0.99933393969504614</v>
      </c>
      <c r="AL917" s="9">
        <f t="shared" si="803"/>
        <v>6.4740283433909624</v>
      </c>
      <c r="AM917" t="e">
        <f t="shared" si="784"/>
        <v>#N/A</v>
      </c>
      <c r="AN917" t="e">
        <f t="shared" si="804"/>
        <v>#N/A</v>
      </c>
      <c r="AO917">
        <f t="shared" si="785"/>
        <v>0</v>
      </c>
      <c r="AP917">
        <f t="shared" si="786"/>
        <v>0</v>
      </c>
      <c r="AQ917">
        <f t="shared" si="787"/>
        <v>0</v>
      </c>
      <c r="AR917">
        <f t="shared" si="805"/>
        <v>0</v>
      </c>
      <c r="AS917">
        <f t="shared" si="788"/>
        <v>0</v>
      </c>
      <c r="AT917">
        <f t="shared" si="806"/>
        <v>0</v>
      </c>
      <c r="AU917">
        <f t="shared" si="807"/>
        <v>2.2390862726351703E-279</v>
      </c>
      <c r="AV917">
        <f t="shared" si="789"/>
        <v>3.7699111843077522E-21</v>
      </c>
      <c r="AW917" t="b">
        <f t="shared" si="808"/>
        <v>1</v>
      </c>
      <c r="AX917">
        <f t="shared" si="790"/>
        <v>7.8539816339744828</v>
      </c>
      <c r="AY917">
        <f t="shared" si="791"/>
        <v>-0.95217087463842209</v>
      </c>
      <c r="AZ917">
        <f t="shared" si="792"/>
        <v>-1.4271163556401456</v>
      </c>
      <c r="BA917">
        <f t="shared" si="793"/>
        <v>0.99933393969504647</v>
      </c>
      <c r="BB917">
        <f t="shared" si="794"/>
        <v>-1.2337005501361696E-20</v>
      </c>
      <c r="BD917" s="15">
        <f t="shared" si="809"/>
        <v>6.4740283433909616</v>
      </c>
      <c r="BE917" s="10">
        <f t="shared" si="810"/>
        <v>0</v>
      </c>
      <c r="BF917">
        <f t="shared" si="811"/>
        <v>0</v>
      </c>
      <c r="BG917">
        <f t="shared" si="812"/>
        <v>0</v>
      </c>
      <c r="BH917">
        <f t="shared" si="813"/>
        <v>0</v>
      </c>
      <c r="BI917">
        <f t="shared" si="814"/>
        <v>0</v>
      </c>
    </row>
    <row r="918" spans="1:61" x14ac:dyDescent="0.3">
      <c r="A918">
        <f t="shared" si="819"/>
        <v>0.88100000000000001</v>
      </c>
      <c r="B918">
        <f t="shared" si="762"/>
        <v>2.7677431278126079</v>
      </c>
      <c r="C918">
        <f t="shared" si="763"/>
        <v>0.37384952577718522</v>
      </c>
      <c r="D918">
        <f t="shared" si="764"/>
        <v>0.37384952577718522</v>
      </c>
      <c r="E918">
        <f t="shared" si="769"/>
        <v>0.36520176189158776</v>
      </c>
      <c r="F918">
        <f t="shared" si="770"/>
        <v>0.36520176189158765</v>
      </c>
      <c r="G918">
        <f t="shared" si="765"/>
        <v>2.7677431278126079</v>
      </c>
      <c r="H918">
        <f t="shared" si="766"/>
        <v>0.36520176189158776</v>
      </c>
      <c r="I918">
        <f t="shared" si="767"/>
        <v>0.36520176189158765</v>
      </c>
      <c r="J918">
        <f t="shared" si="815"/>
        <v>1.7432001671354633E+20</v>
      </c>
      <c r="K918">
        <f t="shared" si="816"/>
        <v>1.7432001671354633E+20</v>
      </c>
      <c r="L918" t="e">
        <f t="shared" si="771"/>
        <v>#NUM!</v>
      </c>
      <c r="M918">
        <f t="shared" si="768"/>
        <v>3.7384952577718495E-21</v>
      </c>
      <c r="N918" s="9" t="e">
        <f t="shared" si="817"/>
        <v>#NUM!</v>
      </c>
      <c r="O918" t="e">
        <f t="shared" si="818"/>
        <v>#NUM!</v>
      </c>
      <c r="Q918">
        <f t="shared" si="772"/>
        <v>46.607424460407721</v>
      </c>
      <c r="R918">
        <f t="shared" si="773"/>
        <v>0</v>
      </c>
      <c r="S918">
        <f t="shared" si="795"/>
        <v>-47.035603759902123</v>
      </c>
      <c r="T918" s="9" t="e">
        <f t="shared" si="774"/>
        <v>#N/A</v>
      </c>
      <c r="U918">
        <f t="shared" si="796"/>
        <v>-1.0000000000000001E+300</v>
      </c>
      <c r="V918">
        <f t="shared" si="797"/>
        <v>0</v>
      </c>
      <c r="W918">
        <f t="shared" si="798"/>
        <v>0</v>
      </c>
      <c r="X918">
        <f t="shared" si="775"/>
        <v>0.37384952577718522</v>
      </c>
      <c r="Y918">
        <f t="shared" si="776"/>
        <v>7.8539816339744828</v>
      </c>
      <c r="Z918">
        <f t="shared" si="777"/>
        <v>-0.37384952577718522</v>
      </c>
      <c r="AA918">
        <f t="shared" si="799"/>
        <v>-0.95297223238095274</v>
      </c>
      <c r="AB918">
        <f t="shared" si="778"/>
        <v>6.9010094015935302</v>
      </c>
      <c r="AC918">
        <f t="shared" si="800"/>
        <v>-1.4354846053106627</v>
      </c>
      <c r="AD918">
        <f t="shared" si="779"/>
        <v>1.0073053058162589</v>
      </c>
      <c r="AE918" s="9">
        <f t="shared" si="801"/>
        <v>6.4728301020991266</v>
      </c>
      <c r="AF918">
        <f t="shared" si="802"/>
        <v>4.8596761388477933E-279</v>
      </c>
      <c r="AH918">
        <f t="shared" si="780"/>
        <v>7.8539816339744828</v>
      </c>
      <c r="AI918">
        <f t="shared" si="781"/>
        <v>-0.95297223238095174</v>
      </c>
      <c r="AJ918">
        <f t="shared" si="782"/>
        <v>-1.4354846053106627</v>
      </c>
      <c r="AK918">
        <f t="shared" si="783"/>
        <v>1.0073053058162589</v>
      </c>
      <c r="AL918" s="9">
        <f t="shared" si="803"/>
        <v>6.4728301020991275</v>
      </c>
      <c r="AM918" t="e">
        <f t="shared" si="784"/>
        <v>#N/A</v>
      </c>
      <c r="AN918" t="e">
        <f t="shared" si="804"/>
        <v>#N/A</v>
      </c>
      <c r="AO918">
        <f t="shared" si="785"/>
        <v>0</v>
      </c>
      <c r="AP918">
        <f t="shared" si="786"/>
        <v>9.9920072216264089E-16</v>
      </c>
      <c r="AQ918">
        <f t="shared" si="787"/>
        <v>0</v>
      </c>
      <c r="AR918">
        <f t="shared" si="805"/>
        <v>-1.0485097972542071E-15</v>
      </c>
      <c r="AS918">
        <f t="shared" si="788"/>
        <v>0</v>
      </c>
      <c r="AT918">
        <f t="shared" si="806"/>
        <v>0</v>
      </c>
      <c r="AU918">
        <f t="shared" si="807"/>
        <v>4.8596761388450345E-279</v>
      </c>
      <c r="AV918">
        <f t="shared" si="789"/>
        <v>3.7384952577718518E-21</v>
      </c>
      <c r="AW918" t="b">
        <f t="shared" si="808"/>
        <v>1</v>
      </c>
      <c r="AX918">
        <f t="shared" si="790"/>
        <v>7.8539816339744828</v>
      </c>
      <c r="AY918">
        <f t="shared" si="791"/>
        <v>-0.95297223238095286</v>
      </c>
      <c r="AZ918">
        <f t="shared" si="792"/>
        <v>-1.4354846053106627</v>
      </c>
      <c r="BA918">
        <f t="shared" si="793"/>
        <v>1.0073053058162591</v>
      </c>
      <c r="BB918">
        <f t="shared" si="794"/>
        <v>-1.2337005501361696E-20</v>
      </c>
      <c r="BD918" s="15">
        <f t="shared" si="809"/>
        <v>6.4728301020991266</v>
      </c>
      <c r="BE918" s="10">
        <f t="shared" si="810"/>
        <v>0</v>
      </c>
      <c r="BF918">
        <f t="shared" si="811"/>
        <v>0</v>
      </c>
      <c r="BG918">
        <f t="shared" si="812"/>
        <v>0</v>
      </c>
      <c r="BH918">
        <f t="shared" si="813"/>
        <v>0</v>
      </c>
      <c r="BI918">
        <f t="shared" si="814"/>
        <v>0</v>
      </c>
    </row>
    <row r="919" spans="1:61" x14ac:dyDescent="0.3">
      <c r="A919">
        <f t="shared" si="819"/>
        <v>0.88200000000000001</v>
      </c>
      <c r="B919">
        <f t="shared" si="762"/>
        <v>2.7708847204661975</v>
      </c>
      <c r="C919">
        <f t="shared" si="763"/>
        <v>0.37070793312359562</v>
      </c>
      <c r="D919">
        <f t="shared" si="764"/>
        <v>0.37070793312359562</v>
      </c>
      <c r="E919">
        <f t="shared" si="769"/>
        <v>0.3622753667045458</v>
      </c>
      <c r="F919">
        <f t="shared" si="770"/>
        <v>0.36227536670454569</v>
      </c>
      <c r="G919">
        <f t="shared" si="765"/>
        <v>2.7708847204661975</v>
      </c>
      <c r="H919">
        <f t="shared" si="766"/>
        <v>0.3622753667045458</v>
      </c>
      <c r="I919">
        <f t="shared" si="767"/>
        <v>0.36227536670454569</v>
      </c>
      <c r="J919">
        <f t="shared" si="815"/>
        <v>1.7572814242343384E+20</v>
      </c>
      <c r="K919">
        <f t="shared" si="816"/>
        <v>1.7572814242343384E+20</v>
      </c>
      <c r="L919">
        <f t="shared" si="771"/>
        <v>1</v>
      </c>
      <c r="M919">
        <f t="shared" si="768"/>
        <v>3.7070793312359559E-21</v>
      </c>
      <c r="N919" s="9">
        <f t="shared" si="817"/>
        <v>3.7070793312359559E-21</v>
      </c>
      <c r="O919">
        <f t="shared" si="818"/>
        <v>3.7070793312359559E-21</v>
      </c>
      <c r="Q919">
        <f t="shared" si="772"/>
        <v>46.615469829415098</v>
      </c>
      <c r="R919">
        <f t="shared" si="773"/>
        <v>0</v>
      </c>
      <c r="S919">
        <f t="shared" si="795"/>
        <v>-47.044042628547984</v>
      </c>
      <c r="T919" s="9" t="e">
        <f t="shared" si="774"/>
        <v>#N/A</v>
      </c>
      <c r="U919">
        <f t="shared" si="796"/>
        <v>-1.0000000000000001E+300</v>
      </c>
      <c r="V919">
        <f t="shared" si="797"/>
        <v>0</v>
      </c>
      <c r="W919">
        <f t="shared" si="798"/>
        <v>0</v>
      </c>
      <c r="X919">
        <f t="shared" si="775"/>
        <v>0.37070793312359562</v>
      </c>
      <c r="Y919">
        <f t="shared" si="776"/>
        <v>7.8539816339744828</v>
      </c>
      <c r="Z919">
        <f t="shared" si="777"/>
        <v>-0.37070793312359562</v>
      </c>
      <c r="AA919">
        <f t="shared" si="799"/>
        <v>-0.95376662997180317</v>
      </c>
      <c r="AB919">
        <f t="shared" si="778"/>
        <v>6.9002150040026793</v>
      </c>
      <c r="AC919">
        <f t="shared" si="800"/>
        <v>-1.443923473956527</v>
      </c>
      <c r="AD919">
        <f t="shared" si="779"/>
        <v>1.0153506748236356</v>
      </c>
      <c r="AE919" s="9">
        <f t="shared" si="801"/>
        <v>6.4716422048697879</v>
      </c>
      <c r="AF919">
        <f t="shared" si="802"/>
        <v>1.0467432878993989E-278</v>
      </c>
      <c r="AH919">
        <f t="shared" si="780"/>
        <v>7.8539816339744828</v>
      </c>
      <c r="AI919">
        <f t="shared" si="781"/>
        <v>-0.95376662997180217</v>
      </c>
      <c r="AJ919">
        <f t="shared" si="782"/>
        <v>-1.4439234739565237</v>
      </c>
      <c r="AK919">
        <f t="shared" si="783"/>
        <v>1.0153506748236356</v>
      </c>
      <c r="AL919" s="9">
        <f t="shared" si="803"/>
        <v>6.4716422048697924</v>
      </c>
      <c r="AM919" t="e">
        <f t="shared" si="784"/>
        <v>#N/A</v>
      </c>
      <c r="AN919" t="e">
        <f t="shared" si="804"/>
        <v>#N/A</v>
      </c>
      <c r="AO919">
        <f t="shared" si="785"/>
        <v>0</v>
      </c>
      <c r="AP919">
        <f t="shared" si="786"/>
        <v>9.9920072216264089E-16</v>
      </c>
      <c r="AQ919">
        <f t="shared" si="787"/>
        <v>3.3306690738754696E-15</v>
      </c>
      <c r="AR919">
        <f t="shared" si="805"/>
        <v>-1.0476364875464158E-15</v>
      </c>
      <c r="AS919">
        <f t="shared" si="788"/>
        <v>0</v>
      </c>
      <c r="AT919">
        <f t="shared" si="806"/>
        <v>0</v>
      </c>
      <c r="AU919">
        <f t="shared" si="807"/>
        <v>1.0467432878964283E-278</v>
      </c>
      <c r="AV919">
        <f t="shared" si="789"/>
        <v>3.7070793312359559E-21</v>
      </c>
      <c r="AW919" t="b">
        <f t="shared" si="808"/>
        <v>1</v>
      </c>
      <c r="AX919">
        <f t="shared" si="790"/>
        <v>7.8539816339744828</v>
      </c>
      <c r="AY919">
        <f t="shared" si="791"/>
        <v>-0.95376662997180328</v>
      </c>
      <c r="AZ919">
        <f t="shared" si="792"/>
        <v>-1.443923473956527</v>
      </c>
      <c r="BA919">
        <f t="shared" si="793"/>
        <v>1.0153506748236358</v>
      </c>
      <c r="BB919">
        <f t="shared" si="794"/>
        <v>-1.2337005501361696E-20</v>
      </c>
      <c r="BD919" s="15">
        <f t="shared" si="809"/>
        <v>6.4716422048697879</v>
      </c>
      <c r="BE919" s="10">
        <f t="shared" si="810"/>
        <v>0</v>
      </c>
      <c r="BF919">
        <f t="shared" si="811"/>
        <v>0</v>
      </c>
      <c r="BG919">
        <f t="shared" si="812"/>
        <v>0</v>
      </c>
      <c r="BH919">
        <f t="shared" si="813"/>
        <v>0</v>
      </c>
      <c r="BI919">
        <f t="shared" si="814"/>
        <v>0</v>
      </c>
    </row>
    <row r="920" spans="1:61" x14ac:dyDescent="0.3">
      <c r="A920">
        <f t="shared" si="819"/>
        <v>0.88300000000000001</v>
      </c>
      <c r="B920">
        <f t="shared" ref="B920:B983" si="820">th_max*A920</f>
        <v>2.7740263131197875</v>
      </c>
      <c r="C920">
        <f t="shared" ref="C920:C983" si="821">th_max-B920</f>
        <v>0.36756634047000558</v>
      </c>
      <c r="D920">
        <f t="shared" ref="D920:D983" si="822">IF(use_th_l,B920,C920)</f>
        <v>0.36756634047000558</v>
      </c>
      <c r="E920">
        <f t="shared" si="769"/>
        <v>0.3593453960058906</v>
      </c>
      <c r="F920">
        <f t="shared" si="770"/>
        <v>0.35934539600589049</v>
      </c>
      <c r="G920">
        <f t="shared" ref="G920:G983" si="823">alpha*B920</f>
        <v>2.7740263131197875</v>
      </c>
      <c r="H920">
        <f t="shared" ref="H920:H983" si="824">SIN(G920)</f>
        <v>0.3593453960058906</v>
      </c>
      <c r="I920">
        <f t="shared" ref="I920:I983" si="825">SIN(alpha*C920+add_r)</f>
        <v>0.35934539600589049</v>
      </c>
      <c r="J920">
        <f t="shared" si="815"/>
        <v>1.7716096531180981E+20</v>
      </c>
      <c r="K920">
        <f t="shared" si="816"/>
        <v>1.7716096531180981E+20</v>
      </c>
      <c r="L920">
        <f t="shared" si="771"/>
        <v>1</v>
      </c>
      <c r="M920">
        <f t="shared" ref="M920:M983" si="826">-SIN((alpha_m_1)*B920+add_l)</f>
        <v>3.6756634047000563E-21</v>
      </c>
      <c r="N920" s="9">
        <f t="shared" si="817"/>
        <v>3.6756634047000563E-21</v>
      </c>
      <c r="O920">
        <f t="shared" si="818"/>
        <v>3.6756634047000563E-21</v>
      </c>
      <c r="Q920">
        <f t="shared" si="772"/>
        <v>46.623590401746533</v>
      </c>
      <c r="R920">
        <f t="shared" si="773"/>
        <v>0</v>
      </c>
      <c r="S920">
        <f t="shared" si="795"/>
        <v>-47.052553318215892</v>
      </c>
      <c r="T920" s="9" t="e">
        <f t="shared" si="774"/>
        <v>#N/A</v>
      </c>
      <c r="U920">
        <f t="shared" si="796"/>
        <v>-1.0000000000000001E+300</v>
      </c>
      <c r="V920">
        <f t="shared" si="797"/>
        <v>0</v>
      </c>
      <c r="W920">
        <f t="shared" si="798"/>
        <v>0</v>
      </c>
      <c r="X920">
        <f t="shared" si="775"/>
        <v>0.36756634047000558</v>
      </c>
      <c r="Y920">
        <f t="shared" si="776"/>
        <v>7.8539816339744828</v>
      </c>
      <c r="Z920">
        <f t="shared" si="777"/>
        <v>-0.36756634047000558</v>
      </c>
      <c r="AA920">
        <f t="shared" si="799"/>
        <v>-0.95455407398979231</v>
      </c>
      <c r="AB920">
        <f t="shared" si="778"/>
        <v>6.8994275599846908</v>
      </c>
      <c r="AC920">
        <f t="shared" si="800"/>
        <v>-1.4524341636244362</v>
      </c>
      <c r="AD920">
        <f t="shared" si="779"/>
        <v>1.0234712471550733</v>
      </c>
      <c r="AE920" s="9">
        <f t="shared" si="801"/>
        <v>6.4704646435153279</v>
      </c>
      <c r="AF920">
        <f t="shared" si="802"/>
        <v>2.2376003383565403E-278</v>
      </c>
      <c r="AH920">
        <f t="shared" si="780"/>
        <v>7.8539816339744828</v>
      </c>
      <c r="AI920">
        <f t="shared" si="781"/>
        <v>-0.95455407398979208</v>
      </c>
      <c r="AJ920">
        <f t="shared" si="782"/>
        <v>-1.4524341636244316</v>
      </c>
      <c r="AK920">
        <f t="shared" si="783"/>
        <v>1.0234712471550733</v>
      </c>
      <c r="AL920" s="9">
        <f t="shared" si="803"/>
        <v>6.4704646435153323</v>
      </c>
      <c r="AM920" t="e">
        <f t="shared" si="784"/>
        <v>#N/A</v>
      </c>
      <c r="AN920" t="e">
        <f t="shared" si="804"/>
        <v>#N/A</v>
      </c>
      <c r="AO920">
        <f t="shared" si="785"/>
        <v>0</v>
      </c>
      <c r="AP920">
        <f t="shared" si="786"/>
        <v>0</v>
      </c>
      <c r="AQ920">
        <f t="shared" si="787"/>
        <v>4.6629367034256575E-15</v>
      </c>
      <c r="AR920">
        <f t="shared" si="805"/>
        <v>0</v>
      </c>
      <c r="AS920">
        <f t="shared" si="788"/>
        <v>0</v>
      </c>
      <c r="AT920">
        <f t="shared" si="806"/>
        <v>0</v>
      </c>
      <c r="AU920">
        <f t="shared" si="807"/>
        <v>2.2376003383501906E-278</v>
      </c>
      <c r="AV920">
        <f t="shared" si="789"/>
        <v>3.6756634047000556E-21</v>
      </c>
      <c r="AW920" t="b">
        <f t="shared" si="808"/>
        <v>1</v>
      </c>
      <c r="AX920">
        <f t="shared" si="790"/>
        <v>7.8539816339744828</v>
      </c>
      <c r="AY920">
        <f t="shared" si="791"/>
        <v>-0.95455407398979264</v>
      </c>
      <c r="AZ920">
        <f t="shared" si="792"/>
        <v>-1.4524341636244362</v>
      </c>
      <c r="BA920">
        <f t="shared" si="793"/>
        <v>1.0234712471550735</v>
      </c>
      <c r="BB920">
        <f t="shared" si="794"/>
        <v>-1.2337005501361696E-20</v>
      </c>
      <c r="BD920" s="15">
        <f t="shared" si="809"/>
        <v>6.4704646435153279</v>
      </c>
      <c r="BE920" s="10">
        <f t="shared" si="810"/>
        <v>0</v>
      </c>
      <c r="BF920">
        <f t="shared" si="811"/>
        <v>0</v>
      </c>
      <c r="BG920">
        <f t="shared" si="812"/>
        <v>0</v>
      </c>
      <c r="BH920">
        <f t="shared" si="813"/>
        <v>0</v>
      </c>
      <c r="BI920">
        <f t="shared" si="814"/>
        <v>0</v>
      </c>
    </row>
    <row r="921" spans="1:61" x14ac:dyDescent="0.3">
      <c r="A921">
        <f t="shared" si="819"/>
        <v>0.88400000000000001</v>
      </c>
      <c r="B921">
        <f t="shared" si="820"/>
        <v>2.7771679057733771</v>
      </c>
      <c r="C921">
        <f t="shared" si="821"/>
        <v>0.36442474781641598</v>
      </c>
      <c r="D921">
        <f t="shared" si="822"/>
        <v>0.36442474781641598</v>
      </c>
      <c r="E921">
        <f t="shared" ref="E921:E984" si="827">SIN(B921-add_l)</f>
        <v>0.35641187871325081</v>
      </c>
      <c r="F921">
        <f t="shared" ref="F921:F984" si="828">SIN(C921)</f>
        <v>0.3564118787132507</v>
      </c>
      <c r="G921">
        <f t="shared" si="823"/>
        <v>2.7771679057733771</v>
      </c>
      <c r="H921">
        <f t="shared" si="824"/>
        <v>0.35641187871325081</v>
      </c>
      <c r="I921">
        <f t="shared" si="825"/>
        <v>0.3564118787132507</v>
      </c>
      <c r="J921">
        <f t="shared" si="815"/>
        <v>1.7861912309599823E+20</v>
      </c>
      <c r="K921">
        <f t="shared" si="816"/>
        <v>1.7861912309599823E+20</v>
      </c>
      <c r="L921">
        <f t="shared" ref="L921:L984" si="829">(cat0*E921*K921)^(1/(alpha_m_1))</f>
        <v>1</v>
      </c>
      <c r="M921">
        <f t="shared" si="826"/>
        <v>3.6442474781641627E-21</v>
      </c>
      <c r="N921" s="9">
        <f t="shared" si="817"/>
        <v>3.6442474781641627E-21</v>
      </c>
      <c r="O921">
        <f t="shared" si="818"/>
        <v>3.6442474781641627E-21</v>
      </c>
      <c r="Q921">
        <f t="shared" ref="Q921:Q984" si="830">alpha*LN(J921)</f>
        <v>46.631787408809437</v>
      </c>
      <c r="R921">
        <f t="shared" ref="R921:R984" si="831">(LN(cat0)+LN(E921)+Q921)/(alpha_m_1)</f>
        <v>-710542.73576010019</v>
      </c>
      <c r="S921">
        <f t="shared" si="795"/>
        <v>-47.061137061907289</v>
      </c>
      <c r="T921" s="9" t="e">
        <f t="shared" ref="T921:T984" si="832">IF(ABS(alpha_m_1)&gt;0.00000000000001,R921+S921,NA())</f>
        <v>#N/A</v>
      </c>
      <c r="U921">
        <f t="shared" si="796"/>
        <v>-1.0000000000000001E+300</v>
      </c>
      <c r="V921">
        <f t="shared" si="797"/>
        <v>0</v>
      </c>
      <c r="W921">
        <f t="shared" si="798"/>
        <v>0</v>
      </c>
      <c r="X921">
        <f t="shared" ref="X921:X984" si="833">C921</f>
        <v>0.36442474781641598</v>
      </c>
      <c r="Y921">
        <f t="shared" ref="Y921:Y984" si="834">ea</f>
        <v>7.8539816339744828</v>
      </c>
      <c r="Z921">
        <f t="shared" ref="Z921:Z984" si="835">p2b+PI()/2-X921</f>
        <v>-0.36442474781641598</v>
      </c>
      <c r="AA921">
        <f t="shared" si="799"/>
        <v>-0.95533457095090535</v>
      </c>
      <c r="AB921">
        <f t="shared" ref="AB921:AB984" si="836">$AA$7+AA921</f>
        <v>6.8986470630235779</v>
      </c>
      <c r="AC921">
        <f t="shared" si="800"/>
        <v>-1.4610179073158271</v>
      </c>
      <c r="AD921">
        <f t="shared" ref="AD921:AD984" si="837">-LN(SIN(A921*PI()))</f>
        <v>1.0316682542179798</v>
      </c>
      <c r="AE921" s="9">
        <f t="shared" si="801"/>
        <v>6.4692974099257308</v>
      </c>
      <c r="AF921">
        <f t="shared" si="802"/>
        <v>4.7473068495337243E-278</v>
      </c>
      <c r="AH921">
        <f t="shared" ref="AH921:AH984" si="838">IF(use_alpha_near_1,$D$18,NA())</f>
        <v>7.8539816339744828</v>
      </c>
      <c r="AI921">
        <f t="shared" ref="AI921:AI984" si="839">IF(use_alpha_near_1,alpha/(alpha_m_1)*(log1p(-SIN(add_l)*_xlfn.COT(B921)-2*SIN(add_l/2)^2)-log1p(SIN(alpha_m_1*B921)*_xlfn.COT(B921)-2*SIN(alpha_m_1*B921/2)^2)),NA())</f>
        <v>-0.9553345709509059</v>
      </c>
      <c r="AJ921">
        <f t="shared" ref="AJ921:AJ984" si="840">IF(use_alpha_near_1,$D$21+LN(M921),NA())</f>
        <v>-1.4610179073158278</v>
      </c>
      <c r="AK921">
        <f t="shared" ref="AK921:AK984" si="841">IF(use_alpha_near_1,-LN(E921),NA())</f>
        <v>1.0316682542179798</v>
      </c>
      <c r="AL921" s="9">
        <f t="shared" si="803"/>
        <v>6.469297409925729</v>
      </c>
      <c r="AM921" t="e">
        <f t="shared" ref="AM921:AM984" si="842">AL921-T921</f>
        <v>#N/A</v>
      </c>
      <c r="AN921" t="e">
        <f t="shared" si="804"/>
        <v>#N/A</v>
      </c>
      <c r="AO921">
        <f t="shared" ref="AO921:AO984" si="843">AH921-Y921</f>
        <v>0</v>
      </c>
      <c r="AP921">
        <f t="shared" ref="AP921:AP984" si="844">AI921-AA921</f>
        <v>0</v>
      </c>
      <c r="AQ921">
        <f t="shared" ref="AQ921:AQ984" si="845">AJ921-AC921</f>
        <v>0</v>
      </c>
      <c r="AR921">
        <f t="shared" si="805"/>
        <v>0</v>
      </c>
      <c r="AS921">
        <f t="shared" ref="AS921:AS984" si="846">AL921-AE921</f>
        <v>0</v>
      </c>
      <c r="AT921">
        <f t="shared" si="806"/>
        <v>0</v>
      </c>
      <c r="AU921">
        <f t="shared" si="807"/>
        <v>4.747306849539113E-278</v>
      </c>
      <c r="AV921">
        <f t="shared" ref="AV921:AV984" si="847">alpha_m_1*C921+add_r</f>
        <v>3.6442474781641597E-21</v>
      </c>
      <c r="AW921" t="b">
        <f t="shared" si="808"/>
        <v>1</v>
      </c>
      <c r="AX921">
        <f t="shared" ref="AX921:AX984" si="848">IF(use_alpha_near_1,$D$18,NA())</f>
        <v>7.8539816339744828</v>
      </c>
      <c r="AY921">
        <f t="shared" ref="AY921:AY984" si="849">-alpha/alpha_m_1*log1p(_xlfn.COT(C921)*SIN(AV921)-2*SIN(AV921/2)^2)</f>
        <v>-0.95533457095090546</v>
      </c>
      <c r="AZ921">
        <f t="shared" ref="AZ921:AZ984" si="850">LN(ABS(zeta)*SIN(AV921))</f>
        <v>-1.4610179073158271</v>
      </c>
      <c r="BA921">
        <f t="shared" ref="BA921:BA984" si="851">-LN(SIN(C921))</f>
        <v>1.03166825421798</v>
      </c>
      <c r="BB921">
        <f t="shared" ref="BB921:BB984" si="852">-log1p(zeta^-2)/(2*alpha_m_1)</f>
        <v>-1.2337005501361696E-20</v>
      </c>
      <c r="BD921" s="15">
        <f t="shared" si="809"/>
        <v>6.4692974099257299</v>
      </c>
      <c r="BE921" s="10">
        <f t="shared" si="810"/>
        <v>0</v>
      </c>
      <c r="BF921">
        <f t="shared" si="811"/>
        <v>0</v>
      </c>
      <c r="BG921">
        <f t="shared" si="812"/>
        <v>0</v>
      </c>
      <c r="BH921">
        <f t="shared" si="813"/>
        <v>0</v>
      </c>
      <c r="BI921">
        <f t="shared" si="814"/>
        <v>0</v>
      </c>
    </row>
    <row r="922" spans="1:61" x14ac:dyDescent="0.3">
      <c r="A922">
        <f t="shared" si="819"/>
        <v>0.88500000000000001</v>
      </c>
      <c r="B922">
        <f t="shared" si="820"/>
        <v>2.7803094984269667</v>
      </c>
      <c r="C922">
        <f t="shared" si="821"/>
        <v>0.36128315516282639</v>
      </c>
      <c r="D922">
        <f t="shared" si="822"/>
        <v>0.36128315516282639</v>
      </c>
      <c r="E922">
        <f t="shared" si="827"/>
        <v>0.35347484377925742</v>
      </c>
      <c r="F922">
        <f t="shared" si="828"/>
        <v>0.35347484377925725</v>
      </c>
      <c r="G922">
        <f t="shared" si="823"/>
        <v>2.7803094984269667</v>
      </c>
      <c r="H922">
        <f t="shared" si="824"/>
        <v>0.35347484377925742</v>
      </c>
      <c r="I922">
        <f t="shared" si="825"/>
        <v>0.35347484377925725</v>
      </c>
      <c r="J922">
        <f t="shared" si="815"/>
        <v>1.8010327568463289E+20</v>
      </c>
      <c r="K922">
        <f t="shared" si="816"/>
        <v>1.8010327568463289E+20</v>
      </c>
      <c r="L922">
        <f t="shared" si="829"/>
        <v>1</v>
      </c>
      <c r="M922">
        <f t="shared" si="826"/>
        <v>3.6128315516282631E-21</v>
      </c>
      <c r="N922" s="9">
        <f t="shared" si="817"/>
        <v>3.6128315516282631E-21</v>
      </c>
      <c r="O922">
        <f t="shared" si="818"/>
        <v>3.6128315516282631E-21</v>
      </c>
      <c r="Q922">
        <f t="shared" si="830"/>
        <v>46.640062114052768</v>
      </c>
      <c r="R922">
        <f t="shared" si="831"/>
        <v>0</v>
      </c>
      <c r="S922">
        <f t="shared" ref="S922:S985" si="853">LN(M922)</f>
        <v>-47.069795124650398</v>
      </c>
      <c r="T922" s="9" t="e">
        <f t="shared" si="832"/>
        <v>#N/A</v>
      </c>
      <c r="U922">
        <f t="shared" ref="U922:U985" si="854">IFERROR(T922-EXP(T922),-1E+300)</f>
        <v>-1.0000000000000001E+300</v>
      </c>
      <c r="V922">
        <f t="shared" ref="V922:V985" si="855">EXP(U922)</f>
        <v>0</v>
      </c>
      <c r="W922">
        <f t="shared" ref="W922:W985" si="856">IFERROR(T922-LN(N922),0)</f>
        <v>0</v>
      </c>
      <c r="X922">
        <f t="shared" si="833"/>
        <v>0.36128315516282639</v>
      </c>
      <c r="Y922">
        <f t="shared" si="834"/>
        <v>7.8539816339744828</v>
      </c>
      <c r="Z922">
        <f t="shared" si="835"/>
        <v>-0.36128315516282639</v>
      </c>
      <c r="AA922">
        <f t="shared" ref="AA922:AA985" si="857">Z922*TAN(PI()/2-X922)</f>
        <v>-0.9561081273084896</v>
      </c>
      <c r="AB922">
        <f t="shared" si="836"/>
        <v>6.8978735066659933</v>
      </c>
      <c r="AC922">
        <f t="shared" ref="AC922:AC985" si="858">LN(Z922/$AA$6)</f>
        <v>-1.4696759700589412</v>
      </c>
      <c r="AD922">
        <f t="shared" si="837"/>
        <v>1.0399429594613079</v>
      </c>
      <c r="AE922" s="9">
        <f t="shared" ref="AE922:AE985" si="859">AB922+AC922+AD922</f>
        <v>6.4681404960683597</v>
      </c>
      <c r="AF922">
        <f t="shared" ref="AF922:AF985" si="860">IFERROR(EXP(AE922)*EXP(-EXP(AE922)),0)</f>
        <v>9.9964860935061969E-278</v>
      </c>
      <c r="AH922">
        <f t="shared" si="838"/>
        <v>7.8539816339744828</v>
      </c>
      <c r="AI922">
        <f t="shared" si="839"/>
        <v>-0.9561081273084896</v>
      </c>
      <c r="AJ922">
        <f t="shared" si="840"/>
        <v>-1.4696759700589368</v>
      </c>
      <c r="AK922">
        <f t="shared" si="841"/>
        <v>1.0399429594613079</v>
      </c>
      <c r="AL922" s="9">
        <f t="shared" ref="AL922:AL985" si="861">SUM(AH922:AK922)</f>
        <v>6.4681404960683642</v>
      </c>
      <c r="AM922" t="e">
        <f t="shared" si="842"/>
        <v>#N/A</v>
      </c>
      <c r="AN922" t="e">
        <f t="shared" ref="AN922:AN985" si="862">AM922/AL922</f>
        <v>#N/A</v>
      </c>
      <c r="AO922">
        <f t="shared" si="843"/>
        <v>0</v>
      </c>
      <c r="AP922">
        <f t="shared" si="844"/>
        <v>0</v>
      </c>
      <c r="AQ922">
        <f t="shared" si="845"/>
        <v>4.4408920985006262E-15</v>
      </c>
      <c r="AR922">
        <f t="shared" ref="AR922:AR985" si="863">AP922/AI922</f>
        <v>0</v>
      </c>
      <c r="AS922">
        <f t="shared" si="846"/>
        <v>0</v>
      </c>
      <c r="AT922">
        <f t="shared" ref="AT922:AT985" si="864">AS922/AL922</f>
        <v>0</v>
      </c>
      <c r="AU922">
        <f t="shared" ref="AU922:AU985" si="865">IFERROR(EXP(AL922)*EXP(-EXP(AL922)),0)</f>
        <v>9.9964860934778291E-278</v>
      </c>
      <c r="AV922">
        <f t="shared" si="847"/>
        <v>3.6128315516282639E-21</v>
      </c>
      <c r="AW922" t="b">
        <f t="shared" ref="AW922:AW985" si="866">(ABS(_xlfn.COT(C922)*SIN(AV922))&lt;0.00000001)</f>
        <v>1</v>
      </c>
      <c r="AX922">
        <f t="shared" si="848"/>
        <v>7.8539816339744828</v>
      </c>
      <c r="AY922">
        <f t="shared" si="849"/>
        <v>-0.95610812730848971</v>
      </c>
      <c r="AZ922">
        <f t="shared" si="850"/>
        <v>-1.469675970058941</v>
      </c>
      <c r="BA922">
        <f t="shared" si="851"/>
        <v>1.0399429594613083</v>
      </c>
      <c r="BB922">
        <f t="shared" si="852"/>
        <v>-1.2337005501361696E-20</v>
      </c>
      <c r="BD922" s="15">
        <f t="shared" ref="BD922:BD985" si="867">SUM(AX922:BB922)</f>
        <v>6.4681404960683606</v>
      </c>
      <c r="BE922" s="10">
        <f t="shared" ref="BE922:BE985" si="868">BD922-AL922</f>
        <v>0</v>
      </c>
      <c r="BF922">
        <f t="shared" ref="BF922:BF985" si="869">BD922-AE922</f>
        <v>0</v>
      </c>
      <c r="BG922">
        <f t="shared" ref="BG922:BG985" si="870">AX922-Y922</f>
        <v>0</v>
      </c>
      <c r="BH922">
        <f t="shared" ref="BH922:BH985" si="871">AY922-AA922</f>
        <v>0</v>
      </c>
      <c r="BI922">
        <f t="shared" ref="BI922:BI985" si="872">AZ922-AC922</f>
        <v>0</v>
      </c>
    </row>
    <row r="923" spans="1:61" x14ac:dyDescent="0.3">
      <c r="A923">
        <f t="shared" si="819"/>
        <v>0.88600000000000001</v>
      </c>
      <c r="B923">
        <f t="shared" si="820"/>
        <v>2.7834510910805568</v>
      </c>
      <c r="C923">
        <f t="shared" si="821"/>
        <v>0.35814156250923634</v>
      </c>
      <c r="D923">
        <f t="shared" si="822"/>
        <v>0.35814156250923634</v>
      </c>
      <c r="E923">
        <f t="shared" si="827"/>
        <v>0.35053432019125902</v>
      </c>
      <c r="F923">
        <f t="shared" si="828"/>
        <v>0.35053432019125891</v>
      </c>
      <c r="G923">
        <f t="shared" si="823"/>
        <v>2.7834510910805568</v>
      </c>
      <c r="H923">
        <f t="shared" si="824"/>
        <v>0.35053432019125902</v>
      </c>
      <c r="I923">
        <f t="shared" si="825"/>
        <v>0.35053432019125891</v>
      </c>
      <c r="J923">
        <f t="shared" si="815"/>
        <v>1.8161410615092642E+20</v>
      </c>
      <c r="K923">
        <f t="shared" si="816"/>
        <v>1.8161410615092642E+20</v>
      </c>
      <c r="L923">
        <f t="shared" si="829"/>
        <v>1</v>
      </c>
      <c r="M923">
        <f t="shared" si="826"/>
        <v>3.5814156250923635E-21</v>
      </c>
      <c r="N923" s="9">
        <f t="shared" si="817"/>
        <v>3.5814156250923635E-21</v>
      </c>
      <c r="O923">
        <f t="shared" si="818"/>
        <v>3.5814156250923635E-21</v>
      </c>
      <c r="Q923">
        <f t="shared" si="830"/>
        <v>46.648415814085858</v>
      </c>
      <c r="R923">
        <f t="shared" si="831"/>
        <v>0</v>
      </c>
      <c r="S923">
        <f t="shared" si="853"/>
        <v>-47.078528804619154</v>
      </c>
      <c r="T923" s="9" t="e">
        <f t="shared" si="832"/>
        <v>#N/A</v>
      </c>
      <c r="U923">
        <f t="shared" si="854"/>
        <v>-1.0000000000000001E+300</v>
      </c>
      <c r="V923">
        <f t="shared" si="855"/>
        <v>0</v>
      </c>
      <c r="W923">
        <f t="shared" si="856"/>
        <v>0</v>
      </c>
      <c r="X923">
        <f t="shared" si="833"/>
        <v>0.35814156250923634</v>
      </c>
      <c r="Y923">
        <f t="shared" si="834"/>
        <v>7.8539816339744828</v>
      </c>
      <c r="Z923">
        <f t="shared" si="835"/>
        <v>-0.35814156250923634</v>
      </c>
      <c r="AA923">
        <f t="shared" si="857"/>
        <v>-0.95687474945344886</v>
      </c>
      <c r="AB923">
        <f t="shared" si="836"/>
        <v>6.8971068845210342</v>
      </c>
      <c r="AC923">
        <f t="shared" si="858"/>
        <v>-1.4784096500276964</v>
      </c>
      <c r="AD923">
        <f t="shared" si="837"/>
        <v>1.0482966594943974</v>
      </c>
      <c r="AE923" s="9">
        <f t="shared" si="859"/>
        <v>6.4669938939877349</v>
      </c>
      <c r="AF923">
        <f t="shared" si="860"/>
        <v>2.089273939350939E-277</v>
      </c>
      <c r="AH923">
        <f t="shared" si="838"/>
        <v>7.8539816339744828</v>
      </c>
      <c r="AI923">
        <f t="shared" si="839"/>
        <v>-0.95687474945344908</v>
      </c>
      <c r="AJ923">
        <f t="shared" si="840"/>
        <v>-1.4784096500276931</v>
      </c>
      <c r="AK923">
        <f t="shared" si="841"/>
        <v>1.0482966594943974</v>
      </c>
      <c r="AL923" s="9">
        <f t="shared" si="861"/>
        <v>6.4669938939877376</v>
      </c>
      <c r="AM923" t="e">
        <f t="shared" si="842"/>
        <v>#N/A</v>
      </c>
      <c r="AN923" t="e">
        <f t="shared" si="862"/>
        <v>#N/A</v>
      </c>
      <c r="AO923">
        <f t="shared" si="843"/>
        <v>0</v>
      </c>
      <c r="AP923">
        <f t="shared" si="844"/>
        <v>0</v>
      </c>
      <c r="AQ923">
        <f t="shared" si="845"/>
        <v>3.3306690738754696E-15</v>
      </c>
      <c r="AR923">
        <f t="shared" si="863"/>
        <v>0</v>
      </c>
      <c r="AS923">
        <f t="shared" si="846"/>
        <v>0</v>
      </c>
      <c r="AT923">
        <f t="shared" si="864"/>
        <v>0</v>
      </c>
      <c r="AU923">
        <f t="shared" si="865"/>
        <v>2.0892739393473821E-277</v>
      </c>
      <c r="AV923">
        <f t="shared" si="847"/>
        <v>3.5814156250923635E-21</v>
      </c>
      <c r="AW923" t="b">
        <f t="shared" si="866"/>
        <v>1</v>
      </c>
      <c r="AX923">
        <f t="shared" si="848"/>
        <v>7.8539816339744828</v>
      </c>
      <c r="AY923">
        <f t="shared" si="849"/>
        <v>-0.95687474945344908</v>
      </c>
      <c r="AZ923">
        <f t="shared" si="850"/>
        <v>-1.4784096500276964</v>
      </c>
      <c r="BA923">
        <f t="shared" si="851"/>
        <v>1.0482966594943977</v>
      </c>
      <c r="BB923">
        <f t="shared" si="852"/>
        <v>-1.2337005501361696E-20</v>
      </c>
      <c r="BD923" s="15">
        <f t="shared" si="867"/>
        <v>6.4669938939877341</v>
      </c>
      <c r="BE923" s="10">
        <f t="shared" si="868"/>
        <v>0</v>
      </c>
      <c r="BF923">
        <f t="shared" si="869"/>
        <v>0</v>
      </c>
      <c r="BG923">
        <f t="shared" si="870"/>
        <v>0</v>
      </c>
      <c r="BH923">
        <f t="shared" si="871"/>
        <v>0</v>
      </c>
      <c r="BI923">
        <f t="shared" si="872"/>
        <v>0</v>
      </c>
    </row>
    <row r="924" spans="1:61" x14ac:dyDescent="0.3">
      <c r="A924">
        <f t="shared" si="819"/>
        <v>0.88700000000000001</v>
      </c>
      <c r="B924">
        <f t="shared" si="820"/>
        <v>2.7865926837341464</v>
      </c>
      <c r="C924">
        <f t="shared" si="821"/>
        <v>0.35499996985564675</v>
      </c>
      <c r="D924">
        <f t="shared" si="822"/>
        <v>0.35499996985564675</v>
      </c>
      <c r="E924">
        <f t="shared" si="827"/>
        <v>0.34759033697103725</v>
      </c>
      <c r="F924">
        <f t="shared" si="828"/>
        <v>0.34759033697103714</v>
      </c>
      <c r="G924">
        <f t="shared" si="823"/>
        <v>2.7865926837341464</v>
      </c>
      <c r="H924">
        <f t="shared" si="824"/>
        <v>0.34759033697103725</v>
      </c>
      <c r="I924">
        <f t="shared" si="825"/>
        <v>0.34759033697103714</v>
      </c>
      <c r="J924">
        <f t="shared" si="815"/>
        <v>1.8315232175761762E+20</v>
      </c>
      <c r="K924">
        <f t="shared" si="816"/>
        <v>1.8315232175761762E+20</v>
      </c>
      <c r="L924">
        <f t="shared" si="829"/>
        <v>1</v>
      </c>
      <c r="M924">
        <f t="shared" si="826"/>
        <v>3.5499996985564699E-21</v>
      </c>
      <c r="N924" s="9">
        <f t="shared" si="817"/>
        <v>3.5499996985564699E-21</v>
      </c>
      <c r="O924">
        <f t="shared" si="818"/>
        <v>3.5499996985564699E-21</v>
      </c>
      <c r="Q924">
        <f t="shared" si="830"/>
        <v>46.656849839846565</v>
      </c>
      <c r="R924">
        <f t="shared" si="831"/>
        <v>0</v>
      </c>
      <c r="S924">
        <f t="shared" si="853"/>
        <v>-47.087339434301306</v>
      </c>
      <c r="T924" s="9" t="e">
        <f t="shared" si="832"/>
        <v>#N/A</v>
      </c>
      <c r="U924">
        <f t="shared" si="854"/>
        <v>-1.0000000000000001E+300</v>
      </c>
      <c r="V924">
        <f t="shared" si="855"/>
        <v>0</v>
      </c>
      <c r="W924">
        <f t="shared" si="856"/>
        <v>0</v>
      </c>
      <c r="X924">
        <f t="shared" si="833"/>
        <v>0.35499996985564675</v>
      </c>
      <c r="Y924">
        <f t="shared" si="834"/>
        <v>7.8539816339744828</v>
      </c>
      <c r="Z924">
        <f t="shared" si="835"/>
        <v>-0.35499996985564675</v>
      </c>
      <c r="AA924">
        <f t="shared" si="857"/>
        <v>-0.9576344437144324</v>
      </c>
      <c r="AB924">
        <f t="shared" si="836"/>
        <v>6.8963471902600499</v>
      </c>
      <c r="AC924">
        <f t="shared" si="858"/>
        <v>-1.4872202797098508</v>
      </c>
      <c r="AD924">
        <f t="shared" si="837"/>
        <v>1.0567306852551057</v>
      </c>
      <c r="AE924" s="9">
        <f t="shared" si="859"/>
        <v>6.4658575958053053</v>
      </c>
      <c r="AF924">
        <f t="shared" si="860"/>
        <v>4.3341496608764681E-277</v>
      </c>
      <c r="AH924">
        <f t="shared" si="838"/>
        <v>7.8539816339744828</v>
      </c>
      <c r="AI924">
        <f t="shared" si="839"/>
        <v>-0.95763444371443229</v>
      </c>
      <c r="AJ924">
        <f t="shared" si="840"/>
        <v>-1.4872202797098453</v>
      </c>
      <c r="AK924">
        <f t="shared" si="841"/>
        <v>1.0567306852551057</v>
      </c>
      <c r="AL924" s="9">
        <f t="shared" si="861"/>
        <v>6.4658575958053115</v>
      </c>
      <c r="AM924" t="e">
        <f t="shared" si="842"/>
        <v>#N/A</v>
      </c>
      <c r="AN924" t="e">
        <f t="shared" si="862"/>
        <v>#N/A</v>
      </c>
      <c r="AO924">
        <f t="shared" si="843"/>
        <v>0</v>
      </c>
      <c r="AP924">
        <f t="shared" si="844"/>
        <v>0</v>
      </c>
      <c r="AQ924">
        <f t="shared" si="845"/>
        <v>5.5511151231257827E-15</v>
      </c>
      <c r="AR924">
        <f t="shared" si="863"/>
        <v>0</v>
      </c>
      <c r="AS924">
        <f t="shared" si="846"/>
        <v>0</v>
      </c>
      <c r="AT924">
        <f t="shared" si="864"/>
        <v>0</v>
      </c>
      <c r="AU924">
        <f t="shared" si="865"/>
        <v>4.3341496608592493E-277</v>
      </c>
      <c r="AV924">
        <f t="shared" si="847"/>
        <v>3.5499996985564669E-21</v>
      </c>
      <c r="AW924" t="b">
        <f t="shared" si="866"/>
        <v>1</v>
      </c>
      <c r="AX924">
        <f t="shared" si="848"/>
        <v>7.8539816339744828</v>
      </c>
      <c r="AY924">
        <f t="shared" si="849"/>
        <v>-0.9576344437144324</v>
      </c>
      <c r="AZ924">
        <f t="shared" si="850"/>
        <v>-1.4872202797098508</v>
      </c>
      <c r="BA924">
        <f t="shared" si="851"/>
        <v>1.0567306852551059</v>
      </c>
      <c r="BB924">
        <f t="shared" si="852"/>
        <v>-1.2337005501361696E-20</v>
      </c>
      <c r="BD924" s="15">
        <f t="shared" si="867"/>
        <v>6.4658575958053053</v>
      </c>
      <c r="BE924" s="10">
        <f t="shared" si="868"/>
        <v>0</v>
      </c>
      <c r="BF924">
        <f t="shared" si="869"/>
        <v>0</v>
      </c>
      <c r="BG924">
        <f t="shared" si="870"/>
        <v>0</v>
      </c>
      <c r="BH924">
        <f t="shared" si="871"/>
        <v>0</v>
      </c>
      <c r="BI924">
        <f t="shared" si="872"/>
        <v>0</v>
      </c>
    </row>
    <row r="925" spans="1:61" x14ac:dyDescent="0.3">
      <c r="A925">
        <f t="shared" si="819"/>
        <v>0.88800000000000001</v>
      </c>
      <c r="B925">
        <f t="shared" si="820"/>
        <v>2.7897342763877364</v>
      </c>
      <c r="C925">
        <f t="shared" si="821"/>
        <v>0.3518583772020567</v>
      </c>
      <c r="D925">
        <f t="shared" si="822"/>
        <v>0.3518583772020567</v>
      </c>
      <c r="E925">
        <f t="shared" si="827"/>
        <v>0.34464292317451706</v>
      </c>
      <c r="F925">
        <f t="shared" si="828"/>
        <v>0.34464292317451695</v>
      </c>
      <c r="G925">
        <f t="shared" si="823"/>
        <v>2.7897342763877364</v>
      </c>
      <c r="H925">
        <f t="shared" si="824"/>
        <v>0.34464292317451706</v>
      </c>
      <c r="I925">
        <f t="shared" si="825"/>
        <v>0.34464292317451695</v>
      </c>
      <c r="J925">
        <f t="shared" si="815"/>
        <v>1.847186550368295E+20</v>
      </c>
      <c r="K925">
        <f t="shared" si="816"/>
        <v>1.847186550368295E+20</v>
      </c>
      <c r="L925" t="e">
        <f t="shared" si="829"/>
        <v>#NUM!</v>
      </c>
      <c r="M925">
        <f t="shared" si="826"/>
        <v>3.5185837720205643E-21</v>
      </c>
      <c r="N925" s="9" t="e">
        <f t="shared" si="817"/>
        <v>#NUM!</v>
      </c>
      <c r="O925" t="e">
        <f t="shared" si="818"/>
        <v>#NUM!</v>
      </c>
      <c r="Q925">
        <f t="shared" si="830"/>
        <v>46.665365557821332</v>
      </c>
      <c r="R925">
        <f t="shared" si="831"/>
        <v>0</v>
      </c>
      <c r="S925">
        <f t="shared" si="853"/>
        <v>-47.096228381718561</v>
      </c>
      <c r="T925" s="9" t="e">
        <f t="shared" si="832"/>
        <v>#N/A</v>
      </c>
      <c r="U925">
        <f t="shared" si="854"/>
        <v>-1.0000000000000001E+300</v>
      </c>
      <c r="V925">
        <f t="shared" si="855"/>
        <v>0</v>
      </c>
      <c r="W925">
        <f t="shared" si="856"/>
        <v>0</v>
      </c>
      <c r="X925">
        <f t="shared" si="833"/>
        <v>0.3518583772020567</v>
      </c>
      <c r="Y925">
        <f t="shared" si="834"/>
        <v>7.8539816339744828</v>
      </c>
      <c r="Z925">
        <f t="shared" si="835"/>
        <v>-0.3518583772020567</v>
      </c>
      <c r="AA925">
        <f t="shared" si="857"/>
        <v>-0.95838721635802693</v>
      </c>
      <c r="AB925">
        <f t="shared" si="836"/>
        <v>6.8955944176164561</v>
      </c>
      <c r="AC925">
        <f t="shared" si="858"/>
        <v>-1.4961092271270975</v>
      </c>
      <c r="AD925">
        <f t="shared" si="837"/>
        <v>1.0652464032298741</v>
      </c>
      <c r="AE925" s="9">
        <f t="shared" si="859"/>
        <v>6.4647315937192324</v>
      </c>
      <c r="AF925">
        <f t="shared" si="860"/>
        <v>8.9245290893929638E-277</v>
      </c>
      <c r="AH925">
        <f t="shared" si="838"/>
        <v>7.8539816339744828</v>
      </c>
      <c r="AI925">
        <f t="shared" si="839"/>
        <v>-0.95838721635802526</v>
      </c>
      <c r="AJ925">
        <f t="shared" si="840"/>
        <v>-1.4961092271270999</v>
      </c>
      <c r="AK925">
        <f t="shared" si="841"/>
        <v>1.0652464032298741</v>
      </c>
      <c r="AL925" s="9">
        <f t="shared" si="861"/>
        <v>6.4647315937192324</v>
      </c>
      <c r="AM925" t="e">
        <f t="shared" si="842"/>
        <v>#N/A</v>
      </c>
      <c r="AN925" t="e">
        <f t="shared" si="862"/>
        <v>#N/A</v>
      </c>
      <c r="AO925">
        <f t="shared" si="843"/>
        <v>0</v>
      </c>
      <c r="AP925">
        <f t="shared" si="844"/>
        <v>1.6653345369377348E-15</v>
      </c>
      <c r="AQ925">
        <f t="shared" si="845"/>
        <v>-2.4424906541753444E-15</v>
      </c>
      <c r="AR925">
        <f t="shared" si="863"/>
        <v>-1.7376426860806695E-15</v>
      </c>
      <c r="AS925">
        <f t="shared" si="846"/>
        <v>0</v>
      </c>
      <c r="AT925">
        <f t="shared" si="864"/>
        <v>0</v>
      </c>
      <c r="AU925">
        <f t="shared" si="865"/>
        <v>8.9245290893929638E-277</v>
      </c>
      <c r="AV925">
        <f t="shared" si="847"/>
        <v>3.5185837720205665E-21</v>
      </c>
      <c r="AW925" t="b">
        <f t="shared" si="866"/>
        <v>1</v>
      </c>
      <c r="AX925">
        <f t="shared" si="848"/>
        <v>7.8539816339744828</v>
      </c>
      <c r="AY925">
        <f t="shared" si="849"/>
        <v>-0.95838721635802693</v>
      </c>
      <c r="AZ925">
        <f t="shared" si="850"/>
        <v>-1.4961092271270975</v>
      </c>
      <c r="BA925">
        <f t="shared" si="851"/>
        <v>1.0652464032298743</v>
      </c>
      <c r="BB925">
        <f t="shared" si="852"/>
        <v>-1.2337005501361696E-20</v>
      </c>
      <c r="BD925" s="15">
        <f t="shared" si="867"/>
        <v>6.4647315937192333</v>
      </c>
      <c r="BE925" s="10">
        <f t="shared" si="868"/>
        <v>0</v>
      </c>
      <c r="BF925">
        <f t="shared" si="869"/>
        <v>0</v>
      </c>
      <c r="BG925">
        <f t="shared" si="870"/>
        <v>0</v>
      </c>
      <c r="BH925">
        <f t="shared" si="871"/>
        <v>0</v>
      </c>
      <c r="BI925">
        <f t="shared" si="872"/>
        <v>0</v>
      </c>
    </row>
    <row r="926" spans="1:61" x14ac:dyDescent="0.3">
      <c r="A926">
        <f t="shared" si="819"/>
        <v>0.88900000000000001</v>
      </c>
      <c r="B926">
        <f t="shared" si="820"/>
        <v>2.792875869041326</v>
      </c>
      <c r="C926">
        <f t="shared" si="821"/>
        <v>0.34871678454846711</v>
      </c>
      <c r="D926">
        <f t="shared" si="822"/>
        <v>0.34871678454846711</v>
      </c>
      <c r="E926">
        <f t="shared" si="827"/>
        <v>0.34169210789148347</v>
      </c>
      <c r="F926">
        <f t="shared" si="828"/>
        <v>0.34169210789148335</v>
      </c>
      <c r="G926">
        <f t="shared" si="823"/>
        <v>2.792875869041326</v>
      </c>
      <c r="H926">
        <f t="shared" si="824"/>
        <v>0.34169210789148347</v>
      </c>
      <c r="I926">
        <f t="shared" si="825"/>
        <v>0.34169210789148335</v>
      </c>
      <c r="J926">
        <f t="shared" si="815"/>
        <v>1.8631386492829467E+20</v>
      </c>
      <c r="K926">
        <f t="shared" si="816"/>
        <v>1.8631386492829467E+20</v>
      </c>
      <c r="L926">
        <f t="shared" si="829"/>
        <v>1</v>
      </c>
      <c r="M926">
        <f t="shared" si="826"/>
        <v>3.4871678454846707E-21</v>
      </c>
      <c r="N926" s="9">
        <f t="shared" si="817"/>
        <v>3.4871678454846707E-21</v>
      </c>
      <c r="O926">
        <f t="shared" si="818"/>
        <v>3.4871678454846707E-21</v>
      </c>
      <c r="Q926">
        <f t="shared" si="830"/>
        <v>46.673964371319947</v>
      </c>
      <c r="R926">
        <f t="shared" si="831"/>
        <v>0</v>
      </c>
      <c r="S926">
        <f t="shared" si="853"/>
        <v>-47.105197051701317</v>
      </c>
      <c r="T926" s="9" t="e">
        <f t="shared" si="832"/>
        <v>#N/A</v>
      </c>
      <c r="U926">
        <f t="shared" si="854"/>
        <v>-1.0000000000000001E+300</v>
      </c>
      <c r="V926">
        <f t="shared" si="855"/>
        <v>0</v>
      </c>
      <c r="W926">
        <f t="shared" si="856"/>
        <v>0</v>
      </c>
      <c r="X926">
        <f t="shared" si="833"/>
        <v>0.34871678454846711</v>
      </c>
      <c r="Y926">
        <f t="shared" si="834"/>
        <v>7.8539816339744828</v>
      </c>
      <c r="Z926">
        <f t="shared" si="835"/>
        <v>-0.34871678454846711</v>
      </c>
      <c r="AA926">
        <f t="shared" si="857"/>
        <v>-0.95913307358894118</v>
      </c>
      <c r="AB926">
        <f t="shared" si="836"/>
        <v>6.8948485603855421</v>
      </c>
      <c r="AC926">
        <f t="shared" si="858"/>
        <v>-1.5050778971098573</v>
      </c>
      <c r="AD926">
        <f t="shared" si="837"/>
        <v>1.0738452167284893</v>
      </c>
      <c r="AE926" s="9">
        <f t="shared" si="859"/>
        <v>6.4636158800041734</v>
      </c>
      <c r="AF926">
        <f t="shared" si="860"/>
        <v>1.8241134914219208E-276</v>
      </c>
      <c r="AH926">
        <f t="shared" si="838"/>
        <v>7.8539816339744828</v>
      </c>
      <c r="AI926">
        <f t="shared" si="839"/>
        <v>-0.95913307358894107</v>
      </c>
      <c r="AJ926">
        <f t="shared" si="840"/>
        <v>-1.5050778971098566</v>
      </c>
      <c r="AK926">
        <f t="shared" si="841"/>
        <v>1.0738452167284893</v>
      </c>
      <c r="AL926" s="9">
        <f t="shared" si="861"/>
        <v>6.4636158800041752</v>
      </c>
      <c r="AM926" t="e">
        <f t="shared" si="842"/>
        <v>#N/A</v>
      </c>
      <c r="AN926" t="e">
        <f t="shared" si="862"/>
        <v>#N/A</v>
      </c>
      <c r="AO926">
        <f t="shared" si="843"/>
        <v>0</v>
      </c>
      <c r="AP926">
        <f t="shared" si="844"/>
        <v>0</v>
      </c>
      <c r="AQ926">
        <f t="shared" si="845"/>
        <v>0</v>
      </c>
      <c r="AR926">
        <f t="shared" si="863"/>
        <v>0</v>
      </c>
      <c r="AS926">
        <f t="shared" si="846"/>
        <v>0</v>
      </c>
      <c r="AT926">
        <f t="shared" si="864"/>
        <v>0</v>
      </c>
      <c r="AU926">
        <f t="shared" si="865"/>
        <v>1.8241134914198501E-276</v>
      </c>
      <c r="AV926">
        <f t="shared" si="847"/>
        <v>3.4871678454846707E-21</v>
      </c>
      <c r="AW926" t="b">
        <f t="shared" si="866"/>
        <v>1</v>
      </c>
      <c r="AX926">
        <f t="shared" si="848"/>
        <v>7.8539816339744828</v>
      </c>
      <c r="AY926">
        <f t="shared" si="849"/>
        <v>-0.9591330735889414</v>
      </c>
      <c r="AZ926">
        <f t="shared" si="850"/>
        <v>-1.5050778971098575</v>
      </c>
      <c r="BA926">
        <f t="shared" si="851"/>
        <v>1.0738452167284895</v>
      </c>
      <c r="BB926">
        <f t="shared" si="852"/>
        <v>-1.2337005501361696E-20</v>
      </c>
      <c r="BD926" s="15">
        <f t="shared" si="867"/>
        <v>6.4636158800041734</v>
      </c>
      <c r="BE926" s="10">
        <f t="shared" si="868"/>
        <v>0</v>
      </c>
      <c r="BF926">
        <f t="shared" si="869"/>
        <v>0</v>
      </c>
      <c r="BG926">
        <f t="shared" si="870"/>
        <v>0</v>
      </c>
      <c r="BH926">
        <f t="shared" si="871"/>
        <v>0</v>
      </c>
      <c r="BI926">
        <f t="shared" si="872"/>
        <v>0</v>
      </c>
    </row>
    <row r="927" spans="1:61" x14ac:dyDescent="0.3">
      <c r="A927">
        <f t="shared" si="819"/>
        <v>0.89</v>
      </c>
      <c r="B927">
        <f t="shared" si="820"/>
        <v>2.7960174616949161</v>
      </c>
      <c r="C927">
        <f t="shared" si="821"/>
        <v>0.34557519189487707</v>
      </c>
      <c r="D927">
        <f t="shared" si="822"/>
        <v>0.34557519189487707</v>
      </c>
      <c r="E927">
        <f t="shared" si="827"/>
        <v>0.33873792024529131</v>
      </c>
      <c r="F927">
        <f t="shared" si="828"/>
        <v>0.3387379202452912</v>
      </c>
      <c r="G927">
        <f t="shared" si="823"/>
        <v>2.7960174616949161</v>
      </c>
      <c r="H927">
        <f t="shared" si="824"/>
        <v>0.33873792024529131</v>
      </c>
      <c r="I927">
        <f t="shared" si="825"/>
        <v>0.3387379202452912</v>
      </c>
      <c r="J927">
        <f t="shared" si="815"/>
        <v>1.8793873797966997E+20</v>
      </c>
      <c r="K927">
        <f t="shared" si="816"/>
        <v>1.8793873797966997E+20</v>
      </c>
      <c r="L927" t="e">
        <f t="shared" si="829"/>
        <v>#NUM!</v>
      </c>
      <c r="M927">
        <f t="shared" si="826"/>
        <v>3.4557519189487711E-21</v>
      </c>
      <c r="N927" s="9" t="e">
        <f t="shared" si="817"/>
        <v>#NUM!</v>
      </c>
      <c r="O927" t="e">
        <f t="shared" si="818"/>
        <v>#NUM!</v>
      </c>
      <c r="Q927">
        <f t="shared" si="830"/>
        <v>46.68264772180801</v>
      </c>
      <c r="R927">
        <f t="shared" si="831"/>
        <v>0</v>
      </c>
      <c r="S927">
        <f t="shared" si="853"/>
        <v>-47.114246887221235</v>
      </c>
      <c r="T927" s="9" t="e">
        <f t="shared" si="832"/>
        <v>#N/A</v>
      </c>
      <c r="U927">
        <f t="shared" si="854"/>
        <v>-1.0000000000000001E+300</v>
      </c>
      <c r="V927">
        <f t="shared" si="855"/>
        <v>0</v>
      </c>
      <c r="W927">
        <f t="shared" si="856"/>
        <v>0</v>
      </c>
      <c r="X927">
        <f t="shared" si="833"/>
        <v>0.34557519189487707</v>
      </c>
      <c r="Y927">
        <f t="shared" si="834"/>
        <v>7.8539816339744828</v>
      </c>
      <c r="Z927">
        <f t="shared" si="835"/>
        <v>-0.34557519189487707</v>
      </c>
      <c r="AA927">
        <f t="shared" si="857"/>
        <v>-0.95987202155019358</v>
      </c>
      <c r="AB927">
        <f t="shared" si="836"/>
        <v>6.8941096124242893</v>
      </c>
      <c r="AC927">
        <f t="shared" si="858"/>
        <v>-1.514127732629776</v>
      </c>
      <c r="AD927">
        <f t="shared" si="837"/>
        <v>1.0825285672165499</v>
      </c>
      <c r="AE927" s="9">
        <f t="shared" si="859"/>
        <v>6.4625104470110637</v>
      </c>
      <c r="AF927">
        <f t="shared" si="860"/>
        <v>3.7009707380042667E-276</v>
      </c>
      <c r="AH927">
        <f t="shared" si="838"/>
        <v>7.8539816339744828</v>
      </c>
      <c r="AI927">
        <f t="shared" si="839"/>
        <v>-0.95987202155019347</v>
      </c>
      <c r="AJ927">
        <f t="shared" si="840"/>
        <v>-1.514127732629774</v>
      </c>
      <c r="AK927">
        <f t="shared" si="841"/>
        <v>1.0825285672165499</v>
      </c>
      <c r="AL927" s="9">
        <f t="shared" si="861"/>
        <v>6.4625104470110655</v>
      </c>
      <c r="AM927" t="e">
        <f t="shared" si="842"/>
        <v>#N/A</v>
      </c>
      <c r="AN927" t="e">
        <f t="shared" si="862"/>
        <v>#N/A</v>
      </c>
      <c r="AO927">
        <f t="shared" si="843"/>
        <v>0</v>
      </c>
      <c r="AP927">
        <f t="shared" si="844"/>
        <v>0</v>
      </c>
      <c r="AQ927">
        <f t="shared" si="845"/>
        <v>1.9984014443252818E-15</v>
      </c>
      <c r="AR927">
        <f t="shared" si="863"/>
        <v>0</v>
      </c>
      <c r="AS927">
        <f t="shared" si="846"/>
        <v>0</v>
      </c>
      <c r="AT927">
        <f t="shared" si="864"/>
        <v>0</v>
      </c>
      <c r="AU927">
        <f t="shared" si="865"/>
        <v>3.7009707380000651E-276</v>
      </c>
      <c r="AV927">
        <f t="shared" si="847"/>
        <v>3.4557519189487703E-21</v>
      </c>
      <c r="AW927" t="b">
        <f t="shared" si="866"/>
        <v>1</v>
      </c>
      <c r="AX927">
        <f t="shared" si="848"/>
        <v>7.8539816339744828</v>
      </c>
      <c r="AY927">
        <f t="shared" si="849"/>
        <v>-0.95987202155019369</v>
      </c>
      <c r="AZ927">
        <f t="shared" si="850"/>
        <v>-1.514127732629776</v>
      </c>
      <c r="BA927">
        <f t="shared" si="851"/>
        <v>1.0825285672165501</v>
      </c>
      <c r="BB927">
        <f t="shared" si="852"/>
        <v>-1.2337005501361696E-20</v>
      </c>
      <c r="BD927" s="15">
        <f t="shared" si="867"/>
        <v>6.4625104470110637</v>
      </c>
      <c r="BE927" s="10">
        <f t="shared" si="868"/>
        <v>0</v>
      </c>
      <c r="BF927">
        <f t="shared" si="869"/>
        <v>0</v>
      </c>
      <c r="BG927">
        <f t="shared" si="870"/>
        <v>0</v>
      </c>
      <c r="BH927">
        <f t="shared" si="871"/>
        <v>0</v>
      </c>
      <c r="BI927">
        <f t="shared" si="872"/>
        <v>0</v>
      </c>
    </row>
    <row r="928" spans="1:61" x14ac:dyDescent="0.3">
      <c r="A928">
        <f t="shared" si="819"/>
        <v>0.89100000000000001</v>
      </c>
      <c r="B928">
        <f t="shared" si="820"/>
        <v>2.7991590543485056</v>
      </c>
      <c r="C928">
        <f t="shared" si="821"/>
        <v>0.34243359924128747</v>
      </c>
      <c r="D928">
        <f t="shared" si="822"/>
        <v>0.34243359924128747</v>
      </c>
      <c r="E928">
        <f t="shared" si="827"/>
        <v>0.33578038939258076</v>
      </c>
      <c r="F928">
        <f t="shared" si="828"/>
        <v>0.33578038939258065</v>
      </c>
      <c r="G928">
        <f t="shared" si="823"/>
        <v>2.7991590543485056</v>
      </c>
      <c r="H928">
        <f t="shared" si="824"/>
        <v>0.33578038939258076</v>
      </c>
      <c r="I928">
        <f t="shared" si="825"/>
        <v>0.33578038939258065</v>
      </c>
      <c r="J928">
        <f t="shared" si="815"/>
        <v>1.8959408961292003E+20</v>
      </c>
      <c r="K928">
        <f t="shared" si="816"/>
        <v>1.8959408961292003E+20</v>
      </c>
      <c r="L928">
        <f t="shared" si="829"/>
        <v>1</v>
      </c>
      <c r="M928">
        <f t="shared" si="826"/>
        <v>3.4243359924128775E-21</v>
      </c>
      <c r="N928" s="9">
        <f t="shared" si="817"/>
        <v>3.4243359924128775E-21</v>
      </c>
      <c r="O928">
        <f t="shared" si="818"/>
        <v>3.4243359924128775E-21</v>
      </c>
      <c r="Q928">
        <f t="shared" si="830"/>
        <v>46.69141709030022</v>
      </c>
      <c r="R928">
        <f t="shared" si="831"/>
        <v>0</v>
      </c>
      <c r="S928">
        <f t="shared" si="853"/>
        <v>-47.123379370784505</v>
      </c>
      <c r="T928" s="9" t="e">
        <f t="shared" si="832"/>
        <v>#N/A</v>
      </c>
      <c r="U928">
        <f t="shared" si="854"/>
        <v>-1.0000000000000001E+300</v>
      </c>
      <c r="V928">
        <f t="shared" si="855"/>
        <v>0</v>
      </c>
      <c r="W928">
        <f t="shared" si="856"/>
        <v>0</v>
      </c>
      <c r="X928">
        <f t="shared" si="833"/>
        <v>0.34243359924128747</v>
      </c>
      <c r="Y928">
        <f t="shared" si="834"/>
        <v>7.8539816339744828</v>
      </c>
      <c r="Z928">
        <f t="shared" si="835"/>
        <v>-0.34243359924128747</v>
      </c>
      <c r="AA928">
        <f t="shared" si="857"/>
        <v>-0.96060406632329309</v>
      </c>
      <c r="AB928">
        <f t="shared" si="836"/>
        <v>6.8933775676511893</v>
      </c>
      <c r="AC928">
        <f t="shared" si="858"/>
        <v>-1.523260216193048</v>
      </c>
      <c r="AD928">
        <f t="shared" si="837"/>
        <v>1.091297935708762</v>
      </c>
      <c r="AE928" s="9">
        <f t="shared" si="859"/>
        <v>6.4614152871669033</v>
      </c>
      <c r="AF928">
        <f t="shared" si="860"/>
        <v>7.4539876033990046E-276</v>
      </c>
      <c r="AH928">
        <f t="shared" si="838"/>
        <v>7.8539816339744828</v>
      </c>
      <c r="AI928">
        <f t="shared" si="839"/>
        <v>-0.96060406632329365</v>
      </c>
      <c r="AJ928">
        <f t="shared" si="840"/>
        <v>-1.5232602161930444</v>
      </c>
      <c r="AK928">
        <f t="shared" si="841"/>
        <v>1.091297935708762</v>
      </c>
      <c r="AL928" s="9">
        <f t="shared" si="861"/>
        <v>6.4614152871669068</v>
      </c>
      <c r="AM928" t="e">
        <f t="shared" si="842"/>
        <v>#N/A</v>
      </c>
      <c r="AN928" t="e">
        <f t="shared" si="862"/>
        <v>#N/A</v>
      </c>
      <c r="AO928">
        <f t="shared" si="843"/>
        <v>0</v>
      </c>
      <c r="AP928">
        <f t="shared" si="844"/>
        <v>0</v>
      </c>
      <c r="AQ928">
        <f t="shared" si="845"/>
        <v>3.5527136788005009E-15</v>
      </c>
      <c r="AR928">
        <f t="shared" si="863"/>
        <v>0</v>
      </c>
      <c r="AS928">
        <f t="shared" si="846"/>
        <v>0</v>
      </c>
      <c r="AT928">
        <f t="shared" si="864"/>
        <v>0</v>
      </c>
      <c r="AU928">
        <f t="shared" si="865"/>
        <v>7.453987603382083E-276</v>
      </c>
      <c r="AV928">
        <f t="shared" si="847"/>
        <v>3.4243359924128745E-21</v>
      </c>
      <c r="AW928" t="b">
        <f t="shared" si="866"/>
        <v>1</v>
      </c>
      <c r="AX928">
        <f t="shared" si="848"/>
        <v>7.8539816339744828</v>
      </c>
      <c r="AY928">
        <f t="shared" si="849"/>
        <v>-0.9606040663232932</v>
      </c>
      <c r="AZ928">
        <f t="shared" si="850"/>
        <v>-1.523260216193048</v>
      </c>
      <c r="BA928">
        <f t="shared" si="851"/>
        <v>1.0912979357087624</v>
      </c>
      <c r="BB928">
        <f t="shared" si="852"/>
        <v>-1.2337005501361696E-20</v>
      </c>
      <c r="BD928" s="15">
        <f t="shared" si="867"/>
        <v>6.4614152871669042</v>
      </c>
      <c r="BE928" s="10">
        <f t="shared" si="868"/>
        <v>0</v>
      </c>
      <c r="BF928">
        <f t="shared" si="869"/>
        <v>0</v>
      </c>
      <c r="BG928">
        <f t="shared" si="870"/>
        <v>0</v>
      </c>
      <c r="BH928">
        <f t="shared" si="871"/>
        <v>0</v>
      </c>
      <c r="BI928">
        <f t="shared" si="872"/>
        <v>0</v>
      </c>
    </row>
    <row r="929" spans="1:61" x14ac:dyDescent="0.3">
      <c r="A929">
        <f t="shared" si="819"/>
        <v>0.89200000000000002</v>
      </c>
      <c r="B929">
        <f t="shared" si="820"/>
        <v>2.8023006470020957</v>
      </c>
      <c r="C929">
        <f t="shared" si="821"/>
        <v>0.33929200658769743</v>
      </c>
      <c r="D929">
        <f t="shared" si="822"/>
        <v>0.33929200658769743</v>
      </c>
      <c r="E929">
        <f t="shared" si="827"/>
        <v>0.33281954452298651</v>
      </c>
      <c r="F929">
        <f t="shared" si="828"/>
        <v>0.3328195445229864</v>
      </c>
      <c r="G929">
        <f t="shared" si="823"/>
        <v>2.8023006470020957</v>
      </c>
      <c r="H929">
        <f t="shared" si="824"/>
        <v>0.33281954452298651</v>
      </c>
      <c r="I929">
        <f t="shared" si="825"/>
        <v>0.3328195445229864</v>
      </c>
      <c r="J929">
        <f t="shared" si="815"/>
        <v>1.9128076546105983E+20</v>
      </c>
      <c r="K929">
        <f t="shared" si="816"/>
        <v>1.9128076546105983E+20</v>
      </c>
      <c r="L929">
        <f t="shared" si="829"/>
        <v>1</v>
      </c>
      <c r="M929">
        <f t="shared" si="826"/>
        <v>3.3929200658769718E-21</v>
      </c>
      <c r="N929" s="9">
        <f t="shared" si="817"/>
        <v>3.3929200658769718E-21</v>
      </c>
      <c r="O929">
        <f t="shared" si="818"/>
        <v>3.3929200658769718E-21</v>
      </c>
      <c r="Q929">
        <f t="shared" si="830"/>
        <v>46.700273998817927</v>
      </c>
      <c r="R929">
        <f t="shared" si="831"/>
        <v>0</v>
      </c>
      <c r="S929">
        <f t="shared" si="853"/>
        <v>-47.132596025889434</v>
      </c>
      <c r="T929" s="9" t="e">
        <f t="shared" si="832"/>
        <v>#N/A</v>
      </c>
      <c r="U929">
        <f t="shared" si="854"/>
        <v>-1.0000000000000001E+300</v>
      </c>
      <c r="V929">
        <f t="shared" si="855"/>
        <v>0</v>
      </c>
      <c r="W929">
        <f t="shared" si="856"/>
        <v>0</v>
      </c>
      <c r="X929">
        <f t="shared" si="833"/>
        <v>0.33929200658769743</v>
      </c>
      <c r="Y929">
        <f t="shared" si="834"/>
        <v>7.8539816339744828</v>
      </c>
      <c r="Z929">
        <f t="shared" si="835"/>
        <v>-0.33929200658769743</v>
      </c>
      <c r="AA929">
        <f t="shared" si="857"/>
        <v>-0.96132921392842219</v>
      </c>
      <c r="AB929">
        <f t="shared" si="836"/>
        <v>6.8926524200460602</v>
      </c>
      <c r="AC929">
        <f t="shared" si="858"/>
        <v>-1.5324768712979726</v>
      </c>
      <c r="AD929">
        <f t="shared" si="837"/>
        <v>1.1001548442264653</v>
      </c>
      <c r="AE929" s="9">
        <f t="shared" si="859"/>
        <v>6.4603303929745532</v>
      </c>
      <c r="AF929">
        <f t="shared" si="860"/>
        <v>1.4903309803364026E-275</v>
      </c>
      <c r="AH929">
        <f t="shared" si="838"/>
        <v>7.8539816339744828</v>
      </c>
      <c r="AI929">
        <f t="shared" si="839"/>
        <v>-0.96132921392842186</v>
      </c>
      <c r="AJ929">
        <f t="shared" si="840"/>
        <v>-1.5324768712979733</v>
      </c>
      <c r="AK929">
        <f t="shared" si="841"/>
        <v>1.1001548442264653</v>
      </c>
      <c r="AL929" s="9">
        <f t="shared" si="861"/>
        <v>6.4603303929745532</v>
      </c>
      <c r="AM929" t="e">
        <f t="shared" si="842"/>
        <v>#N/A</v>
      </c>
      <c r="AN929" t="e">
        <f t="shared" si="862"/>
        <v>#N/A</v>
      </c>
      <c r="AO929">
        <f t="shared" si="843"/>
        <v>0</v>
      </c>
      <c r="AP929">
        <f t="shared" si="844"/>
        <v>0</v>
      </c>
      <c r="AQ929">
        <f t="shared" si="845"/>
        <v>0</v>
      </c>
      <c r="AR929">
        <f t="shared" si="863"/>
        <v>0</v>
      </c>
      <c r="AS929">
        <f t="shared" si="846"/>
        <v>0</v>
      </c>
      <c r="AT929">
        <f t="shared" si="864"/>
        <v>0</v>
      </c>
      <c r="AU929">
        <f t="shared" si="865"/>
        <v>1.4903309803364026E-275</v>
      </c>
      <c r="AV929">
        <f t="shared" si="847"/>
        <v>3.3929200658769741E-21</v>
      </c>
      <c r="AW929" t="b">
        <f t="shared" si="866"/>
        <v>1</v>
      </c>
      <c r="AX929">
        <f t="shared" si="848"/>
        <v>7.8539816339744828</v>
      </c>
      <c r="AY929">
        <f t="shared" si="849"/>
        <v>-0.96132921392842241</v>
      </c>
      <c r="AZ929">
        <f t="shared" si="850"/>
        <v>-1.5324768712979726</v>
      </c>
      <c r="BA929">
        <f t="shared" si="851"/>
        <v>1.1001548442264655</v>
      </c>
      <c r="BB929">
        <f t="shared" si="852"/>
        <v>-1.2337005501361696E-20</v>
      </c>
      <c r="BD929" s="15">
        <f t="shared" si="867"/>
        <v>6.4603303929745532</v>
      </c>
      <c r="BE929" s="10">
        <f t="shared" si="868"/>
        <v>0</v>
      </c>
      <c r="BF929">
        <f t="shared" si="869"/>
        <v>0</v>
      </c>
      <c r="BG929">
        <f t="shared" si="870"/>
        <v>0</v>
      </c>
      <c r="BH929">
        <f t="shared" si="871"/>
        <v>0</v>
      </c>
      <c r="BI929">
        <f t="shared" si="872"/>
        <v>0</v>
      </c>
    </row>
    <row r="930" spans="1:61" x14ac:dyDescent="0.3">
      <c r="A930">
        <f t="shared" si="819"/>
        <v>0.89300000000000002</v>
      </c>
      <c r="B930">
        <f t="shared" si="820"/>
        <v>2.8054422396556853</v>
      </c>
      <c r="C930">
        <f t="shared" si="821"/>
        <v>0.33615041393410783</v>
      </c>
      <c r="D930">
        <f t="shared" si="822"/>
        <v>0.33615041393410783</v>
      </c>
      <c r="E930">
        <f t="shared" si="827"/>
        <v>0.32985541485885295</v>
      </c>
      <c r="F930">
        <f t="shared" si="828"/>
        <v>0.32985541485885284</v>
      </c>
      <c r="G930">
        <f t="shared" si="823"/>
        <v>2.8054422396556853</v>
      </c>
      <c r="H930">
        <f t="shared" si="824"/>
        <v>0.32985541485885295</v>
      </c>
      <c r="I930">
        <f t="shared" si="825"/>
        <v>0.32985541485885284</v>
      </c>
      <c r="J930">
        <f t="shared" si="815"/>
        <v>1.929996427798509E+20</v>
      </c>
      <c r="K930">
        <f t="shared" si="816"/>
        <v>1.929996427798509E+20</v>
      </c>
      <c r="L930">
        <f t="shared" si="829"/>
        <v>1</v>
      </c>
      <c r="M930">
        <f t="shared" si="826"/>
        <v>3.3615041393410782E-21</v>
      </c>
      <c r="N930" s="9">
        <f t="shared" si="817"/>
        <v>3.3615041393410782E-21</v>
      </c>
      <c r="O930">
        <f t="shared" si="818"/>
        <v>3.3615041393410782E-21</v>
      </c>
      <c r="Q930">
        <f t="shared" si="830"/>
        <v>46.709220011914397</v>
      </c>
      <c r="R930">
        <f t="shared" si="831"/>
        <v>0</v>
      </c>
      <c r="S930">
        <f t="shared" si="853"/>
        <v>-47.141898418551747</v>
      </c>
      <c r="T930" s="9" t="e">
        <f t="shared" si="832"/>
        <v>#N/A</v>
      </c>
      <c r="U930">
        <f t="shared" si="854"/>
        <v>-1.0000000000000001E+300</v>
      </c>
      <c r="V930">
        <f t="shared" si="855"/>
        <v>0</v>
      </c>
      <c r="W930">
        <f t="shared" si="856"/>
        <v>0</v>
      </c>
      <c r="X930">
        <f t="shared" si="833"/>
        <v>0.33615041393410783</v>
      </c>
      <c r="Y930">
        <f t="shared" si="834"/>
        <v>7.8539816339744828</v>
      </c>
      <c r="Z930">
        <f t="shared" si="835"/>
        <v>-0.33615041393410783</v>
      </c>
      <c r="AA930">
        <f t="shared" si="857"/>
        <v>-0.96204747032461468</v>
      </c>
      <c r="AB930">
        <f t="shared" si="836"/>
        <v>6.8919341636498679</v>
      </c>
      <c r="AC930">
        <f t="shared" si="858"/>
        <v>-1.5417792639602856</v>
      </c>
      <c r="AD930">
        <f t="shared" si="837"/>
        <v>1.1091008573229344</v>
      </c>
      <c r="AE930" s="9">
        <f t="shared" si="859"/>
        <v>6.4592557570125164</v>
      </c>
      <c r="AF930">
        <f t="shared" si="860"/>
        <v>2.9580773916333893E-275</v>
      </c>
      <c r="AH930">
        <f t="shared" si="838"/>
        <v>7.8539816339744828</v>
      </c>
      <c r="AI930">
        <f t="shared" si="839"/>
        <v>-0.96204747032461357</v>
      </c>
      <c r="AJ930">
        <f t="shared" si="840"/>
        <v>-1.5417792639602865</v>
      </c>
      <c r="AK930">
        <f t="shared" si="841"/>
        <v>1.1091008573229344</v>
      </c>
      <c r="AL930" s="9">
        <f t="shared" si="861"/>
        <v>6.4592557570125173</v>
      </c>
      <c r="AM930" t="e">
        <f t="shared" si="842"/>
        <v>#N/A</v>
      </c>
      <c r="AN930" t="e">
        <f t="shared" si="862"/>
        <v>#N/A</v>
      </c>
      <c r="AO930">
        <f t="shared" si="843"/>
        <v>0</v>
      </c>
      <c r="AP930">
        <f t="shared" si="844"/>
        <v>1.1102230246251565E-15</v>
      </c>
      <c r="AQ930">
        <f t="shared" si="845"/>
        <v>0</v>
      </c>
      <c r="AR930">
        <f t="shared" si="863"/>
        <v>-1.1540210424861318E-15</v>
      </c>
      <c r="AS930">
        <f t="shared" si="846"/>
        <v>0</v>
      </c>
      <c r="AT930">
        <f t="shared" si="864"/>
        <v>0</v>
      </c>
      <c r="AU930">
        <f t="shared" si="865"/>
        <v>2.9580773916317109E-275</v>
      </c>
      <c r="AV930">
        <f t="shared" si="847"/>
        <v>3.3615041393410782E-21</v>
      </c>
      <c r="AW930" t="b">
        <f t="shared" si="866"/>
        <v>1</v>
      </c>
      <c r="AX930">
        <f t="shared" si="848"/>
        <v>7.8539816339744828</v>
      </c>
      <c r="AY930">
        <f t="shared" si="849"/>
        <v>-0.96204747032461491</v>
      </c>
      <c r="AZ930">
        <f t="shared" si="850"/>
        <v>-1.5417792639602856</v>
      </c>
      <c r="BA930">
        <f t="shared" si="851"/>
        <v>1.1091008573229348</v>
      </c>
      <c r="BB930">
        <f t="shared" si="852"/>
        <v>-1.2337005501361696E-20</v>
      </c>
      <c r="BD930" s="15">
        <f t="shared" si="867"/>
        <v>6.4592557570125173</v>
      </c>
      <c r="BE930" s="10">
        <f t="shared" si="868"/>
        <v>0</v>
      </c>
      <c r="BF930">
        <f t="shared" si="869"/>
        <v>0</v>
      </c>
      <c r="BG930">
        <f t="shared" si="870"/>
        <v>0</v>
      </c>
      <c r="BH930">
        <f t="shared" si="871"/>
        <v>0</v>
      </c>
      <c r="BI930">
        <f t="shared" si="872"/>
        <v>0</v>
      </c>
    </row>
    <row r="931" spans="1:61" x14ac:dyDescent="0.3">
      <c r="A931">
        <f t="shared" si="819"/>
        <v>0.89400000000000002</v>
      </c>
      <c r="B931">
        <f t="shared" si="820"/>
        <v>2.8085838323092749</v>
      </c>
      <c r="C931">
        <f t="shared" si="821"/>
        <v>0.33300882128051823</v>
      </c>
      <c r="D931">
        <f t="shared" si="822"/>
        <v>0.33300882128051823</v>
      </c>
      <c r="E931">
        <f t="shared" si="827"/>
        <v>0.32688802965494274</v>
      </c>
      <c r="F931">
        <f t="shared" si="828"/>
        <v>0.32688802965494262</v>
      </c>
      <c r="G931">
        <f t="shared" si="823"/>
        <v>2.8085838323092749</v>
      </c>
      <c r="H931">
        <f t="shared" si="824"/>
        <v>0.32688802965494274</v>
      </c>
      <c r="I931">
        <f t="shared" si="825"/>
        <v>0.32688802965494262</v>
      </c>
      <c r="J931">
        <f t="shared" si="815"/>
        <v>1.9475163193940938E+20</v>
      </c>
      <c r="K931">
        <f t="shared" si="816"/>
        <v>1.9475163193940938E+20</v>
      </c>
      <c r="L931" t="e">
        <f t="shared" si="829"/>
        <v>#NUM!</v>
      </c>
      <c r="M931">
        <f t="shared" si="826"/>
        <v>3.3300882128051846E-21</v>
      </c>
      <c r="N931" s="9" t="e">
        <f t="shared" si="817"/>
        <v>#NUM!</v>
      </c>
      <c r="O931" t="e">
        <f t="shared" si="818"/>
        <v>#NUM!</v>
      </c>
      <c r="Q931">
        <f t="shared" si="830"/>
        <v>46.718256738271776</v>
      </c>
      <c r="R931">
        <f t="shared" si="831"/>
        <v>0</v>
      </c>
      <c r="S931">
        <f t="shared" si="853"/>
        <v>-47.151288158901579</v>
      </c>
      <c r="T931" s="9" t="e">
        <f t="shared" si="832"/>
        <v>#N/A</v>
      </c>
      <c r="U931">
        <f t="shared" si="854"/>
        <v>-1.0000000000000001E+300</v>
      </c>
      <c r="V931">
        <f t="shared" si="855"/>
        <v>0</v>
      </c>
      <c r="W931">
        <f t="shared" si="856"/>
        <v>0</v>
      </c>
      <c r="X931">
        <f t="shared" si="833"/>
        <v>0.33300882128051823</v>
      </c>
      <c r="Y931">
        <f t="shared" si="834"/>
        <v>7.8539816339744828</v>
      </c>
      <c r="Z931">
        <f t="shared" si="835"/>
        <v>-0.33300882128051823</v>
      </c>
      <c r="AA931">
        <f t="shared" si="857"/>
        <v>-0.96275884140993351</v>
      </c>
      <c r="AB931">
        <f t="shared" si="836"/>
        <v>6.8912227925645491</v>
      </c>
      <c r="AC931">
        <f t="shared" si="858"/>
        <v>-1.5511690043101241</v>
      </c>
      <c r="AD931">
        <f t="shared" si="837"/>
        <v>1.1181375836803178</v>
      </c>
      <c r="AE931" s="9">
        <f t="shared" si="859"/>
        <v>6.4581913719347419</v>
      </c>
      <c r="AF931">
        <f t="shared" si="860"/>
        <v>5.8288197771979612E-275</v>
      </c>
      <c r="AH931">
        <f t="shared" si="838"/>
        <v>7.8539816339744828</v>
      </c>
      <c r="AI931">
        <f t="shared" si="839"/>
        <v>-0.96275884140993417</v>
      </c>
      <c r="AJ931">
        <f t="shared" si="840"/>
        <v>-1.5511690043101183</v>
      </c>
      <c r="AK931">
        <f t="shared" si="841"/>
        <v>1.1181375836803178</v>
      </c>
      <c r="AL931" s="9">
        <f t="shared" si="861"/>
        <v>6.4581913719347472</v>
      </c>
      <c r="AM931" t="e">
        <f t="shared" si="842"/>
        <v>#N/A</v>
      </c>
      <c r="AN931" t="e">
        <f t="shared" si="862"/>
        <v>#N/A</v>
      </c>
      <c r="AO931">
        <f t="shared" si="843"/>
        <v>0</v>
      </c>
      <c r="AP931">
        <f t="shared" si="844"/>
        <v>0</v>
      </c>
      <c r="AQ931">
        <f t="shared" si="845"/>
        <v>5.773159728050814E-15</v>
      </c>
      <c r="AR931">
        <f t="shared" si="863"/>
        <v>0</v>
      </c>
      <c r="AS931">
        <f t="shared" si="846"/>
        <v>0</v>
      </c>
      <c r="AT931">
        <f t="shared" si="864"/>
        <v>0</v>
      </c>
      <c r="AU931">
        <f t="shared" si="865"/>
        <v>5.828819777178112E-275</v>
      </c>
      <c r="AV931">
        <f t="shared" si="847"/>
        <v>3.330088212805182E-21</v>
      </c>
      <c r="AW931" t="b">
        <f t="shared" si="866"/>
        <v>1</v>
      </c>
      <c r="AX931">
        <f t="shared" si="848"/>
        <v>7.8539816339744828</v>
      </c>
      <c r="AY931">
        <f t="shared" si="849"/>
        <v>-0.96275884140993351</v>
      </c>
      <c r="AZ931">
        <f t="shared" si="850"/>
        <v>-1.5511690043101241</v>
      </c>
      <c r="BA931">
        <f t="shared" si="851"/>
        <v>1.1181375836803182</v>
      </c>
      <c r="BB931">
        <f t="shared" si="852"/>
        <v>-1.2337005501361696E-20</v>
      </c>
      <c r="BD931" s="15">
        <f t="shared" si="867"/>
        <v>6.4581913719347428</v>
      </c>
      <c r="BE931" s="10">
        <f t="shared" si="868"/>
        <v>0</v>
      </c>
      <c r="BF931">
        <f t="shared" si="869"/>
        <v>0</v>
      </c>
      <c r="BG931">
        <f t="shared" si="870"/>
        <v>0</v>
      </c>
      <c r="BH931">
        <f t="shared" si="871"/>
        <v>0</v>
      </c>
      <c r="BI931">
        <f t="shared" si="872"/>
        <v>0</v>
      </c>
    </row>
    <row r="932" spans="1:61" x14ac:dyDescent="0.3">
      <c r="A932">
        <f t="shared" si="819"/>
        <v>0.89500000000000002</v>
      </c>
      <c r="B932">
        <f t="shared" si="820"/>
        <v>2.8117254249628649</v>
      </c>
      <c r="C932">
        <f t="shared" si="821"/>
        <v>0.32986722862692819</v>
      </c>
      <c r="D932">
        <f t="shared" si="822"/>
        <v>0.32986722862692819</v>
      </c>
      <c r="E932">
        <f t="shared" si="827"/>
        <v>0.32391741819814945</v>
      </c>
      <c r="F932">
        <f t="shared" si="828"/>
        <v>0.32391741819814934</v>
      </c>
      <c r="G932">
        <f t="shared" si="823"/>
        <v>2.8117254249628649</v>
      </c>
      <c r="H932">
        <f t="shared" si="824"/>
        <v>0.32391741819814945</v>
      </c>
      <c r="I932">
        <f t="shared" si="825"/>
        <v>0.32391741819814934</v>
      </c>
      <c r="J932">
        <f t="shared" si="815"/>
        <v>1.9653767800104626E+20</v>
      </c>
      <c r="K932">
        <f t="shared" si="816"/>
        <v>1.9653767800104626E+20</v>
      </c>
      <c r="L932">
        <f t="shared" si="829"/>
        <v>1</v>
      </c>
      <c r="M932">
        <f t="shared" si="826"/>
        <v>3.298672286269279E-21</v>
      </c>
      <c r="N932" s="9">
        <f t="shared" si="817"/>
        <v>3.298672286269279E-21</v>
      </c>
      <c r="O932">
        <f t="shared" si="818"/>
        <v>3.298672286269279E-21</v>
      </c>
      <c r="Q932">
        <f t="shared" si="830"/>
        <v>46.727385832373706</v>
      </c>
      <c r="R932">
        <f t="shared" si="831"/>
        <v>-710542.73576010019</v>
      </c>
      <c r="S932">
        <f t="shared" si="853"/>
        <v>-47.160766902856132</v>
      </c>
      <c r="T932" s="9" t="e">
        <f t="shared" si="832"/>
        <v>#N/A</v>
      </c>
      <c r="U932">
        <f t="shared" si="854"/>
        <v>-1.0000000000000001E+300</v>
      </c>
      <c r="V932">
        <f t="shared" si="855"/>
        <v>0</v>
      </c>
      <c r="W932">
        <f t="shared" si="856"/>
        <v>0</v>
      </c>
      <c r="X932">
        <f t="shared" si="833"/>
        <v>0.32986722862692819</v>
      </c>
      <c r="Y932">
        <f t="shared" si="834"/>
        <v>7.8539816339744828</v>
      </c>
      <c r="Z932">
        <f t="shared" si="835"/>
        <v>-0.32986722862692819</v>
      </c>
      <c r="AA932">
        <f t="shared" si="857"/>
        <v>-0.96346333302164566</v>
      </c>
      <c r="AB932">
        <f t="shared" si="836"/>
        <v>6.890518300952837</v>
      </c>
      <c r="AC932">
        <f t="shared" si="858"/>
        <v>-1.5606477482646686</v>
      </c>
      <c r="AD932">
        <f t="shared" si="837"/>
        <v>1.1272666777822489</v>
      </c>
      <c r="AE932" s="9">
        <f t="shared" si="859"/>
        <v>6.4571372304704173</v>
      </c>
      <c r="AF932">
        <f t="shared" si="860"/>
        <v>1.1402692998267123E-274</v>
      </c>
      <c r="AH932">
        <f t="shared" si="838"/>
        <v>7.8539816339744828</v>
      </c>
      <c r="AI932">
        <f t="shared" si="839"/>
        <v>-0.96346333302164489</v>
      </c>
      <c r="AJ932">
        <f t="shared" si="840"/>
        <v>-1.560647748264671</v>
      </c>
      <c r="AK932">
        <f t="shared" si="841"/>
        <v>1.1272666777822489</v>
      </c>
      <c r="AL932" s="9">
        <f t="shared" si="861"/>
        <v>6.4571372304704155</v>
      </c>
      <c r="AM932" t="e">
        <f t="shared" si="842"/>
        <v>#N/A</v>
      </c>
      <c r="AN932" t="e">
        <f t="shared" si="862"/>
        <v>#N/A</v>
      </c>
      <c r="AO932">
        <f t="shared" si="843"/>
        <v>0</v>
      </c>
      <c r="AP932">
        <f t="shared" si="844"/>
        <v>0</v>
      </c>
      <c r="AQ932">
        <f t="shared" si="845"/>
        <v>-2.4424906541753444E-15</v>
      </c>
      <c r="AR932">
        <f t="shared" si="863"/>
        <v>0</v>
      </c>
      <c r="AS932">
        <f t="shared" si="846"/>
        <v>0</v>
      </c>
      <c r="AT932">
        <f t="shared" si="864"/>
        <v>0</v>
      </c>
      <c r="AU932">
        <f t="shared" si="865"/>
        <v>1.1402692998280067E-274</v>
      </c>
      <c r="AV932">
        <f t="shared" si="847"/>
        <v>3.2986722862692816E-21</v>
      </c>
      <c r="AW932" t="b">
        <f t="shared" si="866"/>
        <v>1</v>
      </c>
      <c r="AX932">
        <f t="shared" si="848"/>
        <v>7.8539816339744828</v>
      </c>
      <c r="AY932">
        <f t="shared" si="849"/>
        <v>-0.963463333021646</v>
      </c>
      <c r="AZ932">
        <f t="shared" si="850"/>
        <v>-1.5606477482646686</v>
      </c>
      <c r="BA932">
        <f t="shared" si="851"/>
        <v>1.1272666777822491</v>
      </c>
      <c r="BB932">
        <f t="shared" si="852"/>
        <v>-1.2337005501361696E-20</v>
      </c>
      <c r="BD932" s="15">
        <f t="shared" si="867"/>
        <v>6.4571372304704173</v>
      </c>
      <c r="BE932" s="10">
        <f t="shared" si="868"/>
        <v>0</v>
      </c>
      <c r="BF932">
        <f t="shared" si="869"/>
        <v>0</v>
      </c>
      <c r="BG932">
        <f t="shared" si="870"/>
        <v>0</v>
      </c>
      <c r="BH932">
        <f t="shared" si="871"/>
        <v>0</v>
      </c>
      <c r="BI932">
        <f t="shared" si="872"/>
        <v>0</v>
      </c>
    </row>
    <row r="933" spans="1:61" x14ac:dyDescent="0.3">
      <c r="A933">
        <f t="shared" si="819"/>
        <v>0.89600000000000002</v>
      </c>
      <c r="B933">
        <f t="shared" si="820"/>
        <v>2.8148670176164545</v>
      </c>
      <c r="C933">
        <f t="shared" si="821"/>
        <v>0.32672563597333859</v>
      </c>
      <c r="D933">
        <f t="shared" si="822"/>
        <v>0.32672563597333859</v>
      </c>
      <c r="E933">
        <f t="shared" si="827"/>
        <v>0.32094360980720971</v>
      </c>
      <c r="F933">
        <f t="shared" si="828"/>
        <v>0.3209436098072096</v>
      </c>
      <c r="G933">
        <f t="shared" si="823"/>
        <v>2.8148670176164545</v>
      </c>
      <c r="H933">
        <f t="shared" si="824"/>
        <v>0.32094360980720971</v>
      </c>
      <c r="I933">
        <f t="shared" si="825"/>
        <v>0.3209436098072096</v>
      </c>
      <c r="J933">
        <f t="shared" ref="J933:J996" si="873">x_m_zeta/H933</f>
        <v>1.9835876238507999E+20</v>
      </c>
      <c r="K933">
        <f t="shared" ref="K933:K996" si="874">(J933)^alpha</f>
        <v>1.9835876238507999E+20</v>
      </c>
      <c r="L933">
        <f t="shared" si="829"/>
        <v>1</v>
      </c>
      <c r="M933">
        <f t="shared" si="826"/>
        <v>3.2672563597333854E-21</v>
      </c>
      <c r="N933" s="9">
        <f t="shared" si="817"/>
        <v>3.2672563597333854E-21</v>
      </c>
      <c r="O933">
        <f t="shared" si="818"/>
        <v>3.2672563597333854E-21</v>
      </c>
      <c r="Q933">
        <f t="shared" si="830"/>
        <v>46.736608996257957</v>
      </c>
      <c r="R933">
        <f t="shared" si="831"/>
        <v>0</v>
      </c>
      <c r="S933">
        <f t="shared" si="853"/>
        <v>-47.17033635387228</v>
      </c>
      <c r="T933" s="9" t="e">
        <f t="shared" si="832"/>
        <v>#N/A</v>
      </c>
      <c r="U933">
        <f t="shared" si="854"/>
        <v>-1.0000000000000001E+300</v>
      </c>
      <c r="V933">
        <f t="shared" si="855"/>
        <v>0</v>
      </c>
      <c r="W933">
        <f t="shared" si="856"/>
        <v>0</v>
      </c>
      <c r="X933">
        <f t="shared" si="833"/>
        <v>0.32672563597333859</v>
      </c>
      <c r="Y933">
        <f t="shared" si="834"/>
        <v>7.8539816339744828</v>
      </c>
      <c r="Z933">
        <f t="shared" si="835"/>
        <v>-0.32672563597333859</v>
      </c>
      <c r="AA933">
        <f t="shared" si="857"/>
        <v>-0.96416095093639576</v>
      </c>
      <c r="AB933">
        <f t="shared" si="836"/>
        <v>6.8898206830380868</v>
      </c>
      <c r="AC933">
        <f t="shared" si="858"/>
        <v>-1.5702171992808187</v>
      </c>
      <c r="AD933">
        <f t="shared" si="837"/>
        <v>1.1364898416664944</v>
      </c>
      <c r="AE933" s="9">
        <f t="shared" si="859"/>
        <v>6.4560933254237618</v>
      </c>
      <c r="AF933">
        <f t="shared" si="860"/>
        <v>2.2146302379665442E-274</v>
      </c>
      <c r="AH933">
        <f t="shared" si="838"/>
        <v>7.8539816339744828</v>
      </c>
      <c r="AI933">
        <f t="shared" si="839"/>
        <v>-0.96416095093639576</v>
      </c>
      <c r="AJ933">
        <f t="shared" si="840"/>
        <v>-1.5702171992808189</v>
      </c>
      <c r="AK933">
        <f t="shared" si="841"/>
        <v>1.1364898416664944</v>
      </c>
      <c r="AL933" s="9">
        <f t="shared" si="861"/>
        <v>6.4560933254237618</v>
      </c>
      <c r="AM933" t="e">
        <f t="shared" si="842"/>
        <v>#N/A</v>
      </c>
      <c r="AN933" t="e">
        <f t="shared" si="862"/>
        <v>#N/A</v>
      </c>
      <c r="AO933">
        <f t="shared" si="843"/>
        <v>0</v>
      </c>
      <c r="AP933">
        <f t="shared" si="844"/>
        <v>0</v>
      </c>
      <c r="AQ933">
        <f t="shared" si="845"/>
        <v>0</v>
      </c>
      <c r="AR933">
        <f t="shared" si="863"/>
        <v>0</v>
      </c>
      <c r="AS933">
        <f t="shared" si="846"/>
        <v>0</v>
      </c>
      <c r="AT933">
        <f t="shared" si="864"/>
        <v>0</v>
      </c>
      <c r="AU933">
        <f t="shared" si="865"/>
        <v>2.2146302379665442E-274</v>
      </c>
      <c r="AV933">
        <f t="shared" si="847"/>
        <v>3.2672563597333858E-21</v>
      </c>
      <c r="AW933" t="b">
        <f t="shared" si="866"/>
        <v>1</v>
      </c>
      <c r="AX933">
        <f t="shared" si="848"/>
        <v>7.8539816339744828</v>
      </c>
      <c r="AY933">
        <f t="shared" si="849"/>
        <v>-0.96416095093639609</v>
      </c>
      <c r="AZ933">
        <f t="shared" si="850"/>
        <v>-1.5702171992808187</v>
      </c>
      <c r="BA933">
        <f t="shared" si="851"/>
        <v>1.1364898416664948</v>
      </c>
      <c r="BB933">
        <f t="shared" si="852"/>
        <v>-1.2337005501361696E-20</v>
      </c>
      <c r="BD933" s="15">
        <f t="shared" si="867"/>
        <v>6.4560933254237627</v>
      </c>
      <c r="BE933" s="10">
        <f t="shared" si="868"/>
        <v>0</v>
      </c>
      <c r="BF933">
        <f t="shared" si="869"/>
        <v>0</v>
      </c>
      <c r="BG933">
        <f t="shared" si="870"/>
        <v>0</v>
      </c>
      <c r="BH933">
        <f t="shared" si="871"/>
        <v>0</v>
      </c>
      <c r="BI933">
        <f t="shared" si="872"/>
        <v>0</v>
      </c>
    </row>
    <row r="934" spans="1:61" x14ac:dyDescent="0.3">
      <c r="A934">
        <f t="shared" si="819"/>
        <v>0.89700000000000002</v>
      </c>
      <c r="B934">
        <f t="shared" si="820"/>
        <v>2.8180086102700446</v>
      </c>
      <c r="C934">
        <f t="shared" si="821"/>
        <v>0.32358404331974855</v>
      </c>
      <c r="D934">
        <f t="shared" si="822"/>
        <v>0.32358404331974855</v>
      </c>
      <c r="E934">
        <f t="shared" si="827"/>
        <v>0.31796663383241092</v>
      </c>
      <c r="F934">
        <f t="shared" si="828"/>
        <v>0.31796663383241081</v>
      </c>
      <c r="G934">
        <f t="shared" si="823"/>
        <v>2.8180086102700446</v>
      </c>
      <c r="H934">
        <f t="shared" si="824"/>
        <v>0.31796663383241092</v>
      </c>
      <c r="I934">
        <f t="shared" si="825"/>
        <v>0.31796663383241081</v>
      </c>
      <c r="J934">
        <f t="shared" si="873"/>
        <v>2.0021590463580573E+20</v>
      </c>
      <c r="K934">
        <f t="shared" si="874"/>
        <v>2.0021590463580573E+20</v>
      </c>
      <c r="L934">
        <f t="shared" si="829"/>
        <v>1</v>
      </c>
      <c r="M934">
        <f t="shared" si="826"/>
        <v>3.2358404331974858E-21</v>
      </c>
      <c r="N934" s="9">
        <f t="shared" ref="N934:N997" si="875">L934*M934</f>
        <v>3.2358404331974858E-21</v>
      </c>
      <c r="O934">
        <f t="shared" ref="O934:O997" si="876">N934*EXP(-N934)</f>
        <v>3.2358404331974858E-21</v>
      </c>
      <c r="Q934">
        <f t="shared" si="830"/>
        <v>46.745927981353752</v>
      </c>
      <c r="R934">
        <f t="shared" si="831"/>
        <v>0</v>
      </c>
      <c r="S934">
        <f t="shared" si="853"/>
        <v>-47.179998264784018</v>
      </c>
      <c r="T934" s="9" t="e">
        <f t="shared" si="832"/>
        <v>#N/A</v>
      </c>
      <c r="U934">
        <f t="shared" si="854"/>
        <v>-1.0000000000000001E+300</v>
      </c>
      <c r="V934">
        <f t="shared" si="855"/>
        <v>0</v>
      </c>
      <c r="W934">
        <f t="shared" si="856"/>
        <v>0</v>
      </c>
      <c r="X934">
        <f t="shared" si="833"/>
        <v>0.32358404331974855</v>
      </c>
      <c r="Y934">
        <f t="shared" si="834"/>
        <v>7.8539816339744828</v>
      </c>
      <c r="Z934">
        <f t="shared" si="835"/>
        <v>-0.32358404331974855</v>
      </c>
      <c r="AA934">
        <f t="shared" si="857"/>
        <v>-0.96485170087037675</v>
      </c>
      <c r="AB934">
        <f t="shared" si="836"/>
        <v>6.8891299331041065</v>
      </c>
      <c r="AC934">
        <f t="shared" si="858"/>
        <v>-1.5798791101925564</v>
      </c>
      <c r="AD934">
        <f t="shared" si="837"/>
        <v>1.1458088267622906</v>
      </c>
      <c r="AE934" s="9">
        <f t="shared" si="859"/>
        <v>6.4550596496738404</v>
      </c>
      <c r="AF934">
        <f t="shared" si="860"/>
        <v>4.2704452065460788E-274</v>
      </c>
      <c r="AH934">
        <f t="shared" si="838"/>
        <v>7.8539816339744828</v>
      </c>
      <c r="AI934">
        <f t="shared" si="839"/>
        <v>-0.96485170087037697</v>
      </c>
      <c r="AJ934">
        <f t="shared" si="840"/>
        <v>-1.5798791101925573</v>
      </c>
      <c r="AK934">
        <f t="shared" si="841"/>
        <v>1.1458088267622906</v>
      </c>
      <c r="AL934" s="9">
        <f t="shared" si="861"/>
        <v>6.4550596496738386</v>
      </c>
      <c r="AM934" t="e">
        <f t="shared" si="842"/>
        <v>#N/A</v>
      </c>
      <c r="AN934" t="e">
        <f t="shared" si="862"/>
        <v>#N/A</v>
      </c>
      <c r="AO934">
        <f t="shared" si="843"/>
        <v>0</v>
      </c>
      <c r="AP934">
        <f t="shared" si="844"/>
        <v>0</v>
      </c>
      <c r="AQ934">
        <f t="shared" si="845"/>
        <v>0</v>
      </c>
      <c r="AR934">
        <f t="shared" si="863"/>
        <v>0</v>
      </c>
      <c r="AS934">
        <f t="shared" si="846"/>
        <v>0</v>
      </c>
      <c r="AT934">
        <f t="shared" si="864"/>
        <v>0</v>
      </c>
      <c r="AU934">
        <f t="shared" si="865"/>
        <v>4.2704452065509258E-274</v>
      </c>
      <c r="AV934">
        <f t="shared" si="847"/>
        <v>3.2358404331974854E-21</v>
      </c>
      <c r="AW934" t="b">
        <f t="shared" si="866"/>
        <v>1</v>
      </c>
      <c r="AX934">
        <f t="shared" si="848"/>
        <v>7.8539816339744828</v>
      </c>
      <c r="AY934">
        <f t="shared" si="849"/>
        <v>-0.96485170087037686</v>
      </c>
      <c r="AZ934">
        <f t="shared" si="850"/>
        <v>-1.5798791101925562</v>
      </c>
      <c r="BA934">
        <f t="shared" si="851"/>
        <v>1.1458088267622908</v>
      </c>
      <c r="BB934">
        <f t="shared" si="852"/>
        <v>-1.2337005501361696E-20</v>
      </c>
      <c r="BD934" s="15">
        <f t="shared" si="867"/>
        <v>6.4550596496738404</v>
      </c>
      <c r="BE934" s="10">
        <f t="shared" si="868"/>
        <v>0</v>
      </c>
      <c r="BF934">
        <f t="shared" si="869"/>
        <v>0</v>
      </c>
      <c r="BG934">
        <f t="shared" si="870"/>
        <v>0</v>
      </c>
      <c r="BH934">
        <f t="shared" si="871"/>
        <v>0</v>
      </c>
      <c r="BI934">
        <f t="shared" si="872"/>
        <v>0</v>
      </c>
    </row>
    <row r="935" spans="1:61" x14ac:dyDescent="0.3">
      <c r="A935">
        <f t="shared" ref="A935:A998" si="877">ROUND(A934+1/1000,3)</f>
        <v>0.89800000000000002</v>
      </c>
      <c r="B935">
        <f t="shared" si="820"/>
        <v>2.8211502029236342</v>
      </c>
      <c r="C935">
        <f t="shared" si="821"/>
        <v>0.32044245066615895</v>
      </c>
      <c r="D935">
        <f t="shared" si="822"/>
        <v>0.32044245066615895</v>
      </c>
      <c r="E935">
        <f t="shared" si="827"/>
        <v>0.31498651965530494</v>
      </c>
      <c r="F935">
        <f t="shared" si="828"/>
        <v>0.31498651965530483</v>
      </c>
      <c r="G935">
        <f t="shared" si="823"/>
        <v>2.8211502029236342</v>
      </c>
      <c r="H935">
        <f t="shared" si="824"/>
        <v>0.31498651965530494</v>
      </c>
      <c r="I935">
        <f t="shared" si="825"/>
        <v>0.31498651965530483</v>
      </c>
      <c r="J935">
        <f t="shared" si="873"/>
        <v>2.0211016429028301E+20</v>
      </c>
      <c r="K935">
        <f t="shared" si="874"/>
        <v>2.0211016429028301E+20</v>
      </c>
      <c r="L935">
        <f t="shared" si="829"/>
        <v>1</v>
      </c>
      <c r="M935">
        <f t="shared" si="826"/>
        <v>3.2044245066615922E-21</v>
      </c>
      <c r="N935" s="9">
        <f t="shared" si="875"/>
        <v>3.2044245066615922E-21</v>
      </c>
      <c r="O935">
        <f t="shared" si="876"/>
        <v>3.2044245066615922E-21</v>
      </c>
      <c r="Q935">
        <f t="shared" si="830"/>
        <v>46.755344590408747</v>
      </c>
      <c r="R935">
        <f t="shared" si="831"/>
        <v>0</v>
      </c>
      <c r="S935">
        <f t="shared" si="853"/>
        <v>-47.189754439729377</v>
      </c>
      <c r="T935" s="9" t="e">
        <f t="shared" si="832"/>
        <v>#N/A</v>
      </c>
      <c r="U935">
        <f t="shared" si="854"/>
        <v>-1.0000000000000001E+300</v>
      </c>
      <c r="V935">
        <f t="shared" si="855"/>
        <v>0</v>
      </c>
      <c r="W935">
        <f t="shared" si="856"/>
        <v>0</v>
      </c>
      <c r="X935">
        <f t="shared" si="833"/>
        <v>0.32044245066615895</v>
      </c>
      <c r="Y935">
        <f t="shared" si="834"/>
        <v>7.8539816339744828</v>
      </c>
      <c r="Z935">
        <f t="shared" si="835"/>
        <v>-0.32044245066615895</v>
      </c>
      <c r="AA935">
        <f t="shared" si="857"/>
        <v>-0.96553558847949894</v>
      </c>
      <c r="AB935">
        <f t="shared" si="836"/>
        <v>6.8884460454949838</v>
      </c>
      <c r="AC935">
        <f t="shared" si="858"/>
        <v>-1.5896352851379205</v>
      </c>
      <c r="AD935">
        <f t="shared" si="837"/>
        <v>1.1552254358172889</v>
      </c>
      <c r="AE935" s="9">
        <f t="shared" si="859"/>
        <v>6.4540361961743518</v>
      </c>
      <c r="AF935">
        <f t="shared" si="860"/>
        <v>8.1758747278868547E-274</v>
      </c>
      <c r="AH935">
        <f t="shared" si="838"/>
        <v>7.8539816339744828</v>
      </c>
      <c r="AI935">
        <f t="shared" si="839"/>
        <v>-0.9655355884794995</v>
      </c>
      <c r="AJ935">
        <f t="shared" si="840"/>
        <v>-1.5896352851379163</v>
      </c>
      <c r="AK935">
        <f t="shared" si="841"/>
        <v>1.1552254358172889</v>
      </c>
      <c r="AL935" s="9">
        <f t="shared" si="861"/>
        <v>6.4540361961743553</v>
      </c>
      <c r="AM935" t="e">
        <f t="shared" si="842"/>
        <v>#N/A</v>
      </c>
      <c r="AN935" t="e">
        <f t="shared" si="862"/>
        <v>#N/A</v>
      </c>
      <c r="AO935">
        <f t="shared" si="843"/>
        <v>0</v>
      </c>
      <c r="AP935">
        <f t="shared" si="844"/>
        <v>0</v>
      </c>
      <c r="AQ935">
        <f t="shared" si="845"/>
        <v>4.2188474935755949E-15</v>
      </c>
      <c r="AR935">
        <f t="shared" si="863"/>
        <v>0</v>
      </c>
      <c r="AS935">
        <f t="shared" si="846"/>
        <v>0</v>
      </c>
      <c r="AT935">
        <f t="shared" si="864"/>
        <v>0</v>
      </c>
      <c r="AU935">
        <f t="shared" si="865"/>
        <v>8.175874727868294E-274</v>
      </c>
      <c r="AV935">
        <f t="shared" si="847"/>
        <v>3.2044245066615892E-21</v>
      </c>
      <c r="AW935" t="b">
        <f t="shared" si="866"/>
        <v>1</v>
      </c>
      <c r="AX935">
        <f t="shared" si="848"/>
        <v>7.8539816339744828</v>
      </c>
      <c r="AY935">
        <f t="shared" si="849"/>
        <v>-0.96553558847949916</v>
      </c>
      <c r="AZ935">
        <f t="shared" si="850"/>
        <v>-1.5896352851379205</v>
      </c>
      <c r="BA935">
        <f t="shared" si="851"/>
        <v>1.1552254358172893</v>
      </c>
      <c r="BB935">
        <f t="shared" si="852"/>
        <v>-1.2337005501361696E-20</v>
      </c>
      <c r="BD935" s="15">
        <f t="shared" si="867"/>
        <v>6.4540361961743526</v>
      </c>
      <c r="BE935" s="10">
        <f t="shared" si="868"/>
        <v>0</v>
      </c>
      <c r="BF935">
        <f t="shared" si="869"/>
        <v>0</v>
      </c>
      <c r="BG935">
        <f t="shared" si="870"/>
        <v>0</v>
      </c>
      <c r="BH935">
        <f t="shared" si="871"/>
        <v>0</v>
      </c>
      <c r="BI935">
        <f t="shared" si="872"/>
        <v>0</v>
      </c>
    </row>
    <row r="936" spans="1:61" x14ac:dyDescent="0.3">
      <c r="A936">
        <f t="shared" si="877"/>
        <v>0.89900000000000002</v>
      </c>
      <c r="B936">
        <f t="shared" si="820"/>
        <v>2.8242917955772242</v>
      </c>
      <c r="C936">
        <f t="shared" si="821"/>
        <v>0.31730085801256891</v>
      </c>
      <c r="D936">
        <f t="shared" si="822"/>
        <v>0.31730085801256891</v>
      </c>
      <c r="E936">
        <f t="shared" si="827"/>
        <v>0.31200329668841476</v>
      </c>
      <c r="F936">
        <f t="shared" si="828"/>
        <v>0.31200329668841464</v>
      </c>
      <c r="G936">
        <f t="shared" si="823"/>
        <v>2.8242917955772242</v>
      </c>
      <c r="H936">
        <f t="shared" si="824"/>
        <v>0.31200329668841476</v>
      </c>
      <c r="I936">
        <f t="shared" si="825"/>
        <v>0.31200329668841464</v>
      </c>
      <c r="J936">
        <f t="shared" si="873"/>
        <v>2.0404264285814525E+20</v>
      </c>
      <c r="K936">
        <f t="shared" si="874"/>
        <v>2.0404264285814525E+20</v>
      </c>
      <c r="L936">
        <f t="shared" si="829"/>
        <v>1</v>
      </c>
      <c r="M936">
        <f t="shared" si="826"/>
        <v>3.1730085801256866E-21</v>
      </c>
      <c r="N936" s="9">
        <f t="shared" si="875"/>
        <v>3.1730085801256866E-21</v>
      </c>
      <c r="O936">
        <f t="shared" si="876"/>
        <v>3.1730085801256866E-21</v>
      </c>
      <c r="Q936">
        <f t="shared" si="830"/>
        <v>46.764860679510917</v>
      </c>
      <c r="R936">
        <f t="shared" si="831"/>
        <v>0</v>
      </c>
      <c r="S936">
        <f t="shared" si="853"/>
        <v>-47.199606736172392</v>
      </c>
      <c r="T936" s="9" t="e">
        <f t="shared" si="832"/>
        <v>#N/A</v>
      </c>
      <c r="U936">
        <f t="shared" si="854"/>
        <v>-1.0000000000000001E+300</v>
      </c>
      <c r="V936">
        <f t="shared" si="855"/>
        <v>0</v>
      </c>
      <c r="W936">
        <f t="shared" si="856"/>
        <v>0</v>
      </c>
      <c r="X936">
        <f t="shared" si="833"/>
        <v>0.31730085801256891</v>
      </c>
      <c r="Y936">
        <f t="shared" si="834"/>
        <v>7.8539816339744828</v>
      </c>
      <c r="Z936">
        <f t="shared" si="835"/>
        <v>-0.31730085801256891</v>
      </c>
      <c r="AA936">
        <f t="shared" si="857"/>
        <v>-0.96621261935955893</v>
      </c>
      <c r="AB936">
        <f t="shared" si="836"/>
        <v>6.887769014614924</v>
      </c>
      <c r="AC936">
        <f t="shared" si="858"/>
        <v>-1.5994875815809328</v>
      </c>
      <c r="AD936">
        <f t="shared" si="837"/>
        <v>1.1647415249194562</v>
      </c>
      <c r="AE936" s="9">
        <f t="shared" si="859"/>
        <v>6.453022957953447</v>
      </c>
      <c r="AF936">
        <f t="shared" si="860"/>
        <v>1.5541585688835561E-273</v>
      </c>
      <c r="AH936">
        <f t="shared" si="838"/>
        <v>7.8539816339744828</v>
      </c>
      <c r="AI936">
        <f t="shared" si="839"/>
        <v>-0.96621261935955749</v>
      </c>
      <c r="AJ936">
        <f t="shared" si="840"/>
        <v>-1.5994875815809309</v>
      </c>
      <c r="AK936">
        <f t="shared" si="841"/>
        <v>1.1647415249194562</v>
      </c>
      <c r="AL936" s="9">
        <f t="shared" si="861"/>
        <v>6.4530229579534506</v>
      </c>
      <c r="AM936" t="e">
        <f t="shared" si="842"/>
        <v>#N/A</v>
      </c>
      <c r="AN936" t="e">
        <f t="shared" si="862"/>
        <v>#N/A</v>
      </c>
      <c r="AO936">
        <f t="shared" si="843"/>
        <v>0</v>
      </c>
      <c r="AP936">
        <f t="shared" si="844"/>
        <v>1.4432899320127035E-15</v>
      </c>
      <c r="AQ936">
        <f t="shared" si="845"/>
        <v>1.9984014443252818E-15</v>
      </c>
      <c r="AR936">
        <f t="shared" si="863"/>
        <v>-1.4937601756530266E-15</v>
      </c>
      <c r="AS936">
        <f t="shared" si="846"/>
        <v>0</v>
      </c>
      <c r="AT936">
        <f t="shared" si="864"/>
        <v>0</v>
      </c>
      <c r="AU936">
        <f t="shared" si="865"/>
        <v>1.5541585688802043E-273</v>
      </c>
      <c r="AV936">
        <f t="shared" si="847"/>
        <v>3.1730085801256888E-21</v>
      </c>
      <c r="AW936" t="b">
        <f t="shared" si="866"/>
        <v>1</v>
      </c>
      <c r="AX936">
        <f t="shared" si="848"/>
        <v>7.8539816339744828</v>
      </c>
      <c r="AY936">
        <f t="shared" si="849"/>
        <v>-0.96621261935955904</v>
      </c>
      <c r="AZ936">
        <f t="shared" si="850"/>
        <v>-1.5994875815809328</v>
      </c>
      <c r="BA936">
        <f t="shared" si="851"/>
        <v>1.1647415249194564</v>
      </c>
      <c r="BB936">
        <f t="shared" si="852"/>
        <v>-1.2337005501361696E-20</v>
      </c>
      <c r="BD936" s="15">
        <f t="shared" si="867"/>
        <v>6.4530229579534479</v>
      </c>
      <c r="BE936" s="10">
        <f t="shared" si="868"/>
        <v>0</v>
      </c>
      <c r="BF936">
        <f t="shared" si="869"/>
        <v>0</v>
      </c>
      <c r="BG936">
        <f t="shared" si="870"/>
        <v>0</v>
      </c>
      <c r="BH936">
        <f t="shared" si="871"/>
        <v>0</v>
      </c>
      <c r="BI936">
        <f t="shared" si="872"/>
        <v>0</v>
      </c>
    </row>
    <row r="937" spans="1:61" x14ac:dyDescent="0.3">
      <c r="A937">
        <f t="shared" si="877"/>
        <v>0.9</v>
      </c>
      <c r="B937">
        <f t="shared" si="820"/>
        <v>2.8274333882308138</v>
      </c>
      <c r="C937">
        <f t="shared" si="821"/>
        <v>0.31415926535897931</v>
      </c>
      <c r="D937">
        <f t="shared" si="822"/>
        <v>0.31415926535897931</v>
      </c>
      <c r="E937">
        <f t="shared" si="827"/>
        <v>0.30901699437494751</v>
      </c>
      <c r="F937">
        <f t="shared" si="828"/>
        <v>0.3090169943749474</v>
      </c>
      <c r="G937">
        <f t="shared" si="823"/>
        <v>2.8274333882308138</v>
      </c>
      <c r="H937">
        <f t="shared" si="824"/>
        <v>0.30901699437494751</v>
      </c>
      <c r="I937">
        <f t="shared" si="825"/>
        <v>0.3090169943749474</v>
      </c>
      <c r="J937">
        <f t="shared" si="873"/>
        <v>2.0601448592019351E+20</v>
      </c>
      <c r="K937">
        <f t="shared" si="874"/>
        <v>2.0601448592019351E+20</v>
      </c>
      <c r="L937">
        <f t="shared" si="829"/>
        <v>1</v>
      </c>
      <c r="M937">
        <f t="shared" si="826"/>
        <v>3.141592653589793E-21</v>
      </c>
      <c r="N937" s="9">
        <f t="shared" si="875"/>
        <v>3.141592653589793E-21</v>
      </c>
      <c r="O937">
        <f t="shared" si="876"/>
        <v>3.141592653589793E-21</v>
      </c>
      <c r="Q937">
        <f t="shared" si="830"/>
        <v>46.774478160211011</v>
      </c>
      <c r="R937">
        <f t="shared" si="831"/>
        <v>0</v>
      </c>
      <c r="S937">
        <f t="shared" si="853"/>
        <v>-47.209557067025557</v>
      </c>
      <c r="T937" s="9" t="e">
        <f t="shared" si="832"/>
        <v>#N/A</v>
      </c>
      <c r="U937">
        <f t="shared" si="854"/>
        <v>-1.0000000000000001E+300</v>
      </c>
      <c r="V937">
        <f t="shared" si="855"/>
        <v>0</v>
      </c>
      <c r="W937">
        <f t="shared" si="856"/>
        <v>0</v>
      </c>
      <c r="X937">
        <f t="shared" si="833"/>
        <v>0.31415926535897931</v>
      </c>
      <c r="Y937">
        <f t="shared" si="834"/>
        <v>7.8539816339744828</v>
      </c>
      <c r="Z937">
        <f t="shared" si="835"/>
        <v>-0.31415926535897931</v>
      </c>
      <c r="AA937">
        <f t="shared" si="857"/>
        <v>-0.96688279904640229</v>
      </c>
      <c r="AB937">
        <f t="shared" si="836"/>
        <v>6.8870988349280804</v>
      </c>
      <c r="AC937">
        <f t="shared" si="858"/>
        <v>-1.6094379124341003</v>
      </c>
      <c r="AD937">
        <f t="shared" si="837"/>
        <v>1.1743590056195485</v>
      </c>
      <c r="AE937" s="9">
        <f t="shared" si="859"/>
        <v>6.4520199281135282</v>
      </c>
      <c r="AF937">
        <f t="shared" si="860"/>
        <v>2.9333723610582249E-273</v>
      </c>
      <c r="AH937">
        <f t="shared" si="838"/>
        <v>7.8539816339744828</v>
      </c>
      <c r="AI937">
        <f t="shared" si="839"/>
        <v>-0.96688279904640195</v>
      </c>
      <c r="AJ937">
        <f t="shared" si="840"/>
        <v>-1.6094379124340961</v>
      </c>
      <c r="AK937">
        <f t="shared" si="841"/>
        <v>1.1743590056195485</v>
      </c>
      <c r="AL937" s="9">
        <f t="shared" si="861"/>
        <v>6.4520199281135326</v>
      </c>
      <c r="AM937" t="e">
        <f t="shared" si="842"/>
        <v>#N/A</v>
      </c>
      <c r="AN937" t="e">
        <f t="shared" si="862"/>
        <v>#N/A</v>
      </c>
      <c r="AO937">
        <f t="shared" si="843"/>
        <v>0</v>
      </c>
      <c r="AP937">
        <f t="shared" si="844"/>
        <v>0</v>
      </c>
      <c r="AQ937">
        <f t="shared" si="845"/>
        <v>4.2188474935755949E-15</v>
      </c>
      <c r="AR937">
        <f t="shared" si="863"/>
        <v>0</v>
      </c>
      <c r="AS937">
        <f t="shared" si="846"/>
        <v>0</v>
      </c>
      <c r="AT937">
        <f t="shared" si="864"/>
        <v>0</v>
      </c>
      <c r="AU937">
        <f t="shared" si="865"/>
        <v>2.9333723610499009E-273</v>
      </c>
      <c r="AV937">
        <f t="shared" si="847"/>
        <v>3.141592653589793E-21</v>
      </c>
      <c r="AW937" t="b">
        <f t="shared" si="866"/>
        <v>1</v>
      </c>
      <c r="AX937">
        <f t="shared" si="848"/>
        <v>7.8539816339744828</v>
      </c>
      <c r="AY937">
        <f t="shared" si="849"/>
        <v>-0.96688279904640273</v>
      </c>
      <c r="AZ937">
        <f t="shared" si="850"/>
        <v>-1.6094379124341003</v>
      </c>
      <c r="BA937">
        <f t="shared" si="851"/>
        <v>1.1743590056195488</v>
      </c>
      <c r="BB937">
        <f t="shared" si="852"/>
        <v>-1.2337005501361696E-20</v>
      </c>
      <c r="BD937" s="15">
        <f t="shared" si="867"/>
        <v>6.4520199281135291</v>
      </c>
      <c r="BE937" s="10">
        <f t="shared" si="868"/>
        <v>0</v>
      </c>
      <c r="BF937">
        <f t="shared" si="869"/>
        <v>0</v>
      </c>
      <c r="BG937">
        <f t="shared" si="870"/>
        <v>0</v>
      </c>
      <c r="BH937">
        <f t="shared" si="871"/>
        <v>0</v>
      </c>
      <c r="BI937">
        <f t="shared" si="872"/>
        <v>0</v>
      </c>
    </row>
    <row r="938" spans="1:61" x14ac:dyDescent="0.3">
      <c r="A938">
        <f t="shared" si="877"/>
        <v>0.90100000000000002</v>
      </c>
      <c r="B938">
        <f t="shared" si="820"/>
        <v>2.8305749808844038</v>
      </c>
      <c r="C938">
        <f t="shared" si="821"/>
        <v>0.31101767270538927</v>
      </c>
      <c r="D938">
        <f t="shared" si="822"/>
        <v>0.31101767270538927</v>
      </c>
      <c r="E938">
        <f t="shared" si="827"/>
        <v>0.30602764218850059</v>
      </c>
      <c r="F938">
        <f t="shared" si="828"/>
        <v>0.30602764218850048</v>
      </c>
      <c r="G938">
        <f t="shared" si="823"/>
        <v>2.8305749808844038</v>
      </c>
      <c r="H938">
        <f t="shared" si="824"/>
        <v>0.30602764218850059</v>
      </c>
      <c r="I938">
        <f t="shared" si="825"/>
        <v>0.30602764218850048</v>
      </c>
      <c r="J938">
        <f t="shared" si="873"/>
        <v>2.0802688535418297E+20</v>
      </c>
      <c r="K938">
        <f t="shared" si="874"/>
        <v>2.0802688535418297E+20</v>
      </c>
      <c r="L938">
        <f t="shared" si="829"/>
        <v>1</v>
      </c>
      <c r="M938">
        <f t="shared" si="826"/>
        <v>3.1101767270538934E-21</v>
      </c>
      <c r="N938" s="9">
        <f t="shared" si="875"/>
        <v>3.1101767270538934E-21</v>
      </c>
      <c r="O938">
        <f t="shared" si="876"/>
        <v>3.1101767270538934E-21</v>
      </c>
      <c r="Q938">
        <f t="shared" si="830"/>
        <v>46.78419900175173</v>
      </c>
      <c r="R938">
        <f t="shared" si="831"/>
        <v>-710542.73576010019</v>
      </c>
      <c r="S938">
        <f t="shared" si="853"/>
        <v>-47.219607402879063</v>
      </c>
      <c r="T938" s="9" t="e">
        <f t="shared" si="832"/>
        <v>#N/A</v>
      </c>
      <c r="U938">
        <f t="shared" si="854"/>
        <v>-1.0000000000000001E+300</v>
      </c>
      <c r="V938">
        <f t="shared" si="855"/>
        <v>0</v>
      </c>
      <c r="W938">
        <f t="shared" si="856"/>
        <v>0</v>
      </c>
      <c r="X938">
        <f t="shared" si="833"/>
        <v>0.31101767270538927</v>
      </c>
      <c r="Y938">
        <f t="shared" si="834"/>
        <v>7.8539816339744828</v>
      </c>
      <c r="Z938">
        <f t="shared" si="835"/>
        <v>-0.31101767270538927</v>
      </c>
      <c r="AA938">
        <f t="shared" si="857"/>
        <v>-0.96754613301609016</v>
      </c>
      <c r="AB938">
        <f t="shared" si="836"/>
        <v>6.8864355009583926</v>
      </c>
      <c r="AC938">
        <f t="shared" si="858"/>
        <v>-1.6194882482876025</v>
      </c>
      <c r="AD938">
        <f t="shared" si="837"/>
        <v>1.1840798471602734</v>
      </c>
      <c r="AE938" s="9">
        <f t="shared" si="859"/>
        <v>6.4510270998310633</v>
      </c>
      <c r="AF938">
        <f t="shared" si="860"/>
        <v>5.4974393604748674E-273</v>
      </c>
      <c r="AH938">
        <f t="shared" si="838"/>
        <v>7.8539816339744828</v>
      </c>
      <c r="AI938">
        <f t="shared" si="839"/>
        <v>-0.96754613301609083</v>
      </c>
      <c r="AJ938">
        <f t="shared" si="840"/>
        <v>-1.6194882482876025</v>
      </c>
      <c r="AK938">
        <f t="shared" si="841"/>
        <v>1.1840798471602734</v>
      </c>
      <c r="AL938" s="9">
        <f t="shared" si="861"/>
        <v>6.4510270998310624</v>
      </c>
      <c r="AM938" t="e">
        <f t="shared" si="842"/>
        <v>#N/A</v>
      </c>
      <c r="AN938" t="e">
        <f t="shared" si="862"/>
        <v>#N/A</v>
      </c>
      <c r="AO938">
        <f t="shared" si="843"/>
        <v>0</v>
      </c>
      <c r="AP938">
        <f t="shared" si="844"/>
        <v>0</v>
      </c>
      <c r="AQ938">
        <f t="shared" si="845"/>
        <v>0</v>
      </c>
      <c r="AR938">
        <f t="shared" si="863"/>
        <v>0</v>
      </c>
      <c r="AS938">
        <f t="shared" si="846"/>
        <v>0</v>
      </c>
      <c r="AT938">
        <f t="shared" si="864"/>
        <v>0</v>
      </c>
      <c r="AU938">
        <f t="shared" si="865"/>
        <v>5.4974393604779877E-273</v>
      </c>
      <c r="AV938">
        <f t="shared" si="847"/>
        <v>3.1101767270538926E-21</v>
      </c>
      <c r="AW938" t="b">
        <f t="shared" si="866"/>
        <v>1</v>
      </c>
      <c r="AX938">
        <f t="shared" si="848"/>
        <v>7.8539816339744828</v>
      </c>
      <c r="AY938">
        <f t="shared" si="849"/>
        <v>-0.96754613301609016</v>
      </c>
      <c r="AZ938">
        <f t="shared" si="850"/>
        <v>-1.6194882482876025</v>
      </c>
      <c r="BA938">
        <f t="shared" si="851"/>
        <v>1.1840798471602738</v>
      </c>
      <c r="BB938">
        <f t="shared" si="852"/>
        <v>-1.2337005501361696E-20</v>
      </c>
      <c r="BD938" s="15">
        <f t="shared" si="867"/>
        <v>6.4510270998310641</v>
      </c>
      <c r="BE938" s="10">
        <f t="shared" si="868"/>
        <v>0</v>
      </c>
      <c r="BF938">
        <f t="shared" si="869"/>
        <v>0</v>
      </c>
      <c r="BG938">
        <f t="shared" si="870"/>
        <v>0</v>
      </c>
      <c r="BH938">
        <f t="shared" si="871"/>
        <v>0</v>
      </c>
      <c r="BI938">
        <f t="shared" si="872"/>
        <v>0</v>
      </c>
    </row>
    <row r="939" spans="1:61" x14ac:dyDescent="0.3">
      <c r="A939">
        <f t="shared" si="877"/>
        <v>0.90200000000000002</v>
      </c>
      <c r="B939">
        <f t="shared" si="820"/>
        <v>2.8337165735379934</v>
      </c>
      <c r="C939">
        <f t="shared" si="821"/>
        <v>0.30787608005179967</v>
      </c>
      <c r="D939">
        <f t="shared" si="822"/>
        <v>0.30787608005179967</v>
      </c>
      <c r="E939">
        <f t="shared" si="827"/>
        <v>0.30303526963277405</v>
      </c>
      <c r="F939">
        <f t="shared" si="828"/>
        <v>0.30303526963277388</v>
      </c>
      <c r="G939">
        <f t="shared" si="823"/>
        <v>2.8337165735379934</v>
      </c>
      <c r="H939">
        <f t="shared" si="824"/>
        <v>0.30303526963277405</v>
      </c>
      <c r="I939">
        <f t="shared" si="825"/>
        <v>0.30303526963277388</v>
      </c>
      <c r="J939">
        <f t="shared" si="873"/>
        <v>2.1008108169687761E+20</v>
      </c>
      <c r="K939">
        <f t="shared" si="874"/>
        <v>2.1008108169687761E+20</v>
      </c>
      <c r="L939">
        <f t="shared" si="829"/>
        <v>0</v>
      </c>
      <c r="M939">
        <f t="shared" si="826"/>
        <v>3.0787608005179998E-21</v>
      </c>
      <c r="N939" s="9">
        <f t="shared" si="875"/>
        <v>0</v>
      </c>
      <c r="O939">
        <f t="shared" si="876"/>
        <v>0</v>
      </c>
      <c r="Q939">
        <f t="shared" si="830"/>
        <v>46.794025233410053</v>
      </c>
      <c r="R939">
        <f t="shared" si="831"/>
        <v>0</v>
      </c>
      <c r="S939">
        <f t="shared" si="853"/>
        <v>-47.22975977434308</v>
      </c>
      <c r="T939" s="9" t="e">
        <f t="shared" si="832"/>
        <v>#N/A</v>
      </c>
      <c r="U939">
        <f t="shared" si="854"/>
        <v>-1.0000000000000001E+300</v>
      </c>
      <c r="V939">
        <f t="shared" si="855"/>
        <v>0</v>
      </c>
      <c r="W939">
        <f t="shared" si="856"/>
        <v>0</v>
      </c>
      <c r="X939">
        <f t="shared" si="833"/>
        <v>0.30787608005179967</v>
      </c>
      <c r="Y939">
        <f t="shared" si="834"/>
        <v>7.8539816339744828</v>
      </c>
      <c r="Z939">
        <f t="shared" si="835"/>
        <v>-0.30787608005179967</v>
      </c>
      <c r="AA939">
        <f t="shared" si="857"/>
        <v>-0.96820262668505808</v>
      </c>
      <c r="AB939">
        <f t="shared" si="836"/>
        <v>6.8857790072894245</v>
      </c>
      <c r="AC939">
        <f t="shared" si="858"/>
        <v>-1.62964061975162</v>
      </c>
      <c r="AD939">
        <f t="shared" si="837"/>
        <v>1.1939060788185913</v>
      </c>
      <c r="AE939" s="9">
        <f t="shared" si="859"/>
        <v>6.4500444663563954</v>
      </c>
      <c r="AF939">
        <f t="shared" si="860"/>
        <v>1.0230233966384664E-272</v>
      </c>
      <c r="AH939">
        <f t="shared" si="838"/>
        <v>7.8539816339744828</v>
      </c>
      <c r="AI939">
        <f t="shared" si="839"/>
        <v>-0.96820262668505896</v>
      </c>
      <c r="AJ939">
        <f t="shared" si="840"/>
        <v>-1.6296406197516191</v>
      </c>
      <c r="AK939">
        <f t="shared" si="841"/>
        <v>1.1939060788185913</v>
      </c>
      <c r="AL939" s="9">
        <f t="shared" si="861"/>
        <v>6.4500444663563954</v>
      </c>
      <c r="AM939" t="e">
        <f t="shared" si="842"/>
        <v>#N/A</v>
      </c>
      <c r="AN939" t="e">
        <f t="shared" si="862"/>
        <v>#N/A</v>
      </c>
      <c r="AO939">
        <f t="shared" si="843"/>
        <v>0</v>
      </c>
      <c r="AP939">
        <f t="shared" si="844"/>
        <v>-8.8817841970012523E-16</v>
      </c>
      <c r="AQ939">
        <f t="shared" si="845"/>
        <v>0</v>
      </c>
      <c r="AR939">
        <f t="shared" si="863"/>
        <v>9.1734766589208575E-16</v>
      </c>
      <c r="AS939">
        <f t="shared" si="846"/>
        <v>0</v>
      </c>
      <c r="AT939">
        <f t="shared" si="864"/>
        <v>0</v>
      </c>
      <c r="AU939">
        <f t="shared" si="865"/>
        <v>1.0230233966384664E-272</v>
      </c>
      <c r="AV939">
        <f t="shared" si="847"/>
        <v>3.0787608005179964E-21</v>
      </c>
      <c r="AW939" t="b">
        <f t="shared" si="866"/>
        <v>1</v>
      </c>
      <c r="AX939">
        <f t="shared" si="848"/>
        <v>7.8539816339744828</v>
      </c>
      <c r="AY939">
        <f t="shared" si="849"/>
        <v>-0.9682026266850583</v>
      </c>
      <c r="AZ939">
        <f t="shared" si="850"/>
        <v>-1.62964061975162</v>
      </c>
      <c r="BA939">
        <f t="shared" si="851"/>
        <v>1.1939060788185918</v>
      </c>
      <c r="BB939">
        <f t="shared" si="852"/>
        <v>-1.2337005501361696E-20</v>
      </c>
      <c r="BD939" s="15">
        <f t="shared" si="867"/>
        <v>6.4500444663563963</v>
      </c>
      <c r="BE939" s="10">
        <f t="shared" si="868"/>
        <v>0</v>
      </c>
      <c r="BF939">
        <f t="shared" si="869"/>
        <v>0</v>
      </c>
      <c r="BG939">
        <f t="shared" si="870"/>
        <v>0</v>
      </c>
      <c r="BH939">
        <f t="shared" si="871"/>
        <v>0</v>
      </c>
      <c r="BI939">
        <f t="shared" si="872"/>
        <v>0</v>
      </c>
    </row>
    <row r="940" spans="1:61" x14ac:dyDescent="0.3">
      <c r="A940">
        <f t="shared" si="877"/>
        <v>0.90300000000000002</v>
      </c>
      <c r="B940">
        <f t="shared" si="820"/>
        <v>2.836858166191583</v>
      </c>
      <c r="C940">
        <f t="shared" si="821"/>
        <v>0.30473448739821007</v>
      </c>
      <c r="D940">
        <f t="shared" si="822"/>
        <v>0.30473448739821007</v>
      </c>
      <c r="E940">
        <f t="shared" si="827"/>
        <v>0.30003990624127647</v>
      </c>
      <c r="F940">
        <f t="shared" si="828"/>
        <v>0.30003990624127636</v>
      </c>
      <c r="G940">
        <f t="shared" si="823"/>
        <v>2.836858166191583</v>
      </c>
      <c r="H940">
        <f t="shared" si="824"/>
        <v>0.30003990624127647</v>
      </c>
      <c r="I940">
        <f t="shared" si="825"/>
        <v>0.30003990624127636</v>
      </c>
      <c r="J940">
        <f t="shared" si="873"/>
        <v>2.1217836665221625E+20</v>
      </c>
      <c r="K940">
        <f t="shared" si="874"/>
        <v>2.1217836665221625E+20</v>
      </c>
      <c r="L940">
        <f t="shared" si="829"/>
        <v>1</v>
      </c>
      <c r="M940">
        <f t="shared" si="826"/>
        <v>3.0473448739821001E-21</v>
      </c>
      <c r="N940" s="9">
        <f t="shared" si="875"/>
        <v>3.0473448739821001E-21</v>
      </c>
      <c r="O940">
        <f t="shared" si="876"/>
        <v>3.0473448739821001E-21</v>
      </c>
      <c r="Q940">
        <f t="shared" si="830"/>
        <v>46.803958946959625</v>
      </c>
      <c r="R940">
        <f t="shared" si="831"/>
        <v>0</v>
      </c>
      <c r="S940">
        <f t="shared" si="853"/>
        <v>-47.240016274510268</v>
      </c>
      <c r="T940" s="9" t="e">
        <f t="shared" si="832"/>
        <v>#N/A</v>
      </c>
      <c r="U940">
        <f t="shared" si="854"/>
        <v>-1.0000000000000001E+300</v>
      </c>
      <c r="V940">
        <f t="shared" si="855"/>
        <v>0</v>
      </c>
      <c r="W940">
        <f t="shared" si="856"/>
        <v>0</v>
      </c>
      <c r="X940">
        <f t="shared" si="833"/>
        <v>0.30473448739821007</v>
      </c>
      <c r="Y940">
        <f t="shared" si="834"/>
        <v>7.8539816339744828</v>
      </c>
      <c r="Z940">
        <f t="shared" si="835"/>
        <v>-0.30473448739821007</v>
      </c>
      <c r="AA940">
        <f t="shared" si="857"/>
        <v>-0.96885228541027768</v>
      </c>
      <c r="AB940">
        <f t="shared" si="836"/>
        <v>6.8851293485642051</v>
      </c>
      <c r="AC940">
        <f t="shared" si="858"/>
        <v>-1.6398971199188084</v>
      </c>
      <c r="AD940">
        <f t="shared" si="837"/>
        <v>1.2038397923681639</v>
      </c>
      <c r="AE940" s="9">
        <f t="shared" si="859"/>
        <v>6.4490720210135599</v>
      </c>
      <c r="AF940">
        <f t="shared" si="860"/>
        <v>1.890396500292256E-272</v>
      </c>
      <c r="AH940">
        <f t="shared" si="838"/>
        <v>7.8539816339744828</v>
      </c>
      <c r="AI940">
        <f t="shared" si="839"/>
        <v>-0.9688522854102769</v>
      </c>
      <c r="AJ940">
        <f t="shared" si="840"/>
        <v>-1.6398971199188068</v>
      </c>
      <c r="AK940">
        <f t="shared" si="841"/>
        <v>1.2038397923681639</v>
      </c>
      <c r="AL940" s="9">
        <f t="shared" si="861"/>
        <v>6.4490720210135635</v>
      </c>
      <c r="AM940" t="e">
        <f t="shared" si="842"/>
        <v>#N/A</v>
      </c>
      <c r="AN940" t="e">
        <f t="shared" si="862"/>
        <v>#N/A</v>
      </c>
      <c r="AO940">
        <f t="shared" si="843"/>
        <v>0</v>
      </c>
      <c r="AP940">
        <f t="shared" si="844"/>
        <v>0</v>
      </c>
      <c r="AQ940">
        <f t="shared" si="845"/>
        <v>0</v>
      </c>
      <c r="AR940">
        <f t="shared" si="863"/>
        <v>0</v>
      </c>
      <c r="AS940">
        <f t="shared" si="846"/>
        <v>0</v>
      </c>
      <c r="AT940">
        <f t="shared" si="864"/>
        <v>0</v>
      </c>
      <c r="AU940">
        <f t="shared" si="865"/>
        <v>1.8903965002881794E-272</v>
      </c>
      <c r="AV940">
        <f t="shared" si="847"/>
        <v>3.0473448739821005E-21</v>
      </c>
      <c r="AW940" t="b">
        <f t="shared" si="866"/>
        <v>1</v>
      </c>
      <c r="AX940">
        <f t="shared" si="848"/>
        <v>7.8539816339744828</v>
      </c>
      <c r="AY940">
        <f t="shared" si="849"/>
        <v>-0.9688522854102779</v>
      </c>
      <c r="AZ940">
        <f t="shared" si="850"/>
        <v>-1.6398971199188084</v>
      </c>
      <c r="BA940">
        <f t="shared" si="851"/>
        <v>1.2038397923681641</v>
      </c>
      <c r="BB940">
        <f t="shared" si="852"/>
        <v>-1.2337005501361696E-20</v>
      </c>
      <c r="BD940" s="15">
        <f t="shared" si="867"/>
        <v>6.4490720210135608</v>
      </c>
      <c r="BE940" s="10">
        <f t="shared" si="868"/>
        <v>0</v>
      </c>
      <c r="BF940">
        <f t="shared" si="869"/>
        <v>0</v>
      </c>
      <c r="BG940">
        <f t="shared" si="870"/>
        <v>0</v>
      </c>
      <c r="BH940">
        <f t="shared" si="871"/>
        <v>0</v>
      </c>
      <c r="BI940">
        <f t="shared" si="872"/>
        <v>0</v>
      </c>
    </row>
    <row r="941" spans="1:61" x14ac:dyDescent="0.3">
      <c r="A941">
        <f t="shared" si="877"/>
        <v>0.90400000000000003</v>
      </c>
      <c r="B941">
        <f t="shared" si="820"/>
        <v>2.8399997588451731</v>
      </c>
      <c r="C941">
        <f t="shared" si="821"/>
        <v>0.30159289474462003</v>
      </c>
      <c r="D941">
        <f t="shared" si="822"/>
        <v>0.30159289474462003</v>
      </c>
      <c r="E941">
        <f t="shared" si="827"/>
        <v>0.29704158157703492</v>
      </c>
      <c r="F941">
        <f t="shared" si="828"/>
        <v>0.29704158157703481</v>
      </c>
      <c r="G941">
        <f t="shared" si="823"/>
        <v>2.8399997588451731</v>
      </c>
      <c r="H941">
        <f t="shared" si="824"/>
        <v>0.29704158157703492</v>
      </c>
      <c r="I941">
        <f t="shared" si="825"/>
        <v>0.29704158157703481</v>
      </c>
      <c r="J941">
        <f t="shared" si="873"/>
        <v>2.1432008575623617E+20</v>
      </c>
      <c r="K941">
        <f t="shared" si="874"/>
        <v>2.1432008575623617E+20</v>
      </c>
      <c r="L941">
        <f t="shared" si="829"/>
        <v>1</v>
      </c>
      <c r="M941">
        <f t="shared" si="826"/>
        <v>3.0159289474462005E-21</v>
      </c>
      <c r="N941" s="9">
        <f t="shared" si="875"/>
        <v>3.0159289474462005E-21</v>
      </c>
      <c r="O941">
        <f t="shared" si="876"/>
        <v>3.0159289474462005E-21</v>
      </c>
      <c r="Q941">
        <f t="shared" si="830"/>
        <v>46.814002299260842</v>
      </c>
      <c r="R941">
        <f t="shared" si="831"/>
        <v>0</v>
      </c>
      <c r="S941">
        <f t="shared" si="853"/>
        <v>-47.250379061545814</v>
      </c>
      <c r="T941" s="9" t="e">
        <f t="shared" si="832"/>
        <v>#N/A</v>
      </c>
      <c r="U941">
        <f t="shared" si="854"/>
        <v>-1.0000000000000001E+300</v>
      </c>
      <c r="V941">
        <f t="shared" si="855"/>
        <v>0</v>
      </c>
      <c r="W941">
        <f t="shared" si="856"/>
        <v>0</v>
      </c>
      <c r="X941">
        <f t="shared" si="833"/>
        <v>0.30159289474462003</v>
      </c>
      <c r="Y941">
        <f t="shared" si="834"/>
        <v>7.8539816339744828</v>
      </c>
      <c r="Z941">
        <f t="shared" si="835"/>
        <v>-0.30159289474462003</v>
      </c>
      <c r="AA941">
        <f t="shared" si="857"/>
        <v>-0.96949511448941328</v>
      </c>
      <c r="AB941">
        <f t="shared" si="836"/>
        <v>6.8844865194850691</v>
      </c>
      <c r="AC941">
        <f t="shared" si="858"/>
        <v>-1.650259906954356</v>
      </c>
      <c r="AD941">
        <f t="shared" si="837"/>
        <v>1.2138831446693843</v>
      </c>
      <c r="AE941" s="9">
        <f t="shared" si="859"/>
        <v>6.4481097572000969</v>
      </c>
      <c r="AF941">
        <f t="shared" si="860"/>
        <v>3.4687474950646565E-272</v>
      </c>
      <c r="AH941">
        <f t="shared" si="838"/>
        <v>7.8539816339744828</v>
      </c>
      <c r="AI941">
        <f t="shared" si="839"/>
        <v>-0.96949511448941328</v>
      </c>
      <c r="AJ941">
        <f t="shared" si="840"/>
        <v>-1.6502599069543535</v>
      </c>
      <c r="AK941">
        <f t="shared" si="841"/>
        <v>1.2138831446693843</v>
      </c>
      <c r="AL941" s="9">
        <f t="shared" si="861"/>
        <v>6.4481097572000996</v>
      </c>
      <c r="AM941" t="e">
        <f t="shared" si="842"/>
        <v>#N/A</v>
      </c>
      <c r="AN941" t="e">
        <f t="shared" si="862"/>
        <v>#N/A</v>
      </c>
      <c r="AO941">
        <f t="shared" si="843"/>
        <v>0</v>
      </c>
      <c r="AP941">
        <f t="shared" si="844"/>
        <v>0</v>
      </c>
      <c r="AQ941">
        <f t="shared" si="845"/>
        <v>2.4424906541753444E-15</v>
      </c>
      <c r="AR941">
        <f t="shared" si="863"/>
        <v>0</v>
      </c>
      <c r="AS941">
        <f t="shared" si="846"/>
        <v>0</v>
      </c>
      <c r="AT941">
        <f t="shared" si="864"/>
        <v>0</v>
      </c>
      <c r="AU941">
        <f t="shared" si="865"/>
        <v>3.4687474950591446E-272</v>
      </c>
      <c r="AV941">
        <f t="shared" si="847"/>
        <v>3.0159289474462002E-21</v>
      </c>
      <c r="AW941" t="b">
        <f t="shared" si="866"/>
        <v>1</v>
      </c>
      <c r="AX941">
        <f t="shared" si="848"/>
        <v>7.8539816339744828</v>
      </c>
      <c r="AY941">
        <f t="shared" si="849"/>
        <v>-0.96949511448941328</v>
      </c>
      <c r="AZ941">
        <f t="shared" si="850"/>
        <v>-1.6502599069543558</v>
      </c>
      <c r="BA941">
        <f t="shared" si="851"/>
        <v>1.2138831446693847</v>
      </c>
      <c r="BB941">
        <f t="shared" si="852"/>
        <v>-1.2337005501361696E-20</v>
      </c>
      <c r="BD941" s="15">
        <f t="shared" si="867"/>
        <v>6.4481097572000987</v>
      </c>
      <c r="BE941" s="10">
        <f t="shared" si="868"/>
        <v>0</v>
      </c>
      <c r="BF941">
        <f t="shared" si="869"/>
        <v>0</v>
      </c>
      <c r="BG941">
        <f t="shared" si="870"/>
        <v>0</v>
      </c>
      <c r="BH941">
        <f t="shared" si="871"/>
        <v>0</v>
      </c>
      <c r="BI941">
        <f t="shared" si="872"/>
        <v>0</v>
      </c>
    </row>
    <row r="942" spans="1:61" x14ac:dyDescent="0.3">
      <c r="A942">
        <f t="shared" si="877"/>
        <v>0.90500000000000003</v>
      </c>
      <c r="B942">
        <f t="shared" si="820"/>
        <v>2.8431413514987627</v>
      </c>
      <c r="C942">
        <f t="shared" si="821"/>
        <v>0.29845130209103043</v>
      </c>
      <c r="D942">
        <f t="shared" si="822"/>
        <v>0.29845130209103043</v>
      </c>
      <c r="E942">
        <f t="shared" si="827"/>
        <v>0.29404032523230417</v>
      </c>
      <c r="F942">
        <f t="shared" si="828"/>
        <v>0.29404032523230406</v>
      </c>
      <c r="G942">
        <f t="shared" si="823"/>
        <v>2.8431413514987627</v>
      </c>
      <c r="H942">
        <f t="shared" si="824"/>
        <v>0.29404032523230417</v>
      </c>
      <c r="I942">
        <f t="shared" si="825"/>
        <v>0.29404032523230406</v>
      </c>
      <c r="J942">
        <f t="shared" si="873"/>
        <v>2.1650764121030853E+20</v>
      </c>
      <c r="K942">
        <f t="shared" si="874"/>
        <v>2.1650764121030853E+20</v>
      </c>
      <c r="L942">
        <f t="shared" si="829"/>
        <v>1</v>
      </c>
      <c r="M942">
        <f t="shared" si="826"/>
        <v>2.9845130209103069E-21</v>
      </c>
      <c r="N942" s="9">
        <f t="shared" si="875"/>
        <v>2.9845130209103069E-21</v>
      </c>
      <c r="O942">
        <f t="shared" si="876"/>
        <v>2.9845130209103069E-21</v>
      </c>
      <c r="Q942">
        <f t="shared" si="830"/>
        <v>46.824157514986481</v>
      </c>
      <c r="R942">
        <f t="shared" si="831"/>
        <v>0</v>
      </c>
      <c r="S942">
        <f t="shared" si="853"/>
        <v>-47.260850361413105</v>
      </c>
      <c r="T942" s="9" t="e">
        <f t="shared" si="832"/>
        <v>#N/A</v>
      </c>
      <c r="U942">
        <f t="shared" si="854"/>
        <v>-1.0000000000000001E+300</v>
      </c>
      <c r="V942">
        <f t="shared" si="855"/>
        <v>0</v>
      </c>
      <c r="W942">
        <f t="shared" si="856"/>
        <v>0</v>
      </c>
      <c r="X942">
        <f t="shared" si="833"/>
        <v>0.29845130209103043</v>
      </c>
      <c r="Y942">
        <f t="shared" si="834"/>
        <v>7.8539816339744828</v>
      </c>
      <c r="Z942">
        <f t="shared" si="835"/>
        <v>-0.29845130209103043</v>
      </c>
      <c r="AA942">
        <f t="shared" si="857"/>
        <v>-0.97013111916097805</v>
      </c>
      <c r="AB942">
        <f t="shared" si="836"/>
        <v>6.8838505148135045</v>
      </c>
      <c r="AC942">
        <f t="shared" si="858"/>
        <v>-1.6607312068216507</v>
      </c>
      <c r="AD942">
        <f t="shared" si="837"/>
        <v>1.224038360395022</v>
      </c>
      <c r="AE942" s="9">
        <f t="shared" si="859"/>
        <v>6.4471576683868754</v>
      </c>
      <c r="AF942">
        <f t="shared" si="860"/>
        <v>6.3205519969932525E-272</v>
      </c>
      <c r="AH942">
        <f t="shared" si="838"/>
        <v>7.8539816339744828</v>
      </c>
      <c r="AI942">
        <f t="shared" si="839"/>
        <v>-0.97013111916097849</v>
      </c>
      <c r="AJ942">
        <f t="shared" si="840"/>
        <v>-1.6607312068216444</v>
      </c>
      <c r="AK942">
        <f t="shared" si="841"/>
        <v>1.224038360395022</v>
      </c>
      <c r="AL942" s="9">
        <f t="shared" si="861"/>
        <v>6.4471576683868825</v>
      </c>
      <c r="AM942" t="e">
        <f t="shared" si="842"/>
        <v>#N/A</v>
      </c>
      <c r="AN942" t="e">
        <f t="shared" si="862"/>
        <v>#N/A</v>
      </c>
      <c r="AO942">
        <f t="shared" si="843"/>
        <v>0</v>
      </c>
      <c r="AP942">
        <f t="shared" si="844"/>
        <v>0</v>
      </c>
      <c r="AQ942">
        <f t="shared" si="845"/>
        <v>6.2172489379008766E-15</v>
      </c>
      <c r="AR942">
        <f t="shared" si="863"/>
        <v>0</v>
      </c>
      <c r="AS942">
        <f t="shared" si="846"/>
        <v>7.1054273576010019E-15</v>
      </c>
      <c r="AT942">
        <f t="shared" si="864"/>
        <v>1.1021023097421506E-15</v>
      </c>
      <c r="AU942">
        <f t="shared" si="865"/>
        <v>6.3205519969645562E-272</v>
      </c>
      <c r="AV942">
        <f t="shared" si="847"/>
        <v>2.9845130209103043E-21</v>
      </c>
      <c r="AW942" t="b">
        <f t="shared" si="866"/>
        <v>1</v>
      </c>
      <c r="AX942">
        <f t="shared" si="848"/>
        <v>7.8539816339744828</v>
      </c>
      <c r="AY942">
        <f t="shared" si="849"/>
        <v>-0.97013111916097816</v>
      </c>
      <c r="AZ942">
        <f t="shared" si="850"/>
        <v>-1.6607312068216504</v>
      </c>
      <c r="BA942">
        <f t="shared" si="851"/>
        <v>1.2240383603950225</v>
      </c>
      <c r="BB942">
        <f t="shared" si="852"/>
        <v>-1.2337005501361696E-20</v>
      </c>
      <c r="BD942" s="15">
        <f t="shared" si="867"/>
        <v>6.4471576683868763</v>
      </c>
      <c r="BE942" s="10">
        <f t="shared" si="868"/>
        <v>0</v>
      </c>
      <c r="BF942">
        <f t="shared" si="869"/>
        <v>0</v>
      </c>
      <c r="BG942">
        <f t="shared" si="870"/>
        <v>0</v>
      </c>
      <c r="BH942">
        <f t="shared" si="871"/>
        <v>0</v>
      </c>
      <c r="BI942">
        <f t="shared" si="872"/>
        <v>0</v>
      </c>
    </row>
    <row r="943" spans="1:61" x14ac:dyDescent="0.3">
      <c r="A943">
        <f t="shared" si="877"/>
        <v>0.90600000000000003</v>
      </c>
      <c r="B943">
        <f t="shared" si="820"/>
        <v>2.8462829441523527</v>
      </c>
      <c r="C943">
        <f t="shared" si="821"/>
        <v>0.29530970943744039</v>
      </c>
      <c r="D943">
        <f t="shared" si="822"/>
        <v>0.29530970943744039</v>
      </c>
      <c r="E943">
        <f t="shared" si="827"/>
        <v>0.29103616682827177</v>
      </c>
      <c r="F943">
        <f t="shared" si="828"/>
        <v>0.29103616682827166</v>
      </c>
      <c r="G943">
        <f t="shared" si="823"/>
        <v>2.8462829441523527</v>
      </c>
      <c r="H943">
        <f t="shared" si="824"/>
        <v>0.29103616682827177</v>
      </c>
      <c r="I943">
        <f t="shared" si="825"/>
        <v>0.29103616682827166</v>
      </c>
      <c r="J943">
        <f t="shared" si="873"/>
        <v>2.1874249489522174E+20</v>
      </c>
      <c r="K943">
        <f t="shared" si="874"/>
        <v>2.1874249489522174E+20</v>
      </c>
      <c r="L943">
        <f t="shared" si="829"/>
        <v>1</v>
      </c>
      <c r="M943">
        <f t="shared" si="826"/>
        <v>2.9530970943744013E-21</v>
      </c>
      <c r="N943" s="9">
        <f t="shared" si="875"/>
        <v>2.9530970943744013E-21</v>
      </c>
      <c r="O943">
        <f t="shared" si="876"/>
        <v>2.9530970943744013E-21</v>
      </c>
      <c r="Q943">
        <f t="shared" si="830"/>
        <v>46.83442688949156</v>
      </c>
      <c r="R943">
        <f t="shared" si="831"/>
        <v>-710542.73576010019</v>
      </c>
      <c r="S943">
        <f t="shared" si="853"/>
        <v>-47.271432470743648</v>
      </c>
      <c r="T943" s="9" t="e">
        <f t="shared" si="832"/>
        <v>#N/A</v>
      </c>
      <c r="U943">
        <f t="shared" si="854"/>
        <v>-1.0000000000000001E+300</v>
      </c>
      <c r="V943">
        <f t="shared" si="855"/>
        <v>0</v>
      </c>
      <c r="W943">
        <f t="shared" si="856"/>
        <v>0</v>
      </c>
      <c r="X943">
        <f t="shared" si="833"/>
        <v>0.29530970943744039</v>
      </c>
      <c r="Y943">
        <f t="shared" si="834"/>
        <v>7.8539816339744828</v>
      </c>
      <c r="Z943">
        <f t="shared" si="835"/>
        <v>-0.29530970943744039</v>
      </c>
      <c r="AA943">
        <f t="shared" si="857"/>
        <v>-0.97076030460448826</v>
      </c>
      <c r="AB943">
        <f t="shared" si="836"/>
        <v>6.8832213293699942</v>
      </c>
      <c r="AC943">
        <f t="shared" si="858"/>
        <v>-1.6713133161521885</v>
      </c>
      <c r="AD943">
        <f t="shared" si="837"/>
        <v>1.2343077349001035</v>
      </c>
      <c r="AE943" s="9">
        <f t="shared" si="859"/>
        <v>6.4462157481179094</v>
      </c>
      <c r="AF943">
        <f t="shared" si="860"/>
        <v>1.1436939861556136E-271</v>
      </c>
      <c r="AH943">
        <f t="shared" si="838"/>
        <v>7.8539816339744828</v>
      </c>
      <c r="AI943">
        <f t="shared" si="839"/>
        <v>-0.9707603046044877</v>
      </c>
      <c r="AJ943">
        <f t="shared" si="840"/>
        <v>-1.6713133161521867</v>
      </c>
      <c r="AK943">
        <f t="shared" si="841"/>
        <v>1.2343077349001035</v>
      </c>
      <c r="AL943" s="9">
        <f t="shared" si="861"/>
        <v>6.4462157481179121</v>
      </c>
      <c r="AM943" t="e">
        <f t="shared" si="842"/>
        <v>#N/A</v>
      </c>
      <c r="AN943" t="e">
        <f t="shared" si="862"/>
        <v>#N/A</v>
      </c>
      <c r="AO943">
        <f t="shared" si="843"/>
        <v>0</v>
      </c>
      <c r="AP943">
        <f t="shared" si="844"/>
        <v>0</v>
      </c>
      <c r="AQ943">
        <f t="shared" si="845"/>
        <v>1.7763568394002505E-15</v>
      </c>
      <c r="AR943">
        <f t="shared" si="863"/>
        <v>0</v>
      </c>
      <c r="AS943">
        <f t="shared" si="846"/>
        <v>0</v>
      </c>
      <c r="AT943">
        <f t="shared" si="864"/>
        <v>0</v>
      </c>
      <c r="AU943">
        <f t="shared" si="865"/>
        <v>1.1436939861536665E-271</v>
      </c>
      <c r="AV943">
        <f t="shared" si="847"/>
        <v>2.9530970943744039E-21</v>
      </c>
      <c r="AW943" t="b">
        <f t="shared" si="866"/>
        <v>1</v>
      </c>
      <c r="AX943">
        <f t="shared" si="848"/>
        <v>7.8539816339744828</v>
      </c>
      <c r="AY943">
        <f t="shared" si="849"/>
        <v>-0.97076030460448859</v>
      </c>
      <c r="AZ943">
        <f t="shared" si="850"/>
        <v>-1.6713133161521883</v>
      </c>
      <c r="BA943">
        <f t="shared" si="851"/>
        <v>1.2343077349001037</v>
      </c>
      <c r="BB943">
        <f t="shared" si="852"/>
        <v>-1.2337005501361696E-20</v>
      </c>
      <c r="BD943" s="15">
        <f t="shared" si="867"/>
        <v>6.4462157481179094</v>
      </c>
      <c r="BE943" s="10">
        <f t="shared" si="868"/>
        <v>0</v>
      </c>
      <c r="BF943">
        <f t="shared" si="869"/>
        <v>0</v>
      </c>
      <c r="BG943">
        <f t="shared" si="870"/>
        <v>0</v>
      </c>
      <c r="BH943">
        <f t="shared" si="871"/>
        <v>0</v>
      </c>
      <c r="BI943">
        <f t="shared" si="872"/>
        <v>0</v>
      </c>
    </row>
    <row r="944" spans="1:61" x14ac:dyDescent="0.3">
      <c r="A944">
        <f t="shared" si="877"/>
        <v>0.90700000000000003</v>
      </c>
      <c r="B944">
        <f t="shared" si="820"/>
        <v>2.8494245368059423</v>
      </c>
      <c r="C944">
        <f t="shared" si="821"/>
        <v>0.2921681167838508</v>
      </c>
      <c r="D944">
        <f t="shared" si="822"/>
        <v>0.2921681167838508</v>
      </c>
      <c r="E944">
        <f t="shared" si="827"/>
        <v>0.28802913601476932</v>
      </c>
      <c r="F944">
        <f t="shared" si="828"/>
        <v>0.2880291360147692</v>
      </c>
      <c r="G944">
        <f t="shared" si="823"/>
        <v>2.8494245368059423</v>
      </c>
      <c r="H944">
        <f t="shared" si="824"/>
        <v>0.28802913601476932</v>
      </c>
      <c r="I944">
        <f t="shared" si="825"/>
        <v>0.2880291360147692</v>
      </c>
      <c r="J944">
        <f t="shared" si="873"/>
        <v>2.2102617157971732E+20</v>
      </c>
      <c r="K944">
        <f t="shared" si="874"/>
        <v>2.2102617157971732E+20</v>
      </c>
      <c r="L944">
        <f t="shared" si="829"/>
        <v>1</v>
      </c>
      <c r="M944">
        <f t="shared" si="826"/>
        <v>2.9216811678385077E-21</v>
      </c>
      <c r="N944" s="9">
        <f t="shared" si="875"/>
        <v>2.9216811678385077E-21</v>
      </c>
      <c r="O944">
        <f t="shared" si="876"/>
        <v>2.9216811678385077E-21</v>
      </c>
      <c r="Q944">
        <f t="shared" si="830"/>
        <v>46.844812791836709</v>
      </c>
      <c r="R944">
        <f t="shared" si="831"/>
        <v>0</v>
      </c>
      <c r="S944">
        <f t="shared" si="853"/>
        <v>-47.282127759860394</v>
      </c>
      <c r="T944" s="9" t="e">
        <f t="shared" si="832"/>
        <v>#N/A</v>
      </c>
      <c r="U944">
        <f t="shared" si="854"/>
        <v>-1.0000000000000001E+300</v>
      </c>
      <c r="V944">
        <f t="shared" si="855"/>
        <v>0</v>
      </c>
      <c r="W944">
        <f t="shared" si="856"/>
        <v>0</v>
      </c>
      <c r="X944">
        <f t="shared" si="833"/>
        <v>0.2921681167838508</v>
      </c>
      <c r="Y944">
        <f t="shared" si="834"/>
        <v>7.8539816339744828</v>
      </c>
      <c r="Z944">
        <f t="shared" si="835"/>
        <v>-0.2921681167838508</v>
      </c>
      <c r="AA944">
        <f t="shared" si="857"/>
        <v>-0.97138267594061523</v>
      </c>
      <c r="AB944">
        <f t="shared" si="836"/>
        <v>6.8825989580338671</v>
      </c>
      <c r="AC944">
        <f t="shared" si="858"/>
        <v>-1.6820086052689356</v>
      </c>
      <c r="AD944">
        <f t="shared" si="837"/>
        <v>1.2446936372452495</v>
      </c>
      <c r="AE944" s="9">
        <f t="shared" si="859"/>
        <v>6.4452839900101813</v>
      </c>
      <c r="AF944">
        <f t="shared" si="860"/>
        <v>2.0551665136509237E-271</v>
      </c>
      <c r="AH944">
        <f t="shared" si="838"/>
        <v>7.8539816339744828</v>
      </c>
      <c r="AI944">
        <f t="shared" si="839"/>
        <v>-0.97138267594061434</v>
      </c>
      <c r="AJ944">
        <f t="shared" si="840"/>
        <v>-1.6820086052689334</v>
      </c>
      <c r="AK944">
        <f t="shared" si="841"/>
        <v>1.2446936372452495</v>
      </c>
      <c r="AL944" s="9">
        <f t="shared" si="861"/>
        <v>6.4452839900101848</v>
      </c>
      <c r="AM944" t="e">
        <f t="shared" si="842"/>
        <v>#N/A</v>
      </c>
      <c r="AN944" t="e">
        <f t="shared" si="862"/>
        <v>#N/A</v>
      </c>
      <c r="AO944">
        <f t="shared" si="843"/>
        <v>0</v>
      </c>
      <c r="AP944">
        <f t="shared" si="844"/>
        <v>8.8817841970012523E-16</v>
      </c>
      <c r="AQ944">
        <f t="shared" si="845"/>
        <v>2.2204460492503131E-15</v>
      </c>
      <c r="AR944">
        <f t="shared" si="863"/>
        <v>-9.1434451292852183E-16</v>
      </c>
      <c r="AS944">
        <f t="shared" si="846"/>
        <v>0</v>
      </c>
      <c r="AT944">
        <f t="shared" si="864"/>
        <v>0</v>
      </c>
      <c r="AU944">
        <f t="shared" si="865"/>
        <v>2.0551665136462584E-271</v>
      </c>
      <c r="AV944">
        <f t="shared" si="847"/>
        <v>2.9216811678385077E-21</v>
      </c>
      <c r="AW944" t="b">
        <f t="shared" si="866"/>
        <v>1</v>
      </c>
      <c r="AX944">
        <f t="shared" si="848"/>
        <v>7.8539816339744828</v>
      </c>
      <c r="AY944">
        <f t="shared" si="849"/>
        <v>-0.97138267594061523</v>
      </c>
      <c r="AZ944">
        <f t="shared" si="850"/>
        <v>-1.6820086052689356</v>
      </c>
      <c r="BA944">
        <f t="shared" si="851"/>
        <v>1.2446936372452497</v>
      </c>
      <c r="BB944">
        <f t="shared" si="852"/>
        <v>-1.2337005501361696E-20</v>
      </c>
      <c r="BD944" s="15">
        <f t="shared" si="867"/>
        <v>6.4452839900101822</v>
      </c>
      <c r="BE944" s="10">
        <f t="shared" si="868"/>
        <v>0</v>
      </c>
      <c r="BF944">
        <f t="shared" si="869"/>
        <v>0</v>
      </c>
      <c r="BG944">
        <f t="shared" si="870"/>
        <v>0</v>
      </c>
      <c r="BH944">
        <f t="shared" si="871"/>
        <v>0</v>
      </c>
      <c r="BI944">
        <f t="shared" si="872"/>
        <v>0</v>
      </c>
    </row>
    <row r="945" spans="1:61" x14ac:dyDescent="0.3">
      <c r="A945">
        <f t="shared" si="877"/>
        <v>0.90800000000000003</v>
      </c>
      <c r="B945">
        <f t="shared" si="820"/>
        <v>2.8525661294595324</v>
      </c>
      <c r="C945">
        <f t="shared" si="821"/>
        <v>0.28902652413026075</v>
      </c>
      <c r="D945">
        <f t="shared" si="822"/>
        <v>0.28902652413026075</v>
      </c>
      <c r="E945">
        <f t="shared" si="827"/>
        <v>0.28501926246997605</v>
      </c>
      <c r="F945">
        <f t="shared" si="828"/>
        <v>0.28501926246997594</v>
      </c>
      <c r="G945">
        <f t="shared" si="823"/>
        <v>2.8525661294595324</v>
      </c>
      <c r="H945">
        <f t="shared" si="824"/>
        <v>0.28501926246997605</v>
      </c>
      <c r="I945">
        <f t="shared" si="825"/>
        <v>0.28501926246997594</v>
      </c>
      <c r="J945">
        <f t="shared" si="873"/>
        <v>2.2336026233828422E+20</v>
      </c>
      <c r="K945">
        <f t="shared" si="874"/>
        <v>2.2336026233828422E+20</v>
      </c>
      <c r="L945">
        <f t="shared" si="829"/>
        <v>1</v>
      </c>
      <c r="M945">
        <f t="shared" si="826"/>
        <v>2.8902652413026081E-21</v>
      </c>
      <c r="N945" s="9">
        <f t="shared" si="875"/>
        <v>2.8902652413026081E-21</v>
      </c>
      <c r="O945">
        <f t="shared" si="876"/>
        <v>2.8902652413026081E-21</v>
      </c>
      <c r="Q945">
        <f t="shared" si="830"/>
        <v>46.855317667974937</v>
      </c>
      <c r="R945">
        <f t="shared" si="831"/>
        <v>0</v>
      </c>
      <c r="S945">
        <f t="shared" si="853"/>
        <v>-47.292938675964614</v>
      </c>
      <c r="T945" s="9" t="e">
        <f t="shared" si="832"/>
        <v>#N/A</v>
      </c>
      <c r="U945">
        <f t="shared" si="854"/>
        <v>-1.0000000000000001E+300</v>
      </c>
      <c r="V945">
        <f t="shared" si="855"/>
        <v>0</v>
      </c>
      <c r="W945">
        <f t="shared" si="856"/>
        <v>0</v>
      </c>
      <c r="X945">
        <f t="shared" si="833"/>
        <v>0.28902652413026075</v>
      </c>
      <c r="Y945">
        <f t="shared" si="834"/>
        <v>7.8539816339744828</v>
      </c>
      <c r="Z945">
        <f t="shared" si="835"/>
        <v>-0.28902652413026075</v>
      </c>
      <c r="AA945">
        <f t="shared" si="857"/>
        <v>-0.97199823823133569</v>
      </c>
      <c r="AB945">
        <f t="shared" si="836"/>
        <v>6.8819833957431467</v>
      </c>
      <c r="AC945">
        <f t="shared" si="858"/>
        <v>-1.6928195213731523</v>
      </c>
      <c r="AD945">
        <f t="shared" si="837"/>
        <v>1.2551985133834753</v>
      </c>
      <c r="AE945" s="9">
        <f t="shared" si="859"/>
        <v>6.4443623877534693</v>
      </c>
      <c r="AF945">
        <f t="shared" si="860"/>
        <v>3.6675517978380019E-271</v>
      </c>
      <c r="AH945">
        <f t="shared" si="838"/>
        <v>7.8539816339744828</v>
      </c>
      <c r="AI945">
        <f t="shared" si="839"/>
        <v>-0.97199823823133547</v>
      </c>
      <c r="AJ945">
        <f t="shared" si="840"/>
        <v>-1.6928195213731527</v>
      </c>
      <c r="AK945">
        <f t="shared" si="841"/>
        <v>1.2551985133834753</v>
      </c>
      <c r="AL945" s="9">
        <f t="shared" si="861"/>
        <v>6.4443623877534701</v>
      </c>
      <c r="AM945" t="e">
        <f t="shared" si="842"/>
        <v>#N/A</v>
      </c>
      <c r="AN945" t="e">
        <f t="shared" si="862"/>
        <v>#N/A</v>
      </c>
      <c r="AO945">
        <f t="shared" si="843"/>
        <v>0</v>
      </c>
      <c r="AP945">
        <f t="shared" si="844"/>
        <v>0</v>
      </c>
      <c r="AQ945">
        <f t="shared" si="845"/>
        <v>0</v>
      </c>
      <c r="AR945">
        <f t="shared" si="863"/>
        <v>0</v>
      </c>
      <c r="AS945">
        <f t="shared" si="846"/>
        <v>0</v>
      </c>
      <c r="AT945">
        <f t="shared" si="864"/>
        <v>0</v>
      </c>
      <c r="AU945">
        <f t="shared" si="865"/>
        <v>3.6675517978359203E-271</v>
      </c>
      <c r="AV945">
        <f t="shared" si="847"/>
        <v>2.8902652413026073E-21</v>
      </c>
      <c r="AW945" t="b">
        <f t="shared" si="866"/>
        <v>1</v>
      </c>
      <c r="AX945">
        <f t="shared" si="848"/>
        <v>7.8539816339744828</v>
      </c>
      <c r="AY945">
        <f t="shared" si="849"/>
        <v>-0.97199823823133569</v>
      </c>
      <c r="AZ945">
        <f t="shared" si="850"/>
        <v>-1.6928195213731523</v>
      </c>
      <c r="BA945">
        <f t="shared" si="851"/>
        <v>1.2551985133834758</v>
      </c>
      <c r="BB945">
        <f t="shared" si="852"/>
        <v>-1.2337005501361696E-20</v>
      </c>
      <c r="BD945" s="15">
        <f t="shared" si="867"/>
        <v>6.4443623877534701</v>
      </c>
      <c r="BE945" s="10">
        <f t="shared" si="868"/>
        <v>0</v>
      </c>
      <c r="BF945">
        <f t="shared" si="869"/>
        <v>0</v>
      </c>
      <c r="BG945">
        <f t="shared" si="870"/>
        <v>0</v>
      </c>
      <c r="BH945">
        <f t="shared" si="871"/>
        <v>0</v>
      </c>
      <c r="BI945">
        <f t="shared" si="872"/>
        <v>0</v>
      </c>
    </row>
    <row r="946" spans="1:61" x14ac:dyDescent="0.3">
      <c r="A946">
        <f t="shared" si="877"/>
        <v>0.90900000000000003</v>
      </c>
      <c r="B946">
        <f t="shared" si="820"/>
        <v>2.855707722113122</v>
      </c>
      <c r="C946">
        <f t="shared" si="821"/>
        <v>0.28588493147667116</v>
      </c>
      <c r="D946">
        <f t="shared" si="822"/>
        <v>0.28588493147667116</v>
      </c>
      <c r="E946">
        <f t="shared" si="827"/>
        <v>0.28200657590012951</v>
      </c>
      <c r="F946">
        <f t="shared" si="828"/>
        <v>0.2820065759001294</v>
      </c>
      <c r="G946">
        <f t="shared" si="823"/>
        <v>2.855707722113122</v>
      </c>
      <c r="H946">
        <f t="shared" si="824"/>
        <v>0.28200657590012951</v>
      </c>
      <c r="I946">
        <f t="shared" si="825"/>
        <v>0.2820065759001294</v>
      </c>
      <c r="J946">
        <f t="shared" si="873"/>
        <v>2.2574642819429695E+20</v>
      </c>
      <c r="K946">
        <f t="shared" si="874"/>
        <v>2.2574642819429695E+20</v>
      </c>
      <c r="L946">
        <f t="shared" si="829"/>
        <v>1</v>
      </c>
      <c r="M946">
        <f t="shared" si="826"/>
        <v>2.8588493147667145E-21</v>
      </c>
      <c r="N946" s="9">
        <f t="shared" si="875"/>
        <v>2.8588493147667145E-21</v>
      </c>
      <c r="O946">
        <f t="shared" si="876"/>
        <v>2.8588493147667145E-21</v>
      </c>
      <c r="Q946">
        <f t="shared" si="830"/>
        <v>46.865944044112574</v>
      </c>
      <c r="R946">
        <f t="shared" si="831"/>
        <v>-710542.73576010019</v>
      </c>
      <c r="S946">
        <f t="shared" si="853"/>
        <v>-47.303867746496799</v>
      </c>
      <c r="T946" s="9" t="e">
        <f t="shared" si="832"/>
        <v>#N/A</v>
      </c>
      <c r="U946">
        <f t="shared" si="854"/>
        <v>-1.0000000000000001E+300</v>
      </c>
      <c r="V946">
        <f t="shared" si="855"/>
        <v>0</v>
      </c>
      <c r="W946">
        <f t="shared" si="856"/>
        <v>0</v>
      </c>
      <c r="X946">
        <f t="shared" si="833"/>
        <v>0.28588493147667116</v>
      </c>
      <c r="Y946">
        <f t="shared" si="834"/>
        <v>7.8539816339744828</v>
      </c>
      <c r="Z946">
        <f t="shared" si="835"/>
        <v>-0.28588493147667116</v>
      </c>
      <c r="AA946">
        <f t="shared" si="857"/>
        <v>-0.97260699648008042</v>
      </c>
      <c r="AB946">
        <f t="shared" si="836"/>
        <v>6.8813746374944023</v>
      </c>
      <c r="AC946">
        <f t="shared" si="858"/>
        <v>-1.7037485919053417</v>
      </c>
      <c r="AD946">
        <f t="shared" si="837"/>
        <v>1.2658248895211168</v>
      </c>
      <c r="AE946" s="9">
        <f t="shared" si="859"/>
        <v>6.4434509351101772</v>
      </c>
      <c r="AF946">
        <f t="shared" si="860"/>
        <v>6.4999071188592424E-271</v>
      </c>
      <c r="AH946">
        <f t="shared" si="838"/>
        <v>7.8539816339744828</v>
      </c>
      <c r="AI946">
        <f t="shared" si="839"/>
        <v>-0.97260699648008098</v>
      </c>
      <c r="AJ946">
        <f t="shared" si="840"/>
        <v>-1.7037485919053381</v>
      </c>
      <c r="AK946">
        <f t="shared" si="841"/>
        <v>1.2658248895211168</v>
      </c>
      <c r="AL946" s="9">
        <f t="shared" si="861"/>
        <v>6.4434509351101799</v>
      </c>
      <c r="AM946" t="e">
        <f t="shared" si="842"/>
        <v>#N/A</v>
      </c>
      <c r="AN946" t="e">
        <f t="shared" si="862"/>
        <v>#N/A</v>
      </c>
      <c r="AO946">
        <f t="shared" si="843"/>
        <v>0</v>
      </c>
      <c r="AP946">
        <f t="shared" si="844"/>
        <v>0</v>
      </c>
      <c r="AQ946">
        <f t="shared" si="845"/>
        <v>3.5527136788005009E-15</v>
      </c>
      <c r="AR946">
        <f t="shared" si="863"/>
        <v>0</v>
      </c>
      <c r="AS946">
        <f t="shared" si="846"/>
        <v>0</v>
      </c>
      <c r="AT946">
        <f t="shared" si="864"/>
        <v>0</v>
      </c>
      <c r="AU946">
        <f t="shared" si="865"/>
        <v>6.4999071188481769E-271</v>
      </c>
      <c r="AV946">
        <f t="shared" si="847"/>
        <v>2.8588493147667115E-21</v>
      </c>
      <c r="AW946" t="b">
        <f t="shared" si="866"/>
        <v>1</v>
      </c>
      <c r="AX946">
        <f t="shared" si="848"/>
        <v>7.8539816339744828</v>
      </c>
      <c r="AY946">
        <f t="shared" si="849"/>
        <v>-0.97260699648008053</v>
      </c>
      <c r="AZ946">
        <f t="shared" si="850"/>
        <v>-1.7037485919053417</v>
      </c>
      <c r="BA946">
        <f t="shared" si="851"/>
        <v>1.2658248895211173</v>
      </c>
      <c r="BB946">
        <f t="shared" si="852"/>
        <v>-1.2337005501361696E-20</v>
      </c>
      <c r="BD946" s="15">
        <f t="shared" si="867"/>
        <v>6.4434509351101781</v>
      </c>
      <c r="BE946" s="10">
        <f t="shared" si="868"/>
        <v>0</v>
      </c>
      <c r="BF946">
        <f t="shared" si="869"/>
        <v>0</v>
      </c>
      <c r="BG946">
        <f t="shared" si="870"/>
        <v>0</v>
      </c>
      <c r="BH946">
        <f t="shared" si="871"/>
        <v>0</v>
      </c>
      <c r="BI946">
        <f t="shared" si="872"/>
        <v>0</v>
      </c>
    </row>
    <row r="947" spans="1:61" x14ac:dyDescent="0.3">
      <c r="A947">
        <f t="shared" si="877"/>
        <v>0.91</v>
      </c>
      <c r="B947">
        <f t="shared" si="820"/>
        <v>2.858849314766712</v>
      </c>
      <c r="C947">
        <f t="shared" si="821"/>
        <v>0.28274333882308111</v>
      </c>
      <c r="D947">
        <f t="shared" si="822"/>
        <v>0.28274333882308111</v>
      </c>
      <c r="E947">
        <f t="shared" si="827"/>
        <v>0.27899110603922911</v>
      </c>
      <c r="F947">
        <f t="shared" si="828"/>
        <v>0.278991106039229</v>
      </c>
      <c r="G947">
        <f t="shared" si="823"/>
        <v>2.858849314766712</v>
      </c>
      <c r="H947">
        <f t="shared" si="824"/>
        <v>0.27899110603922911</v>
      </c>
      <c r="I947">
        <f t="shared" si="825"/>
        <v>0.278991106039229</v>
      </c>
      <c r="J947">
        <f t="shared" si="873"/>
        <v>2.2818640400603519E+20</v>
      </c>
      <c r="K947">
        <f t="shared" si="874"/>
        <v>2.2818640400603519E+20</v>
      </c>
      <c r="L947">
        <f t="shared" si="829"/>
        <v>1</v>
      </c>
      <c r="M947">
        <f t="shared" si="826"/>
        <v>2.8274333882308089E-21</v>
      </c>
      <c r="N947" s="9">
        <f t="shared" si="875"/>
        <v>2.8274333882308089E-21</v>
      </c>
      <c r="O947">
        <f t="shared" si="876"/>
        <v>2.8274333882308089E-21</v>
      </c>
      <c r="Q947">
        <f t="shared" si="830"/>
        <v>46.876694530255939</v>
      </c>
      <c r="R947">
        <f t="shared" si="831"/>
        <v>0</v>
      </c>
      <c r="S947">
        <f t="shared" si="853"/>
        <v>-47.314917582683385</v>
      </c>
      <c r="T947" s="9" t="e">
        <f t="shared" si="832"/>
        <v>#N/A</v>
      </c>
      <c r="U947">
        <f t="shared" si="854"/>
        <v>-1.0000000000000001E+300</v>
      </c>
      <c r="V947">
        <f t="shared" si="855"/>
        <v>0</v>
      </c>
      <c r="W947">
        <f t="shared" si="856"/>
        <v>0</v>
      </c>
      <c r="X947">
        <f t="shared" si="833"/>
        <v>0.28274333882308111</v>
      </c>
      <c r="Y947">
        <f t="shared" si="834"/>
        <v>7.8539816339744828</v>
      </c>
      <c r="Z947">
        <f t="shared" si="835"/>
        <v>-0.28274333882308111</v>
      </c>
      <c r="AA947">
        <f t="shared" si="857"/>
        <v>-0.97320895563188037</v>
      </c>
      <c r="AB947">
        <f t="shared" si="836"/>
        <v>6.880772678342602</v>
      </c>
      <c r="AC947">
        <f t="shared" si="858"/>
        <v>-1.7147984280919277</v>
      </c>
      <c r="AD947">
        <f t="shared" si="837"/>
        <v>1.2765753756644802</v>
      </c>
      <c r="AE947" s="9">
        <f t="shared" si="859"/>
        <v>6.442549625915154</v>
      </c>
      <c r="AF947">
        <f t="shared" si="860"/>
        <v>1.144060954589921E-270</v>
      </c>
      <c r="AH947">
        <f t="shared" si="838"/>
        <v>7.8539816339744828</v>
      </c>
      <c r="AI947">
        <f t="shared" si="839"/>
        <v>-0.97320895563187959</v>
      </c>
      <c r="AJ947">
        <f t="shared" si="840"/>
        <v>-1.7147984280919246</v>
      </c>
      <c r="AK947">
        <f t="shared" si="841"/>
        <v>1.2765753756644802</v>
      </c>
      <c r="AL947" s="9">
        <f t="shared" si="861"/>
        <v>6.4425496259151585</v>
      </c>
      <c r="AM947" t="e">
        <f t="shared" si="842"/>
        <v>#N/A</v>
      </c>
      <c r="AN947" t="e">
        <f t="shared" si="862"/>
        <v>#N/A</v>
      </c>
      <c r="AO947">
        <f t="shared" si="843"/>
        <v>0</v>
      </c>
      <c r="AP947">
        <f t="shared" si="844"/>
        <v>0</v>
      </c>
      <c r="AQ947">
        <f t="shared" si="845"/>
        <v>3.1086244689504383E-15</v>
      </c>
      <c r="AR947">
        <f t="shared" si="863"/>
        <v>0</v>
      </c>
      <c r="AS947">
        <f t="shared" si="846"/>
        <v>0</v>
      </c>
      <c r="AT947">
        <f t="shared" si="864"/>
        <v>0</v>
      </c>
      <c r="AU947">
        <f t="shared" si="865"/>
        <v>1.1440609545868044E-270</v>
      </c>
      <c r="AV947">
        <f t="shared" si="847"/>
        <v>2.8274333882308111E-21</v>
      </c>
      <c r="AW947" t="b">
        <f t="shared" si="866"/>
        <v>1</v>
      </c>
      <c r="AX947">
        <f t="shared" si="848"/>
        <v>7.8539816339744828</v>
      </c>
      <c r="AY947">
        <f t="shared" si="849"/>
        <v>-0.97320895563188059</v>
      </c>
      <c r="AZ947">
        <f t="shared" si="850"/>
        <v>-1.7147984280919275</v>
      </c>
      <c r="BA947">
        <f t="shared" si="851"/>
        <v>1.2765753756644804</v>
      </c>
      <c r="BB947">
        <f t="shared" si="852"/>
        <v>-1.2337005501361696E-20</v>
      </c>
      <c r="BD947" s="15">
        <f t="shared" si="867"/>
        <v>6.4425496259151549</v>
      </c>
      <c r="BE947" s="10">
        <f t="shared" si="868"/>
        <v>0</v>
      </c>
      <c r="BF947">
        <f t="shared" si="869"/>
        <v>0</v>
      </c>
      <c r="BG947">
        <f t="shared" si="870"/>
        <v>0</v>
      </c>
      <c r="BH947">
        <f t="shared" si="871"/>
        <v>0</v>
      </c>
      <c r="BI947">
        <f t="shared" si="872"/>
        <v>0</v>
      </c>
    </row>
    <row r="948" spans="1:61" x14ac:dyDescent="0.3">
      <c r="A948">
        <f t="shared" si="877"/>
        <v>0.91100000000000003</v>
      </c>
      <c r="B948">
        <f t="shared" si="820"/>
        <v>2.8619909074203016</v>
      </c>
      <c r="C948">
        <f t="shared" si="821"/>
        <v>0.27960174616949152</v>
      </c>
      <c r="D948">
        <f t="shared" si="822"/>
        <v>0.27960174616949152</v>
      </c>
      <c r="E948">
        <f t="shared" si="827"/>
        <v>0.27597288264874575</v>
      </c>
      <c r="F948">
        <f t="shared" si="828"/>
        <v>0.27597288264874564</v>
      </c>
      <c r="G948">
        <f t="shared" si="823"/>
        <v>2.8619909074203016</v>
      </c>
      <c r="H948">
        <f t="shared" si="824"/>
        <v>0.27597288264874575</v>
      </c>
      <c r="I948">
        <f t="shared" si="825"/>
        <v>0.27597288264874564</v>
      </c>
      <c r="J948">
        <f t="shared" si="873"/>
        <v>2.3068200261467783E+20</v>
      </c>
      <c r="K948">
        <f t="shared" si="874"/>
        <v>2.3068200261467783E+20</v>
      </c>
      <c r="L948">
        <f t="shared" si="829"/>
        <v>1</v>
      </c>
      <c r="M948">
        <f t="shared" si="826"/>
        <v>2.7960174616949153E-21</v>
      </c>
      <c r="N948" s="9">
        <f t="shared" si="875"/>
        <v>2.7960174616949153E-21</v>
      </c>
      <c r="O948">
        <f t="shared" si="876"/>
        <v>2.7960174616949153E-21</v>
      </c>
      <c r="Q948">
        <f t="shared" si="830"/>
        <v>46.88757182395608</v>
      </c>
      <c r="R948">
        <f t="shared" si="831"/>
        <v>0</v>
      </c>
      <c r="S948">
        <f t="shared" si="853"/>
        <v>-47.326090883281509</v>
      </c>
      <c r="T948" s="9" t="e">
        <f t="shared" si="832"/>
        <v>#N/A</v>
      </c>
      <c r="U948">
        <f t="shared" si="854"/>
        <v>-1.0000000000000001E+300</v>
      </c>
      <c r="V948">
        <f t="shared" si="855"/>
        <v>0</v>
      </c>
      <c r="W948">
        <f t="shared" si="856"/>
        <v>0</v>
      </c>
      <c r="X948">
        <f t="shared" si="833"/>
        <v>0.27960174616949152</v>
      </c>
      <c r="Y948">
        <f t="shared" si="834"/>
        <v>7.8539816339744828</v>
      </c>
      <c r="Z948">
        <f t="shared" si="835"/>
        <v>-0.27960174616949152</v>
      </c>
      <c r="AA948">
        <f t="shared" si="857"/>
        <v>-0.97380412057351184</v>
      </c>
      <c r="AB948">
        <f t="shared" si="836"/>
        <v>6.8801775134009713</v>
      </c>
      <c r="AC948">
        <f t="shared" si="858"/>
        <v>-1.725971728690052</v>
      </c>
      <c r="AD948">
        <f t="shared" si="837"/>
        <v>1.2874526693646198</v>
      </c>
      <c r="AE948" s="9">
        <f t="shared" si="859"/>
        <v>6.4416584540755393</v>
      </c>
      <c r="AF948">
        <f t="shared" si="860"/>
        <v>1.9999154565258135E-270</v>
      </c>
      <c r="AH948">
        <f t="shared" si="838"/>
        <v>7.8539816339744828</v>
      </c>
      <c r="AI948">
        <f t="shared" si="839"/>
        <v>-0.9738041205735124</v>
      </c>
      <c r="AJ948">
        <f t="shared" si="840"/>
        <v>-1.7259717286900482</v>
      </c>
      <c r="AK948">
        <f t="shared" si="841"/>
        <v>1.2874526693646198</v>
      </c>
      <c r="AL948" s="9">
        <f t="shared" si="861"/>
        <v>6.4416584540755419</v>
      </c>
      <c r="AM948" t="e">
        <f t="shared" si="842"/>
        <v>#N/A</v>
      </c>
      <c r="AN948" t="e">
        <f t="shared" si="862"/>
        <v>#N/A</v>
      </c>
      <c r="AO948">
        <f t="shared" si="843"/>
        <v>0</v>
      </c>
      <c r="AP948">
        <f t="shared" si="844"/>
        <v>0</v>
      </c>
      <c r="AQ948">
        <f t="shared" si="845"/>
        <v>3.7747582837255322E-15</v>
      </c>
      <c r="AR948">
        <f t="shared" si="863"/>
        <v>0</v>
      </c>
      <c r="AS948">
        <f t="shared" si="846"/>
        <v>0</v>
      </c>
      <c r="AT948">
        <f t="shared" si="864"/>
        <v>0</v>
      </c>
      <c r="AU948">
        <f t="shared" si="865"/>
        <v>1.9999154565224082E-270</v>
      </c>
      <c r="AV948">
        <f t="shared" si="847"/>
        <v>2.7960174616949149E-21</v>
      </c>
      <c r="AW948" t="b">
        <f t="shared" si="866"/>
        <v>1</v>
      </c>
      <c r="AX948">
        <f t="shared" si="848"/>
        <v>7.8539816339744828</v>
      </c>
      <c r="AY948">
        <f t="shared" si="849"/>
        <v>-0.97380412057351207</v>
      </c>
      <c r="AZ948">
        <f t="shared" si="850"/>
        <v>-1.725971728690052</v>
      </c>
      <c r="BA948">
        <f t="shared" si="851"/>
        <v>1.2874526693646202</v>
      </c>
      <c r="BB948">
        <f t="shared" si="852"/>
        <v>-1.2337005501361696E-20</v>
      </c>
      <c r="BD948" s="15">
        <f t="shared" si="867"/>
        <v>6.4416584540755384</v>
      </c>
      <c r="BE948" s="10">
        <f t="shared" si="868"/>
        <v>0</v>
      </c>
      <c r="BF948">
        <f t="shared" si="869"/>
        <v>0</v>
      </c>
      <c r="BG948">
        <f t="shared" si="870"/>
        <v>0</v>
      </c>
      <c r="BH948">
        <f t="shared" si="871"/>
        <v>0</v>
      </c>
      <c r="BI948">
        <f t="shared" si="872"/>
        <v>0</v>
      </c>
    </row>
    <row r="949" spans="1:61" x14ac:dyDescent="0.3">
      <c r="A949">
        <f t="shared" si="877"/>
        <v>0.91200000000000003</v>
      </c>
      <c r="B949">
        <f t="shared" si="820"/>
        <v>2.8651325000738916</v>
      </c>
      <c r="C949">
        <f t="shared" si="821"/>
        <v>0.27646015351590147</v>
      </c>
      <c r="D949">
        <f t="shared" si="822"/>
        <v>0.27646015351590147</v>
      </c>
      <c r="E949">
        <f t="shared" si="827"/>
        <v>0.27295193551732505</v>
      </c>
      <c r="F949">
        <f t="shared" si="828"/>
        <v>0.27295193551732494</v>
      </c>
      <c r="G949">
        <f t="shared" si="823"/>
        <v>2.8651325000738916</v>
      </c>
      <c r="H949">
        <f t="shared" si="824"/>
        <v>0.27295193551732505</v>
      </c>
      <c r="I949">
        <f t="shared" si="825"/>
        <v>0.27295193551732494</v>
      </c>
      <c r="J949">
        <f t="shared" si="873"/>
        <v>2.332351192751199E+20</v>
      </c>
      <c r="K949">
        <f t="shared" si="874"/>
        <v>2.332351192751199E+20</v>
      </c>
      <c r="L949" t="e">
        <f t="shared" si="829"/>
        <v>#NUM!</v>
      </c>
      <c r="M949">
        <f t="shared" si="826"/>
        <v>2.7646015351590156E-21</v>
      </c>
      <c r="N949" s="9" t="e">
        <f t="shared" si="875"/>
        <v>#NUM!</v>
      </c>
      <c r="O949" t="e">
        <f t="shared" si="876"/>
        <v>#NUM!</v>
      </c>
      <c r="Q949">
        <f t="shared" si="830"/>
        <v>46.898578714265184</v>
      </c>
      <c r="R949">
        <f t="shared" si="831"/>
        <v>0</v>
      </c>
      <c r="S949">
        <f t="shared" si="853"/>
        <v>-47.337390438535444</v>
      </c>
      <c r="T949" s="9" t="e">
        <f t="shared" si="832"/>
        <v>#N/A</v>
      </c>
      <c r="U949">
        <f t="shared" si="854"/>
        <v>-1.0000000000000001E+300</v>
      </c>
      <c r="V949">
        <f t="shared" si="855"/>
        <v>0</v>
      </c>
      <c r="W949">
        <f t="shared" si="856"/>
        <v>0</v>
      </c>
      <c r="X949">
        <f t="shared" si="833"/>
        <v>0.27646015351590147</v>
      </c>
      <c r="Y949">
        <f t="shared" si="834"/>
        <v>7.8539816339744828</v>
      </c>
      <c r="Z949">
        <f t="shared" si="835"/>
        <v>-0.27646015351590147</v>
      </c>
      <c r="AA949">
        <f t="shared" si="857"/>
        <v>-0.97439249613363976</v>
      </c>
      <c r="AB949">
        <f t="shared" si="836"/>
        <v>6.8795891378408429</v>
      </c>
      <c r="AC949">
        <f t="shared" si="858"/>
        <v>-1.7372712839439863</v>
      </c>
      <c r="AD949">
        <f t="shared" si="837"/>
        <v>1.2984595596737234</v>
      </c>
      <c r="AE949" s="9">
        <f t="shared" si="859"/>
        <v>6.4407774135705802</v>
      </c>
      <c r="AF949">
        <f t="shared" si="860"/>
        <v>3.472192445847435E-270</v>
      </c>
      <c r="AH949">
        <f t="shared" si="838"/>
        <v>7.8539816339744828</v>
      </c>
      <c r="AI949">
        <f t="shared" si="839"/>
        <v>-0.97439249613363965</v>
      </c>
      <c r="AJ949">
        <f t="shared" si="840"/>
        <v>-1.7372712839439828</v>
      </c>
      <c r="AK949">
        <f t="shared" si="841"/>
        <v>1.2984595596737234</v>
      </c>
      <c r="AL949" s="9">
        <f t="shared" si="861"/>
        <v>6.4407774135705838</v>
      </c>
      <c r="AM949" t="e">
        <f t="shared" si="842"/>
        <v>#N/A</v>
      </c>
      <c r="AN949" t="e">
        <f t="shared" si="862"/>
        <v>#N/A</v>
      </c>
      <c r="AO949">
        <f t="shared" si="843"/>
        <v>0</v>
      </c>
      <c r="AP949">
        <f t="shared" si="844"/>
        <v>0</v>
      </c>
      <c r="AQ949">
        <f t="shared" si="845"/>
        <v>3.5527136788005009E-15</v>
      </c>
      <c r="AR949">
        <f t="shared" si="863"/>
        <v>0</v>
      </c>
      <c r="AS949">
        <f t="shared" si="846"/>
        <v>0</v>
      </c>
      <c r="AT949">
        <f t="shared" si="864"/>
        <v>0</v>
      </c>
      <c r="AU949">
        <f t="shared" si="865"/>
        <v>3.472192445839553E-270</v>
      </c>
      <c r="AV949">
        <f t="shared" si="847"/>
        <v>2.7646015351590145E-21</v>
      </c>
      <c r="AW949" t="b">
        <f t="shared" si="866"/>
        <v>1</v>
      </c>
      <c r="AX949">
        <f t="shared" si="848"/>
        <v>7.8539816339744828</v>
      </c>
      <c r="AY949">
        <f t="shared" si="849"/>
        <v>-0.97439249613363976</v>
      </c>
      <c r="AZ949">
        <f t="shared" si="850"/>
        <v>-1.7372712839439863</v>
      </c>
      <c r="BA949">
        <f t="shared" si="851"/>
        <v>1.2984595596737238</v>
      </c>
      <c r="BB949">
        <f t="shared" si="852"/>
        <v>-1.2337005501361696E-20</v>
      </c>
      <c r="BD949" s="15">
        <f t="shared" si="867"/>
        <v>6.4407774135705802</v>
      </c>
      <c r="BE949" s="10">
        <f t="shared" si="868"/>
        <v>0</v>
      </c>
      <c r="BF949">
        <f t="shared" si="869"/>
        <v>0</v>
      </c>
      <c r="BG949">
        <f t="shared" si="870"/>
        <v>0</v>
      </c>
      <c r="BH949">
        <f t="shared" si="871"/>
        <v>0</v>
      </c>
      <c r="BI949">
        <f t="shared" si="872"/>
        <v>0</v>
      </c>
    </row>
    <row r="950" spans="1:61" x14ac:dyDescent="0.3">
      <c r="A950">
        <f t="shared" si="877"/>
        <v>0.91300000000000003</v>
      </c>
      <c r="B950">
        <f t="shared" si="820"/>
        <v>2.8682740927274812</v>
      </c>
      <c r="C950">
        <f t="shared" si="821"/>
        <v>0.27331856086231188</v>
      </c>
      <c r="D950">
        <f t="shared" si="822"/>
        <v>0.27331856086231188</v>
      </c>
      <c r="E950">
        <f t="shared" si="827"/>
        <v>0.26992829446049632</v>
      </c>
      <c r="F950">
        <f t="shared" si="828"/>
        <v>0.26992829446049621</v>
      </c>
      <c r="G950">
        <f t="shared" si="823"/>
        <v>2.8682740927274812</v>
      </c>
      <c r="H950">
        <f t="shared" si="824"/>
        <v>0.26992829446049632</v>
      </c>
      <c r="I950">
        <f t="shared" si="825"/>
        <v>0.26992829446049621</v>
      </c>
      <c r="J950">
        <f t="shared" si="873"/>
        <v>2.3584773639235882E+20</v>
      </c>
      <c r="K950">
        <f t="shared" si="874"/>
        <v>2.3584773639235882E+20</v>
      </c>
      <c r="L950">
        <f t="shared" si="829"/>
        <v>1</v>
      </c>
      <c r="M950">
        <f t="shared" si="826"/>
        <v>2.733185608623116E-21</v>
      </c>
      <c r="N950" s="9">
        <f t="shared" si="875"/>
        <v>2.733185608623116E-21</v>
      </c>
      <c r="O950">
        <f t="shared" si="876"/>
        <v>2.733185608623116E-21</v>
      </c>
      <c r="Q950">
        <f t="shared" si="830"/>
        <v>46.909718085919025</v>
      </c>
      <c r="R950">
        <f t="shared" si="831"/>
        <v>-710542.73576010019</v>
      </c>
      <c r="S950">
        <f t="shared" si="853"/>
        <v>-47.348819134359069</v>
      </c>
      <c r="T950" s="9" t="e">
        <f t="shared" si="832"/>
        <v>#N/A</v>
      </c>
      <c r="U950">
        <f t="shared" si="854"/>
        <v>-1.0000000000000001E+300</v>
      </c>
      <c r="V950">
        <f t="shared" si="855"/>
        <v>0</v>
      </c>
      <c r="W950">
        <f t="shared" si="856"/>
        <v>0</v>
      </c>
      <c r="X950">
        <f t="shared" si="833"/>
        <v>0.27331856086231188</v>
      </c>
      <c r="Y950">
        <f t="shared" si="834"/>
        <v>7.8539816339744828</v>
      </c>
      <c r="Z950">
        <f t="shared" si="835"/>
        <v>-0.27331856086231188</v>
      </c>
      <c r="AA950">
        <f t="shared" si="857"/>
        <v>-0.97497408708295785</v>
      </c>
      <c r="AB950">
        <f t="shared" si="836"/>
        <v>6.8790075468915246</v>
      </c>
      <c r="AC950">
        <f t="shared" si="858"/>
        <v>-1.7486999797676084</v>
      </c>
      <c r="AD950">
        <f t="shared" si="837"/>
        <v>1.3095989313275682</v>
      </c>
      <c r="AE950" s="9">
        <f t="shared" si="859"/>
        <v>6.4399064984514842</v>
      </c>
      <c r="AF950">
        <f t="shared" si="860"/>
        <v>5.9873509148619152E-270</v>
      </c>
      <c r="AH950">
        <f t="shared" si="838"/>
        <v>7.8539816339744828</v>
      </c>
      <c r="AI950">
        <f t="shared" si="839"/>
        <v>-0.97497408708295596</v>
      </c>
      <c r="AJ950">
        <f t="shared" si="840"/>
        <v>-1.7486999797676077</v>
      </c>
      <c r="AK950">
        <f t="shared" si="841"/>
        <v>1.3095989313275682</v>
      </c>
      <c r="AL950" s="9">
        <f t="shared" si="861"/>
        <v>6.4399064984514878</v>
      </c>
      <c r="AM950" t="e">
        <f t="shared" si="842"/>
        <v>#N/A</v>
      </c>
      <c r="AN950" t="e">
        <f t="shared" si="862"/>
        <v>#N/A</v>
      </c>
      <c r="AO950">
        <f t="shared" si="843"/>
        <v>0</v>
      </c>
      <c r="AP950">
        <f t="shared" si="844"/>
        <v>1.8873791418627661E-15</v>
      </c>
      <c r="AQ950">
        <f t="shared" si="845"/>
        <v>0</v>
      </c>
      <c r="AR950">
        <f t="shared" si="863"/>
        <v>-1.935824927931831E-15</v>
      </c>
      <c r="AS950">
        <f t="shared" si="846"/>
        <v>0</v>
      </c>
      <c r="AT950">
        <f t="shared" si="864"/>
        <v>0</v>
      </c>
      <c r="AU950">
        <f t="shared" si="865"/>
        <v>5.9873509148490034E-270</v>
      </c>
      <c r="AV950">
        <f t="shared" si="847"/>
        <v>2.7331856086231187E-21</v>
      </c>
      <c r="AW950" t="b">
        <f t="shared" si="866"/>
        <v>1</v>
      </c>
      <c r="AX950">
        <f t="shared" si="848"/>
        <v>7.8539816339744828</v>
      </c>
      <c r="AY950">
        <f t="shared" si="849"/>
        <v>-0.97497408708295796</v>
      </c>
      <c r="AZ950">
        <f t="shared" si="850"/>
        <v>-1.7486999797676084</v>
      </c>
      <c r="BA950">
        <f t="shared" si="851"/>
        <v>1.3095989313275687</v>
      </c>
      <c r="BB950">
        <f t="shared" si="852"/>
        <v>-1.2337005501361696E-20</v>
      </c>
      <c r="BD950" s="15">
        <f t="shared" si="867"/>
        <v>6.4399064984514851</v>
      </c>
      <c r="BE950" s="10">
        <f t="shared" si="868"/>
        <v>0</v>
      </c>
      <c r="BF950">
        <f t="shared" si="869"/>
        <v>0</v>
      </c>
      <c r="BG950">
        <f t="shared" si="870"/>
        <v>0</v>
      </c>
      <c r="BH950">
        <f t="shared" si="871"/>
        <v>0</v>
      </c>
      <c r="BI950">
        <f t="shared" si="872"/>
        <v>0</v>
      </c>
    </row>
    <row r="951" spans="1:61" x14ac:dyDescent="0.3">
      <c r="A951">
        <f t="shared" si="877"/>
        <v>0.91400000000000003</v>
      </c>
      <c r="B951">
        <f t="shared" si="820"/>
        <v>2.8714156853810708</v>
      </c>
      <c r="C951">
        <f t="shared" si="821"/>
        <v>0.27017696820872228</v>
      </c>
      <c r="D951">
        <f t="shared" si="822"/>
        <v>0.27017696820872228</v>
      </c>
      <c r="E951">
        <f t="shared" si="827"/>
        <v>0.26690198932037573</v>
      </c>
      <c r="F951">
        <f t="shared" si="828"/>
        <v>0.26690198932037562</v>
      </c>
      <c r="G951">
        <f t="shared" si="823"/>
        <v>2.8714156853810708</v>
      </c>
      <c r="H951">
        <f t="shared" si="824"/>
        <v>0.26690198932037573</v>
      </c>
      <c r="I951">
        <f t="shared" si="825"/>
        <v>0.26690198932037562</v>
      </c>
      <c r="J951">
        <f t="shared" si="873"/>
        <v>2.3852192858833099E+20</v>
      </c>
      <c r="K951">
        <f t="shared" si="874"/>
        <v>2.3852192858833099E+20</v>
      </c>
      <c r="L951">
        <f t="shared" si="829"/>
        <v>1</v>
      </c>
      <c r="M951">
        <f t="shared" si="826"/>
        <v>2.7017696820872224E-21</v>
      </c>
      <c r="N951" s="9">
        <f t="shared" si="875"/>
        <v>2.7017696820872224E-21</v>
      </c>
      <c r="O951">
        <f t="shared" si="876"/>
        <v>2.7017696820872224E-21</v>
      </c>
      <c r="Q951">
        <f t="shared" si="830"/>
        <v>46.920992923761233</v>
      </c>
      <c r="R951">
        <f t="shared" si="831"/>
        <v>-710542.73576010019</v>
      </c>
      <c r="S951">
        <f t="shared" si="853"/>
        <v>-47.360379956760141</v>
      </c>
      <c r="T951" s="9" t="e">
        <f t="shared" si="832"/>
        <v>#N/A</v>
      </c>
      <c r="U951">
        <f t="shared" si="854"/>
        <v>-1.0000000000000001E+300</v>
      </c>
      <c r="V951">
        <f t="shared" si="855"/>
        <v>0</v>
      </c>
      <c r="W951">
        <f t="shared" si="856"/>
        <v>0</v>
      </c>
      <c r="X951">
        <f t="shared" si="833"/>
        <v>0.27017696820872228</v>
      </c>
      <c r="Y951">
        <f t="shared" si="834"/>
        <v>7.8539816339744828</v>
      </c>
      <c r="Z951">
        <f t="shared" si="835"/>
        <v>-0.27017696820872228</v>
      </c>
      <c r="AA951">
        <f t="shared" si="857"/>
        <v>-0.97554889813432866</v>
      </c>
      <c r="AB951">
        <f t="shared" si="836"/>
        <v>6.8784327358401542</v>
      </c>
      <c r="AC951">
        <f t="shared" si="858"/>
        <v>-1.7602608021686839</v>
      </c>
      <c r="AD951">
        <f t="shared" si="837"/>
        <v>1.3208737691697772</v>
      </c>
      <c r="AE951" s="9">
        <f t="shared" si="859"/>
        <v>6.4390457028412476</v>
      </c>
      <c r="AF951">
        <f t="shared" si="860"/>
        <v>1.0254473923586574E-269</v>
      </c>
      <c r="AH951">
        <f t="shared" si="838"/>
        <v>7.8539816339744828</v>
      </c>
      <c r="AI951">
        <f t="shared" si="839"/>
        <v>-0.97554889813432866</v>
      </c>
      <c r="AJ951">
        <f t="shared" si="840"/>
        <v>-1.7602608021686805</v>
      </c>
      <c r="AK951">
        <f t="shared" si="841"/>
        <v>1.3208737691697772</v>
      </c>
      <c r="AL951" s="9">
        <f t="shared" si="861"/>
        <v>6.4390457028412511</v>
      </c>
      <c r="AM951" t="e">
        <f t="shared" si="842"/>
        <v>#N/A</v>
      </c>
      <c r="AN951" t="e">
        <f t="shared" si="862"/>
        <v>#N/A</v>
      </c>
      <c r="AO951">
        <f t="shared" si="843"/>
        <v>0</v>
      </c>
      <c r="AP951">
        <f t="shared" si="844"/>
        <v>0</v>
      </c>
      <c r="AQ951">
        <f t="shared" si="845"/>
        <v>3.3306690738754696E-15</v>
      </c>
      <c r="AR951">
        <f t="shared" si="863"/>
        <v>0</v>
      </c>
      <c r="AS951">
        <f t="shared" si="846"/>
        <v>0</v>
      </c>
      <c r="AT951">
        <f t="shared" si="864"/>
        <v>0</v>
      </c>
      <c r="AU951">
        <f t="shared" si="865"/>
        <v>1.025447392356446E-269</v>
      </c>
      <c r="AV951">
        <f t="shared" si="847"/>
        <v>2.7017696820872228E-21</v>
      </c>
      <c r="AW951" t="b">
        <f t="shared" si="866"/>
        <v>1</v>
      </c>
      <c r="AX951">
        <f t="shared" si="848"/>
        <v>7.8539816339744828</v>
      </c>
      <c r="AY951">
        <f t="shared" si="849"/>
        <v>-0.97554889813432888</v>
      </c>
      <c r="AZ951">
        <f t="shared" si="850"/>
        <v>-1.7602608021686836</v>
      </c>
      <c r="BA951">
        <f t="shared" si="851"/>
        <v>1.3208737691697776</v>
      </c>
      <c r="BB951">
        <f t="shared" si="852"/>
        <v>-1.2337005501361696E-20</v>
      </c>
      <c r="BD951" s="15">
        <f t="shared" si="867"/>
        <v>6.4390457028412484</v>
      </c>
      <c r="BE951" s="10">
        <f t="shared" si="868"/>
        <v>0</v>
      </c>
      <c r="BF951">
        <f t="shared" si="869"/>
        <v>0</v>
      </c>
      <c r="BG951">
        <f t="shared" si="870"/>
        <v>0</v>
      </c>
      <c r="BH951">
        <f t="shared" si="871"/>
        <v>0</v>
      </c>
      <c r="BI951">
        <f t="shared" si="872"/>
        <v>0</v>
      </c>
    </row>
    <row r="952" spans="1:61" x14ac:dyDescent="0.3">
      <c r="A952">
        <f t="shared" si="877"/>
        <v>0.91500000000000004</v>
      </c>
      <c r="B952">
        <f t="shared" si="820"/>
        <v>2.8745572780346609</v>
      </c>
      <c r="C952">
        <f t="shared" si="821"/>
        <v>0.26703537555513224</v>
      </c>
      <c r="D952">
        <f t="shared" si="822"/>
        <v>0.26703537555513224</v>
      </c>
      <c r="E952">
        <f t="shared" si="827"/>
        <v>0.26387304996537281</v>
      </c>
      <c r="F952">
        <f t="shared" si="828"/>
        <v>0.2638730499653727</v>
      </c>
      <c r="G952">
        <f t="shared" si="823"/>
        <v>2.8745572780346609</v>
      </c>
      <c r="H952">
        <f t="shared" si="824"/>
        <v>0.26387304996537281</v>
      </c>
      <c r="I952">
        <f t="shared" si="825"/>
        <v>0.2638730499653727</v>
      </c>
      <c r="J952">
        <f t="shared" si="873"/>
        <v>2.4125986812640507E+20</v>
      </c>
      <c r="K952">
        <f t="shared" si="874"/>
        <v>2.4125986812640507E+20</v>
      </c>
      <c r="L952">
        <f t="shared" si="829"/>
        <v>1</v>
      </c>
      <c r="M952">
        <f t="shared" si="826"/>
        <v>2.6703537555513228E-21</v>
      </c>
      <c r="N952" s="9">
        <f t="shared" si="875"/>
        <v>2.6703537555513228E-21</v>
      </c>
      <c r="O952">
        <f t="shared" si="876"/>
        <v>2.6703537555513228E-21</v>
      </c>
      <c r="Q952">
        <f t="shared" si="830"/>
        <v>46.93240631742627</v>
      </c>
      <c r="R952">
        <f t="shared" si="831"/>
        <v>0</v>
      </c>
      <c r="S952">
        <f t="shared" si="853"/>
        <v>-47.372075996523336</v>
      </c>
      <c r="T952" s="9" t="e">
        <f t="shared" si="832"/>
        <v>#N/A</v>
      </c>
      <c r="U952">
        <f t="shared" si="854"/>
        <v>-1.0000000000000001E+300</v>
      </c>
      <c r="V952">
        <f t="shared" si="855"/>
        <v>0</v>
      </c>
      <c r="W952">
        <f t="shared" si="856"/>
        <v>0</v>
      </c>
      <c r="X952">
        <f t="shared" si="833"/>
        <v>0.26703537555513224</v>
      </c>
      <c r="Y952">
        <f t="shared" si="834"/>
        <v>7.8539816339744828</v>
      </c>
      <c r="Z952">
        <f t="shared" si="835"/>
        <v>-0.26703537555513224</v>
      </c>
      <c r="AA952">
        <f t="shared" si="857"/>
        <v>-0.97611693394292132</v>
      </c>
      <c r="AB952">
        <f t="shared" si="836"/>
        <v>6.8778647000315614</v>
      </c>
      <c r="AC952">
        <f t="shared" si="858"/>
        <v>-1.7719568419318761</v>
      </c>
      <c r="AD952">
        <f t="shared" si="837"/>
        <v>1.3322871628348085</v>
      </c>
      <c r="AE952" s="9">
        <f t="shared" si="859"/>
        <v>6.4381950209344945</v>
      </c>
      <c r="AF952">
        <f t="shared" si="860"/>
        <v>1.744410363209993E-269</v>
      </c>
      <c r="AH952">
        <f t="shared" si="838"/>
        <v>7.8539816339744828</v>
      </c>
      <c r="AI952">
        <f t="shared" si="839"/>
        <v>-0.97611693394292065</v>
      </c>
      <c r="AJ952">
        <f t="shared" si="840"/>
        <v>-1.7719568419318747</v>
      </c>
      <c r="AK952">
        <f t="shared" si="841"/>
        <v>1.3322871628348085</v>
      </c>
      <c r="AL952" s="9">
        <f t="shared" si="861"/>
        <v>6.4381950209344962</v>
      </c>
      <c r="AM952" t="e">
        <f t="shared" si="842"/>
        <v>#N/A</v>
      </c>
      <c r="AN952" t="e">
        <f t="shared" si="862"/>
        <v>#N/A</v>
      </c>
      <c r="AO952">
        <f t="shared" si="843"/>
        <v>0</v>
      </c>
      <c r="AP952">
        <f t="shared" si="844"/>
        <v>0</v>
      </c>
      <c r="AQ952">
        <f t="shared" si="845"/>
        <v>0</v>
      </c>
      <c r="AR952">
        <f t="shared" si="863"/>
        <v>0</v>
      </c>
      <c r="AS952">
        <f t="shared" si="846"/>
        <v>0</v>
      </c>
      <c r="AT952">
        <f t="shared" si="864"/>
        <v>0</v>
      </c>
      <c r="AU952">
        <f t="shared" si="865"/>
        <v>1.7444103632080129E-269</v>
      </c>
      <c r="AV952">
        <f t="shared" si="847"/>
        <v>2.6703537555513221E-21</v>
      </c>
      <c r="AW952" t="b">
        <f t="shared" si="866"/>
        <v>1</v>
      </c>
      <c r="AX952">
        <f t="shared" si="848"/>
        <v>7.8539816339744828</v>
      </c>
      <c r="AY952">
        <f t="shared" si="849"/>
        <v>-0.97611693394292165</v>
      </c>
      <c r="AZ952">
        <f t="shared" si="850"/>
        <v>-1.7719568419318761</v>
      </c>
      <c r="BA952">
        <f t="shared" si="851"/>
        <v>1.332287162834809</v>
      </c>
      <c r="BB952">
        <f t="shared" si="852"/>
        <v>-1.2337005501361696E-20</v>
      </c>
      <c r="BD952" s="15">
        <f t="shared" si="867"/>
        <v>6.4381950209344945</v>
      </c>
      <c r="BE952" s="10">
        <f t="shared" si="868"/>
        <v>0</v>
      </c>
      <c r="BF952">
        <f t="shared" si="869"/>
        <v>0</v>
      </c>
      <c r="BG952">
        <f t="shared" si="870"/>
        <v>0</v>
      </c>
      <c r="BH952">
        <f t="shared" si="871"/>
        <v>0</v>
      </c>
      <c r="BI952">
        <f t="shared" si="872"/>
        <v>0</v>
      </c>
    </row>
    <row r="953" spans="1:61" x14ac:dyDescent="0.3">
      <c r="A953">
        <f t="shared" si="877"/>
        <v>0.91600000000000004</v>
      </c>
      <c r="B953">
        <f t="shared" si="820"/>
        <v>2.8776988706882505</v>
      </c>
      <c r="C953">
        <f t="shared" si="821"/>
        <v>0.26389378290154264</v>
      </c>
      <c r="D953">
        <f t="shared" si="822"/>
        <v>0.26389378290154264</v>
      </c>
      <c r="E953">
        <f t="shared" si="827"/>
        <v>0.26084150628989705</v>
      </c>
      <c r="F953">
        <f t="shared" si="828"/>
        <v>0.26084150628989694</v>
      </c>
      <c r="G953">
        <f t="shared" si="823"/>
        <v>2.8776988706882505</v>
      </c>
      <c r="H953">
        <f t="shared" si="824"/>
        <v>0.26084150628989705</v>
      </c>
      <c r="I953">
        <f t="shared" si="825"/>
        <v>0.26084150628989694</v>
      </c>
      <c r="J953">
        <f t="shared" si="873"/>
        <v>2.440638307233388E+20</v>
      </c>
      <c r="K953">
        <f t="shared" si="874"/>
        <v>2.440638307233388E+20</v>
      </c>
      <c r="L953" t="e">
        <f t="shared" si="829"/>
        <v>#NUM!</v>
      </c>
      <c r="M953">
        <f t="shared" si="826"/>
        <v>2.6389378290154292E-21</v>
      </c>
      <c r="N953" s="9" t="e">
        <f t="shared" si="875"/>
        <v>#NUM!</v>
      </c>
      <c r="O953" t="e">
        <f t="shared" si="876"/>
        <v>#NUM!</v>
      </c>
      <c r="Q953">
        <f t="shared" si="830"/>
        <v>46.94396146629952</v>
      </c>
      <c r="R953">
        <f t="shared" si="831"/>
        <v>-710542.73576010019</v>
      </c>
      <c r="S953">
        <f t="shared" si="853"/>
        <v>-47.383910454170334</v>
      </c>
      <c r="T953" s="9" t="e">
        <f t="shared" si="832"/>
        <v>#N/A</v>
      </c>
      <c r="U953">
        <f t="shared" si="854"/>
        <v>-1.0000000000000001E+300</v>
      </c>
      <c r="V953">
        <f t="shared" si="855"/>
        <v>0</v>
      </c>
      <c r="W953">
        <f t="shared" si="856"/>
        <v>0</v>
      </c>
      <c r="X953">
        <f t="shared" si="833"/>
        <v>0.26389378290154264</v>
      </c>
      <c r="Y953">
        <f t="shared" si="834"/>
        <v>7.8539816339744828</v>
      </c>
      <c r="Z953">
        <f t="shared" si="835"/>
        <v>-0.26389378290154264</v>
      </c>
      <c r="AA953">
        <f t="shared" si="857"/>
        <v>-0.97667819910634668</v>
      </c>
      <c r="AB953">
        <f t="shared" si="836"/>
        <v>6.8773034348681357</v>
      </c>
      <c r="AC953">
        <f t="shared" si="858"/>
        <v>-1.7837912995788781</v>
      </c>
      <c r="AD953">
        <f t="shared" si="837"/>
        <v>1.343842311708064</v>
      </c>
      <c r="AE953" s="9">
        <f t="shared" si="859"/>
        <v>6.4373544469973218</v>
      </c>
      <c r="AF953">
        <f t="shared" si="860"/>
        <v>2.9474691230009233E-269</v>
      </c>
      <c r="AH953">
        <f t="shared" si="838"/>
        <v>7.8539816339744828</v>
      </c>
      <c r="AI953">
        <f t="shared" si="839"/>
        <v>-0.97667819910634679</v>
      </c>
      <c r="AJ953">
        <f t="shared" si="840"/>
        <v>-1.7837912995788727</v>
      </c>
      <c r="AK953">
        <f t="shared" si="841"/>
        <v>1.343842311708064</v>
      </c>
      <c r="AL953" s="9">
        <f t="shared" si="861"/>
        <v>6.4373544469973272</v>
      </c>
      <c r="AM953" t="e">
        <f t="shared" si="842"/>
        <v>#N/A</v>
      </c>
      <c r="AN953" t="e">
        <f t="shared" si="862"/>
        <v>#N/A</v>
      </c>
      <c r="AO953">
        <f t="shared" si="843"/>
        <v>0</v>
      </c>
      <c r="AP953">
        <f t="shared" si="844"/>
        <v>0</v>
      </c>
      <c r="AQ953">
        <f t="shared" si="845"/>
        <v>5.3290705182007514E-15</v>
      </c>
      <c r="AR953">
        <f t="shared" si="863"/>
        <v>0</v>
      </c>
      <c r="AS953">
        <f t="shared" si="846"/>
        <v>0</v>
      </c>
      <c r="AT953">
        <f t="shared" si="864"/>
        <v>0</v>
      </c>
      <c r="AU953">
        <f t="shared" si="865"/>
        <v>2.947469122991221E-269</v>
      </c>
      <c r="AV953">
        <f t="shared" si="847"/>
        <v>2.6389378290154262E-21</v>
      </c>
      <c r="AW953" t="b">
        <f t="shared" si="866"/>
        <v>1</v>
      </c>
      <c r="AX953">
        <f t="shared" si="848"/>
        <v>7.8539816339744828</v>
      </c>
      <c r="AY953">
        <f t="shared" si="849"/>
        <v>-0.97667819910634679</v>
      </c>
      <c r="AZ953">
        <f t="shared" si="850"/>
        <v>-1.7837912995788781</v>
      </c>
      <c r="BA953">
        <f t="shared" si="851"/>
        <v>1.3438423117080645</v>
      </c>
      <c r="BB953">
        <f t="shared" si="852"/>
        <v>-1.2337005501361696E-20</v>
      </c>
      <c r="BD953" s="15">
        <f t="shared" si="867"/>
        <v>6.4373544469973218</v>
      </c>
      <c r="BE953" s="10">
        <f t="shared" si="868"/>
        <v>0</v>
      </c>
      <c r="BF953">
        <f t="shared" si="869"/>
        <v>0</v>
      </c>
      <c r="BG953">
        <f t="shared" si="870"/>
        <v>0</v>
      </c>
      <c r="BH953">
        <f t="shared" si="871"/>
        <v>0</v>
      </c>
      <c r="BI953">
        <f t="shared" si="872"/>
        <v>0</v>
      </c>
    </row>
    <row r="954" spans="1:61" x14ac:dyDescent="0.3">
      <c r="A954">
        <f t="shared" si="877"/>
        <v>0.91700000000000004</v>
      </c>
      <c r="B954">
        <f t="shared" si="820"/>
        <v>2.8808404633418405</v>
      </c>
      <c r="C954">
        <f t="shared" si="821"/>
        <v>0.2607521902479526</v>
      </c>
      <c r="D954">
        <f t="shared" si="822"/>
        <v>0.2607521902479526</v>
      </c>
      <c r="E954">
        <f t="shared" si="827"/>
        <v>0.25780738821405974</v>
      </c>
      <c r="F954">
        <f t="shared" si="828"/>
        <v>0.25780738821405963</v>
      </c>
      <c r="G954">
        <f t="shared" si="823"/>
        <v>2.8808404633418405</v>
      </c>
      <c r="H954">
        <f t="shared" si="824"/>
        <v>0.25780738821405974</v>
      </c>
      <c r="I954">
        <f t="shared" si="825"/>
        <v>0.25780738821405963</v>
      </c>
      <c r="J954">
        <f t="shared" si="873"/>
        <v>2.4693620178138202E+20</v>
      </c>
      <c r="K954">
        <f t="shared" si="874"/>
        <v>2.4693620178138202E+20</v>
      </c>
      <c r="L954">
        <f t="shared" si="829"/>
        <v>1</v>
      </c>
      <c r="M954">
        <f t="shared" si="826"/>
        <v>2.6075219024795236E-21</v>
      </c>
      <c r="N954" s="9">
        <f t="shared" si="875"/>
        <v>2.6075219024795236E-21</v>
      </c>
      <c r="O954">
        <f t="shared" si="876"/>
        <v>2.6075219024795236E-21</v>
      </c>
      <c r="Q954">
        <f t="shared" si="830"/>
        <v>46.955661684774505</v>
      </c>
      <c r="R954">
        <f t="shared" si="831"/>
        <v>-710542.73576010019</v>
      </c>
      <c r="S954">
        <f t="shared" si="853"/>
        <v>-47.395886645217054</v>
      </c>
      <c r="T954" s="9" t="e">
        <f t="shared" si="832"/>
        <v>#N/A</v>
      </c>
      <c r="U954">
        <f t="shared" si="854"/>
        <v>-1.0000000000000001E+300</v>
      </c>
      <c r="V954">
        <f t="shared" si="855"/>
        <v>0</v>
      </c>
      <c r="W954">
        <f t="shared" si="856"/>
        <v>0</v>
      </c>
      <c r="X954">
        <f t="shared" si="833"/>
        <v>0.2607521902479526</v>
      </c>
      <c r="Y954">
        <f t="shared" si="834"/>
        <v>7.8539816339744828</v>
      </c>
      <c r="Z954">
        <f t="shared" si="835"/>
        <v>-0.2607521902479526</v>
      </c>
      <c r="AA954">
        <f t="shared" si="857"/>
        <v>-0.97723269816479197</v>
      </c>
      <c r="AB954">
        <f t="shared" si="836"/>
        <v>6.8767489358096912</v>
      </c>
      <c r="AC954">
        <f t="shared" si="858"/>
        <v>-1.7957674906255947</v>
      </c>
      <c r="AD954">
        <f t="shared" si="837"/>
        <v>1.355542530183049</v>
      </c>
      <c r="AE954" s="9">
        <f t="shared" si="859"/>
        <v>6.4365239753671455</v>
      </c>
      <c r="AF954">
        <f t="shared" si="860"/>
        <v>4.946793896824489E-269</v>
      </c>
      <c r="AH954">
        <f t="shared" si="838"/>
        <v>7.8539816339744828</v>
      </c>
      <c r="AI954">
        <f t="shared" si="839"/>
        <v>-0.97723269816479075</v>
      </c>
      <c r="AJ954">
        <f t="shared" si="840"/>
        <v>-1.7957674906255932</v>
      </c>
      <c r="AK954">
        <f t="shared" si="841"/>
        <v>1.355542530183049</v>
      </c>
      <c r="AL954" s="9">
        <f t="shared" si="861"/>
        <v>6.4365239753671482</v>
      </c>
      <c r="AM954" t="e">
        <f t="shared" si="842"/>
        <v>#N/A</v>
      </c>
      <c r="AN954" t="e">
        <f t="shared" si="862"/>
        <v>#N/A</v>
      </c>
      <c r="AO954">
        <f t="shared" si="843"/>
        <v>0</v>
      </c>
      <c r="AP954">
        <f t="shared" si="844"/>
        <v>1.2212453270876722E-15</v>
      </c>
      <c r="AQ954">
        <f t="shared" si="845"/>
        <v>0</v>
      </c>
      <c r="AR954">
        <f t="shared" si="863"/>
        <v>-1.2496975688401838E-15</v>
      </c>
      <c r="AS954">
        <f t="shared" si="846"/>
        <v>0</v>
      </c>
      <c r="AT954">
        <f t="shared" si="864"/>
        <v>0</v>
      </c>
      <c r="AU954">
        <f t="shared" si="865"/>
        <v>4.9467938968160674E-269</v>
      </c>
      <c r="AV954">
        <f t="shared" si="847"/>
        <v>2.6075219024795258E-21</v>
      </c>
      <c r="AW954" t="b">
        <f t="shared" si="866"/>
        <v>1</v>
      </c>
      <c r="AX954">
        <f t="shared" si="848"/>
        <v>7.8539816339744828</v>
      </c>
      <c r="AY954">
        <f t="shared" si="849"/>
        <v>-0.97723269816479208</v>
      </c>
      <c r="AZ954">
        <f t="shared" si="850"/>
        <v>-1.7957674906255947</v>
      </c>
      <c r="BA954">
        <f t="shared" si="851"/>
        <v>1.3555425301830495</v>
      </c>
      <c r="BB954">
        <f t="shared" si="852"/>
        <v>-1.2337005501361696E-20</v>
      </c>
      <c r="BD954" s="15">
        <f t="shared" si="867"/>
        <v>6.4365239753671446</v>
      </c>
      <c r="BE954" s="10">
        <f t="shared" si="868"/>
        <v>0</v>
      </c>
      <c r="BF954">
        <f t="shared" si="869"/>
        <v>0</v>
      </c>
      <c r="BG954">
        <f t="shared" si="870"/>
        <v>0</v>
      </c>
      <c r="BH954">
        <f t="shared" si="871"/>
        <v>0</v>
      </c>
      <c r="BI954">
        <f t="shared" si="872"/>
        <v>0</v>
      </c>
    </row>
    <row r="955" spans="1:61" x14ac:dyDescent="0.3">
      <c r="A955">
        <f t="shared" si="877"/>
        <v>0.91800000000000004</v>
      </c>
      <c r="B955">
        <f t="shared" si="820"/>
        <v>2.8839820559954301</v>
      </c>
      <c r="C955">
        <f t="shared" si="821"/>
        <v>0.257610597594363</v>
      </c>
      <c r="D955">
        <f t="shared" si="822"/>
        <v>0.257610597594363</v>
      </c>
      <c r="E955">
        <f t="shared" si="827"/>
        <v>0.25477072568338227</v>
      </c>
      <c r="F955">
        <f t="shared" si="828"/>
        <v>0.2547707256833821</v>
      </c>
      <c r="G955">
        <f t="shared" si="823"/>
        <v>2.8839820559954301</v>
      </c>
      <c r="H955">
        <f t="shared" si="824"/>
        <v>0.25477072568338227</v>
      </c>
      <c r="I955">
        <f t="shared" si="825"/>
        <v>0.2547707256833821</v>
      </c>
      <c r="J955">
        <f t="shared" si="873"/>
        <v>2.4987948307638144E+20</v>
      </c>
      <c r="K955">
        <f t="shared" si="874"/>
        <v>2.4987948307638144E+20</v>
      </c>
      <c r="L955">
        <f t="shared" si="829"/>
        <v>1</v>
      </c>
      <c r="M955">
        <f t="shared" si="826"/>
        <v>2.57610597594363E-21</v>
      </c>
      <c r="N955" s="9">
        <f t="shared" si="875"/>
        <v>2.57610597594363E-21</v>
      </c>
      <c r="O955">
        <f t="shared" si="876"/>
        <v>2.57610597594363E-21</v>
      </c>
      <c r="Q955">
        <f t="shared" si="830"/>
        <v>46.967510407828605</v>
      </c>
      <c r="R955">
        <f t="shared" si="831"/>
        <v>-710542.73576010019</v>
      </c>
      <c r="S955">
        <f t="shared" si="853"/>
        <v>-47.408008005749394</v>
      </c>
      <c r="T955" s="9" t="e">
        <f t="shared" si="832"/>
        <v>#N/A</v>
      </c>
      <c r="U955">
        <f t="shared" si="854"/>
        <v>-1.0000000000000001E+300</v>
      </c>
      <c r="V955">
        <f t="shared" si="855"/>
        <v>0</v>
      </c>
      <c r="W955">
        <f t="shared" si="856"/>
        <v>0</v>
      </c>
      <c r="X955">
        <f t="shared" si="833"/>
        <v>0.257610597594363</v>
      </c>
      <c r="Y955">
        <f t="shared" si="834"/>
        <v>7.8539816339744828</v>
      </c>
      <c r="Z955">
        <f t="shared" si="835"/>
        <v>-0.257610597594363</v>
      </c>
      <c r="AA955">
        <f t="shared" si="857"/>
        <v>-0.97778043560115191</v>
      </c>
      <c r="AB955">
        <f t="shared" si="836"/>
        <v>6.8762011983733311</v>
      </c>
      <c r="AC955">
        <f t="shared" si="858"/>
        <v>-1.8078888511579387</v>
      </c>
      <c r="AD955">
        <f t="shared" si="837"/>
        <v>1.3673912532371486</v>
      </c>
      <c r="AE955" s="9">
        <f t="shared" si="859"/>
        <v>6.4357036004525412</v>
      </c>
      <c r="AF955">
        <f t="shared" si="860"/>
        <v>8.2467116216337823E-269</v>
      </c>
      <c r="AH955">
        <f t="shared" si="838"/>
        <v>7.8539816339744828</v>
      </c>
      <c r="AI955">
        <f t="shared" si="839"/>
        <v>-0.97778043560115169</v>
      </c>
      <c r="AJ955">
        <f t="shared" si="840"/>
        <v>-1.8078888511579336</v>
      </c>
      <c r="AK955">
        <f t="shared" si="841"/>
        <v>1.3673912532371486</v>
      </c>
      <c r="AL955" s="9">
        <f t="shared" si="861"/>
        <v>6.4357036004525465</v>
      </c>
      <c r="AM955" t="e">
        <f t="shared" si="842"/>
        <v>#N/A</v>
      </c>
      <c r="AN955" t="e">
        <f t="shared" si="862"/>
        <v>#N/A</v>
      </c>
      <c r="AO955">
        <f t="shared" si="843"/>
        <v>0</v>
      </c>
      <c r="AP955">
        <f t="shared" si="844"/>
        <v>0</v>
      </c>
      <c r="AQ955">
        <f t="shared" si="845"/>
        <v>5.1070259132757201E-15</v>
      </c>
      <c r="AR955">
        <f t="shared" si="863"/>
        <v>0</v>
      </c>
      <c r="AS955">
        <f t="shared" si="846"/>
        <v>0</v>
      </c>
      <c r="AT955">
        <f t="shared" si="864"/>
        <v>0</v>
      </c>
      <c r="AU955">
        <f t="shared" si="865"/>
        <v>8.246711621606638E-269</v>
      </c>
      <c r="AV955">
        <f t="shared" si="847"/>
        <v>2.57610597594363E-21</v>
      </c>
      <c r="AW955" t="b">
        <f t="shared" si="866"/>
        <v>1</v>
      </c>
      <c r="AX955">
        <f t="shared" si="848"/>
        <v>7.8539816339744828</v>
      </c>
      <c r="AY955">
        <f t="shared" si="849"/>
        <v>-0.97778043560115191</v>
      </c>
      <c r="AZ955">
        <f t="shared" si="850"/>
        <v>-1.8078888511579387</v>
      </c>
      <c r="BA955">
        <f t="shared" si="851"/>
        <v>1.3673912532371493</v>
      </c>
      <c r="BB955">
        <f t="shared" si="852"/>
        <v>-1.2337005501361696E-20</v>
      </c>
      <c r="BD955" s="15">
        <f t="shared" si="867"/>
        <v>6.4357036004525412</v>
      </c>
      <c r="BE955" s="10">
        <f t="shared" si="868"/>
        <v>0</v>
      </c>
      <c r="BF955">
        <f t="shared" si="869"/>
        <v>0</v>
      </c>
      <c r="BG955">
        <f t="shared" si="870"/>
        <v>0</v>
      </c>
      <c r="BH955">
        <f t="shared" si="871"/>
        <v>0</v>
      </c>
      <c r="BI955">
        <f t="shared" si="872"/>
        <v>0</v>
      </c>
    </row>
    <row r="956" spans="1:61" x14ac:dyDescent="0.3">
      <c r="A956">
        <f t="shared" si="877"/>
        <v>0.91900000000000004</v>
      </c>
      <c r="B956">
        <f t="shared" si="820"/>
        <v>2.8871236486490202</v>
      </c>
      <c r="C956">
        <f t="shared" si="821"/>
        <v>0.25446900494077296</v>
      </c>
      <c r="D956">
        <f t="shared" si="822"/>
        <v>0.25446900494077296</v>
      </c>
      <c r="E956">
        <f t="shared" si="827"/>
        <v>0.25173154866849695</v>
      </c>
      <c r="F956">
        <f t="shared" si="828"/>
        <v>0.25173154866849679</v>
      </c>
      <c r="G956">
        <f t="shared" si="823"/>
        <v>2.8871236486490202</v>
      </c>
      <c r="H956">
        <f t="shared" si="824"/>
        <v>0.25173154866849695</v>
      </c>
      <c r="I956">
        <f t="shared" si="825"/>
        <v>0.25173154866849679</v>
      </c>
      <c r="J956">
        <f t="shared" si="873"/>
        <v>2.5289629994130788E+20</v>
      </c>
      <c r="K956">
        <f t="shared" si="874"/>
        <v>2.5289629994130788E+20</v>
      </c>
      <c r="L956">
        <f t="shared" si="829"/>
        <v>1</v>
      </c>
      <c r="M956">
        <f t="shared" si="826"/>
        <v>2.5446900494077304E-21</v>
      </c>
      <c r="N956" s="9">
        <f t="shared" si="875"/>
        <v>2.5446900494077304E-21</v>
      </c>
      <c r="O956">
        <f t="shared" si="876"/>
        <v>2.5446900494077304E-21</v>
      </c>
      <c r="Q956">
        <f t="shared" si="830"/>
        <v>46.979511196940983</v>
      </c>
      <c r="R956">
        <f t="shared" si="831"/>
        <v>-710542.73576010019</v>
      </c>
      <c r="S956">
        <f t="shared" si="853"/>
        <v>-47.420278098341214</v>
      </c>
      <c r="T956" s="9" t="e">
        <f t="shared" si="832"/>
        <v>#N/A</v>
      </c>
      <c r="U956">
        <f t="shared" si="854"/>
        <v>-1.0000000000000001E+300</v>
      </c>
      <c r="V956">
        <f t="shared" si="855"/>
        <v>0</v>
      </c>
      <c r="W956">
        <f t="shared" si="856"/>
        <v>0</v>
      </c>
      <c r="X956">
        <f t="shared" si="833"/>
        <v>0.25446900494077296</v>
      </c>
      <c r="Y956">
        <f t="shared" si="834"/>
        <v>7.8539816339744828</v>
      </c>
      <c r="Z956">
        <f t="shared" si="835"/>
        <v>-0.25446900494077296</v>
      </c>
      <c r="AA956">
        <f t="shared" si="857"/>
        <v>-0.97832141584116039</v>
      </c>
      <c r="AB956">
        <f t="shared" si="836"/>
        <v>6.8756602181333228</v>
      </c>
      <c r="AC956">
        <f t="shared" si="858"/>
        <v>-1.8201589437497541</v>
      </c>
      <c r="AD956">
        <f t="shared" si="837"/>
        <v>1.3793920423495276</v>
      </c>
      <c r="AE956" s="9">
        <f t="shared" si="859"/>
        <v>6.4348933167330964</v>
      </c>
      <c r="AF956">
        <f t="shared" si="860"/>
        <v>1.3656160574151404E-268</v>
      </c>
      <c r="AH956">
        <f t="shared" si="838"/>
        <v>7.8539816339744828</v>
      </c>
      <c r="AI956">
        <f t="shared" si="839"/>
        <v>-0.97832141584116006</v>
      </c>
      <c r="AJ956">
        <f t="shared" si="840"/>
        <v>-1.8201589437497532</v>
      </c>
      <c r="AK956">
        <f t="shared" si="841"/>
        <v>1.3793920423495276</v>
      </c>
      <c r="AL956" s="9">
        <f t="shared" si="861"/>
        <v>6.4348933167330973</v>
      </c>
      <c r="AM956" t="e">
        <f t="shared" si="842"/>
        <v>#N/A</v>
      </c>
      <c r="AN956" t="e">
        <f t="shared" si="862"/>
        <v>#N/A</v>
      </c>
      <c r="AO956">
        <f t="shared" si="843"/>
        <v>0</v>
      </c>
      <c r="AP956">
        <f t="shared" si="844"/>
        <v>0</v>
      </c>
      <c r="AQ956">
        <f t="shared" si="845"/>
        <v>0</v>
      </c>
      <c r="AR956">
        <f t="shared" si="863"/>
        <v>0</v>
      </c>
      <c r="AS956">
        <f t="shared" si="846"/>
        <v>0</v>
      </c>
      <c r="AT956">
        <f t="shared" si="864"/>
        <v>0</v>
      </c>
      <c r="AU956">
        <f t="shared" si="865"/>
        <v>1.3656160574145201E-268</v>
      </c>
      <c r="AV956">
        <f t="shared" si="847"/>
        <v>2.5446900494077296E-21</v>
      </c>
      <c r="AW956" t="b">
        <f t="shared" si="866"/>
        <v>1</v>
      </c>
      <c r="AX956">
        <f t="shared" si="848"/>
        <v>7.8539816339744828</v>
      </c>
      <c r="AY956">
        <f t="shared" si="849"/>
        <v>-0.97832141584116061</v>
      </c>
      <c r="AZ956">
        <f t="shared" si="850"/>
        <v>-1.8201589437497541</v>
      </c>
      <c r="BA956">
        <f t="shared" si="851"/>
        <v>1.3793920423495283</v>
      </c>
      <c r="BB956">
        <f t="shared" si="852"/>
        <v>-1.2337005501361696E-20</v>
      </c>
      <c r="BD956" s="15">
        <f t="shared" si="867"/>
        <v>6.4348933167330964</v>
      </c>
      <c r="BE956" s="10">
        <f t="shared" si="868"/>
        <v>0</v>
      </c>
      <c r="BF956">
        <f t="shared" si="869"/>
        <v>0</v>
      </c>
      <c r="BG956">
        <f t="shared" si="870"/>
        <v>0</v>
      </c>
      <c r="BH956">
        <f t="shared" si="871"/>
        <v>0</v>
      </c>
      <c r="BI956">
        <f t="shared" si="872"/>
        <v>0</v>
      </c>
    </row>
    <row r="957" spans="1:61" x14ac:dyDescent="0.3">
      <c r="A957">
        <f t="shared" si="877"/>
        <v>0.92</v>
      </c>
      <c r="B957">
        <f t="shared" si="820"/>
        <v>2.8902652413026098</v>
      </c>
      <c r="C957">
        <f t="shared" si="821"/>
        <v>0.25132741228718336</v>
      </c>
      <c r="D957">
        <f t="shared" si="822"/>
        <v>0.25132741228718336</v>
      </c>
      <c r="E957">
        <f t="shared" si="827"/>
        <v>0.24868988716485482</v>
      </c>
      <c r="F957">
        <f t="shared" si="828"/>
        <v>0.24868988716485468</v>
      </c>
      <c r="G957">
        <f t="shared" si="823"/>
        <v>2.8902652413026098</v>
      </c>
      <c r="H957">
        <f t="shared" si="824"/>
        <v>0.24868988716485482</v>
      </c>
      <c r="I957">
        <f t="shared" si="825"/>
        <v>0.24868988716485468</v>
      </c>
      <c r="J957">
        <f t="shared" si="873"/>
        <v>2.5598940898854103E+20</v>
      </c>
      <c r="K957">
        <f t="shared" si="874"/>
        <v>2.5598940898854103E+20</v>
      </c>
      <c r="L957">
        <f t="shared" si="829"/>
        <v>1</v>
      </c>
      <c r="M957">
        <f t="shared" si="826"/>
        <v>2.5132741228718308E-21</v>
      </c>
      <c r="N957" s="9">
        <f t="shared" si="875"/>
        <v>2.5132741228718308E-21</v>
      </c>
      <c r="O957">
        <f t="shared" si="876"/>
        <v>2.5132741228718308E-21</v>
      </c>
      <c r="Q957">
        <f t="shared" si="830"/>
        <v>46.991667746378063</v>
      </c>
      <c r="R957">
        <f t="shared" si="831"/>
        <v>0</v>
      </c>
      <c r="S957">
        <f t="shared" si="853"/>
        <v>-47.432700618339773</v>
      </c>
      <c r="T957" s="9" t="e">
        <f t="shared" si="832"/>
        <v>#N/A</v>
      </c>
      <c r="U957">
        <f t="shared" si="854"/>
        <v>-1.0000000000000001E+300</v>
      </c>
      <c r="V957">
        <f t="shared" si="855"/>
        <v>0</v>
      </c>
      <c r="W957">
        <f t="shared" si="856"/>
        <v>0</v>
      </c>
      <c r="X957">
        <f t="shared" si="833"/>
        <v>0.25132741228718336</v>
      </c>
      <c r="Y957">
        <f t="shared" si="834"/>
        <v>7.8539816339744828</v>
      </c>
      <c r="Z957">
        <f t="shared" si="835"/>
        <v>-0.25132741228718336</v>
      </c>
      <c r="AA957">
        <f t="shared" si="857"/>
        <v>-0.97885564325351848</v>
      </c>
      <c r="AB957">
        <f t="shared" si="836"/>
        <v>6.8751259907209645</v>
      </c>
      <c r="AC957">
        <f t="shared" si="858"/>
        <v>-1.8325814637483104</v>
      </c>
      <c r="AD957">
        <f t="shared" si="837"/>
        <v>1.3915485917866051</v>
      </c>
      <c r="AE957" s="9">
        <f t="shared" si="859"/>
        <v>6.4340931187592592</v>
      </c>
      <c r="AF957">
        <f t="shared" si="860"/>
        <v>2.2463400174435534E-268</v>
      </c>
      <c r="AH957">
        <f t="shared" si="838"/>
        <v>7.8539816339744828</v>
      </c>
      <c r="AI957">
        <f t="shared" si="839"/>
        <v>-0.97885564325351715</v>
      </c>
      <c r="AJ957">
        <f t="shared" si="840"/>
        <v>-1.832581463748312</v>
      </c>
      <c r="AK957">
        <f t="shared" si="841"/>
        <v>1.3915485917866051</v>
      </c>
      <c r="AL957" s="9">
        <f t="shared" si="861"/>
        <v>6.4340931187592583</v>
      </c>
      <c r="AM957" t="e">
        <f t="shared" si="842"/>
        <v>#N/A</v>
      </c>
      <c r="AN957" t="e">
        <f t="shared" si="862"/>
        <v>#N/A</v>
      </c>
      <c r="AO957">
        <f t="shared" si="843"/>
        <v>0</v>
      </c>
      <c r="AP957">
        <f t="shared" si="844"/>
        <v>1.3322676295501878E-15</v>
      </c>
      <c r="AQ957">
        <f t="shared" si="845"/>
        <v>0</v>
      </c>
      <c r="AR957">
        <f t="shared" si="863"/>
        <v>-1.3610460732718474E-15</v>
      </c>
      <c r="AS957">
        <f t="shared" si="846"/>
        <v>0</v>
      </c>
      <c r="AT957">
        <f t="shared" si="864"/>
        <v>0</v>
      </c>
      <c r="AU957">
        <f t="shared" si="865"/>
        <v>2.2463400174448284E-268</v>
      </c>
      <c r="AV957">
        <f t="shared" si="847"/>
        <v>2.5132741228718334E-21</v>
      </c>
      <c r="AW957" t="b">
        <f t="shared" si="866"/>
        <v>1</v>
      </c>
      <c r="AX957">
        <f t="shared" si="848"/>
        <v>7.8539816339744828</v>
      </c>
      <c r="AY957">
        <f t="shared" si="849"/>
        <v>-0.97885564325351848</v>
      </c>
      <c r="AZ957">
        <f t="shared" si="850"/>
        <v>-1.8325814637483104</v>
      </c>
      <c r="BA957">
        <f t="shared" si="851"/>
        <v>1.3915485917866057</v>
      </c>
      <c r="BB957">
        <f t="shared" si="852"/>
        <v>-1.2337005501361696E-20</v>
      </c>
      <c r="BD957" s="15">
        <f t="shared" si="867"/>
        <v>6.43409311875926</v>
      </c>
      <c r="BE957" s="10">
        <f t="shared" si="868"/>
        <v>0</v>
      </c>
      <c r="BF957">
        <f t="shared" si="869"/>
        <v>0</v>
      </c>
      <c r="BG957">
        <f t="shared" si="870"/>
        <v>0</v>
      </c>
      <c r="BH957">
        <f t="shared" si="871"/>
        <v>0</v>
      </c>
      <c r="BI957">
        <f t="shared" si="872"/>
        <v>0</v>
      </c>
    </row>
    <row r="958" spans="1:61" x14ac:dyDescent="0.3">
      <c r="A958">
        <f t="shared" si="877"/>
        <v>0.92100000000000004</v>
      </c>
      <c r="B958">
        <f t="shared" si="820"/>
        <v>2.8934068339561998</v>
      </c>
      <c r="C958">
        <f t="shared" si="821"/>
        <v>0.24818581963359332</v>
      </c>
      <c r="D958">
        <f t="shared" si="822"/>
        <v>0.24818581963359332</v>
      </c>
      <c r="E958">
        <f t="shared" si="827"/>
        <v>0.24564577119242612</v>
      </c>
      <c r="F958">
        <f t="shared" si="828"/>
        <v>0.245645771192426</v>
      </c>
      <c r="G958">
        <f t="shared" si="823"/>
        <v>2.8934068339561998</v>
      </c>
      <c r="H958">
        <f t="shared" si="824"/>
        <v>0.24564577119242612</v>
      </c>
      <c r="I958">
        <f t="shared" si="825"/>
        <v>0.245645771192426</v>
      </c>
      <c r="J958">
        <f t="shared" si="873"/>
        <v>2.5916170641866519E+20</v>
      </c>
      <c r="K958">
        <f t="shared" si="874"/>
        <v>2.5916170641866519E+20</v>
      </c>
      <c r="L958">
        <f t="shared" si="829"/>
        <v>1</v>
      </c>
      <c r="M958">
        <f t="shared" si="826"/>
        <v>2.4818581963359311E-21</v>
      </c>
      <c r="N958" s="9">
        <f t="shared" si="875"/>
        <v>2.4818581963359311E-21</v>
      </c>
      <c r="O958">
        <f t="shared" si="876"/>
        <v>2.4818581963359311E-21</v>
      </c>
      <c r="Q958">
        <f t="shared" si="830"/>
        <v>47.003983889874362</v>
      </c>
      <c r="R958">
        <f t="shared" si="831"/>
        <v>0</v>
      </c>
      <c r="S958">
        <f t="shared" si="853"/>
        <v>-47.445279400546632</v>
      </c>
      <c r="T958" s="9" t="e">
        <f t="shared" si="832"/>
        <v>#N/A</v>
      </c>
      <c r="U958">
        <f t="shared" si="854"/>
        <v>-1.0000000000000001E+300</v>
      </c>
      <c r="V958">
        <f t="shared" si="855"/>
        <v>0</v>
      </c>
      <c r="W958">
        <f t="shared" si="856"/>
        <v>0</v>
      </c>
      <c r="X958">
        <f t="shared" si="833"/>
        <v>0.24818581963359332</v>
      </c>
      <c r="Y958">
        <f t="shared" si="834"/>
        <v>7.8539816339744828</v>
      </c>
      <c r="Z958">
        <f t="shared" si="835"/>
        <v>-0.24818581963359332</v>
      </c>
      <c r="AA958">
        <f t="shared" si="857"/>
        <v>-0.97938312215002155</v>
      </c>
      <c r="AB958">
        <f t="shared" si="836"/>
        <v>6.8745985118244608</v>
      </c>
      <c r="AC958">
        <f t="shared" si="858"/>
        <v>-1.8451602459551717</v>
      </c>
      <c r="AD958">
        <f t="shared" si="837"/>
        <v>1.4038647352829012</v>
      </c>
      <c r="AE958" s="9">
        <f t="shared" si="859"/>
        <v>6.4333030011521899</v>
      </c>
      <c r="AF958">
        <f t="shared" si="860"/>
        <v>3.6705368287243629E-268</v>
      </c>
      <c r="AH958">
        <f t="shared" si="838"/>
        <v>7.8539816339744828</v>
      </c>
      <c r="AI958">
        <f t="shared" si="839"/>
        <v>-0.97938312215002143</v>
      </c>
      <c r="AJ958">
        <f t="shared" si="840"/>
        <v>-1.8451602459551708</v>
      </c>
      <c r="AK958">
        <f t="shared" si="841"/>
        <v>1.4038647352829012</v>
      </c>
      <c r="AL958" s="9">
        <f t="shared" si="861"/>
        <v>6.4333030011521917</v>
      </c>
      <c r="AM958" t="e">
        <f t="shared" si="842"/>
        <v>#N/A</v>
      </c>
      <c r="AN958" t="e">
        <f t="shared" si="862"/>
        <v>#N/A</v>
      </c>
      <c r="AO958">
        <f t="shared" si="843"/>
        <v>0</v>
      </c>
      <c r="AP958">
        <f t="shared" si="844"/>
        <v>0</v>
      </c>
      <c r="AQ958">
        <f t="shared" si="845"/>
        <v>0</v>
      </c>
      <c r="AR958">
        <f t="shared" si="863"/>
        <v>0</v>
      </c>
      <c r="AS958">
        <f t="shared" si="846"/>
        <v>0</v>
      </c>
      <c r="AT958">
        <f t="shared" si="864"/>
        <v>0</v>
      </c>
      <c r="AU958">
        <f t="shared" si="865"/>
        <v>3.6705368287201967E-268</v>
      </c>
      <c r="AV958">
        <f t="shared" si="847"/>
        <v>2.481858196335933E-21</v>
      </c>
      <c r="AW958" t="b">
        <f t="shared" si="866"/>
        <v>1</v>
      </c>
      <c r="AX958">
        <f t="shared" si="848"/>
        <v>7.8539816339744828</v>
      </c>
      <c r="AY958">
        <f t="shared" si="849"/>
        <v>-0.97938312215002166</v>
      </c>
      <c r="AZ958">
        <f t="shared" si="850"/>
        <v>-1.8451602459551717</v>
      </c>
      <c r="BA958">
        <f t="shared" si="851"/>
        <v>1.4038647352829017</v>
      </c>
      <c r="BB958">
        <f t="shared" si="852"/>
        <v>-1.2337005501361696E-20</v>
      </c>
      <c r="BD958" s="15">
        <f t="shared" si="867"/>
        <v>6.4333030011521908</v>
      </c>
      <c r="BE958" s="10">
        <f t="shared" si="868"/>
        <v>0</v>
      </c>
      <c r="BF958">
        <f t="shared" si="869"/>
        <v>0</v>
      </c>
      <c r="BG958">
        <f t="shared" si="870"/>
        <v>0</v>
      </c>
      <c r="BH958">
        <f t="shared" si="871"/>
        <v>0</v>
      </c>
      <c r="BI958">
        <f t="shared" si="872"/>
        <v>0</v>
      </c>
    </row>
    <row r="959" spans="1:61" x14ac:dyDescent="0.3">
      <c r="A959">
        <f t="shared" si="877"/>
        <v>0.92200000000000004</v>
      </c>
      <c r="B959">
        <f t="shared" si="820"/>
        <v>2.8965484266097894</v>
      </c>
      <c r="C959">
        <f t="shared" si="821"/>
        <v>0.24504422698000372</v>
      </c>
      <c r="D959">
        <f t="shared" si="822"/>
        <v>0.24504422698000372</v>
      </c>
      <c r="E959">
        <f t="shared" si="827"/>
        <v>0.24259923079540741</v>
      </c>
      <c r="F959">
        <f t="shared" si="828"/>
        <v>0.24259923079540729</v>
      </c>
      <c r="G959">
        <f t="shared" si="823"/>
        <v>2.8965484266097894</v>
      </c>
      <c r="H959">
        <f t="shared" si="824"/>
        <v>0.24259923079540741</v>
      </c>
      <c r="I959">
        <f t="shared" si="825"/>
        <v>0.24259923079540729</v>
      </c>
      <c r="J959">
        <f t="shared" si="873"/>
        <v>2.6241623696839567E+20</v>
      </c>
      <c r="K959">
        <f t="shared" si="874"/>
        <v>2.6241623696839567E+20</v>
      </c>
      <c r="L959">
        <f t="shared" si="829"/>
        <v>1</v>
      </c>
      <c r="M959">
        <f t="shared" si="826"/>
        <v>2.4504422698000376E-21</v>
      </c>
      <c r="N959" s="9">
        <f t="shared" si="875"/>
        <v>2.4504422698000376E-21</v>
      </c>
      <c r="O959">
        <f t="shared" si="876"/>
        <v>2.4504422698000376E-21</v>
      </c>
      <c r="Q959">
        <f t="shared" si="830"/>
        <v>47.016463607738885</v>
      </c>
      <c r="R959">
        <f t="shared" si="831"/>
        <v>0</v>
      </c>
      <c r="S959">
        <f t="shared" si="853"/>
        <v>-47.45801842632406</v>
      </c>
      <c r="T959" s="9" t="e">
        <f t="shared" si="832"/>
        <v>#N/A</v>
      </c>
      <c r="U959">
        <f t="shared" si="854"/>
        <v>-1.0000000000000001E+300</v>
      </c>
      <c r="V959">
        <f t="shared" si="855"/>
        <v>0</v>
      </c>
      <c r="W959">
        <f t="shared" si="856"/>
        <v>0</v>
      </c>
      <c r="X959">
        <f t="shared" si="833"/>
        <v>0.24504422698000372</v>
      </c>
      <c r="Y959">
        <f t="shared" si="834"/>
        <v>7.8539816339744828</v>
      </c>
      <c r="Z959">
        <f t="shared" si="835"/>
        <v>-0.24504422698000372</v>
      </c>
      <c r="AA959">
        <f t="shared" si="857"/>
        <v>-0.97990385678568415</v>
      </c>
      <c r="AB959">
        <f t="shared" si="836"/>
        <v>6.8740777771887984</v>
      </c>
      <c r="AC959">
        <f t="shared" si="858"/>
        <v>-1.8578992717326006</v>
      </c>
      <c r="AD959">
        <f t="shared" si="837"/>
        <v>1.4163444531474225</v>
      </c>
      <c r="AE959" s="9">
        <f t="shared" si="859"/>
        <v>6.4325229586036201</v>
      </c>
      <c r="AF959">
        <f t="shared" si="860"/>
        <v>5.9579782669379313E-268</v>
      </c>
      <c r="AH959">
        <f t="shared" si="838"/>
        <v>7.8539816339744828</v>
      </c>
      <c r="AI959">
        <f t="shared" si="839"/>
        <v>-0.97990385678568526</v>
      </c>
      <c r="AJ959">
        <f t="shared" si="840"/>
        <v>-1.8578992717325988</v>
      </c>
      <c r="AK959">
        <f t="shared" si="841"/>
        <v>1.4163444531474225</v>
      </c>
      <c r="AL959" s="9">
        <f t="shared" si="861"/>
        <v>6.432522958603621</v>
      </c>
      <c r="AM959" t="e">
        <f t="shared" si="842"/>
        <v>#N/A</v>
      </c>
      <c r="AN959" t="e">
        <f t="shared" si="862"/>
        <v>#N/A</v>
      </c>
      <c r="AO959">
        <f t="shared" si="843"/>
        <v>0</v>
      </c>
      <c r="AP959">
        <f t="shared" si="844"/>
        <v>-1.1102230246251565E-15</v>
      </c>
      <c r="AQ959">
        <f t="shared" si="845"/>
        <v>1.7763568394002505E-15</v>
      </c>
      <c r="AR959">
        <f t="shared" si="863"/>
        <v>1.1329917898955402E-15</v>
      </c>
      <c r="AS959">
        <f t="shared" si="846"/>
        <v>0</v>
      </c>
      <c r="AT959">
        <f t="shared" si="864"/>
        <v>0</v>
      </c>
      <c r="AU959">
        <f t="shared" si="865"/>
        <v>5.9579782669345495E-268</v>
      </c>
      <c r="AV959">
        <f t="shared" si="847"/>
        <v>2.4504422698000372E-21</v>
      </c>
      <c r="AW959" t="b">
        <f t="shared" si="866"/>
        <v>1</v>
      </c>
      <c r="AX959">
        <f t="shared" si="848"/>
        <v>7.8539816339744828</v>
      </c>
      <c r="AY959">
        <f t="shared" si="849"/>
        <v>-0.97990385678568437</v>
      </c>
      <c r="AZ959">
        <f t="shared" si="850"/>
        <v>-1.8578992717326006</v>
      </c>
      <c r="BA959">
        <f t="shared" si="851"/>
        <v>1.416344453147423</v>
      </c>
      <c r="BB959">
        <f t="shared" si="852"/>
        <v>-1.2337005501361696E-20</v>
      </c>
      <c r="BD959" s="15">
        <f t="shared" si="867"/>
        <v>6.432522958603621</v>
      </c>
      <c r="BE959" s="10">
        <f t="shared" si="868"/>
        <v>0</v>
      </c>
      <c r="BF959">
        <f t="shared" si="869"/>
        <v>0</v>
      </c>
      <c r="BG959">
        <f t="shared" si="870"/>
        <v>0</v>
      </c>
      <c r="BH959">
        <f t="shared" si="871"/>
        <v>0</v>
      </c>
      <c r="BI959">
        <f t="shared" si="872"/>
        <v>0</v>
      </c>
    </row>
    <row r="960" spans="1:61" x14ac:dyDescent="0.3">
      <c r="A960">
        <f t="shared" si="877"/>
        <v>0.92300000000000004</v>
      </c>
      <c r="B960">
        <f t="shared" si="820"/>
        <v>2.899690019263379</v>
      </c>
      <c r="C960">
        <f t="shared" si="821"/>
        <v>0.24190263432641412</v>
      </c>
      <c r="D960">
        <f t="shared" si="822"/>
        <v>0.24190263432641412</v>
      </c>
      <c r="E960">
        <f t="shared" si="827"/>
        <v>0.23955029604192199</v>
      </c>
      <c r="F960">
        <f t="shared" si="828"/>
        <v>0.23955029604192188</v>
      </c>
      <c r="G960">
        <f t="shared" si="823"/>
        <v>2.899690019263379</v>
      </c>
      <c r="H960">
        <f t="shared" si="824"/>
        <v>0.23955029604192199</v>
      </c>
      <c r="I960">
        <f t="shared" si="825"/>
        <v>0.23955029604192188</v>
      </c>
      <c r="J960">
        <f t="shared" si="873"/>
        <v>2.6575620355575395E+20</v>
      </c>
      <c r="K960">
        <f t="shared" si="874"/>
        <v>2.6575620355575395E+20</v>
      </c>
      <c r="L960">
        <f t="shared" si="829"/>
        <v>1</v>
      </c>
      <c r="M960">
        <f t="shared" si="826"/>
        <v>2.419026343264144E-21</v>
      </c>
      <c r="N960" s="9">
        <f t="shared" si="875"/>
        <v>2.419026343264144E-21</v>
      </c>
      <c r="O960">
        <f t="shared" si="876"/>
        <v>2.419026343264144E-21</v>
      </c>
      <c r="Q960">
        <f t="shared" si="830"/>
        <v>47.029111034420048</v>
      </c>
      <c r="R960">
        <f t="shared" si="831"/>
        <v>0</v>
      </c>
      <c r="S960">
        <f t="shared" si="853"/>
        <v>-47.470921831159963</v>
      </c>
      <c r="T960" s="9" t="e">
        <f t="shared" si="832"/>
        <v>#N/A</v>
      </c>
      <c r="U960">
        <f t="shared" si="854"/>
        <v>-1.0000000000000001E+300</v>
      </c>
      <c r="V960">
        <f t="shared" si="855"/>
        <v>0</v>
      </c>
      <c r="W960">
        <f t="shared" si="856"/>
        <v>0</v>
      </c>
      <c r="X960">
        <f t="shared" si="833"/>
        <v>0.24190263432641412</v>
      </c>
      <c r="Y960">
        <f t="shared" si="834"/>
        <v>7.8539816339744828</v>
      </c>
      <c r="Z960">
        <f t="shared" si="835"/>
        <v>-0.24190263432641412</v>
      </c>
      <c r="AA960">
        <f t="shared" si="857"/>
        <v>-0.98041785135886406</v>
      </c>
      <c r="AB960">
        <f t="shared" si="836"/>
        <v>6.8735637826156184</v>
      </c>
      <c r="AC960">
        <f t="shared" si="858"/>
        <v>-1.8708026765685077</v>
      </c>
      <c r="AD960">
        <f t="shared" si="837"/>
        <v>1.428991879828589</v>
      </c>
      <c r="AE960" s="9">
        <f t="shared" si="859"/>
        <v>6.4317529858756988</v>
      </c>
      <c r="AF960">
        <f t="shared" si="860"/>
        <v>9.6070795755738358E-268</v>
      </c>
      <c r="AH960">
        <f t="shared" si="838"/>
        <v>7.8539816339744828</v>
      </c>
      <c r="AI960">
        <f t="shared" si="839"/>
        <v>-0.98041785135886494</v>
      </c>
      <c r="AJ960">
        <f t="shared" si="840"/>
        <v>-1.870802676568502</v>
      </c>
      <c r="AK960">
        <f t="shared" si="841"/>
        <v>1.428991879828589</v>
      </c>
      <c r="AL960" s="9">
        <f t="shared" si="861"/>
        <v>6.4317529858757041</v>
      </c>
      <c r="AM960" t="e">
        <f t="shared" si="842"/>
        <v>#N/A</v>
      </c>
      <c r="AN960" t="e">
        <f t="shared" si="862"/>
        <v>#N/A</v>
      </c>
      <c r="AO960">
        <f t="shared" si="843"/>
        <v>0</v>
      </c>
      <c r="AP960">
        <f t="shared" si="844"/>
        <v>-8.8817841970012523E-16</v>
      </c>
      <c r="AQ960">
        <f t="shared" si="845"/>
        <v>5.773159728050814E-15</v>
      </c>
      <c r="AR960">
        <f t="shared" si="863"/>
        <v>9.0591824543902856E-16</v>
      </c>
      <c r="AS960">
        <f t="shared" si="846"/>
        <v>0</v>
      </c>
      <c r="AT960">
        <f t="shared" si="864"/>
        <v>0</v>
      </c>
      <c r="AU960">
        <f t="shared" si="865"/>
        <v>9.6070795755422139E-268</v>
      </c>
      <c r="AV960">
        <f t="shared" si="847"/>
        <v>2.4190263432641409E-21</v>
      </c>
      <c r="AW960" t="b">
        <f t="shared" si="866"/>
        <v>1</v>
      </c>
      <c r="AX960">
        <f t="shared" si="848"/>
        <v>7.8539816339744828</v>
      </c>
      <c r="AY960">
        <f t="shared" si="849"/>
        <v>-0.98041785135886417</v>
      </c>
      <c r="AZ960">
        <f t="shared" si="850"/>
        <v>-1.8708026765685077</v>
      </c>
      <c r="BA960">
        <f t="shared" si="851"/>
        <v>1.4289918798285894</v>
      </c>
      <c r="BB960">
        <f t="shared" si="852"/>
        <v>-1.2337005501361696E-20</v>
      </c>
      <c r="BD960" s="15">
        <f t="shared" si="867"/>
        <v>6.4317529858756997</v>
      </c>
      <c r="BE960" s="10">
        <f t="shared" si="868"/>
        <v>0</v>
      </c>
      <c r="BF960">
        <f t="shared" si="869"/>
        <v>0</v>
      </c>
      <c r="BG960">
        <f t="shared" si="870"/>
        <v>0</v>
      </c>
      <c r="BH960">
        <f t="shared" si="871"/>
        <v>0</v>
      </c>
      <c r="BI960">
        <f t="shared" si="872"/>
        <v>0</v>
      </c>
    </row>
    <row r="961" spans="1:61" x14ac:dyDescent="0.3">
      <c r="A961">
        <f t="shared" si="877"/>
        <v>0.92400000000000004</v>
      </c>
      <c r="B961">
        <f t="shared" si="820"/>
        <v>2.902831611916969</v>
      </c>
      <c r="C961">
        <f t="shared" si="821"/>
        <v>0.23876104167282408</v>
      </c>
      <c r="D961">
        <f t="shared" si="822"/>
        <v>0.23876104167282408</v>
      </c>
      <c r="E961">
        <f t="shared" si="827"/>
        <v>0.23649899702372459</v>
      </c>
      <c r="F961">
        <f t="shared" si="828"/>
        <v>0.23649899702372448</v>
      </c>
      <c r="G961">
        <f t="shared" si="823"/>
        <v>2.902831611916969</v>
      </c>
      <c r="H961">
        <f t="shared" si="824"/>
        <v>0.23649899702372459</v>
      </c>
      <c r="I961">
        <f t="shared" si="825"/>
        <v>0.23649899702372448</v>
      </c>
      <c r="J961">
        <f t="shared" si="873"/>
        <v>2.6918497768669961E+20</v>
      </c>
      <c r="K961">
        <f t="shared" si="874"/>
        <v>2.6918497768669961E+20</v>
      </c>
      <c r="L961">
        <f t="shared" si="829"/>
        <v>1</v>
      </c>
      <c r="M961">
        <f t="shared" si="826"/>
        <v>2.3876104167282383E-21</v>
      </c>
      <c r="N961" s="9">
        <f t="shared" si="875"/>
        <v>2.3876104167282383E-21</v>
      </c>
      <c r="O961">
        <f t="shared" si="876"/>
        <v>2.3876104167282383E-21</v>
      </c>
      <c r="Q961">
        <f t="shared" si="830"/>
        <v>47.041930466565084</v>
      </c>
      <c r="R961">
        <f t="shared" si="831"/>
        <v>0</v>
      </c>
      <c r="S961">
        <f t="shared" si="853"/>
        <v>-47.483993912727321</v>
      </c>
      <c r="T961" s="9" t="e">
        <f t="shared" si="832"/>
        <v>#N/A</v>
      </c>
      <c r="U961">
        <f t="shared" si="854"/>
        <v>-1.0000000000000001E+300</v>
      </c>
      <c r="V961">
        <f t="shared" si="855"/>
        <v>0</v>
      </c>
      <c r="W961">
        <f t="shared" si="856"/>
        <v>0</v>
      </c>
      <c r="X961">
        <f t="shared" si="833"/>
        <v>0.23876104167282408</v>
      </c>
      <c r="Y961">
        <f t="shared" si="834"/>
        <v>7.8539816339744828</v>
      </c>
      <c r="Z961">
        <f t="shared" si="835"/>
        <v>-0.23876104167282408</v>
      </c>
      <c r="AA961">
        <f t="shared" si="857"/>
        <v>-0.98092511001138305</v>
      </c>
      <c r="AB961">
        <f t="shared" si="836"/>
        <v>6.8730565239630996</v>
      </c>
      <c r="AC961">
        <f t="shared" si="858"/>
        <v>-1.8838747581358615</v>
      </c>
      <c r="AD961">
        <f t="shared" si="837"/>
        <v>1.4418113119736258</v>
      </c>
      <c r="AE961" s="9">
        <f t="shared" si="859"/>
        <v>6.4309930778008644</v>
      </c>
      <c r="AF961">
        <f t="shared" si="860"/>
        <v>1.5389155867412073E-267</v>
      </c>
      <c r="AH961">
        <f t="shared" si="838"/>
        <v>7.8539816339744828</v>
      </c>
      <c r="AI961">
        <f t="shared" si="839"/>
        <v>-0.98092511001138127</v>
      </c>
      <c r="AJ961">
        <f t="shared" si="840"/>
        <v>-1.8838747581358604</v>
      </c>
      <c r="AK961">
        <f t="shared" si="841"/>
        <v>1.4418113119736258</v>
      </c>
      <c r="AL961" s="9">
        <f t="shared" si="861"/>
        <v>6.430993077800867</v>
      </c>
      <c r="AM961" t="e">
        <f t="shared" si="842"/>
        <v>#N/A</v>
      </c>
      <c r="AN961" t="e">
        <f t="shared" si="862"/>
        <v>#N/A</v>
      </c>
      <c r="AO961">
        <f t="shared" si="843"/>
        <v>0</v>
      </c>
      <c r="AP961">
        <f t="shared" si="844"/>
        <v>1.7763568394002505E-15</v>
      </c>
      <c r="AQ961">
        <f t="shared" si="845"/>
        <v>0</v>
      </c>
      <c r="AR961">
        <f t="shared" si="863"/>
        <v>-1.8108995490793788E-15</v>
      </c>
      <c r="AS961">
        <f t="shared" si="846"/>
        <v>0</v>
      </c>
      <c r="AT961">
        <f t="shared" si="864"/>
        <v>0</v>
      </c>
      <c r="AU961">
        <f t="shared" si="865"/>
        <v>1.5389155867387616E-267</v>
      </c>
      <c r="AV961">
        <f t="shared" si="847"/>
        <v>2.3876104167282406E-21</v>
      </c>
      <c r="AW961" t="b">
        <f t="shared" si="866"/>
        <v>1</v>
      </c>
      <c r="AX961">
        <f t="shared" si="848"/>
        <v>7.8539816339744828</v>
      </c>
      <c r="AY961">
        <f t="shared" si="849"/>
        <v>-0.98092511001138316</v>
      </c>
      <c r="AZ961">
        <f t="shared" si="850"/>
        <v>-1.8838747581358615</v>
      </c>
      <c r="BA961">
        <f t="shared" si="851"/>
        <v>1.4418113119736262</v>
      </c>
      <c r="BB961">
        <f t="shared" si="852"/>
        <v>-1.2337005501361696E-20</v>
      </c>
      <c r="BD961" s="15">
        <f t="shared" si="867"/>
        <v>6.4309930778008644</v>
      </c>
      <c r="BE961" s="10">
        <f t="shared" si="868"/>
        <v>0</v>
      </c>
      <c r="BF961">
        <f t="shared" si="869"/>
        <v>0</v>
      </c>
      <c r="BG961">
        <f t="shared" si="870"/>
        <v>0</v>
      </c>
      <c r="BH961">
        <f t="shared" si="871"/>
        <v>0</v>
      </c>
      <c r="BI961">
        <f t="shared" si="872"/>
        <v>0</v>
      </c>
    </row>
    <row r="962" spans="1:61" x14ac:dyDescent="0.3">
      <c r="A962">
        <f t="shared" si="877"/>
        <v>0.92500000000000004</v>
      </c>
      <c r="B962">
        <f t="shared" si="820"/>
        <v>2.9059732045705586</v>
      </c>
      <c r="C962">
        <f t="shared" si="821"/>
        <v>0.23561944901923448</v>
      </c>
      <c r="D962">
        <f t="shared" si="822"/>
        <v>0.23561944901923448</v>
      </c>
      <c r="E962">
        <f t="shared" si="827"/>
        <v>0.23344536385590553</v>
      </c>
      <c r="F962">
        <f t="shared" si="828"/>
        <v>0.23344536385590539</v>
      </c>
      <c r="G962">
        <f t="shared" si="823"/>
        <v>2.9059732045705586</v>
      </c>
      <c r="H962">
        <f t="shared" si="824"/>
        <v>0.23344536385590553</v>
      </c>
      <c r="I962">
        <f t="shared" si="825"/>
        <v>0.23344536385590539</v>
      </c>
      <c r="J962">
        <f t="shared" si="873"/>
        <v>2.7270611069429327E+20</v>
      </c>
      <c r="K962">
        <f t="shared" si="874"/>
        <v>2.7270611069429327E+20</v>
      </c>
      <c r="L962">
        <f t="shared" si="829"/>
        <v>1</v>
      </c>
      <c r="M962">
        <f t="shared" si="826"/>
        <v>2.3561944901923447E-21</v>
      </c>
      <c r="N962" s="9">
        <f t="shared" si="875"/>
        <v>2.3561944901923447E-21</v>
      </c>
      <c r="O962">
        <f t="shared" si="876"/>
        <v>2.3561944901923447E-21</v>
      </c>
      <c r="Q962">
        <f t="shared" si="830"/>
        <v>47.054926371613192</v>
      </c>
      <c r="R962">
        <f t="shared" si="831"/>
        <v>-710542.73576010019</v>
      </c>
      <c r="S962">
        <f t="shared" si="853"/>
        <v>-47.497239139477337</v>
      </c>
      <c r="T962" s="9" t="e">
        <f t="shared" si="832"/>
        <v>#N/A</v>
      </c>
      <c r="U962">
        <f t="shared" si="854"/>
        <v>-1.0000000000000001E+300</v>
      </c>
      <c r="V962">
        <f t="shared" si="855"/>
        <v>0</v>
      </c>
      <c r="W962">
        <f t="shared" si="856"/>
        <v>0</v>
      </c>
      <c r="X962">
        <f t="shared" si="833"/>
        <v>0.23561944901923448</v>
      </c>
      <c r="Y962">
        <f t="shared" si="834"/>
        <v>7.8539816339744828</v>
      </c>
      <c r="Z962">
        <f t="shared" si="835"/>
        <v>-0.23561944901923448</v>
      </c>
      <c r="AA962">
        <f t="shared" si="857"/>
        <v>-0.98142563682864803</v>
      </c>
      <c r="AB962">
        <f t="shared" si="836"/>
        <v>6.8725559971458345</v>
      </c>
      <c r="AC962">
        <f t="shared" si="858"/>
        <v>-1.8971199848858813</v>
      </c>
      <c r="AD962">
        <f t="shared" si="837"/>
        <v>1.4548072170217354</v>
      </c>
      <c r="AE962" s="9">
        <f t="shared" si="859"/>
        <v>6.4302432292816887</v>
      </c>
      <c r="AF962">
        <f t="shared" si="860"/>
        <v>2.4489325499069378E-267</v>
      </c>
      <c r="AH962">
        <f t="shared" si="838"/>
        <v>7.8539816339744828</v>
      </c>
      <c r="AI962">
        <f t="shared" si="839"/>
        <v>-0.9814256368286467</v>
      </c>
      <c r="AJ962">
        <f t="shared" si="840"/>
        <v>-1.897119984885876</v>
      </c>
      <c r="AK962">
        <f t="shared" si="841"/>
        <v>1.4548072170217354</v>
      </c>
      <c r="AL962" s="9">
        <f t="shared" si="861"/>
        <v>6.4302432292816958</v>
      </c>
      <c r="AM962" t="e">
        <f t="shared" si="842"/>
        <v>#N/A</v>
      </c>
      <c r="AN962" t="e">
        <f t="shared" si="862"/>
        <v>#N/A</v>
      </c>
      <c r="AO962">
        <f t="shared" si="843"/>
        <v>0</v>
      </c>
      <c r="AP962">
        <f t="shared" si="844"/>
        <v>1.3322676295501878E-15</v>
      </c>
      <c r="AQ962">
        <f t="shared" si="845"/>
        <v>5.3290705182007514E-15</v>
      </c>
      <c r="AR962">
        <f t="shared" si="863"/>
        <v>-1.3574819930883841E-15</v>
      </c>
      <c r="AS962">
        <f t="shared" si="846"/>
        <v>7.1054273576010019E-15</v>
      </c>
      <c r="AT962">
        <f t="shared" si="864"/>
        <v>1.1050013357573613E-15</v>
      </c>
      <c r="AU962">
        <f t="shared" si="865"/>
        <v>2.4489325498963751E-267</v>
      </c>
      <c r="AV962">
        <f t="shared" si="847"/>
        <v>2.3561944901923447E-21</v>
      </c>
      <c r="AW962" t="b">
        <f t="shared" si="866"/>
        <v>1</v>
      </c>
      <c r="AX962">
        <f t="shared" si="848"/>
        <v>7.8539816339744828</v>
      </c>
      <c r="AY962">
        <f t="shared" si="849"/>
        <v>-0.98142563682864803</v>
      </c>
      <c r="AZ962">
        <f t="shared" si="850"/>
        <v>-1.8971199848858813</v>
      </c>
      <c r="BA962">
        <f t="shared" si="851"/>
        <v>1.4548072170217359</v>
      </c>
      <c r="BB962">
        <f t="shared" si="852"/>
        <v>-1.2337005501361696E-20</v>
      </c>
      <c r="BD962" s="15">
        <f t="shared" si="867"/>
        <v>6.4302432292816896</v>
      </c>
      <c r="BE962" s="10">
        <f t="shared" si="868"/>
        <v>0</v>
      </c>
      <c r="BF962">
        <f t="shared" si="869"/>
        <v>0</v>
      </c>
      <c r="BG962">
        <f t="shared" si="870"/>
        <v>0</v>
      </c>
      <c r="BH962">
        <f t="shared" si="871"/>
        <v>0</v>
      </c>
      <c r="BI962">
        <f t="shared" si="872"/>
        <v>0</v>
      </c>
    </row>
    <row r="963" spans="1:61" x14ac:dyDescent="0.3">
      <c r="A963">
        <f t="shared" si="877"/>
        <v>0.92600000000000005</v>
      </c>
      <c r="B963">
        <f t="shared" si="820"/>
        <v>2.9091147972241487</v>
      </c>
      <c r="C963">
        <f t="shared" si="821"/>
        <v>0.23247785636564444</v>
      </c>
      <c r="D963">
        <f t="shared" si="822"/>
        <v>0.23247785636564444</v>
      </c>
      <c r="E963">
        <f t="shared" si="827"/>
        <v>0.23038942667659046</v>
      </c>
      <c r="F963">
        <f t="shared" si="828"/>
        <v>0.23038942667659035</v>
      </c>
      <c r="G963">
        <f t="shared" si="823"/>
        <v>2.9091147972241487</v>
      </c>
      <c r="H963">
        <f t="shared" si="824"/>
        <v>0.23038942667659046</v>
      </c>
      <c r="I963">
        <f t="shared" si="825"/>
        <v>0.23038942667659035</v>
      </c>
      <c r="J963">
        <f t="shared" si="873"/>
        <v>2.763233458891486E+20</v>
      </c>
      <c r="K963">
        <f t="shared" si="874"/>
        <v>2.763233458891486E+20</v>
      </c>
      <c r="L963" t="e">
        <f t="shared" si="829"/>
        <v>#NUM!</v>
      </c>
      <c r="M963">
        <f t="shared" si="826"/>
        <v>2.3247785636564451E-21</v>
      </c>
      <c r="N963" s="9" t="e">
        <f t="shared" si="875"/>
        <v>#NUM!</v>
      </c>
      <c r="O963" t="e">
        <f t="shared" si="876"/>
        <v>#NUM!</v>
      </c>
      <c r="Q963">
        <f t="shared" si="830"/>
        <v>47.068103396965526</v>
      </c>
      <c r="R963">
        <f t="shared" si="831"/>
        <v>0</v>
      </c>
      <c r="S963">
        <f t="shared" si="853"/>
        <v>-47.510662159809485</v>
      </c>
      <c r="T963" s="9" t="e">
        <f t="shared" si="832"/>
        <v>#N/A</v>
      </c>
      <c r="U963">
        <f t="shared" si="854"/>
        <v>-1.0000000000000001E+300</v>
      </c>
      <c r="V963">
        <f t="shared" si="855"/>
        <v>0</v>
      </c>
      <c r="W963">
        <f t="shared" si="856"/>
        <v>0</v>
      </c>
      <c r="X963">
        <f t="shared" si="833"/>
        <v>0.23247785636564444</v>
      </c>
      <c r="Y963">
        <f t="shared" si="834"/>
        <v>7.8539816339744828</v>
      </c>
      <c r="Z963">
        <f t="shared" si="835"/>
        <v>-0.23247785636564444</v>
      </c>
      <c r="AA963">
        <f t="shared" si="857"/>
        <v>-0.98191943583976826</v>
      </c>
      <c r="AB963">
        <f t="shared" si="836"/>
        <v>6.8720621981347145</v>
      </c>
      <c r="AC963">
        <f t="shared" si="858"/>
        <v>-1.910543005218023</v>
      </c>
      <c r="AD963">
        <f t="shared" si="837"/>
        <v>1.4679842423740641</v>
      </c>
      <c r="AE963" s="9">
        <f t="shared" si="859"/>
        <v>6.4295034352907559</v>
      </c>
      <c r="AF963">
        <f t="shared" si="860"/>
        <v>3.8715513821505895E-267</v>
      </c>
      <c r="AH963">
        <f t="shared" si="838"/>
        <v>7.8539816339744828</v>
      </c>
      <c r="AI963">
        <f t="shared" si="839"/>
        <v>-0.98191943583976704</v>
      </c>
      <c r="AJ963">
        <f t="shared" si="840"/>
        <v>-1.9105430052180239</v>
      </c>
      <c r="AK963">
        <f t="shared" si="841"/>
        <v>1.4679842423740641</v>
      </c>
      <c r="AL963" s="9">
        <f t="shared" si="861"/>
        <v>6.4295034352907559</v>
      </c>
      <c r="AM963" t="e">
        <f t="shared" si="842"/>
        <v>#N/A</v>
      </c>
      <c r="AN963" t="e">
        <f t="shared" si="862"/>
        <v>#N/A</v>
      </c>
      <c r="AO963">
        <f t="shared" si="843"/>
        <v>0</v>
      </c>
      <c r="AP963">
        <f t="shared" si="844"/>
        <v>1.2212453270876722E-15</v>
      </c>
      <c r="AQ963">
        <f t="shared" si="845"/>
        <v>0</v>
      </c>
      <c r="AR963">
        <f t="shared" si="863"/>
        <v>-1.2437327162622324E-15</v>
      </c>
      <c r="AS963">
        <f t="shared" si="846"/>
        <v>0</v>
      </c>
      <c r="AT963">
        <f t="shared" si="864"/>
        <v>0</v>
      </c>
      <c r="AU963">
        <f t="shared" si="865"/>
        <v>3.8715513821505895E-267</v>
      </c>
      <c r="AV963">
        <f t="shared" si="847"/>
        <v>2.3247785636564444E-21</v>
      </c>
      <c r="AW963" t="b">
        <f t="shared" si="866"/>
        <v>1</v>
      </c>
      <c r="AX963">
        <f t="shared" si="848"/>
        <v>7.8539816339744828</v>
      </c>
      <c r="AY963">
        <f t="shared" si="849"/>
        <v>-0.98191943583976871</v>
      </c>
      <c r="AZ963">
        <f t="shared" si="850"/>
        <v>-1.910543005218023</v>
      </c>
      <c r="BA963">
        <f t="shared" si="851"/>
        <v>1.4679842423740646</v>
      </c>
      <c r="BB963">
        <f t="shared" si="852"/>
        <v>-1.2337005501361696E-20</v>
      </c>
      <c r="BD963" s="15">
        <f t="shared" si="867"/>
        <v>6.429503435290755</v>
      </c>
      <c r="BE963" s="10">
        <f t="shared" si="868"/>
        <v>0</v>
      </c>
      <c r="BF963">
        <f t="shared" si="869"/>
        <v>0</v>
      </c>
      <c r="BG963">
        <f t="shared" si="870"/>
        <v>0</v>
      </c>
      <c r="BH963">
        <f t="shared" si="871"/>
        <v>0</v>
      </c>
      <c r="BI963">
        <f t="shared" si="872"/>
        <v>0</v>
      </c>
    </row>
    <row r="964" spans="1:61" x14ac:dyDescent="0.3">
      <c r="A964">
        <f t="shared" si="877"/>
        <v>0.92700000000000005</v>
      </c>
      <c r="B964">
        <f t="shared" si="820"/>
        <v>2.9122563898777383</v>
      </c>
      <c r="C964">
        <f t="shared" si="821"/>
        <v>0.22933626371205484</v>
      </c>
      <c r="D964">
        <f t="shared" si="822"/>
        <v>0.22933626371205484</v>
      </c>
      <c r="E964">
        <f t="shared" si="827"/>
        <v>0.22733121564664649</v>
      </c>
      <c r="F964">
        <f t="shared" si="828"/>
        <v>0.22733121564664638</v>
      </c>
      <c r="G964">
        <f t="shared" si="823"/>
        <v>2.9122563898777383</v>
      </c>
      <c r="H964">
        <f t="shared" si="824"/>
        <v>0.22733121564664649</v>
      </c>
      <c r="I964">
        <f t="shared" si="825"/>
        <v>0.22733121564664638</v>
      </c>
      <c r="J964">
        <f t="shared" si="873"/>
        <v>2.8004063170854407E+20</v>
      </c>
      <c r="K964">
        <f t="shared" si="874"/>
        <v>2.8004063170854407E+20</v>
      </c>
      <c r="L964">
        <f t="shared" si="829"/>
        <v>0</v>
      </c>
      <c r="M964">
        <f t="shared" si="826"/>
        <v>2.2933626371205515E-21</v>
      </c>
      <c r="N964" s="9">
        <f t="shared" si="875"/>
        <v>0</v>
      </c>
      <c r="O964">
        <f t="shared" si="876"/>
        <v>0</v>
      </c>
      <c r="Q964">
        <f t="shared" si="830"/>
        <v>47.081466379778966</v>
      </c>
      <c r="R964">
        <f t="shared" si="831"/>
        <v>0</v>
      </c>
      <c r="S964">
        <f t="shared" si="853"/>
        <v>-47.524267811865258</v>
      </c>
      <c r="T964" s="9" t="e">
        <f t="shared" si="832"/>
        <v>#N/A</v>
      </c>
      <c r="U964">
        <f t="shared" si="854"/>
        <v>-1.0000000000000001E+300</v>
      </c>
      <c r="V964">
        <f t="shared" si="855"/>
        <v>0</v>
      </c>
      <c r="W964">
        <f t="shared" si="856"/>
        <v>0</v>
      </c>
      <c r="X964">
        <f t="shared" si="833"/>
        <v>0.22933626371205484</v>
      </c>
      <c r="Y964">
        <f t="shared" si="834"/>
        <v>7.8539816339744828</v>
      </c>
      <c r="Z964">
        <f t="shared" si="835"/>
        <v>-0.22933626371205484</v>
      </c>
      <c r="AA964">
        <f t="shared" si="857"/>
        <v>-0.98240651101767285</v>
      </c>
      <c r="AB964">
        <f t="shared" si="836"/>
        <v>6.8715751229568101</v>
      </c>
      <c r="AC964">
        <f t="shared" si="858"/>
        <v>-1.9241486572738009</v>
      </c>
      <c r="AD964">
        <f t="shared" si="837"/>
        <v>1.4813472251875048</v>
      </c>
      <c r="AE964" s="9">
        <f t="shared" si="859"/>
        <v>6.4287736908705133</v>
      </c>
      <c r="AF964">
        <f t="shared" si="860"/>
        <v>6.0806059454013721E-267</v>
      </c>
      <c r="AH964">
        <f t="shared" si="838"/>
        <v>7.8539816339744828</v>
      </c>
      <c r="AI964">
        <f t="shared" si="839"/>
        <v>-0.98240651101767562</v>
      </c>
      <c r="AJ964">
        <f t="shared" si="840"/>
        <v>-1.9241486572737969</v>
      </c>
      <c r="AK964">
        <f t="shared" si="841"/>
        <v>1.4813472251875048</v>
      </c>
      <c r="AL964" s="9">
        <f t="shared" si="861"/>
        <v>6.4287736908705151</v>
      </c>
      <c r="AM964" t="e">
        <f t="shared" si="842"/>
        <v>#N/A</v>
      </c>
      <c r="AN964" t="e">
        <f t="shared" si="862"/>
        <v>#N/A</v>
      </c>
      <c r="AO964">
        <f t="shared" si="843"/>
        <v>0</v>
      </c>
      <c r="AP964">
        <f t="shared" si="844"/>
        <v>-2.7755575615628914E-15</v>
      </c>
      <c r="AQ964">
        <f t="shared" si="845"/>
        <v>3.9968028886505635E-15</v>
      </c>
      <c r="AR964">
        <f t="shared" si="863"/>
        <v>2.8252638092633256E-15</v>
      </c>
      <c r="AS964">
        <f t="shared" si="846"/>
        <v>0</v>
      </c>
      <c r="AT964">
        <f t="shared" si="864"/>
        <v>0</v>
      </c>
      <c r="AU964">
        <f t="shared" si="865"/>
        <v>6.0806059453944712E-267</v>
      </c>
      <c r="AV964">
        <f t="shared" si="847"/>
        <v>2.2933626371205481E-21</v>
      </c>
      <c r="AW964" t="b">
        <f t="shared" si="866"/>
        <v>1</v>
      </c>
      <c r="AX964">
        <f t="shared" si="848"/>
        <v>7.8539816339744828</v>
      </c>
      <c r="AY964">
        <f t="shared" si="849"/>
        <v>-0.98240651101767285</v>
      </c>
      <c r="AZ964">
        <f t="shared" si="850"/>
        <v>-1.9241486572738009</v>
      </c>
      <c r="BA964">
        <f t="shared" si="851"/>
        <v>1.4813472251875053</v>
      </c>
      <c r="BB964">
        <f t="shared" si="852"/>
        <v>-1.2337005501361696E-20</v>
      </c>
      <c r="BD964" s="15">
        <f t="shared" si="867"/>
        <v>6.4287736908705142</v>
      </c>
      <c r="BE964" s="10">
        <f t="shared" si="868"/>
        <v>0</v>
      </c>
      <c r="BF964">
        <f t="shared" si="869"/>
        <v>0</v>
      </c>
      <c r="BG964">
        <f t="shared" si="870"/>
        <v>0</v>
      </c>
      <c r="BH964">
        <f t="shared" si="871"/>
        <v>0</v>
      </c>
      <c r="BI964">
        <f t="shared" si="872"/>
        <v>0</v>
      </c>
    </row>
    <row r="965" spans="1:61" x14ac:dyDescent="0.3">
      <c r="A965">
        <f t="shared" si="877"/>
        <v>0.92800000000000005</v>
      </c>
      <c r="B965">
        <f t="shared" si="820"/>
        <v>2.9153979825313283</v>
      </c>
      <c r="C965">
        <f t="shared" si="821"/>
        <v>0.2261946710584648</v>
      </c>
      <c r="D965">
        <f t="shared" si="822"/>
        <v>0.2261946710584648</v>
      </c>
      <c r="E965">
        <f t="shared" si="827"/>
        <v>0.224270760949381</v>
      </c>
      <c r="F965">
        <f t="shared" si="828"/>
        <v>0.22427076094938089</v>
      </c>
      <c r="G965">
        <f t="shared" si="823"/>
        <v>2.9153979825313283</v>
      </c>
      <c r="H965">
        <f t="shared" si="824"/>
        <v>0.224270760949381</v>
      </c>
      <c r="I965">
        <f t="shared" si="825"/>
        <v>0.22427076094938089</v>
      </c>
      <c r="J965">
        <f t="shared" si="873"/>
        <v>2.8386213596130332E+20</v>
      </c>
      <c r="K965">
        <f t="shared" si="874"/>
        <v>2.8386213596130332E+20</v>
      </c>
      <c r="L965">
        <f t="shared" si="829"/>
        <v>1</v>
      </c>
      <c r="M965">
        <f t="shared" si="826"/>
        <v>2.2619467105846459E-21</v>
      </c>
      <c r="N965" s="9">
        <f t="shared" si="875"/>
        <v>2.2619467105846459E-21</v>
      </c>
      <c r="O965">
        <f t="shared" si="876"/>
        <v>2.2619467105846459E-21</v>
      </c>
      <c r="Q965">
        <f t="shared" si="830"/>
        <v>47.095020357435487</v>
      </c>
      <c r="R965">
        <f t="shared" si="831"/>
        <v>0</v>
      </c>
      <c r="S965">
        <f t="shared" si="853"/>
        <v>-47.538061133997594</v>
      </c>
      <c r="T965" s="9" t="e">
        <f t="shared" si="832"/>
        <v>#N/A</v>
      </c>
      <c r="U965">
        <f t="shared" si="854"/>
        <v>-1.0000000000000001E+300</v>
      </c>
      <c r="V965">
        <f t="shared" si="855"/>
        <v>0</v>
      </c>
      <c r="W965">
        <f t="shared" si="856"/>
        <v>0</v>
      </c>
      <c r="X965">
        <f t="shared" si="833"/>
        <v>0.2261946710584648</v>
      </c>
      <c r="Y965">
        <f t="shared" si="834"/>
        <v>7.8539816339744828</v>
      </c>
      <c r="Z965">
        <f t="shared" si="835"/>
        <v>-0.2261946710584648</v>
      </c>
      <c r="AA965">
        <f t="shared" si="857"/>
        <v>-0.98288686627922495</v>
      </c>
      <c r="AB965">
        <f t="shared" si="836"/>
        <v>6.8710947676952578</v>
      </c>
      <c r="AC965">
        <f t="shared" si="858"/>
        <v>-1.9379419794061379</v>
      </c>
      <c r="AD965">
        <f t="shared" si="837"/>
        <v>1.4949012028440283</v>
      </c>
      <c r="AE965" s="9">
        <f t="shared" si="859"/>
        <v>6.4280539911331482</v>
      </c>
      <c r="AF965">
        <f t="shared" si="860"/>
        <v>9.4878903641913832E-267</v>
      </c>
      <c r="AH965">
        <f t="shared" si="838"/>
        <v>7.8539816339744828</v>
      </c>
      <c r="AI965">
        <f t="shared" si="839"/>
        <v>-0.98288686627922284</v>
      </c>
      <c r="AJ965">
        <f t="shared" si="840"/>
        <v>-1.9379419794061334</v>
      </c>
      <c r="AK965">
        <f t="shared" si="841"/>
        <v>1.4949012028440283</v>
      </c>
      <c r="AL965" s="9">
        <f t="shared" si="861"/>
        <v>6.4280539911331545</v>
      </c>
      <c r="AM965" t="e">
        <f t="shared" si="842"/>
        <v>#N/A</v>
      </c>
      <c r="AN965" t="e">
        <f t="shared" si="862"/>
        <v>#N/A</v>
      </c>
      <c r="AO965">
        <f t="shared" si="843"/>
        <v>0</v>
      </c>
      <c r="AP965">
        <f t="shared" si="844"/>
        <v>2.1094237467877974E-15</v>
      </c>
      <c r="AQ965">
        <f t="shared" si="845"/>
        <v>4.4408920985006262E-15</v>
      </c>
      <c r="AR965">
        <f t="shared" si="863"/>
        <v>-2.1461511178526044E-15</v>
      </c>
      <c r="AS965">
        <f t="shared" si="846"/>
        <v>0</v>
      </c>
      <c r="AT965">
        <f t="shared" si="864"/>
        <v>0</v>
      </c>
      <c r="AU965">
        <f t="shared" si="865"/>
        <v>9.4878903641547672E-267</v>
      </c>
      <c r="AV965">
        <f t="shared" si="847"/>
        <v>2.2619467105846478E-21</v>
      </c>
      <c r="AW965" t="b">
        <f t="shared" si="866"/>
        <v>1</v>
      </c>
      <c r="AX965">
        <f t="shared" si="848"/>
        <v>7.8539816339744828</v>
      </c>
      <c r="AY965">
        <f t="shared" si="849"/>
        <v>-0.98288686627922506</v>
      </c>
      <c r="AZ965">
        <f t="shared" si="850"/>
        <v>-1.9379419794061379</v>
      </c>
      <c r="BA965">
        <f t="shared" si="851"/>
        <v>1.4949012028440289</v>
      </c>
      <c r="BB965">
        <f t="shared" si="852"/>
        <v>-1.2337005501361696E-20</v>
      </c>
      <c r="BD965" s="15">
        <f t="shared" si="867"/>
        <v>6.4280539911331491</v>
      </c>
      <c r="BE965" s="10">
        <f t="shared" si="868"/>
        <v>0</v>
      </c>
      <c r="BF965">
        <f t="shared" si="869"/>
        <v>0</v>
      </c>
      <c r="BG965">
        <f t="shared" si="870"/>
        <v>0</v>
      </c>
      <c r="BH965">
        <f t="shared" si="871"/>
        <v>0</v>
      </c>
      <c r="BI965">
        <f t="shared" si="872"/>
        <v>0</v>
      </c>
    </row>
    <row r="966" spans="1:61" x14ac:dyDescent="0.3">
      <c r="A966">
        <f t="shared" si="877"/>
        <v>0.92900000000000005</v>
      </c>
      <c r="B966">
        <f t="shared" si="820"/>
        <v>2.9185395751849179</v>
      </c>
      <c r="C966">
        <f t="shared" si="821"/>
        <v>0.2230530784048752</v>
      </c>
      <c r="D966">
        <f t="shared" si="822"/>
        <v>0.2230530784048752</v>
      </c>
      <c r="E966">
        <f t="shared" si="827"/>
        <v>0.22120809279024714</v>
      </c>
      <c r="F966">
        <f t="shared" si="828"/>
        <v>0.22120809279024703</v>
      </c>
      <c r="G966">
        <f t="shared" si="823"/>
        <v>2.9185395751849179</v>
      </c>
      <c r="H966">
        <f t="shared" si="824"/>
        <v>0.22120809279024714</v>
      </c>
      <c r="I966">
        <f t="shared" si="825"/>
        <v>0.22120809279024703</v>
      </c>
      <c r="J966">
        <f t="shared" si="873"/>
        <v>2.877922612764597E+20</v>
      </c>
      <c r="K966">
        <f t="shared" si="874"/>
        <v>2.877922612764597E+20</v>
      </c>
      <c r="L966" t="e">
        <f t="shared" si="829"/>
        <v>#NUM!</v>
      </c>
      <c r="M966">
        <f t="shared" si="826"/>
        <v>2.2305307840487523E-21</v>
      </c>
      <c r="N966" s="9" t="e">
        <f t="shared" si="875"/>
        <v>#NUM!</v>
      </c>
      <c r="O966" t="e">
        <f t="shared" si="876"/>
        <v>#NUM!</v>
      </c>
      <c r="Q966">
        <f t="shared" si="830"/>
        <v>47.108770578743638</v>
      </c>
      <c r="R966">
        <f t="shared" si="831"/>
        <v>0</v>
      </c>
      <c r="S966">
        <f t="shared" si="853"/>
        <v>-47.552047375972336</v>
      </c>
      <c r="T966" s="9" t="e">
        <f t="shared" si="832"/>
        <v>#N/A</v>
      </c>
      <c r="U966">
        <f t="shared" si="854"/>
        <v>-1.0000000000000001E+300</v>
      </c>
      <c r="V966">
        <f t="shared" si="855"/>
        <v>0</v>
      </c>
      <c r="W966">
        <f t="shared" si="856"/>
        <v>0</v>
      </c>
      <c r="X966">
        <f t="shared" si="833"/>
        <v>0.2230530784048752</v>
      </c>
      <c r="Y966">
        <f t="shared" si="834"/>
        <v>7.8539816339744828</v>
      </c>
      <c r="Z966">
        <f t="shared" si="835"/>
        <v>-0.2230530784048752</v>
      </c>
      <c r="AA966">
        <f t="shared" si="857"/>
        <v>-0.98336050548533493</v>
      </c>
      <c r="AB966">
        <f t="shared" si="836"/>
        <v>6.8706211284891481</v>
      </c>
      <c r="AC966">
        <f t="shared" si="858"/>
        <v>-1.9519282213808768</v>
      </c>
      <c r="AD966">
        <f t="shared" si="837"/>
        <v>1.5086514241521765</v>
      </c>
      <c r="AE966" s="9">
        <f t="shared" si="859"/>
        <v>6.4273443312604481</v>
      </c>
      <c r="AF966">
        <f t="shared" si="860"/>
        <v>1.4708237887186493E-266</v>
      </c>
      <c r="AH966">
        <f t="shared" si="838"/>
        <v>7.8539816339744828</v>
      </c>
      <c r="AI966">
        <f t="shared" si="839"/>
        <v>-0.98336050548533493</v>
      </c>
      <c r="AJ966">
        <f t="shared" si="840"/>
        <v>-1.9519282213808751</v>
      </c>
      <c r="AK966">
        <f t="shared" si="841"/>
        <v>1.5086514241521765</v>
      </c>
      <c r="AL966" s="9">
        <f t="shared" si="861"/>
        <v>6.4273443312604499</v>
      </c>
      <c r="AM966" t="e">
        <f t="shared" si="842"/>
        <v>#N/A</v>
      </c>
      <c r="AN966" t="e">
        <f t="shared" si="862"/>
        <v>#N/A</v>
      </c>
      <c r="AO966">
        <f t="shared" si="843"/>
        <v>0</v>
      </c>
      <c r="AP966">
        <f t="shared" si="844"/>
        <v>0</v>
      </c>
      <c r="AQ966">
        <f t="shared" si="845"/>
        <v>1.7763568394002505E-15</v>
      </c>
      <c r="AR966">
        <f t="shared" si="863"/>
        <v>0</v>
      </c>
      <c r="AS966">
        <f t="shared" si="846"/>
        <v>0</v>
      </c>
      <c r="AT966">
        <f t="shared" si="864"/>
        <v>0</v>
      </c>
      <c r="AU966">
        <f t="shared" si="865"/>
        <v>1.4708237887171468E-266</v>
      </c>
      <c r="AV966">
        <f t="shared" si="847"/>
        <v>2.2305307840487519E-21</v>
      </c>
      <c r="AW966" t="b">
        <f t="shared" si="866"/>
        <v>1</v>
      </c>
      <c r="AX966">
        <f t="shared" si="848"/>
        <v>7.8539816339744828</v>
      </c>
      <c r="AY966">
        <f t="shared" si="849"/>
        <v>-0.98336050548533493</v>
      </c>
      <c r="AZ966">
        <f t="shared" si="850"/>
        <v>-1.9519282213808768</v>
      </c>
      <c r="BA966">
        <f t="shared" si="851"/>
        <v>1.5086514241521769</v>
      </c>
      <c r="BB966">
        <f t="shared" si="852"/>
        <v>-1.2337005501361696E-20</v>
      </c>
      <c r="BD966" s="15">
        <f t="shared" si="867"/>
        <v>6.4273443312604481</v>
      </c>
      <c r="BE966" s="10">
        <f t="shared" si="868"/>
        <v>0</v>
      </c>
      <c r="BF966">
        <f t="shared" si="869"/>
        <v>0</v>
      </c>
      <c r="BG966">
        <f t="shared" si="870"/>
        <v>0</v>
      </c>
      <c r="BH966">
        <f t="shared" si="871"/>
        <v>0</v>
      </c>
      <c r="BI966">
        <f t="shared" si="872"/>
        <v>0</v>
      </c>
    </row>
    <row r="967" spans="1:61" x14ac:dyDescent="0.3">
      <c r="A967">
        <f t="shared" si="877"/>
        <v>0.93</v>
      </c>
      <c r="B967">
        <f t="shared" si="820"/>
        <v>2.921681167838508</v>
      </c>
      <c r="C967">
        <f t="shared" si="821"/>
        <v>0.21991148575128516</v>
      </c>
      <c r="D967">
        <f t="shared" si="822"/>
        <v>0.21991148575128516</v>
      </c>
      <c r="E967">
        <f t="shared" si="827"/>
        <v>0.21814324139654231</v>
      </c>
      <c r="F967">
        <f t="shared" si="828"/>
        <v>0.2181432413965422</v>
      </c>
      <c r="G967">
        <f t="shared" si="823"/>
        <v>2.921681167838508</v>
      </c>
      <c r="H967">
        <f t="shared" si="824"/>
        <v>0.21814324139654231</v>
      </c>
      <c r="I967">
        <f t="shared" si="825"/>
        <v>0.2181432413965422</v>
      </c>
      <c r="J967">
        <f t="shared" si="873"/>
        <v>2.9183566187610164E+20</v>
      </c>
      <c r="K967">
        <f t="shared" si="874"/>
        <v>2.9183566187610164E+20</v>
      </c>
      <c r="L967" t="e">
        <f t="shared" si="829"/>
        <v>#NUM!</v>
      </c>
      <c r="M967">
        <f t="shared" si="826"/>
        <v>2.1991148575128527E-21</v>
      </c>
      <c r="N967" s="9" t="e">
        <f t="shared" si="875"/>
        <v>#NUM!</v>
      </c>
      <c r="O967" t="e">
        <f t="shared" si="876"/>
        <v>#NUM!</v>
      </c>
      <c r="Q967">
        <f t="shared" si="830"/>
        <v>47.122722515934555</v>
      </c>
      <c r="R967">
        <f t="shared" si="831"/>
        <v>0</v>
      </c>
      <c r="S967">
        <f t="shared" si="853"/>
        <v>-47.566232010964292</v>
      </c>
      <c r="T967" s="9" t="e">
        <f t="shared" si="832"/>
        <v>#N/A</v>
      </c>
      <c r="U967">
        <f t="shared" si="854"/>
        <v>-1.0000000000000001E+300</v>
      </c>
      <c r="V967">
        <f t="shared" si="855"/>
        <v>0</v>
      </c>
      <c r="W967">
        <f t="shared" si="856"/>
        <v>0</v>
      </c>
      <c r="X967">
        <f t="shared" si="833"/>
        <v>0.21991148575128516</v>
      </c>
      <c r="Y967">
        <f t="shared" si="834"/>
        <v>7.8539816339744828</v>
      </c>
      <c r="Z967">
        <f t="shared" si="835"/>
        <v>-0.21991148575128516</v>
      </c>
      <c r="AA967">
        <f t="shared" si="857"/>
        <v>-0.9838274324410724</v>
      </c>
      <c r="AB967">
        <f t="shared" si="836"/>
        <v>6.8701542015334107</v>
      </c>
      <c r="AC967">
        <f t="shared" si="858"/>
        <v>-1.9661128563728345</v>
      </c>
      <c r="AD967">
        <f t="shared" si="837"/>
        <v>1.522603361343096</v>
      </c>
      <c r="AE967" s="9">
        <f t="shared" si="859"/>
        <v>6.426644706503672</v>
      </c>
      <c r="AF967">
        <f t="shared" si="860"/>
        <v>2.2653063151258031E-266</v>
      </c>
      <c r="AH967">
        <f t="shared" si="838"/>
        <v>7.8539816339744828</v>
      </c>
      <c r="AI967">
        <f t="shared" si="839"/>
        <v>-0.98382743244107185</v>
      </c>
      <c r="AJ967">
        <f t="shared" si="840"/>
        <v>-1.9661128563728312</v>
      </c>
      <c r="AK967">
        <f t="shared" si="841"/>
        <v>1.522603361343096</v>
      </c>
      <c r="AL967" s="9">
        <f t="shared" si="861"/>
        <v>6.4266447065036756</v>
      </c>
      <c r="AM967" t="e">
        <f t="shared" si="842"/>
        <v>#N/A</v>
      </c>
      <c r="AN967" t="e">
        <f t="shared" si="862"/>
        <v>#N/A</v>
      </c>
      <c r="AO967">
        <f t="shared" si="843"/>
        <v>0</v>
      </c>
      <c r="AP967">
        <f t="shared" si="844"/>
        <v>0</v>
      </c>
      <c r="AQ967">
        <f t="shared" si="845"/>
        <v>3.3306690738754696E-15</v>
      </c>
      <c r="AR967">
        <f t="shared" si="863"/>
        <v>0</v>
      </c>
      <c r="AS967">
        <f t="shared" si="846"/>
        <v>0</v>
      </c>
      <c r="AT967">
        <f t="shared" si="864"/>
        <v>0</v>
      </c>
      <c r="AU967">
        <f t="shared" si="865"/>
        <v>2.2653063151209176E-266</v>
      </c>
      <c r="AV967">
        <f t="shared" si="847"/>
        <v>2.1991148575128515E-21</v>
      </c>
      <c r="AW967" t="b">
        <f t="shared" si="866"/>
        <v>1</v>
      </c>
      <c r="AX967">
        <f t="shared" si="848"/>
        <v>7.8539816339744828</v>
      </c>
      <c r="AY967">
        <f t="shared" si="849"/>
        <v>-0.98382743244107251</v>
      </c>
      <c r="AZ967">
        <f t="shared" si="850"/>
        <v>-1.9661128563728343</v>
      </c>
      <c r="BA967">
        <f t="shared" si="851"/>
        <v>1.5226033613430967</v>
      </c>
      <c r="BB967">
        <f t="shared" si="852"/>
        <v>-1.2337005501361696E-20</v>
      </c>
      <c r="BD967" s="15">
        <f t="shared" si="867"/>
        <v>6.426644706503672</v>
      </c>
      <c r="BE967" s="10">
        <f t="shared" si="868"/>
        <v>0</v>
      </c>
      <c r="BF967">
        <f t="shared" si="869"/>
        <v>0</v>
      </c>
      <c r="BG967">
        <f t="shared" si="870"/>
        <v>0</v>
      </c>
      <c r="BH967">
        <f t="shared" si="871"/>
        <v>0</v>
      </c>
      <c r="BI967">
        <f t="shared" si="872"/>
        <v>0</v>
      </c>
    </row>
    <row r="968" spans="1:61" x14ac:dyDescent="0.3">
      <c r="A968">
        <f t="shared" si="877"/>
        <v>0.93100000000000005</v>
      </c>
      <c r="B968">
        <f t="shared" si="820"/>
        <v>2.9248227604920976</v>
      </c>
      <c r="C968">
        <f t="shared" si="821"/>
        <v>0.21676989309769557</v>
      </c>
      <c r="D968">
        <f t="shared" si="822"/>
        <v>0.21676989309769557</v>
      </c>
      <c r="E968">
        <f t="shared" si="827"/>
        <v>0.21507623701711334</v>
      </c>
      <c r="F968">
        <f t="shared" si="828"/>
        <v>0.2150762370171132</v>
      </c>
      <c r="G968">
        <f t="shared" si="823"/>
        <v>2.9248227604920976</v>
      </c>
      <c r="H968">
        <f t="shared" si="824"/>
        <v>0.21507623701711334</v>
      </c>
      <c r="I968">
        <f t="shared" si="825"/>
        <v>0.2150762370171132</v>
      </c>
      <c r="J968">
        <f t="shared" si="873"/>
        <v>2.9599726180671757E+20</v>
      </c>
      <c r="K968">
        <f t="shared" si="874"/>
        <v>2.9599726180671757E+20</v>
      </c>
      <c r="L968">
        <f t="shared" si="829"/>
        <v>1</v>
      </c>
      <c r="M968">
        <f t="shared" si="826"/>
        <v>2.1676989309769531E-21</v>
      </c>
      <c r="N968" s="9">
        <f t="shared" si="875"/>
        <v>2.1676989309769531E-21</v>
      </c>
      <c r="O968">
        <f t="shared" si="876"/>
        <v>2.1676989309769531E-21</v>
      </c>
      <c r="Q968">
        <f t="shared" si="830"/>
        <v>47.136881877521112</v>
      </c>
      <c r="R968">
        <f t="shared" si="831"/>
        <v>0</v>
      </c>
      <c r="S968">
        <f t="shared" si="853"/>
        <v>-47.580620748416393</v>
      </c>
      <c r="T968" s="9" t="e">
        <f t="shared" si="832"/>
        <v>#N/A</v>
      </c>
      <c r="U968">
        <f t="shared" si="854"/>
        <v>-1.0000000000000001E+300</v>
      </c>
      <c r="V968">
        <f t="shared" si="855"/>
        <v>0</v>
      </c>
      <c r="W968">
        <f t="shared" si="856"/>
        <v>0</v>
      </c>
      <c r="X968">
        <f t="shared" si="833"/>
        <v>0.21676989309769557</v>
      </c>
      <c r="Y968">
        <f t="shared" si="834"/>
        <v>7.8539816339744828</v>
      </c>
      <c r="Z968">
        <f t="shared" si="835"/>
        <v>-0.21676989309769557</v>
      </c>
      <c r="AA968">
        <f t="shared" si="857"/>
        <v>-0.98428765089577541</v>
      </c>
      <c r="AB968">
        <f t="shared" si="836"/>
        <v>6.8696939830787072</v>
      </c>
      <c r="AC968">
        <f t="shared" si="858"/>
        <v>-1.9805015938249331</v>
      </c>
      <c r="AD968">
        <f t="shared" si="837"/>
        <v>1.536762722929655</v>
      </c>
      <c r="AE968" s="9">
        <f t="shared" si="859"/>
        <v>6.4259551121834289</v>
      </c>
      <c r="AF968">
        <f t="shared" si="860"/>
        <v>3.4663748860411297E-266</v>
      </c>
      <c r="AH968">
        <f t="shared" si="838"/>
        <v>7.8539816339744828</v>
      </c>
      <c r="AI968">
        <f t="shared" si="839"/>
        <v>-0.98428765089577352</v>
      </c>
      <c r="AJ968">
        <f t="shared" si="840"/>
        <v>-1.9805015938249326</v>
      </c>
      <c r="AK968">
        <f t="shared" si="841"/>
        <v>1.536762722929655</v>
      </c>
      <c r="AL968" s="9">
        <f t="shared" si="861"/>
        <v>6.4259551121834315</v>
      </c>
      <c r="AM968" t="e">
        <f t="shared" si="842"/>
        <v>#N/A</v>
      </c>
      <c r="AN968" t="e">
        <f t="shared" si="862"/>
        <v>#N/A</v>
      </c>
      <c r="AO968">
        <f t="shared" si="843"/>
        <v>0</v>
      </c>
      <c r="AP968">
        <f t="shared" si="844"/>
        <v>1.8873791418627661E-15</v>
      </c>
      <c r="AQ968">
        <f t="shared" si="845"/>
        <v>0</v>
      </c>
      <c r="AR968">
        <f t="shared" si="863"/>
        <v>-1.917507692131577E-15</v>
      </c>
      <c r="AS968">
        <f t="shared" si="846"/>
        <v>0</v>
      </c>
      <c r="AT968">
        <f t="shared" si="864"/>
        <v>0</v>
      </c>
      <c r="AU968">
        <f t="shared" si="865"/>
        <v>3.4663748860352281E-266</v>
      </c>
      <c r="AV968">
        <f t="shared" si="847"/>
        <v>2.1676989309769557E-21</v>
      </c>
      <c r="AW968" t="b">
        <f t="shared" si="866"/>
        <v>1</v>
      </c>
      <c r="AX968">
        <f t="shared" si="848"/>
        <v>7.8539816339744828</v>
      </c>
      <c r="AY968">
        <f t="shared" si="849"/>
        <v>-0.98428765089577563</v>
      </c>
      <c r="AZ968">
        <f t="shared" si="850"/>
        <v>-1.9805015938249331</v>
      </c>
      <c r="BA968">
        <f t="shared" si="851"/>
        <v>1.5367627229296557</v>
      </c>
      <c r="BB968">
        <f t="shared" si="852"/>
        <v>-1.2337005501361696E-20</v>
      </c>
      <c r="BD968" s="15">
        <f t="shared" si="867"/>
        <v>6.4259551121834289</v>
      </c>
      <c r="BE968" s="10">
        <f t="shared" si="868"/>
        <v>0</v>
      </c>
      <c r="BF968">
        <f t="shared" si="869"/>
        <v>0</v>
      </c>
      <c r="BG968">
        <f t="shared" si="870"/>
        <v>0</v>
      </c>
      <c r="BH968">
        <f t="shared" si="871"/>
        <v>0</v>
      </c>
      <c r="BI968">
        <f t="shared" si="872"/>
        <v>0</v>
      </c>
    </row>
    <row r="969" spans="1:61" x14ac:dyDescent="0.3">
      <c r="A969">
        <f t="shared" si="877"/>
        <v>0.93200000000000005</v>
      </c>
      <c r="B969">
        <f t="shared" si="820"/>
        <v>2.9279643531456871</v>
      </c>
      <c r="C969">
        <f t="shared" si="821"/>
        <v>0.21362830044410597</v>
      </c>
      <c r="D969">
        <f t="shared" si="822"/>
        <v>0.21362830044410597</v>
      </c>
      <c r="E969">
        <f t="shared" si="827"/>
        <v>0.21200710992205479</v>
      </c>
      <c r="F969">
        <f t="shared" si="828"/>
        <v>0.21200710992205465</v>
      </c>
      <c r="G969">
        <f t="shared" si="823"/>
        <v>2.9279643531456871</v>
      </c>
      <c r="H969">
        <f t="shared" si="824"/>
        <v>0.21200710992205479</v>
      </c>
      <c r="I969">
        <f t="shared" si="825"/>
        <v>0.21200710992205465</v>
      </c>
      <c r="J969">
        <f t="shared" si="873"/>
        <v>3.0028227477919826E+20</v>
      </c>
      <c r="K969">
        <f t="shared" si="874"/>
        <v>3.0028227477919826E+20</v>
      </c>
      <c r="L969">
        <f t="shared" si="829"/>
        <v>1</v>
      </c>
      <c r="M969">
        <f t="shared" si="826"/>
        <v>2.1362830044410595E-21</v>
      </c>
      <c r="N969" s="9">
        <f t="shared" si="875"/>
        <v>2.1362830044410595E-21</v>
      </c>
      <c r="O969">
        <f t="shared" si="876"/>
        <v>2.1362830044410595E-21</v>
      </c>
      <c r="Q969">
        <f t="shared" si="830"/>
        <v>47.151254622095763</v>
      </c>
      <c r="R969">
        <f t="shared" si="831"/>
        <v>-710542.73576010019</v>
      </c>
      <c r="S969">
        <f t="shared" si="853"/>
        <v>-47.595219547837544</v>
      </c>
      <c r="T969" s="9" t="e">
        <f t="shared" si="832"/>
        <v>#N/A</v>
      </c>
      <c r="U969">
        <f t="shared" si="854"/>
        <v>-1.0000000000000001E+300</v>
      </c>
      <c r="V969">
        <f t="shared" si="855"/>
        <v>0</v>
      </c>
      <c r="W969">
        <f t="shared" si="856"/>
        <v>0</v>
      </c>
      <c r="X969">
        <f t="shared" si="833"/>
        <v>0.21362830044410597</v>
      </c>
      <c r="Y969">
        <f t="shared" si="834"/>
        <v>7.8539816339744828</v>
      </c>
      <c r="Z969">
        <f t="shared" si="835"/>
        <v>-0.21362830044410597</v>
      </c>
      <c r="AA969">
        <f t="shared" si="857"/>
        <v>-0.98474116454315908</v>
      </c>
      <c r="AB969">
        <f t="shared" si="836"/>
        <v>6.8692404694313236</v>
      </c>
      <c r="AC969">
        <f t="shared" si="858"/>
        <v>-1.9951003932460849</v>
      </c>
      <c r="AD969">
        <f t="shared" si="837"/>
        <v>1.5511354675043065</v>
      </c>
      <c r="AE969" s="9">
        <f t="shared" si="859"/>
        <v>6.425275543689545</v>
      </c>
      <c r="AF969">
        <f t="shared" si="860"/>
        <v>5.2700327880500282E-266</v>
      </c>
      <c r="AH969">
        <f t="shared" si="838"/>
        <v>7.8539816339744828</v>
      </c>
      <c r="AI969">
        <f t="shared" si="839"/>
        <v>-0.98474116454315708</v>
      </c>
      <c r="AJ969">
        <f t="shared" si="840"/>
        <v>-1.9951003932460836</v>
      </c>
      <c r="AK969">
        <f t="shared" si="841"/>
        <v>1.5511354675043065</v>
      </c>
      <c r="AL969" s="9">
        <f t="shared" si="861"/>
        <v>6.4252755436895486</v>
      </c>
      <c r="AM969" t="e">
        <f t="shared" si="842"/>
        <v>#N/A</v>
      </c>
      <c r="AN969" t="e">
        <f t="shared" si="862"/>
        <v>#N/A</v>
      </c>
      <c r="AO969">
        <f t="shared" si="843"/>
        <v>0</v>
      </c>
      <c r="AP969">
        <f t="shared" si="844"/>
        <v>1.9984014443252818E-15</v>
      </c>
      <c r="AQ969">
        <f t="shared" si="845"/>
        <v>0</v>
      </c>
      <c r="AR969">
        <f t="shared" si="863"/>
        <v>-2.0293672248914099E-15</v>
      </c>
      <c r="AS969">
        <f t="shared" si="846"/>
        <v>0</v>
      </c>
      <c r="AT969">
        <f t="shared" si="864"/>
        <v>0</v>
      </c>
      <c r="AU969">
        <f t="shared" si="865"/>
        <v>5.2700327880380646E-266</v>
      </c>
      <c r="AV969">
        <f t="shared" si="847"/>
        <v>2.1362830044410595E-21</v>
      </c>
      <c r="AW969" t="b">
        <f t="shared" si="866"/>
        <v>1</v>
      </c>
      <c r="AX969">
        <f t="shared" si="848"/>
        <v>7.8539816339744828</v>
      </c>
      <c r="AY969">
        <f t="shared" si="849"/>
        <v>-0.98474116454315919</v>
      </c>
      <c r="AZ969">
        <f t="shared" si="850"/>
        <v>-1.9951003932460849</v>
      </c>
      <c r="BA969">
        <f t="shared" si="851"/>
        <v>1.5511354675043072</v>
      </c>
      <c r="BB969">
        <f t="shared" si="852"/>
        <v>-1.2337005501361696E-20</v>
      </c>
      <c r="BD969" s="15">
        <f t="shared" si="867"/>
        <v>6.4252755436895459</v>
      </c>
      <c r="BE969" s="10">
        <f t="shared" si="868"/>
        <v>0</v>
      </c>
      <c r="BF969">
        <f t="shared" si="869"/>
        <v>0</v>
      </c>
      <c r="BG969">
        <f t="shared" si="870"/>
        <v>0</v>
      </c>
      <c r="BH969">
        <f t="shared" si="871"/>
        <v>0</v>
      </c>
      <c r="BI969">
        <f t="shared" si="872"/>
        <v>0</v>
      </c>
    </row>
    <row r="970" spans="1:61" x14ac:dyDescent="0.3">
      <c r="A970">
        <f t="shared" si="877"/>
        <v>0.93300000000000005</v>
      </c>
      <c r="B970">
        <f t="shared" si="820"/>
        <v>2.9311059457992772</v>
      </c>
      <c r="C970">
        <f t="shared" si="821"/>
        <v>0.21048670779051593</v>
      </c>
      <c r="D970">
        <f t="shared" si="822"/>
        <v>0.21048670779051593</v>
      </c>
      <c r="E970">
        <f t="shared" si="827"/>
        <v>0.20893589040241162</v>
      </c>
      <c r="F970">
        <f t="shared" si="828"/>
        <v>0.20893589040241148</v>
      </c>
      <c r="G970">
        <f t="shared" si="823"/>
        <v>2.9311059457992772</v>
      </c>
      <c r="H970">
        <f t="shared" si="824"/>
        <v>0.20893589040241162</v>
      </c>
      <c r="I970">
        <f t="shared" si="825"/>
        <v>0.20893589040241148</v>
      </c>
      <c r="J970">
        <f t="shared" si="873"/>
        <v>3.0469622578555001E+20</v>
      </c>
      <c r="K970">
        <f t="shared" si="874"/>
        <v>3.0469622578555001E+20</v>
      </c>
      <c r="L970">
        <f t="shared" si="829"/>
        <v>1</v>
      </c>
      <c r="M970">
        <f t="shared" si="826"/>
        <v>2.1048670779051598E-21</v>
      </c>
      <c r="N970" s="9">
        <f t="shared" si="875"/>
        <v>2.1048670779051598E-21</v>
      </c>
      <c r="O970">
        <f t="shared" si="876"/>
        <v>2.1048670779051598E-21</v>
      </c>
      <c r="Q970">
        <f t="shared" si="830"/>
        <v>47.165846973150565</v>
      </c>
      <c r="R970">
        <f t="shared" si="831"/>
        <v>-710542.73576010019</v>
      </c>
      <c r="S970">
        <f t="shared" si="853"/>
        <v>-47.610034633622682</v>
      </c>
      <c r="T970" s="9" t="e">
        <f t="shared" si="832"/>
        <v>#N/A</v>
      </c>
      <c r="U970">
        <f t="shared" si="854"/>
        <v>-1.0000000000000001E+300</v>
      </c>
      <c r="V970">
        <f t="shared" si="855"/>
        <v>0</v>
      </c>
      <c r="W970">
        <f t="shared" si="856"/>
        <v>0</v>
      </c>
      <c r="X970">
        <f t="shared" si="833"/>
        <v>0.21048670779051593</v>
      </c>
      <c r="Y970">
        <f t="shared" si="834"/>
        <v>7.8539816339744828</v>
      </c>
      <c r="Z970">
        <f t="shared" si="835"/>
        <v>-0.21048670779051593</v>
      </c>
      <c r="AA970">
        <f t="shared" si="857"/>
        <v>-0.98518797702142169</v>
      </c>
      <c r="AB970">
        <f t="shared" si="836"/>
        <v>6.868793656953061</v>
      </c>
      <c r="AC970">
        <f t="shared" si="858"/>
        <v>-2.0099154790312266</v>
      </c>
      <c r="AD970">
        <f t="shared" si="837"/>
        <v>1.5657278185591077</v>
      </c>
      <c r="AE970" s="9">
        <f t="shared" si="859"/>
        <v>6.4246059964809419</v>
      </c>
      <c r="AF970">
        <f t="shared" si="860"/>
        <v>7.9606233935668103E-266</v>
      </c>
      <c r="AH970">
        <f t="shared" si="838"/>
        <v>7.8539816339744828</v>
      </c>
      <c r="AI970">
        <f t="shared" si="839"/>
        <v>-0.98518797702142225</v>
      </c>
      <c r="AJ970">
        <f t="shared" si="840"/>
        <v>-2.0099154790312213</v>
      </c>
      <c r="AK970">
        <f t="shared" si="841"/>
        <v>1.5657278185591077</v>
      </c>
      <c r="AL970" s="9">
        <f t="shared" si="861"/>
        <v>6.4246059964809472</v>
      </c>
      <c r="AM970" t="e">
        <f t="shared" si="842"/>
        <v>#N/A</v>
      </c>
      <c r="AN970" t="e">
        <f t="shared" si="862"/>
        <v>#N/A</v>
      </c>
      <c r="AO970">
        <f t="shared" si="843"/>
        <v>0</v>
      </c>
      <c r="AP970">
        <f t="shared" si="844"/>
        <v>0</v>
      </c>
      <c r="AQ970">
        <f t="shared" si="845"/>
        <v>5.3290705182007514E-15</v>
      </c>
      <c r="AR970">
        <f t="shared" si="863"/>
        <v>0</v>
      </c>
      <c r="AS970">
        <f t="shared" si="846"/>
        <v>0</v>
      </c>
      <c r="AT970">
        <f t="shared" si="864"/>
        <v>0</v>
      </c>
      <c r="AU970">
        <f t="shared" si="865"/>
        <v>7.9606233935406094E-266</v>
      </c>
      <c r="AV970">
        <f t="shared" si="847"/>
        <v>2.1048670779051591E-21</v>
      </c>
      <c r="AW970" t="b">
        <f t="shared" si="866"/>
        <v>1</v>
      </c>
      <c r="AX970">
        <f t="shared" si="848"/>
        <v>7.8539816339744828</v>
      </c>
      <c r="AY970">
        <f t="shared" si="849"/>
        <v>-0.9851879770214218</v>
      </c>
      <c r="AZ970">
        <f t="shared" si="850"/>
        <v>-2.0099154790312266</v>
      </c>
      <c r="BA970">
        <f t="shared" si="851"/>
        <v>1.5657278185591084</v>
      </c>
      <c r="BB970">
        <f t="shared" si="852"/>
        <v>-1.2337005501361696E-20</v>
      </c>
      <c r="BD970" s="15">
        <f t="shared" si="867"/>
        <v>6.4246059964809428</v>
      </c>
      <c r="BE970" s="10">
        <f t="shared" si="868"/>
        <v>0</v>
      </c>
      <c r="BF970">
        <f t="shared" si="869"/>
        <v>0</v>
      </c>
      <c r="BG970">
        <f t="shared" si="870"/>
        <v>0</v>
      </c>
      <c r="BH970">
        <f t="shared" si="871"/>
        <v>0</v>
      </c>
      <c r="BI970">
        <f t="shared" si="872"/>
        <v>0</v>
      </c>
    </row>
    <row r="971" spans="1:61" x14ac:dyDescent="0.3">
      <c r="A971">
        <f t="shared" si="877"/>
        <v>0.93400000000000005</v>
      </c>
      <c r="B971">
        <f t="shared" si="820"/>
        <v>2.9342475384528668</v>
      </c>
      <c r="C971">
        <f t="shared" si="821"/>
        <v>0.20734511513692633</v>
      </c>
      <c r="D971">
        <f t="shared" si="822"/>
        <v>0.20734511513692633</v>
      </c>
      <c r="E971">
        <f t="shared" si="827"/>
        <v>0.20586260876988141</v>
      </c>
      <c r="F971">
        <f t="shared" si="828"/>
        <v>0.2058626087698813</v>
      </c>
      <c r="G971">
        <f t="shared" si="823"/>
        <v>2.9342475384528668</v>
      </c>
      <c r="H971">
        <f t="shared" si="824"/>
        <v>0.20586260876988141</v>
      </c>
      <c r="I971">
        <f t="shared" si="825"/>
        <v>0.2058626087698813</v>
      </c>
      <c r="J971">
        <f t="shared" si="873"/>
        <v>3.0924497468076471E+20</v>
      </c>
      <c r="K971">
        <f t="shared" si="874"/>
        <v>3.0924497468076471E+20</v>
      </c>
      <c r="L971" t="e">
        <f t="shared" si="829"/>
        <v>#NUM!</v>
      </c>
      <c r="M971">
        <f t="shared" si="826"/>
        <v>2.0734511513692662E-21</v>
      </c>
      <c r="N971" s="9" t="e">
        <f t="shared" si="875"/>
        <v>#NUM!</v>
      </c>
      <c r="O971" t="e">
        <f t="shared" si="876"/>
        <v>#NUM!</v>
      </c>
      <c r="Q971">
        <f t="shared" si="830"/>
        <v>47.180665435011605</v>
      </c>
      <c r="R971">
        <f t="shared" si="831"/>
        <v>-710542.73576010019</v>
      </c>
      <c r="S971">
        <f t="shared" si="853"/>
        <v>-47.625072510987223</v>
      </c>
      <c r="T971" s="9" t="e">
        <f t="shared" si="832"/>
        <v>#N/A</v>
      </c>
      <c r="U971">
        <f t="shared" si="854"/>
        <v>-1.0000000000000001E+300</v>
      </c>
      <c r="V971">
        <f t="shared" si="855"/>
        <v>0</v>
      </c>
      <c r="W971">
        <f t="shared" si="856"/>
        <v>0</v>
      </c>
      <c r="X971">
        <f t="shared" si="833"/>
        <v>0.20734511513692633</v>
      </c>
      <c r="Y971">
        <f t="shared" si="834"/>
        <v>7.8539816339744828</v>
      </c>
      <c r="Z971">
        <f t="shared" si="835"/>
        <v>-0.20734511513692633</v>
      </c>
      <c r="AA971">
        <f t="shared" si="857"/>
        <v>-0.98562809191334944</v>
      </c>
      <c r="AB971">
        <f t="shared" si="836"/>
        <v>6.8683535420611337</v>
      </c>
      <c r="AC971">
        <f t="shared" si="858"/>
        <v>-2.0249533563957662</v>
      </c>
      <c r="AD971">
        <f t="shared" si="837"/>
        <v>1.580546280420148</v>
      </c>
      <c r="AE971" s="9">
        <f t="shared" si="859"/>
        <v>6.4239464660855159</v>
      </c>
      <c r="AF971">
        <f t="shared" si="860"/>
        <v>1.1947677281658563E-265</v>
      </c>
      <c r="AH971">
        <f t="shared" si="838"/>
        <v>7.8539816339744828</v>
      </c>
      <c r="AI971">
        <f t="shared" si="839"/>
        <v>-0.98562809191334977</v>
      </c>
      <c r="AJ971">
        <f t="shared" si="840"/>
        <v>-2.0249533563957627</v>
      </c>
      <c r="AK971">
        <f t="shared" si="841"/>
        <v>1.580546280420148</v>
      </c>
      <c r="AL971" s="9">
        <f t="shared" si="861"/>
        <v>6.4239464660855177</v>
      </c>
      <c r="AM971" t="e">
        <f t="shared" si="842"/>
        <v>#N/A</v>
      </c>
      <c r="AN971" t="e">
        <f t="shared" si="862"/>
        <v>#N/A</v>
      </c>
      <c r="AO971">
        <f t="shared" si="843"/>
        <v>0</v>
      </c>
      <c r="AP971">
        <f t="shared" si="844"/>
        <v>0</v>
      </c>
      <c r="AQ971">
        <f t="shared" si="845"/>
        <v>3.5527136788005009E-15</v>
      </c>
      <c r="AR971">
        <f t="shared" si="863"/>
        <v>0</v>
      </c>
      <c r="AS971">
        <f t="shared" si="846"/>
        <v>0</v>
      </c>
      <c r="AT971">
        <f t="shared" si="864"/>
        <v>0</v>
      </c>
      <c r="AU971">
        <f t="shared" si="865"/>
        <v>1.194767728164636E-265</v>
      </c>
      <c r="AV971">
        <f t="shared" si="847"/>
        <v>2.0734511513692632E-21</v>
      </c>
      <c r="AW971" t="b">
        <f t="shared" si="866"/>
        <v>1</v>
      </c>
      <c r="AX971">
        <f t="shared" si="848"/>
        <v>7.8539816339744828</v>
      </c>
      <c r="AY971">
        <f t="shared" si="849"/>
        <v>-0.98562809191334955</v>
      </c>
      <c r="AZ971">
        <f t="shared" si="850"/>
        <v>-2.0249533563957662</v>
      </c>
      <c r="BA971">
        <f t="shared" si="851"/>
        <v>1.5805462804201487</v>
      </c>
      <c r="BB971">
        <f t="shared" si="852"/>
        <v>-1.2337005501361696E-20</v>
      </c>
      <c r="BD971" s="15">
        <f t="shared" si="867"/>
        <v>6.423946466085515</v>
      </c>
      <c r="BE971" s="10">
        <f t="shared" si="868"/>
        <v>0</v>
      </c>
      <c r="BF971">
        <f t="shared" si="869"/>
        <v>0</v>
      </c>
      <c r="BG971">
        <f t="shared" si="870"/>
        <v>0</v>
      </c>
      <c r="BH971">
        <f t="shared" si="871"/>
        <v>0</v>
      </c>
      <c r="BI971">
        <f t="shared" si="872"/>
        <v>0</v>
      </c>
    </row>
    <row r="972" spans="1:61" x14ac:dyDescent="0.3">
      <c r="A972">
        <f t="shared" si="877"/>
        <v>0.93500000000000005</v>
      </c>
      <c r="B972">
        <f t="shared" si="820"/>
        <v>2.9373891311064568</v>
      </c>
      <c r="C972">
        <f t="shared" si="821"/>
        <v>0.20420352248333629</v>
      </c>
      <c r="D972">
        <f t="shared" si="822"/>
        <v>0.20420352248333629</v>
      </c>
      <c r="E972">
        <f t="shared" si="827"/>
        <v>0.20278729535651233</v>
      </c>
      <c r="F972">
        <f t="shared" si="828"/>
        <v>0.20278729535651221</v>
      </c>
      <c r="G972">
        <f t="shared" si="823"/>
        <v>2.9373891311064568</v>
      </c>
      <c r="H972">
        <f t="shared" si="824"/>
        <v>0.20278729535651233</v>
      </c>
      <c r="I972">
        <f t="shared" si="825"/>
        <v>0.20278729535651221</v>
      </c>
      <c r="J972">
        <f t="shared" si="873"/>
        <v>3.1393474194148373E+20</v>
      </c>
      <c r="K972">
        <f t="shared" si="874"/>
        <v>3.1393474194148373E+20</v>
      </c>
      <c r="L972">
        <f t="shared" si="829"/>
        <v>1</v>
      </c>
      <c r="M972">
        <f t="shared" si="826"/>
        <v>2.0420352248333606E-21</v>
      </c>
      <c r="N972" s="9">
        <f t="shared" si="875"/>
        <v>2.0420352248333606E-21</v>
      </c>
      <c r="O972">
        <f t="shared" si="876"/>
        <v>2.0420352248333606E-21</v>
      </c>
      <c r="Q972">
        <f t="shared" si="830"/>
        <v>47.195716809989968</v>
      </c>
      <c r="R972">
        <f t="shared" si="831"/>
        <v>0</v>
      </c>
      <c r="S972">
        <f t="shared" si="853"/>
        <v>-47.640339983118018</v>
      </c>
      <c r="T972" s="9" t="e">
        <f t="shared" si="832"/>
        <v>#N/A</v>
      </c>
      <c r="U972">
        <f t="shared" si="854"/>
        <v>-1.0000000000000001E+300</v>
      </c>
      <c r="V972">
        <f t="shared" si="855"/>
        <v>0</v>
      </c>
      <c r="W972">
        <f t="shared" si="856"/>
        <v>0</v>
      </c>
      <c r="X972">
        <f t="shared" si="833"/>
        <v>0.20420352248333629</v>
      </c>
      <c r="Y972">
        <f t="shared" si="834"/>
        <v>7.8539816339744828</v>
      </c>
      <c r="Z972">
        <f t="shared" si="835"/>
        <v>-0.20420352248333629</v>
      </c>
      <c r="AA972">
        <f t="shared" si="857"/>
        <v>-0.98606151274641984</v>
      </c>
      <c r="AB972">
        <f t="shared" si="836"/>
        <v>6.8679201212280629</v>
      </c>
      <c r="AC972">
        <f t="shared" si="858"/>
        <v>-2.040220828526556</v>
      </c>
      <c r="AD972">
        <f t="shared" si="837"/>
        <v>1.5955976553985061</v>
      </c>
      <c r="AE972" s="9">
        <f t="shared" si="859"/>
        <v>6.4232969481000124</v>
      </c>
      <c r="AF972">
        <f t="shared" si="860"/>
        <v>1.7816774871463892E-265</v>
      </c>
      <c r="AH972">
        <f t="shared" si="838"/>
        <v>7.8539816339744828</v>
      </c>
      <c r="AI972">
        <f t="shared" si="839"/>
        <v>-0.98606151274641785</v>
      </c>
      <c r="AJ972">
        <f t="shared" si="840"/>
        <v>-2.0402208285265573</v>
      </c>
      <c r="AK972">
        <f t="shared" si="841"/>
        <v>1.5955976553985061</v>
      </c>
      <c r="AL972" s="9">
        <f t="shared" si="861"/>
        <v>6.4232969481000133</v>
      </c>
      <c r="AM972" t="e">
        <f t="shared" si="842"/>
        <v>#N/A</v>
      </c>
      <c r="AN972" t="e">
        <f t="shared" si="862"/>
        <v>#N/A</v>
      </c>
      <c r="AO972">
        <f t="shared" si="843"/>
        <v>0</v>
      </c>
      <c r="AP972">
        <f t="shared" si="844"/>
        <v>1.9984014443252818E-15</v>
      </c>
      <c r="AQ972">
        <f t="shared" si="845"/>
        <v>0</v>
      </c>
      <c r="AR972">
        <f t="shared" si="863"/>
        <v>-2.0266498778146754E-15</v>
      </c>
      <c r="AS972">
        <f t="shared" si="846"/>
        <v>0</v>
      </c>
      <c r="AT972">
        <f t="shared" si="864"/>
        <v>0</v>
      </c>
      <c r="AU972">
        <f t="shared" si="865"/>
        <v>1.7816774871453786E-265</v>
      </c>
      <c r="AV972">
        <f t="shared" si="847"/>
        <v>2.0420352248333629E-21</v>
      </c>
      <c r="AW972" t="b">
        <f t="shared" si="866"/>
        <v>1</v>
      </c>
      <c r="AX972">
        <f t="shared" si="848"/>
        <v>7.8539816339744828</v>
      </c>
      <c r="AY972">
        <f t="shared" si="849"/>
        <v>-0.98606151274642018</v>
      </c>
      <c r="AZ972">
        <f t="shared" si="850"/>
        <v>-2.040220828526556</v>
      </c>
      <c r="BA972">
        <f t="shared" si="851"/>
        <v>1.5955976553985065</v>
      </c>
      <c r="BB972">
        <f t="shared" si="852"/>
        <v>-1.2337005501361696E-20</v>
      </c>
      <c r="BD972" s="15">
        <f t="shared" si="867"/>
        <v>6.4232969481000133</v>
      </c>
      <c r="BE972" s="10">
        <f t="shared" si="868"/>
        <v>0</v>
      </c>
      <c r="BF972">
        <f t="shared" si="869"/>
        <v>0</v>
      </c>
      <c r="BG972">
        <f t="shared" si="870"/>
        <v>0</v>
      </c>
      <c r="BH972">
        <f t="shared" si="871"/>
        <v>0</v>
      </c>
      <c r="BI972">
        <f t="shared" si="872"/>
        <v>0</v>
      </c>
    </row>
    <row r="973" spans="1:61" x14ac:dyDescent="0.3">
      <c r="A973">
        <f t="shared" si="877"/>
        <v>0.93600000000000005</v>
      </c>
      <c r="B973">
        <f t="shared" si="820"/>
        <v>2.9405307237600464</v>
      </c>
      <c r="C973">
        <f t="shared" si="821"/>
        <v>0.20106192982974669</v>
      </c>
      <c r="D973">
        <f t="shared" si="822"/>
        <v>0.20106192982974669</v>
      </c>
      <c r="E973">
        <f t="shared" si="827"/>
        <v>0.19970998051440705</v>
      </c>
      <c r="F973">
        <f t="shared" si="828"/>
        <v>0.19970998051440694</v>
      </c>
      <c r="G973">
        <f t="shared" si="823"/>
        <v>2.9405307237600464</v>
      </c>
      <c r="H973">
        <f t="shared" si="824"/>
        <v>0.19970998051440705</v>
      </c>
      <c r="I973">
        <f t="shared" si="825"/>
        <v>0.19970998051440694</v>
      </c>
      <c r="J973">
        <f t="shared" si="873"/>
        <v>3.1877213683952851E+20</v>
      </c>
      <c r="K973">
        <f t="shared" si="874"/>
        <v>3.1877213683952851E+20</v>
      </c>
      <c r="L973">
        <f t="shared" si="829"/>
        <v>0</v>
      </c>
      <c r="M973">
        <f t="shared" si="826"/>
        <v>2.010619298297467E-21</v>
      </c>
      <c r="N973" s="9">
        <f t="shared" si="875"/>
        <v>0</v>
      </c>
      <c r="O973">
        <f t="shared" si="876"/>
        <v>0</v>
      </c>
      <c r="Q973">
        <f t="shared" si="830"/>
        <v>47.211008216862318</v>
      </c>
      <c r="R973">
        <f t="shared" si="831"/>
        <v>0</v>
      </c>
      <c r="S973">
        <f t="shared" si="853"/>
        <v>-47.655844169653982</v>
      </c>
      <c r="T973" s="9" t="e">
        <f t="shared" si="832"/>
        <v>#N/A</v>
      </c>
      <c r="U973">
        <f t="shared" si="854"/>
        <v>-1.0000000000000001E+300</v>
      </c>
      <c r="V973">
        <f t="shared" si="855"/>
        <v>0</v>
      </c>
      <c r="W973">
        <f t="shared" si="856"/>
        <v>0</v>
      </c>
      <c r="X973">
        <f t="shared" si="833"/>
        <v>0.20106192982974669</v>
      </c>
      <c r="Y973">
        <f t="shared" si="834"/>
        <v>7.8539816339744828</v>
      </c>
      <c r="Z973">
        <f t="shared" si="835"/>
        <v>-0.20106192982974669</v>
      </c>
      <c r="AA973">
        <f t="shared" si="857"/>
        <v>-0.98648824299290272</v>
      </c>
      <c r="AB973">
        <f t="shared" si="836"/>
        <v>6.8674933909815801</v>
      </c>
      <c r="AC973">
        <f t="shared" si="858"/>
        <v>-2.0557250150625204</v>
      </c>
      <c r="AD973">
        <f t="shared" si="837"/>
        <v>1.6108890622708603</v>
      </c>
      <c r="AE973" s="9">
        <f t="shared" si="859"/>
        <v>6.4226574381899209</v>
      </c>
      <c r="AF973">
        <f t="shared" si="860"/>
        <v>2.639917513913395E-265</v>
      </c>
      <c r="AH973">
        <f t="shared" si="838"/>
        <v>7.8539816339744828</v>
      </c>
      <c r="AI973">
        <f t="shared" si="839"/>
        <v>-0.98648824299290216</v>
      </c>
      <c r="AJ973">
        <f t="shared" si="840"/>
        <v>-2.0557250150625208</v>
      </c>
      <c r="AK973">
        <f t="shared" si="841"/>
        <v>1.6108890622708603</v>
      </c>
      <c r="AL973" s="9">
        <f t="shared" si="861"/>
        <v>6.4226574381899209</v>
      </c>
      <c r="AM973" t="e">
        <f t="shared" si="842"/>
        <v>#N/A</v>
      </c>
      <c r="AN973" t="e">
        <f t="shared" si="862"/>
        <v>#N/A</v>
      </c>
      <c r="AO973">
        <f t="shared" si="843"/>
        <v>0</v>
      </c>
      <c r="AP973">
        <f t="shared" si="844"/>
        <v>0</v>
      </c>
      <c r="AQ973">
        <f t="shared" si="845"/>
        <v>0</v>
      </c>
      <c r="AR973">
        <f t="shared" si="863"/>
        <v>0</v>
      </c>
      <c r="AS973">
        <f t="shared" si="846"/>
        <v>0</v>
      </c>
      <c r="AT973">
        <f t="shared" si="864"/>
        <v>0</v>
      </c>
      <c r="AU973">
        <f t="shared" si="865"/>
        <v>2.639917513913395E-265</v>
      </c>
      <c r="AV973">
        <f t="shared" si="847"/>
        <v>2.0106192982974666E-21</v>
      </c>
      <c r="AW973" t="b">
        <f t="shared" si="866"/>
        <v>1</v>
      </c>
      <c r="AX973">
        <f t="shared" si="848"/>
        <v>7.8539816339744828</v>
      </c>
      <c r="AY973">
        <f t="shared" si="849"/>
        <v>-0.98648824299290305</v>
      </c>
      <c r="AZ973">
        <f t="shared" si="850"/>
        <v>-2.0557250150625204</v>
      </c>
      <c r="BA973">
        <f t="shared" si="851"/>
        <v>1.6108890622708609</v>
      </c>
      <c r="BB973">
        <f t="shared" si="852"/>
        <v>-1.2337005501361696E-20</v>
      </c>
      <c r="BD973" s="15">
        <f t="shared" si="867"/>
        <v>6.4226574381899209</v>
      </c>
      <c r="BE973" s="10">
        <f t="shared" si="868"/>
        <v>0</v>
      </c>
      <c r="BF973">
        <f t="shared" si="869"/>
        <v>0</v>
      </c>
      <c r="BG973">
        <f t="shared" si="870"/>
        <v>0</v>
      </c>
      <c r="BH973">
        <f t="shared" si="871"/>
        <v>0</v>
      </c>
      <c r="BI973">
        <f t="shared" si="872"/>
        <v>0</v>
      </c>
    </row>
    <row r="974" spans="1:61" x14ac:dyDescent="0.3">
      <c r="A974">
        <f t="shared" si="877"/>
        <v>0.93700000000000006</v>
      </c>
      <c r="B974">
        <f t="shared" si="820"/>
        <v>2.9436723164136365</v>
      </c>
      <c r="C974">
        <f t="shared" si="821"/>
        <v>0.19792033717615665</v>
      </c>
      <c r="D974">
        <f t="shared" si="822"/>
        <v>0.19792033717615665</v>
      </c>
      <c r="E974">
        <f t="shared" si="827"/>
        <v>0.19663069461541985</v>
      </c>
      <c r="F974">
        <f t="shared" si="828"/>
        <v>0.19663069461541974</v>
      </c>
      <c r="G974">
        <f t="shared" si="823"/>
        <v>2.9436723164136365</v>
      </c>
      <c r="H974">
        <f t="shared" si="824"/>
        <v>0.19663069461541985</v>
      </c>
      <c r="I974">
        <f t="shared" si="825"/>
        <v>0.19663069461541974</v>
      </c>
      <c r="J974">
        <f t="shared" si="873"/>
        <v>3.2376418829863479E+20</v>
      </c>
      <c r="K974">
        <f t="shared" si="874"/>
        <v>3.2376418829863479E+20</v>
      </c>
      <c r="L974" t="e">
        <f t="shared" si="829"/>
        <v>#NUM!</v>
      </c>
      <c r="M974">
        <f t="shared" si="826"/>
        <v>1.9792033717615674E-21</v>
      </c>
      <c r="N974" s="9" t="e">
        <f t="shared" si="875"/>
        <v>#NUM!</v>
      </c>
      <c r="O974" t="e">
        <f t="shared" si="876"/>
        <v>#NUM!</v>
      </c>
      <c r="Q974">
        <f t="shared" si="830"/>
        <v>47.226547110806933</v>
      </c>
      <c r="R974">
        <f t="shared" si="831"/>
        <v>-710542.73576010019</v>
      </c>
      <c r="S974">
        <f t="shared" si="853"/>
        <v>-47.671592526622121</v>
      </c>
      <c r="T974" s="9" t="e">
        <f t="shared" si="832"/>
        <v>#N/A</v>
      </c>
      <c r="U974">
        <f t="shared" si="854"/>
        <v>-1.0000000000000001E+300</v>
      </c>
      <c r="V974">
        <f t="shared" si="855"/>
        <v>0</v>
      </c>
      <c r="W974">
        <f t="shared" si="856"/>
        <v>0</v>
      </c>
      <c r="X974">
        <f t="shared" si="833"/>
        <v>0.19792033717615665</v>
      </c>
      <c r="Y974">
        <f t="shared" si="834"/>
        <v>7.8539816339744828</v>
      </c>
      <c r="Z974">
        <f t="shared" si="835"/>
        <v>-0.19792033717615665</v>
      </c>
      <c r="AA974">
        <f t="shared" si="857"/>
        <v>-0.98690828606996117</v>
      </c>
      <c r="AB974">
        <f t="shared" si="836"/>
        <v>6.8670733479045216</v>
      </c>
      <c r="AC974">
        <f t="shared" si="858"/>
        <v>-2.0714733720306606</v>
      </c>
      <c r="AD974">
        <f t="shared" si="837"/>
        <v>1.6264279562154778</v>
      </c>
      <c r="AE974" s="9">
        <f t="shared" si="859"/>
        <v>6.422027932089339</v>
      </c>
      <c r="AF974">
        <f t="shared" si="860"/>
        <v>3.8866337824943517E-265</v>
      </c>
      <c r="AH974">
        <f t="shared" si="838"/>
        <v>7.8539816339744828</v>
      </c>
      <c r="AI974">
        <f t="shared" si="839"/>
        <v>-0.98690828606996106</v>
      </c>
      <c r="AJ974">
        <f t="shared" si="840"/>
        <v>-2.0714733720306597</v>
      </c>
      <c r="AK974">
        <f t="shared" si="841"/>
        <v>1.6264279562154778</v>
      </c>
      <c r="AL974" s="9">
        <f t="shared" si="861"/>
        <v>6.4220279320893399</v>
      </c>
      <c r="AM974" t="e">
        <f t="shared" si="842"/>
        <v>#N/A</v>
      </c>
      <c r="AN974" t="e">
        <f t="shared" si="862"/>
        <v>#N/A</v>
      </c>
      <c r="AO974">
        <f t="shared" si="843"/>
        <v>0</v>
      </c>
      <c r="AP974">
        <f t="shared" si="844"/>
        <v>0</v>
      </c>
      <c r="AQ974">
        <f t="shared" si="845"/>
        <v>0</v>
      </c>
      <c r="AR974">
        <f t="shared" si="863"/>
        <v>0</v>
      </c>
      <c r="AS974">
        <f t="shared" si="846"/>
        <v>0</v>
      </c>
      <c r="AT974">
        <f t="shared" si="864"/>
        <v>0</v>
      </c>
      <c r="AU974">
        <f t="shared" si="865"/>
        <v>3.8866337824921459E-265</v>
      </c>
      <c r="AV974">
        <f t="shared" si="847"/>
        <v>1.9792033717615663E-21</v>
      </c>
      <c r="AW974" t="b">
        <f t="shared" si="866"/>
        <v>1</v>
      </c>
      <c r="AX974">
        <f t="shared" si="848"/>
        <v>7.8539816339744828</v>
      </c>
      <c r="AY974">
        <f t="shared" si="849"/>
        <v>-0.98690828606996139</v>
      </c>
      <c r="AZ974">
        <f t="shared" si="850"/>
        <v>-2.0714733720306606</v>
      </c>
      <c r="BA974">
        <f t="shared" si="851"/>
        <v>1.6264279562154782</v>
      </c>
      <c r="BB974">
        <f t="shared" si="852"/>
        <v>-1.2337005501361696E-20</v>
      </c>
      <c r="BD974" s="15">
        <f t="shared" si="867"/>
        <v>6.422027932089339</v>
      </c>
      <c r="BE974" s="10">
        <f t="shared" si="868"/>
        <v>0</v>
      </c>
      <c r="BF974">
        <f t="shared" si="869"/>
        <v>0</v>
      </c>
      <c r="BG974">
        <f t="shared" si="870"/>
        <v>0</v>
      </c>
      <c r="BH974">
        <f t="shared" si="871"/>
        <v>0</v>
      </c>
      <c r="BI974">
        <f t="shared" si="872"/>
        <v>0</v>
      </c>
    </row>
    <row r="975" spans="1:61" x14ac:dyDescent="0.3">
      <c r="A975">
        <f t="shared" si="877"/>
        <v>0.93799999999999994</v>
      </c>
      <c r="B975">
        <f t="shared" si="820"/>
        <v>2.9468139090672256</v>
      </c>
      <c r="C975">
        <f t="shared" si="821"/>
        <v>0.19477874452256749</v>
      </c>
      <c r="D975">
        <f t="shared" si="822"/>
        <v>0.19477874452256749</v>
      </c>
      <c r="E975">
        <f t="shared" si="827"/>
        <v>0.19354946805086068</v>
      </c>
      <c r="F975">
        <f t="shared" si="828"/>
        <v>0.19354946805086057</v>
      </c>
      <c r="G975">
        <f t="shared" si="823"/>
        <v>2.9468139090672256</v>
      </c>
      <c r="H975">
        <f t="shared" si="824"/>
        <v>0.19354946805086068</v>
      </c>
      <c r="I975">
        <f t="shared" si="825"/>
        <v>0.19354946805086057</v>
      </c>
      <c r="J975">
        <f t="shared" si="873"/>
        <v>3.2891837873731142E+20</v>
      </c>
      <c r="K975">
        <f t="shared" si="874"/>
        <v>3.2891837873731142E+20</v>
      </c>
      <c r="L975">
        <f t="shared" si="829"/>
        <v>1</v>
      </c>
      <c r="M975">
        <f t="shared" si="826"/>
        <v>1.9477874452256738E-21</v>
      </c>
      <c r="N975" s="9">
        <f t="shared" si="875"/>
        <v>1.9477874452256738E-21</v>
      </c>
      <c r="O975">
        <f t="shared" si="876"/>
        <v>1.9477874452256738E-21</v>
      </c>
      <c r="Q975">
        <f t="shared" si="830"/>
        <v>47.242341304934698</v>
      </c>
      <c r="R975">
        <f t="shared" si="831"/>
        <v>0</v>
      </c>
      <c r="S975">
        <f t="shared" si="853"/>
        <v>-47.687592867968561</v>
      </c>
      <c r="T975" s="9" t="e">
        <f t="shared" si="832"/>
        <v>#N/A</v>
      </c>
      <c r="U975">
        <f t="shared" si="854"/>
        <v>-1.0000000000000001E+300</v>
      </c>
      <c r="V975">
        <f t="shared" si="855"/>
        <v>0</v>
      </c>
      <c r="W975">
        <f t="shared" si="856"/>
        <v>0</v>
      </c>
      <c r="X975">
        <f t="shared" si="833"/>
        <v>0.19477874452256749</v>
      </c>
      <c r="Y975">
        <f t="shared" si="834"/>
        <v>7.8539816339744828</v>
      </c>
      <c r="Z975">
        <f t="shared" si="835"/>
        <v>-0.19477874452256749</v>
      </c>
      <c r="AA975">
        <f t="shared" si="857"/>
        <v>-0.98732164533974798</v>
      </c>
      <c r="AB975">
        <f t="shared" si="836"/>
        <v>6.8666599886347353</v>
      </c>
      <c r="AC975">
        <f t="shared" si="858"/>
        <v>-2.0874737133770984</v>
      </c>
      <c r="AD975">
        <f t="shared" si="837"/>
        <v>1.6422221503432402</v>
      </c>
      <c r="AE975" s="9">
        <f t="shared" si="859"/>
        <v>6.4214084256008768</v>
      </c>
      <c r="AF975">
        <f t="shared" si="860"/>
        <v>5.6857154328019287E-265</v>
      </c>
      <c r="AH975">
        <f t="shared" si="838"/>
        <v>7.8539816339744828</v>
      </c>
      <c r="AI975">
        <f t="shared" si="839"/>
        <v>-0.98732164533974831</v>
      </c>
      <c r="AJ975">
        <f t="shared" si="840"/>
        <v>-2.0874737133771006</v>
      </c>
      <c r="AK975">
        <f t="shared" si="841"/>
        <v>1.6422221503432402</v>
      </c>
      <c r="AL975" s="9">
        <f t="shared" si="861"/>
        <v>6.4214084256008741</v>
      </c>
      <c r="AM975" t="e">
        <f t="shared" si="842"/>
        <v>#N/A</v>
      </c>
      <c r="AN975" t="e">
        <f t="shared" si="862"/>
        <v>#N/A</v>
      </c>
      <c r="AO975">
        <f t="shared" si="843"/>
        <v>0</v>
      </c>
      <c r="AP975">
        <f t="shared" si="844"/>
        <v>0</v>
      </c>
      <c r="AQ975">
        <f t="shared" si="845"/>
        <v>0</v>
      </c>
      <c r="AR975">
        <f t="shared" si="863"/>
        <v>0</v>
      </c>
      <c r="AS975">
        <f t="shared" si="846"/>
        <v>0</v>
      </c>
      <c r="AT975">
        <f t="shared" si="864"/>
        <v>0</v>
      </c>
      <c r="AU975">
        <f t="shared" si="865"/>
        <v>5.6857154328116091E-265</v>
      </c>
      <c r="AV975">
        <f t="shared" si="847"/>
        <v>1.9477874452256749E-21</v>
      </c>
      <c r="AW975" t="b">
        <f t="shared" si="866"/>
        <v>1</v>
      </c>
      <c r="AX975">
        <f t="shared" si="848"/>
        <v>7.8539816339744828</v>
      </c>
      <c r="AY975">
        <f t="shared" si="849"/>
        <v>-0.98732164533974831</v>
      </c>
      <c r="AZ975">
        <f t="shared" si="850"/>
        <v>-2.0874737133770984</v>
      </c>
      <c r="BA975">
        <f t="shared" si="851"/>
        <v>1.6422221503432406</v>
      </c>
      <c r="BB975">
        <f t="shared" si="852"/>
        <v>-1.2337005501361696E-20</v>
      </c>
      <c r="BD975" s="15">
        <f t="shared" si="867"/>
        <v>6.4214084256008768</v>
      </c>
      <c r="BE975" s="10">
        <f t="shared" si="868"/>
        <v>0</v>
      </c>
      <c r="BF975">
        <f t="shared" si="869"/>
        <v>0</v>
      </c>
      <c r="BG975">
        <f t="shared" si="870"/>
        <v>0</v>
      </c>
      <c r="BH975">
        <f t="shared" si="871"/>
        <v>0</v>
      </c>
      <c r="BI975">
        <f t="shared" si="872"/>
        <v>0</v>
      </c>
    </row>
    <row r="976" spans="1:61" x14ac:dyDescent="0.3">
      <c r="A976">
        <f t="shared" si="877"/>
        <v>0.93899999999999995</v>
      </c>
      <c r="B976">
        <f t="shared" si="820"/>
        <v>2.9499555017208157</v>
      </c>
      <c r="C976">
        <f t="shared" si="821"/>
        <v>0.19163715186897745</v>
      </c>
      <c r="D976">
        <f t="shared" si="822"/>
        <v>0.19163715186897745</v>
      </c>
      <c r="E976">
        <f t="shared" si="827"/>
        <v>0.19046633123119008</v>
      </c>
      <c r="F976">
        <f t="shared" si="828"/>
        <v>0.19046633123118994</v>
      </c>
      <c r="G976">
        <f t="shared" si="823"/>
        <v>2.9499555017208157</v>
      </c>
      <c r="H976">
        <f t="shared" si="824"/>
        <v>0.19046633123119008</v>
      </c>
      <c r="I976">
        <f t="shared" si="825"/>
        <v>0.19046633123118994</v>
      </c>
      <c r="J976">
        <f t="shared" si="873"/>
        <v>3.3424268124052095E+20</v>
      </c>
      <c r="K976">
        <f t="shared" si="874"/>
        <v>3.3424268124052095E+20</v>
      </c>
      <c r="L976" t="e">
        <f t="shared" si="829"/>
        <v>#NUM!</v>
      </c>
      <c r="M976">
        <f t="shared" si="826"/>
        <v>1.9163715186897742E-21</v>
      </c>
      <c r="N976" s="9" t="e">
        <f t="shared" si="875"/>
        <v>#NUM!</v>
      </c>
      <c r="O976" t="e">
        <f t="shared" si="876"/>
        <v>#NUM!</v>
      </c>
      <c r="Q976">
        <f t="shared" si="830"/>
        <v>47.258398993570893</v>
      </c>
      <c r="R976">
        <f t="shared" si="831"/>
        <v>0</v>
      </c>
      <c r="S976">
        <f t="shared" si="853"/>
        <v>-47.703853388840336</v>
      </c>
      <c r="T976" s="9" t="e">
        <f t="shared" si="832"/>
        <v>#N/A</v>
      </c>
      <c r="U976">
        <f t="shared" si="854"/>
        <v>-1.0000000000000001E+300</v>
      </c>
      <c r="V976">
        <f t="shared" si="855"/>
        <v>0</v>
      </c>
      <c r="W976">
        <f t="shared" si="856"/>
        <v>0</v>
      </c>
      <c r="X976">
        <f t="shared" si="833"/>
        <v>0.19163715186897745</v>
      </c>
      <c r="Y976">
        <f t="shared" si="834"/>
        <v>7.8539816339744828</v>
      </c>
      <c r="Z976">
        <f t="shared" si="835"/>
        <v>-0.19163715186897745</v>
      </c>
      <c r="AA976">
        <f t="shared" si="857"/>
        <v>-0.98772832410950384</v>
      </c>
      <c r="AB976">
        <f t="shared" si="836"/>
        <v>6.8662533098649785</v>
      </c>
      <c r="AC976">
        <f t="shared" si="858"/>
        <v>-2.1037342342488801</v>
      </c>
      <c r="AD976">
        <f t="shared" si="837"/>
        <v>1.6582798389794331</v>
      </c>
      <c r="AE976" s="9">
        <f t="shared" si="859"/>
        <v>6.4207989145955313</v>
      </c>
      <c r="AF976">
        <f t="shared" si="860"/>
        <v>8.2647739654171345E-265</v>
      </c>
      <c r="AH976">
        <f t="shared" si="838"/>
        <v>7.8539816339744828</v>
      </c>
      <c r="AI976">
        <f t="shared" si="839"/>
        <v>-0.98772832410950206</v>
      </c>
      <c r="AJ976">
        <f t="shared" si="840"/>
        <v>-2.1037342342488756</v>
      </c>
      <c r="AK976">
        <f t="shared" si="841"/>
        <v>1.6582798389794331</v>
      </c>
      <c r="AL976" s="9">
        <f t="shared" si="861"/>
        <v>6.4207989145955375</v>
      </c>
      <c r="AM976" t="e">
        <f t="shared" si="842"/>
        <v>#N/A</v>
      </c>
      <c r="AN976" t="e">
        <f t="shared" si="862"/>
        <v>#N/A</v>
      </c>
      <c r="AO976">
        <f t="shared" si="843"/>
        <v>0</v>
      </c>
      <c r="AP976">
        <f t="shared" si="844"/>
        <v>1.7763568394002505E-15</v>
      </c>
      <c r="AQ976">
        <f t="shared" si="845"/>
        <v>4.4408920985006262E-15</v>
      </c>
      <c r="AR976">
        <f t="shared" si="863"/>
        <v>-1.798426547099118E-15</v>
      </c>
      <c r="AS976">
        <f t="shared" si="846"/>
        <v>0</v>
      </c>
      <c r="AT976">
        <f t="shared" si="864"/>
        <v>0</v>
      </c>
      <c r="AU976">
        <f t="shared" si="865"/>
        <v>8.2647739653852406E-265</v>
      </c>
      <c r="AV976">
        <f t="shared" si="847"/>
        <v>1.9163715186897746E-21</v>
      </c>
      <c r="AW976" t="b">
        <f t="shared" si="866"/>
        <v>1</v>
      </c>
      <c r="AX976">
        <f t="shared" si="848"/>
        <v>7.8539816339744828</v>
      </c>
      <c r="AY976">
        <f t="shared" si="849"/>
        <v>-0.98772832410950429</v>
      </c>
      <c r="AZ976">
        <f t="shared" si="850"/>
        <v>-2.1037342342488801</v>
      </c>
      <c r="BA976">
        <f t="shared" si="851"/>
        <v>1.6582798389794338</v>
      </c>
      <c r="BB976">
        <f t="shared" si="852"/>
        <v>-1.2337005501361696E-20</v>
      </c>
      <c r="BD976" s="15">
        <f t="shared" si="867"/>
        <v>6.4207989145955322</v>
      </c>
      <c r="BE976" s="10">
        <f t="shared" si="868"/>
        <v>0</v>
      </c>
      <c r="BF976">
        <f t="shared" si="869"/>
        <v>0</v>
      </c>
      <c r="BG976">
        <f t="shared" si="870"/>
        <v>0</v>
      </c>
      <c r="BH976">
        <f t="shared" si="871"/>
        <v>0</v>
      </c>
      <c r="BI976">
        <f t="shared" si="872"/>
        <v>0</v>
      </c>
    </row>
    <row r="977" spans="1:61" x14ac:dyDescent="0.3">
      <c r="A977">
        <f t="shared" si="877"/>
        <v>0.94</v>
      </c>
      <c r="B977">
        <f t="shared" si="820"/>
        <v>2.9530970943744053</v>
      </c>
      <c r="C977">
        <f t="shared" si="821"/>
        <v>0.18849555921538785</v>
      </c>
      <c r="D977">
        <f t="shared" si="822"/>
        <v>0.18849555921538785</v>
      </c>
      <c r="E977">
        <f t="shared" si="827"/>
        <v>0.18738131458572502</v>
      </c>
      <c r="F977">
        <f t="shared" si="828"/>
        <v>0.18738131458572488</v>
      </c>
      <c r="G977">
        <f t="shared" si="823"/>
        <v>2.9530970943744053</v>
      </c>
      <c r="H977">
        <f t="shared" si="824"/>
        <v>0.18738131458572502</v>
      </c>
      <c r="I977">
        <f t="shared" si="825"/>
        <v>0.18738131458572488</v>
      </c>
      <c r="J977">
        <f t="shared" si="873"/>
        <v>3.3974560044850918E+20</v>
      </c>
      <c r="K977">
        <f t="shared" si="874"/>
        <v>3.3974560044850918E+20</v>
      </c>
      <c r="L977">
        <f t="shared" si="829"/>
        <v>0</v>
      </c>
      <c r="M977">
        <f t="shared" si="826"/>
        <v>1.8849555921538806E-21</v>
      </c>
      <c r="N977" s="9">
        <f t="shared" si="875"/>
        <v>0</v>
      </c>
      <c r="O977">
        <f t="shared" si="876"/>
        <v>0</v>
      </c>
      <c r="Q977">
        <f t="shared" si="830"/>
        <v>47.274728777461306</v>
      </c>
      <c r="R977">
        <f t="shared" si="831"/>
        <v>0</v>
      </c>
      <c r="S977">
        <f t="shared" si="853"/>
        <v>-47.720382690791546</v>
      </c>
      <c r="T977" s="9" t="e">
        <f t="shared" si="832"/>
        <v>#N/A</v>
      </c>
      <c r="U977">
        <f t="shared" si="854"/>
        <v>-1.0000000000000001E+300</v>
      </c>
      <c r="V977">
        <f t="shared" si="855"/>
        <v>0</v>
      </c>
      <c r="W977">
        <f t="shared" si="856"/>
        <v>0</v>
      </c>
      <c r="X977">
        <f t="shared" si="833"/>
        <v>0.18849555921538785</v>
      </c>
      <c r="Y977">
        <f t="shared" si="834"/>
        <v>7.8539816339744828</v>
      </c>
      <c r="Z977">
        <f t="shared" si="835"/>
        <v>-0.18849555921538785</v>
      </c>
      <c r="AA977">
        <f t="shared" si="857"/>
        <v>-0.98812832563165098</v>
      </c>
      <c r="AB977">
        <f t="shared" si="836"/>
        <v>6.8658533083428317</v>
      </c>
      <c r="AC977">
        <f t="shared" si="858"/>
        <v>-2.1202635362000897</v>
      </c>
      <c r="AD977">
        <f t="shared" si="837"/>
        <v>1.6746096228698446</v>
      </c>
      <c r="AE977" s="9">
        <f t="shared" si="859"/>
        <v>6.4201993950125864</v>
      </c>
      <c r="AF977">
        <f t="shared" si="860"/>
        <v>1.1937605548426352E-264</v>
      </c>
      <c r="AH977">
        <f t="shared" si="838"/>
        <v>7.8539816339744828</v>
      </c>
      <c r="AI977">
        <f t="shared" si="839"/>
        <v>-0.98812832563165331</v>
      </c>
      <c r="AJ977">
        <f t="shared" si="840"/>
        <v>-2.1202635362000848</v>
      </c>
      <c r="AK977">
        <f t="shared" si="841"/>
        <v>1.6746096228698446</v>
      </c>
      <c r="AL977" s="9">
        <f t="shared" si="861"/>
        <v>6.42019939501259</v>
      </c>
      <c r="AM977" t="e">
        <f t="shared" si="842"/>
        <v>#N/A</v>
      </c>
      <c r="AN977" t="e">
        <f t="shared" si="862"/>
        <v>#N/A</v>
      </c>
      <c r="AO977">
        <f t="shared" si="843"/>
        <v>0</v>
      </c>
      <c r="AP977">
        <f t="shared" si="844"/>
        <v>-2.3314683517128287E-15</v>
      </c>
      <c r="AQ977">
        <f t="shared" si="845"/>
        <v>4.8849813083506888E-15</v>
      </c>
      <c r="AR977">
        <f t="shared" si="863"/>
        <v>2.3594793219012885E-15</v>
      </c>
      <c r="AS977">
        <f t="shared" si="846"/>
        <v>0</v>
      </c>
      <c r="AT977">
        <f t="shared" si="864"/>
        <v>0</v>
      </c>
      <c r="AU977">
        <f t="shared" si="865"/>
        <v>1.1937605548399252E-264</v>
      </c>
      <c r="AV977">
        <f t="shared" si="847"/>
        <v>1.8849555921538783E-21</v>
      </c>
      <c r="AW977" t="b">
        <f t="shared" si="866"/>
        <v>1</v>
      </c>
      <c r="AX977">
        <f t="shared" si="848"/>
        <v>7.8539816339744828</v>
      </c>
      <c r="AY977">
        <f t="shared" si="849"/>
        <v>-0.98812832563165132</v>
      </c>
      <c r="AZ977">
        <f t="shared" si="850"/>
        <v>-2.1202635362000897</v>
      </c>
      <c r="BA977">
        <f t="shared" si="851"/>
        <v>1.6746096228698453</v>
      </c>
      <c r="BB977">
        <f t="shared" si="852"/>
        <v>-1.2337005501361696E-20</v>
      </c>
      <c r="BD977" s="15">
        <f t="shared" si="867"/>
        <v>6.4201993950125864</v>
      </c>
      <c r="BE977" s="10">
        <f t="shared" si="868"/>
        <v>0</v>
      </c>
      <c r="BF977">
        <f t="shared" si="869"/>
        <v>0</v>
      </c>
      <c r="BG977">
        <f t="shared" si="870"/>
        <v>0</v>
      </c>
      <c r="BH977">
        <f t="shared" si="871"/>
        <v>0</v>
      </c>
      <c r="BI977">
        <f t="shared" si="872"/>
        <v>0</v>
      </c>
    </row>
    <row r="978" spans="1:61" x14ac:dyDescent="0.3">
      <c r="A978">
        <f t="shared" si="877"/>
        <v>0.94099999999999995</v>
      </c>
      <c r="B978">
        <f t="shared" si="820"/>
        <v>2.9562386870279953</v>
      </c>
      <c r="C978">
        <f t="shared" si="821"/>
        <v>0.18535396656179781</v>
      </c>
      <c r="D978">
        <f t="shared" si="822"/>
        <v>0.18535396656179781</v>
      </c>
      <c r="E978">
        <f t="shared" si="827"/>
        <v>0.18429444856233343</v>
      </c>
      <c r="F978">
        <f t="shared" si="828"/>
        <v>0.18429444856233332</v>
      </c>
      <c r="G978">
        <f t="shared" si="823"/>
        <v>2.9562386870279953</v>
      </c>
      <c r="H978">
        <f t="shared" si="824"/>
        <v>0.18429444856233343</v>
      </c>
      <c r="I978">
        <f t="shared" si="825"/>
        <v>0.18429444856233332</v>
      </c>
      <c r="J978">
        <f t="shared" si="873"/>
        <v>3.4543621760384126E+20</v>
      </c>
      <c r="K978">
        <f t="shared" si="874"/>
        <v>3.4543621760384126E+20</v>
      </c>
      <c r="L978">
        <f t="shared" si="829"/>
        <v>1</v>
      </c>
      <c r="M978">
        <f t="shared" si="826"/>
        <v>1.853539665617981E-21</v>
      </c>
      <c r="N978" s="9">
        <f t="shared" si="875"/>
        <v>1.853539665617981E-21</v>
      </c>
      <c r="O978">
        <f t="shared" si="876"/>
        <v>1.853539665617981E-21</v>
      </c>
      <c r="Q978">
        <f t="shared" si="830"/>
        <v>47.29133969109683</v>
      </c>
      <c r="R978">
        <f t="shared" si="831"/>
        <v>0</v>
      </c>
      <c r="S978">
        <f t="shared" si="853"/>
        <v>-47.737189809107932</v>
      </c>
      <c r="T978" s="9" t="e">
        <f t="shared" si="832"/>
        <v>#N/A</v>
      </c>
      <c r="U978">
        <f t="shared" si="854"/>
        <v>-1.0000000000000001E+300</v>
      </c>
      <c r="V978">
        <f t="shared" si="855"/>
        <v>0</v>
      </c>
      <c r="W978">
        <f t="shared" si="856"/>
        <v>0</v>
      </c>
      <c r="X978">
        <f t="shared" si="833"/>
        <v>0.18535396656179781</v>
      </c>
      <c r="Y978">
        <f t="shared" si="834"/>
        <v>7.8539816339744828</v>
      </c>
      <c r="Z978">
        <f t="shared" si="835"/>
        <v>-0.18535396656179781</v>
      </c>
      <c r="AA978">
        <f t="shared" si="857"/>
        <v>-0.98852165310388762</v>
      </c>
      <c r="AB978">
        <f t="shared" si="836"/>
        <v>6.8654599808705949</v>
      </c>
      <c r="AC978">
        <f t="shared" si="858"/>
        <v>-2.1370706545164722</v>
      </c>
      <c r="AD978">
        <f t="shared" si="837"/>
        <v>1.6912205365053705</v>
      </c>
      <c r="AE978" s="9">
        <f t="shared" si="859"/>
        <v>6.4196098628594926</v>
      </c>
      <c r="AF978">
        <f t="shared" si="860"/>
        <v>1.7133645067542571E-264</v>
      </c>
      <c r="AH978">
        <f t="shared" si="838"/>
        <v>7.8539816339744828</v>
      </c>
      <c r="AI978">
        <f t="shared" si="839"/>
        <v>-0.98852165310388851</v>
      </c>
      <c r="AJ978">
        <f t="shared" si="840"/>
        <v>-2.1370706545164708</v>
      </c>
      <c r="AK978">
        <f t="shared" si="841"/>
        <v>1.6912205365053705</v>
      </c>
      <c r="AL978" s="9">
        <f t="shared" si="861"/>
        <v>6.4196098628594935</v>
      </c>
      <c r="AM978" t="e">
        <f t="shared" si="842"/>
        <v>#N/A</v>
      </c>
      <c r="AN978" t="e">
        <f t="shared" si="862"/>
        <v>#N/A</v>
      </c>
      <c r="AO978">
        <f t="shared" si="843"/>
        <v>0</v>
      </c>
      <c r="AP978">
        <f t="shared" si="844"/>
        <v>-8.8817841970012523E-16</v>
      </c>
      <c r="AQ978">
        <f t="shared" si="845"/>
        <v>0</v>
      </c>
      <c r="AR978">
        <f t="shared" si="863"/>
        <v>8.9849161817680719E-16</v>
      </c>
      <c r="AS978">
        <f t="shared" si="846"/>
        <v>0</v>
      </c>
      <c r="AT978">
        <f t="shared" si="864"/>
        <v>0</v>
      </c>
      <c r="AU978">
        <f t="shared" si="865"/>
        <v>1.7133645067532846E-264</v>
      </c>
      <c r="AV978">
        <f t="shared" si="847"/>
        <v>1.853539665617978E-21</v>
      </c>
      <c r="AW978" t="b">
        <f t="shared" si="866"/>
        <v>1</v>
      </c>
      <c r="AX978">
        <f t="shared" si="848"/>
        <v>7.8539816339744828</v>
      </c>
      <c r="AY978">
        <f t="shared" si="849"/>
        <v>-0.98852165310388795</v>
      </c>
      <c r="AZ978">
        <f t="shared" si="850"/>
        <v>-2.1370706545164722</v>
      </c>
      <c r="BA978">
        <f t="shared" si="851"/>
        <v>1.6912205365053712</v>
      </c>
      <c r="BB978">
        <f t="shared" si="852"/>
        <v>-1.2337005501361696E-20</v>
      </c>
      <c r="BD978" s="15">
        <f t="shared" si="867"/>
        <v>6.4196098628594935</v>
      </c>
      <c r="BE978" s="10">
        <f t="shared" si="868"/>
        <v>0</v>
      </c>
      <c r="BF978">
        <f t="shared" si="869"/>
        <v>0</v>
      </c>
      <c r="BG978">
        <f t="shared" si="870"/>
        <v>0</v>
      </c>
      <c r="BH978">
        <f t="shared" si="871"/>
        <v>0</v>
      </c>
      <c r="BI978">
        <f t="shared" si="872"/>
        <v>0</v>
      </c>
    </row>
    <row r="979" spans="1:61" x14ac:dyDescent="0.3">
      <c r="A979">
        <f t="shared" si="877"/>
        <v>0.94199999999999995</v>
      </c>
      <c r="B979">
        <f t="shared" si="820"/>
        <v>2.9593802796815849</v>
      </c>
      <c r="C979">
        <f t="shared" si="821"/>
        <v>0.18221237390820821</v>
      </c>
      <c r="D979">
        <f t="shared" si="822"/>
        <v>0.18221237390820821</v>
      </c>
      <c r="E979">
        <f t="shared" si="827"/>
        <v>0.18120576362713767</v>
      </c>
      <c r="F979">
        <f t="shared" si="828"/>
        <v>0.18120576362713756</v>
      </c>
      <c r="G979">
        <f t="shared" si="823"/>
        <v>2.9593802796815849</v>
      </c>
      <c r="H979">
        <f t="shared" si="824"/>
        <v>0.18120576362713767</v>
      </c>
      <c r="I979">
        <f t="shared" si="825"/>
        <v>0.18120576362713756</v>
      </c>
      <c r="J979">
        <f t="shared" si="873"/>
        <v>3.5132424025845957E+20</v>
      </c>
      <c r="K979">
        <f t="shared" si="874"/>
        <v>3.5132424025845957E+20</v>
      </c>
      <c r="L979">
        <f t="shared" si="829"/>
        <v>1</v>
      </c>
      <c r="M979">
        <f t="shared" si="826"/>
        <v>1.8221237390820814E-21</v>
      </c>
      <c r="N979" s="9">
        <f t="shared" si="875"/>
        <v>1.8221237390820814E-21</v>
      </c>
      <c r="O979">
        <f t="shared" si="876"/>
        <v>1.8221237390820814E-21</v>
      </c>
      <c r="Q979">
        <f t="shared" si="830"/>
        <v>47.308241232373796</v>
      </c>
      <c r="R979">
        <f t="shared" si="831"/>
        <v>-710542.73576010019</v>
      </c>
      <c r="S979">
        <f t="shared" si="853"/>
        <v>-47.754284242467229</v>
      </c>
      <c r="T979" s="9" t="e">
        <f t="shared" si="832"/>
        <v>#N/A</v>
      </c>
      <c r="U979">
        <f t="shared" si="854"/>
        <v>-1.0000000000000001E+300</v>
      </c>
      <c r="V979">
        <f t="shared" si="855"/>
        <v>0</v>
      </c>
      <c r="W979">
        <f t="shared" si="856"/>
        <v>0</v>
      </c>
      <c r="X979">
        <f t="shared" si="833"/>
        <v>0.18221237390820821</v>
      </c>
      <c r="Y979">
        <f t="shared" si="834"/>
        <v>7.8539816339744828</v>
      </c>
      <c r="Z979">
        <f t="shared" si="835"/>
        <v>-0.18221237390820821</v>
      </c>
      <c r="AA979">
        <f t="shared" si="857"/>
        <v>-0.98890830966927845</v>
      </c>
      <c r="AB979">
        <f t="shared" si="836"/>
        <v>6.8650733243052047</v>
      </c>
      <c r="AC979">
        <f t="shared" si="858"/>
        <v>-2.1541650878757714</v>
      </c>
      <c r="AD979">
        <f t="shared" si="837"/>
        <v>1.7081220777823387</v>
      </c>
      <c r="AE979" s="9">
        <f t="shared" si="859"/>
        <v>6.4190303142117724</v>
      </c>
      <c r="AF979">
        <f t="shared" si="860"/>
        <v>2.4436241761632726E-264</v>
      </c>
      <c r="AH979">
        <f t="shared" si="838"/>
        <v>7.8539816339744828</v>
      </c>
      <c r="AI979">
        <f t="shared" si="839"/>
        <v>-0.98890830966927734</v>
      </c>
      <c r="AJ979">
        <f t="shared" si="840"/>
        <v>-2.1541650878757679</v>
      </c>
      <c r="AK979">
        <f t="shared" si="841"/>
        <v>1.7081220777823387</v>
      </c>
      <c r="AL979" s="9">
        <f t="shared" si="861"/>
        <v>6.4190303142117759</v>
      </c>
      <c r="AM979" t="e">
        <f t="shared" si="842"/>
        <v>#N/A</v>
      </c>
      <c r="AN979" t="e">
        <f t="shared" si="862"/>
        <v>#N/A</v>
      </c>
      <c r="AO979">
        <f t="shared" si="843"/>
        <v>0</v>
      </c>
      <c r="AP979">
        <f t="shared" si="844"/>
        <v>1.1102230246251565E-15</v>
      </c>
      <c r="AQ979">
        <f t="shared" si="845"/>
        <v>3.5527136788005009E-15</v>
      </c>
      <c r="AR979">
        <f t="shared" si="863"/>
        <v>-1.1226753924197994E-15</v>
      </c>
      <c r="AS979">
        <f t="shared" si="846"/>
        <v>0</v>
      </c>
      <c r="AT979">
        <f t="shared" si="864"/>
        <v>0</v>
      </c>
      <c r="AU979">
        <f t="shared" si="865"/>
        <v>2.4436241761580034E-264</v>
      </c>
      <c r="AV979">
        <f t="shared" si="847"/>
        <v>1.8221237390820821E-21</v>
      </c>
      <c r="AW979" t="b">
        <f t="shared" si="866"/>
        <v>1</v>
      </c>
      <c r="AX979">
        <f t="shared" si="848"/>
        <v>7.8539816339744828</v>
      </c>
      <c r="AY979">
        <f t="shared" si="849"/>
        <v>-0.98890830966927878</v>
      </c>
      <c r="AZ979">
        <f t="shared" si="850"/>
        <v>-2.154165087875771</v>
      </c>
      <c r="BA979">
        <f t="shared" si="851"/>
        <v>1.7081220777823392</v>
      </c>
      <c r="BB979">
        <f t="shared" si="852"/>
        <v>-1.2337005501361696E-20</v>
      </c>
      <c r="BD979" s="15">
        <f t="shared" si="867"/>
        <v>6.4190303142117715</v>
      </c>
      <c r="BE979" s="10">
        <f t="shared" si="868"/>
        <v>0</v>
      </c>
      <c r="BF979">
        <f t="shared" si="869"/>
        <v>0</v>
      </c>
      <c r="BG979">
        <f t="shared" si="870"/>
        <v>0</v>
      </c>
      <c r="BH979">
        <f t="shared" si="871"/>
        <v>0</v>
      </c>
      <c r="BI979">
        <f t="shared" si="872"/>
        <v>0</v>
      </c>
    </row>
    <row r="980" spans="1:61" x14ac:dyDescent="0.3">
      <c r="A980">
        <f t="shared" si="877"/>
        <v>0.94299999999999995</v>
      </c>
      <c r="B980">
        <f t="shared" si="820"/>
        <v>2.9625218723351749</v>
      </c>
      <c r="C980">
        <f t="shared" si="821"/>
        <v>0.17907078125461817</v>
      </c>
      <c r="D980">
        <f t="shared" si="822"/>
        <v>0.17907078125461817</v>
      </c>
      <c r="E980">
        <f t="shared" si="827"/>
        <v>0.17811529026421022</v>
      </c>
      <c r="F980">
        <f t="shared" si="828"/>
        <v>0.17811529026421008</v>
      </c>
      <c r="G980">
        <f t="shared" si="823"/>
        <v>2.9625218723351749</v>
      </c>
      <c r="H980">
        <f t="shared" si="824"/>
        <v>0.17811529026421022</v>
      </c>
      <c r="I980">
        <f t="shared" si="825"/>
        <v>0.17811529026421008</v>
      </c>
      <c r="J980">
        <f t="shared" si="873"/>
        <v>3.5742005721307873E+20</v>
      </c>
      <c r="K980">
        <f t="shared" si="874"/>
        <v>3.5742005721307873E+20</v>
      </c>
      <c r="L980">
        <f t="shared" si="829"/>
        <v>1</v>
      </c>
      <c r="M980">
        <f t="shared" si="826"/>
        <v>1.7907078125461818E-21</v>
      </c>
      <c r="N980" s="9">
        <f t="shared" si="875"/>
        <v>1.7907078125461818E-21</v>
      </c>
      <c r="O980">
        <f t="shared" si="876"/>
        <v>1.7907078125461818E-21</v>
      </c>
      <c r="Q980">
        <f t="shared" si="830"/>
        <v>47.325443394833862</v>
      </c>
      <c r="R980">
        <f t="shared" si="831"/>
        <v>-710542.73576010019</v>
      </c>
      <c r="S980">
        <f t="shared" si="853"/>
        <v>-47.771675985179101</v>
      </c>
      <c r="T980" s="9" t="e">
        <f t="shared" si="832"/>
        <v>#N/A</v>
      </c>
      <c r="U980">
        <f t="shared" si="854"/>
        <v>-1.0000000000000001E+300</v>
      </c>
      <c r="V980">
        <f t="shared" si="855"/>
        <v>0</v>
      </c>
      <c r="W980">
        <f t="shared" si="856"/>
        <v>0</v>
      </c>
      <c r="X980">
        <f t="shared" si="833"/>
        <v>0.17907078125461817</v>
      </c>
      <c r="Y980">
        <f t="shared" si="834"/>
        <v>7.8539816339744828</v>
      </c>
      <c r="Z980">
        <f t="shared" si="835"/>
        <v>-0.17907078125461817</v>
      </c>
      <c r="AA980">
        <f t="shared" si="857"/>
        <v>-0.98928829841634569</v>
      </c>
      <c r="AB980">
        <f t="shared" si="836"/>
        <v>6.8646933355581368</v>
      </c>
      <c r="AC980">
        <f t="shared" si="858"/>
        <v>-2.1715568305876416</v>
      </c>
      <c r="AD980">
        <f t="shared" si="837"/>
        <v>1.7253242402424058</v>
      </c>
      <c r="AE980" s="9">
        <f t="shared" si="859"/>
        <v>6.4184607452129008</v>
      </c>
      <c r="AF980">
        <f t="shared" si="860"/>
        <v>3.4631943837449971E-264</v>
      </c>
      <c r="AH980">
        <f t="shared" si="838"/>
        <v>7.8539816339744828</v>
      </c>
      <c r="AI980">
        <f t="shared" si="839"/>
        <v>-0.9892882984163468</v>
      </c>
      <c r="AJ980">
        <f t="shared" si="840"/>
        <v>-2.1715568305876403</v>
      </c>
      <c r="AK980">
        <f t="shared" si="841"/>
        <v>1.7253242402424058</v>
      </c>
      <c r="AL980" s="9">
        <f t="shared" si="861"/>
        <v>6.4184607452129017</v>
      </c>
      <c r="AM980" t="e">
        <f t="shared" si="842"/>
        <v>#N/A</v>
      </c>
      <c r="AN980" t="e">
        <f t="shared" si="862"/>
        <v>#N/A</v>
      </c>
      <c r="AO980">
        <f t="shared" si="843"/>
        <v>0</v>
      </c>
      <c r="AP980">
        <f t="shared" si="844"/>
        <v>-1.1102230246251565E-15</v>
      </c>
      <c r="AQ980">
        <f t="shared" si="845"/>
        <v>0</v>
      </c>
      <c r="AR980">
        <f t="shared" si="863"/>
        <v>1.1222441692703756E-15</v>
      </c>
      <c r="AS980">
        <f t="shared" si="846"/>
        <v>0</v>
      </c>
      <c r="AT980">
        <f t="shared" si="864"/>
        <v>0</v>
      </c>
      <c r="AU980">
        <f t="shared" si="865"/>
        <v>3.4631943837430319E-264</v>
      </c>
      <c r="AV980">
        <f t="shared" si="847"/>
        <v>1.7907078125461818E-21</v>
      </c>
      <c r="AW980" t="b">
        <f t="shared" si="866"/>
        <v>1</v>
      </c>
      <c r="AX980">
        <f t="shared" si="848"/>
        <v>7.8539816339744828</v>
      </c>
      <c r="AY980">
        <f t="shared" si="849"/>
        <v>-0.98928829841634602</v>
      </c>
      <c r="AZ980">
        <f t="shared" si="850"/>
        <v>-2.1715568305876416</v>
      </c>
      <c r="BA980">
        <f t="shared" si="851"/>
        <v>1.7253242402424067</v>
      </c>
      <c r="BB980">
        <f t="shared" si="852"/>
        <v>-1.2337005501361696E-20</v>
      </c>
      <c r="BD980" s="15">
        <f t="shared" si="867"/>
        <v>6.4184607452129017</v>
      </c>
      <c r="BE980" s="10">
        <f t="shared" si="868"/>
        <v>0</v>
      </c>
      <c r="BF980">
        <f t="shared" si="869"/>
        <v>0</v>
      </c>
      <c r="BG980">
        <f t="shared" si="870"/>
        <v>0</v>
      </c>
      <c r="BH980">
        <f t="shared" si="871"/>
        <v>0</v>
      </c>
      <c r="BI980">
        <f t="shared" si="872"/>
        <v>0</v>
      </c>
    </row>
    <row r="981" spans="1:61" x14ac:dyDescent="0.3">
      <c r="A981">
        <f t="shared" si="877"/>
        <v>0.94399999999999995</v>
      </c>
      <c r="B981">
        <f t="shared" si="820"/>
        <v>2.9656634649887645</v>
      </c>
      <c r="C981">
        <f t="shared" si="821"/>
        <v>0.17592918860102857</v>
      </c>
      <c r="D981">
        <f t="shared" si="822"/>
        <v>0.17592918860102857</v>
      </c>
      <c r="E981">
        <f t="shared" si="827"/>
        <v>0.17502305897527631</v>
      </c>
      <c r="F981">
        <f t="shared" si="828"/>
        <v>0.1750230589752762</v>
      </c>
      <c r="G981">
        <f t="shared" si="823"/>
        <v>2.9656634649887645</v>
      </c>
      <c r="H981">
        <f t="shared" si="824"/>
        <v>0.17502305897527631</v>
      </c>
      <c r="I981">
        <f t="shared" si="825"/>
        <v>0.1750230589752762</v>
      </c>
      <c r="J981">
        <f t="shared" si="873"/>
        <v>3.6373479934293121E+20</v>
      </c>
      <c r="K981">
        <f t="shared" si="874"/>
        <v>3.6373479934293121E+20</v>
      </c>
      <c r="L981">
        <f t="shared" si="829"/>
        <v>1</v>
      </c>
      <c r="M981">
        <f t="shared" si="826"/>
        <v>1.7592918860102882E-21</v>
      </c>
      <c r="N981" s="9">
        <f t="shared" si="875"/>
        <v>1.7592918860102882E-21</v>
      </c>
      <c r="O981">
        <f t="shared" si="876"/>
        <v>1.7592918860102882E-21</v>
      </c>
      <c r="Q981">
        <f t="shared" si="830"/>
        <v>47.342956702757398</v>
      </c>
      <c r="R981">
        <f t="shared" si="831"/>
        <v>0</v>
      </c>
      <c r="S981">
        <f t="shared" si="853"/>
        <v>-47.789375562278501</v>
      </c>
      <c r="T981" s="9" t="e">
        <f t="shared" si="832"/>
        <v>#N/A</v>
      </c>
      <c r="U981">
        <f t="shared" si="854"/>
        <v>-1.0000000000000001E+300</v>
      </c>
      <c r="V981">
        <f t="shared" si="855"/>
        <v>0</v>
      </c>
      <c r="W981">
        <f t="shared" si="856"/>
        <v>0</v>
      </c>
      <c r="X981">
        <f t="shared" si="833"/>
        <v>0.17592918860102857</v>
      </c>
      <c r="Y981">
        <f t="shared" si="834"/>
        <v>7.8539816339744828</v>
      </c>
      <c r="Z981">
        <f t="shared" si="835"/>
        <v>-0.17592918860102857</v>
      </c>
      <c r="AA981">
        <f t="shared" si="857"/>
        <v>-0.98966162237915689</v>
      </c>
      <c r="AB981">
        <f t="shared" si="836"/>
        <v>6.8643200115953258</v>
      </c>
      <c r="AC981">
        <f t="shared" si="858"/>
        <v>-2.1892564076870418</v>
      </c>
      <c r="AD981">
        <f t="shared" si="837"/>
        <v>1.7428375481659362</v>
      </c>
      <c r="AE981" s="9">
        <f t="shared" si="859"/>
        <v>6.4179011520742204</v>
      </c>
      <c r="AF981">
        <f t="shared" si="860"/>
        <v>4.8773366055923341E-264</v>
      </c>
      <c r="AH981">
        <f t="shared" si="838"/>
        <v>7.8539816339744828</v>
      </c>
      <c r="AI981">
        <f t="shared" si="839"/>
        <v>-0.98966162237915889</v>
      </c>
      <c r="AJ981">
        <f t="shared" si="840"/>
        <v>-2.18925640768704</v>
      </c>
      <c r="AK981">
        <f t="shared" si="841"/>
        <v>1.7428375481659362</v>
      </c>
      <c r="AL981" s="9">
        <f t="shared" si="861"/>
        <v>6.4179011520742204</v>
      </c>
      <c r="AM981" t="e">
        <f t="shared" si="842"/>
        <v>#N/A</v>
      </c>
      <c r="AN981" t="e">
        <f t="shared" si="862"/>
        <v>#N/A</v>
      </c>
      <c r="AO981">
        <f t="shared" si="843"/>
        <v>0</v>
      </c>
      <c r="AP981">
        <f t="shared" si="844"/>
        <v>-1.9984014443252818E-15</v>
      </c>
      <c r="AQ981">
        <f t="shared" si="845"/>
        <v>0</v>
      </c>
      <c r="AR981">
        <f t="shared" si="863"/>
        <v>2.0192774976169123E-15</v>
      </c>
      <c r="AS981">
        <f t="shared" si="846"/>
        <v>0</v>
      </c>
      <c r="AT981">
        <f t="shared" si="864"/>
        <v>0</v>
      </c>
      <c r="AU981">
        <f t="shared" si="865"/>
        <v>4.8773366055923341E-264</v>
      </c>
      <c r="AV981">
        <f t="shared" si="847"/>
        <v>1.7592918860102855E-21</v>
      </c>
      <c r="AW981" t="b">
        <f t="shared" si="866"/>
        <v>1</v>
      </c>
      <c r="AX981">
        <f t="shared" si="848"/>
        <v>7.8539816339744828</v>
      </c>
      <c r="AY981">
        <f t="shared" si="849"/>
        <v>-0.98966162237915711</v>
      </c>
      <c r="AZ981">
        <f t="shared" si="850"/>
        <v>-2.1892564076870418</v>
      </c>
      <c r="BA981">
        <f t="shared" si="851"/>
        <v>1.7428375481659368</v>
      </c>
      <c r="BB981">
        <f t="shared" si="852"/>
        <v>-1.2337005501361696E-20</v>
      </c>
      <c r="BD981" s="15">
        <f t="shared" si="867"/>
        <v>6.4179011520742204</v>
      </c>
      <c r="BE981" s="10">
        <f t="shared" si="868"/>
        <v>0</v>
      </c>
      <c r="BF981">
        <f t="shared" si="869"/>
        <v>0</v>
      </c>
      <c r="BG981">
        <f t="shared" si="870"/>
        <v>0</v>
      </c>
      <c r="BH981">
        <f t="shared" si="871"/>
        <v>0</v>
      </c>
      <c r="BI981">
        <f t="shared" si="872"/>
        <v>0</v>
      </c>
    </row>
    <row r="982" spans="1:61" x14ac:dyDescent="0.3">
      <c r="A982">
        <f t="shared" si="877"/>
        <v>0.94499999999999995</v>
      </c>
      <c r="B982">
        <f t="shared" si="820"/>
        <v>2.9688050576423541</v>
      </c>
      <c r="C982">
        <f t="shared" si="821"/>
        <v>0.17278759594743898</v>
      </c>
      <c r="D982">
        <f t="shared" si="822"/>
        <v>0.17278759594743898</v>
      </c>
      <c r="E982">
        <f t="shared" si="827"/>
        <v>0.17192910027941002</v>
      </c>
      <c r="F982">
        <f t="shared" si="828"/>
        <v>0.17192910027940989</v>
      </c>
      <c r="G982">
        <f t="shared" si="823"/>
        <v>2.9688050576423541</v>
      </c>
      <c r="H982">
        <f t="shared" si="824"/>
        <v>0.17192910027941002</v>
      </c>
      <c r="I982">
        <f t="shared" si="825"/>
        <v>0.17192910027940989</v>
      </c>
      <c r="J982">
        <f t="shared" si="873"/>
        <v>3.7028040705906147E+20</v>
      </c>
      <c r="K982">
        <f t="shared" si="874"/>
        <v>3.7028040705906147E+20</v>
      </c>
      <c r="L982">
        <f t="shared" si="829"/>
        <v>1</v>
      </c>
      <c r="M982">
        <f t="shared" si="826"/>
        <v>1.7278759594743885E-21</v>
      </c>
      <c r="N982" s="9">
        <f t="shared" si="875"/>
        <v>1.7278759594743885E-21</v>
      </c>
      <c r="O982">
        <f t="shared" si="876"/>
        <v>1.7278759594743885E-21</v>
      </c>
      <c r="Q982">
        <f t="shared" si="830"/>
        <v>47.360792249418928</v>
      </c>
      <c r="R982">
        <f t="shared" si="831"/>
        <v>-710542.73576010019</v>
      </c>
      <c r="S982">
        <f t="shared" si="853"/>
        <v>-47.807394067781175</v>
      </c>
      <c r="T982" s="9" t="e">
        <f t="shared" si="832"/>
        <v>#N/A</v>
      </c>
      <c r="U982">
        <f t="shared" si="854"/>
        <v>-1.0000000000000001E+300</v>
      </c>
      <c r="V982">
        <f t="shared" si="855"/>
        <v>0</v>
      </c>
      <c r="W982">
        <f t="shared" si="856"/>
        <v>0</v>
      </c>
      <c r="X982">
        <f t="shared" si="833"/>
        <v>0.17278759594743898</v>
      </c>
      <c r="Y982">
        <f t="shared" si="834"/>
        <v>7.8539816339744828</v>
      </c>
      <c r="Z982">
        <f t="shared" si="835"/>
        <v>-0.17278759594743898</v>
      </c>
      <c r="AA982">
        <f t="shared" si="857"/>
        <v>-0.99002828453741221</v>
      </c>
      <c r="AB982">
        <f t="shared" si="836"/>
        <v>6.8639533494370708</v>
      </c>
      <c r="AC982">
        <f t="shared" si="858"/>
        <v>-2.2072749131897189</v>
      </c>
      <c r="AD982">
        <f t="shared" si="837"/>
        <v>1.7606730948274716</v>
      </c>
      <c r="AE982" s="9">
        <f t="shared" si="859"/>
        <v>6.4173515310748241</v>
      </c>
      <c r="AF982">
        <f t="shared" si="860"/>
        <v>6.8258617414343148E-264</v>
      </c>
      <c r="AH982">
        <f t="shared" si="838"/>
        <v>7.8539816339744828</v>
      </c>
      <c r="AI982">
        <f t="shared" si="839"/>
        <v>-0.99002828453741132</v>
      </c>
      <c r="AJ982">
        <f t="shared" si="840"/>
        <v>-2.207274913189714</v>
      </c>
      <c r="AK982">
        <f t="shared" si="841"/>
        <v>1.7606730948274716</v>
      </c>
      <c r="AL982" s="9">
        <f t="shared" si="861"/>
        <v>6.4173515310748295</v>
      </c>
      <c r="AM982" t="e">
        <f t="shared" si="842"/>
        <v>#N/A</v>
      </c>
      <c r="AN982" t="e">
        <f t="shared" si="862"/>
        <v>#N/A</v>
      </c>
      <c r="AO982">
        <f t="shared" si="843"/>
        <v>0</v>
      </c>
      <c r="AP982">
        <f t="shared" si="844"/>
        <v>8.8817841970012523E-16</v>
      </c>
      <c r="AQ982">
        <f t="shared" si="845"/>
        <v>4.8849813083506888E-15</v>
      </c>
      <c r="AR982">
        <f t="shared" si="863"/>
        <v>-8.9712428783297315E-16</v>
      </c>
      <c r="AS982">
        <f t="shared" si="846"/>
        <v>0</v>
      </c>
      <c r="AT982">
        <f t="shared" si="864"/>
        <v>0</v>
      </c>
      <c r="AU982">
        <f t="shared" si="865"/>
        <v>6.8258617414118477E-264</v>
      </c>
      <c r="AV982">
        <f t="shared" si="847"/>
        <v>1.7278759594743897E-21</v>
      </c>
      <c r="AW982" t="b">
        <f t="shared" si="866"/>
        <v>1</v>
      </c>
      <c r="AX982">
        <f t="shared" si="848"/>
        <v>7.8539816339744828</v>
      </c>
      <c r="AY982">
        <f t="shared" si="849"/>
        <v>-0.99002828453741243</v>
      </c>
      <c r="AZ982">
        <f t="shared" si="850"/>
        <v>-2.2072749131897185</v>
      </c>
      <c r="BA982">
        <f t="shared" si="851"/>
        <v>1.7606730948274723</v>
      </c>
      <c r="BB982">
        <f t="shared" si="852"/>
        <v>-1.2337005501361696E-20</v>
      </c>
      <c r="BD982" s="15">
        <f t="shared" si="867"/>
        <v>6.4173515310748233</v>
      </c>
      <c r="BE982" s="10">
        <f t="shared" si="868"/>
        <v>0</v>
      </c>
      <c r="BF982">
        <f t="shared" si="869"/>
        <v>0</v>
      </c>
      <c r="BG982">
        <f t="shared" si="870"/>
        <v>0</v>
      </c>
      <c r="BH982">
        <f t="shared" si="871"/>
        <v>0</v>
      </c>
      <c r="BI982">
        <f t="shared" si="872"/>
        <v>0</v>
      </c>
    </row>
    <row r="983" spans="1:61" x14ac:dyDescent="0.3">
      <c r="A983">
        <f t="shared" si="877"/>
        <v>0.94599999999999995</v>
      </c>
      <c r="B983">
        <f t="shared" si="820"/>
        <v>2.9719466502959442</v>
      </c>
      <c r="C983">
        <f t="shared" si="821"/>
        <v>0.16964600329384893</v>
      </c>
      <c r="D983">
        <f t="shared" si="822"/>
        <v>0.16964600329384893</v>
      </c>
      <c r="E983">
        <f t="shared" si="827"/>
        <v>0.16883344471273409</v>
      </c>
      <c r="F983">
        <f t="shared" si="828"/>
        <v>0.16883344471273398</v>
      </c>
      <c r="G983">
        <f t="shared" si="823"/>
        <v>2.9719466502959442</v>
      </c>
      <c r="H983">
        <f t="shared" si="824"/>
        <v>0.16883344471273409</v>
      </c>
      <c r="I983">
        <f t="shared" si="825"/>
        <v>0.16883344471273398</v>
      </c>
      <c r="J983">
        <f t="shared" si="873"/>
        <v>3.7706970526531289E+20</v>
      </c>
      <c r="K983">
        <f t="shared" si="874"/>
        <v>3.7706970526531289E+20</v>
      </c>
      <c r="L983">
        <f t="shared" si="829"/>
        <v>1</v>
      </c>
      <c r="M983">
        <f t="shared" si="826"/>
        <v>1.6964600329384889E-21</v>
      </c>
      <c r="N983" s="9">
        <f t="shared" si="875"/>
        <v>1.6964600329384889E-21</v>
      </c>
      <c r="O983">
        <f t="shared" si="876"/>
        <v>1.6964600329384889E-21</v>
      </c>
      <c r="Q983">
        <f t="shared" si="830"/>
        <v>47.378961738852887</v>
      </c>
      <c r="R983">
        <f t="shared" si="831"/>
        <v>0</v>
      </c>
      <c r="S983">
        <f t="shared" si="853"/>
        <v>-47.825743206449374</v>
      </c>
      <c r="T983" s="9" t="e">
        <f t="shared" si="832"/>
        <v>#N/A</v>
      </c>
      <c r="U983">
        <f t="shared" si="854"/>
        <v>-1.0000000000000001E+300</v>
      </c>
      <c r="V983">
        <f t="shared" si="855"/>
        <v>0</v>
      </c>
      <c r="W983">
        <f t="shared" si="856"/>
        <v>0</v>
      </c>
      <c r="X983">
        <f t="shared" si="833"/>
        <v>0.16964600329384893</v>
      </c>
      <c r="Y983">
        <f t="shared" si="834"/>
        <v>7.8539816339744828</v>
      </c>
      <c r="Z983">
        <f t="shared" si="835"/>
        <v>-0.16964600329384893</v>
      </c>
      <c r="AA983">
        <f t="shared" si="857"/>
        <v>-0.99038828781652921</v>
      </c>
      <c r="AB983">
        <f t="shared" si="836"/>
        <v>6.8635933461579537</v>
      </c>
      <c r="AC983">
        <f t="shared" si="858"/>
        <v>-2.2256240518579169</v>
      </c>
      <c r="AD983">
        <f t="shared" si="837"/>
        <v>1.7788425842614257</v>
      </c>
      <c r="AE983" s="9">
        <f t="shared" si="859"/>
        <v>6.4168118785614627</v>
      </c>
      <c r="AF983">
        <f t="shared" si="860"/>
        <v>9.4930666723665453E-264</v>
      </c>
      <c r="AH983">
        <f t="shared" si="838"/>
        <v>7.8539816339744828</v>
      </c>
      <c r="AI983">
        <f t="shared" si="839"/>
        <v>-0.99038828781652899</v>
      </c>
      <c r="AJ983">
        <f t="shared" si="840"/>
        <v>-2.2256240518579133</v>
      </c>
      <c r="AK983">
        <f t="shared" si="841"/>
        <v>1.7788425842614257</v>
      </c>
      <c r="AL983" s="9">
        <f t="shared" si="861"/>
        <v>6.4168118785614663</v>
      </c>
      <c r="AM983" t="e">
        <f t="shared" si="842"/>
        <v>#N/A</v>
      </c>
      <c r="AN983" t="e">
        <f t="shared" si="862"/>
        <v>#N/A</v>
      </c>
      <c r="AO983">
        <f t="shared" si="843"/>
        <v>0</v>
      </c>
      <c r="AP983">
        <f t="shared" si="844"/>
        <v>0</v>
      </c>
      <c r="AQ983">
        <f t="shared" si="845"/>
        <v>3.5527136788005009E-15</v>
      </c>
      <c r="AR983">
        <f t="shared" si="863"/>
        <v>0</v>
      </c>
      <c r="AS983">
        <f t="shared" si="846"/>
        <v>0</v>
      </c>
      <c r="AT983">
        <f t="shared" si="864"/>
        <v>0</v>
      </c>
      <c r="AU983">
        <f t="shared" si="865"/>
        <v>9.4930666723460729E-264</v>
      </c>
      <c r="AV983">
        <f t="shared" si="847"/>
        <v>1.6964600329384893E-21</v>
      </c>
      <c r="AW983" t="b">
        <f t="shared" si="866"/>
        <v>1</v>
      </c>
      <c r="AX983">
        <f t="shared" si="848"/>
        <v>7.8539816339744828</v>
      </c>
      <c r="AY983">
        <f t="shared" si="849"/>
        <v>-0.99038828781652966</v>
      </c>
      <c r="AZ983">
        <f t="shared" si="850"/>
        <v>-2.2256240518579165</v>
      </c>
      <c r="BA983">
        <f t="shared" si="851"/>
        <v>1.7788425842614264</v>
      </c>
      <c r="BB983">
        <f t="shared" si="852"/>
        <v>-1.2337005501361696E-20</v>
      </c>
      <c r="BD983" s="15">
        <f t="shared" si="867"/>
        <v>6.4168118785614627</v>
      </c>
      <c r="BE983" s="10">
        <f t="shared" si="868"/>
        <v>0</v>
      </c>
      <c r="BF983">
        <f t="shared" si="869"/>
        <v>0</v>
      </c>
      <c r="BG983">
        <f t="shared" si="870"/>
        <v>0</v>
      </c>
      <c r="BH983">
        <f t="shared" si="871"/>
        <v>0</v>
      </c>
      <c r="BI983">
        <f t="shared" si="872"/>
        <v>0</v>
      </c>
    </row>
    <row r="984" spans="1:61" x14ac:dyDescent="0.3">
      <c r="A984">
        <f t="shared" si="877"/>
        <v>0.94699999999999995</v>
      </c>
      <c r="B984">
        <f t="shared" ref="B984:B1044" si="878">th_max*A984</f>
        <v>2.9750882429495338</v>
      </c>
      <c r="C984">
        <f t="shared" ref="C984:C1044" si="879">th_max-B984</f>
        <v>0.16650441064025934</v>
      </c>
      <c r="D984">
        <f t="shared" ref="D984:D1044" si="880">IF(use_th_l,B984,C984)</f>
        <v>0.16650441064025934</v>
      </c>
      <c r="E984">
        <f t="shared" si="827"/>
        <v>0.16573612282812011</v>
      </c>
      <c r="F984">
        <f t="shared" si="828"/>
        <v>0.16573612282812</v>
      </c>
      <c r="G984">
        <f t="shared" ref="G984:G1044" si="881">alpha*B984</f>
        <v>2.9750882429495338</v>
      </c>
      <c r="H984">
        <f t="shared" ref="H984:H1044" si="882">SIN(G984)</f>
        <v>0.16573612282812011</v>
      </c>
      <c r="I984">
        <f t="shared" ref="I984:I1044" si="883">SIN(alpha*C984+add_r)</f>
        <v>0.16573612282812</v>
      </c>
      <c r="J984">
        <f t="shared" si="873"/>
        <v>3.841164868010098E+20</v>
      </c>
      <c r="K984">
        <f t="shared" si="874"/>
        <v>3.841164868010098E+20</v>
      </c>
      <c r="L984">
        <f t="shared" si="829"/>
        <v>1</v>
      </c>
      <c r="M984">
        <f t="shared" ref="M984:M1044" si="884">-SIN((alpha_m_1)*B984+add_l)</f>
        <v>1.6650441064025953E-21</v>
      </c>
      <c r="N984" s="9">
        <f t="shared" si="875"/>
        <v>1.6650441064025953E-21</v>
      </c>
      <c r="O984">
        <f t="shared" si="876"/>
        <v>1.6650441064025953E-21</v>
      </c>
      <c r="Q984">
        <f t="shared" si="830"/>
        <v>47.397477531523222</v>
      </c>
      <c r="R984">
        <f t="shared" si="831"/>
        <v>0</v>
      </c>
      <c r="S984">
        <f t="shared" si="853"/>
        <v>-47.844435339461526</v>
      </c>
      <c r="T984" s="9" t="e">
        <f t="shared" si="832"/>
        <v>#N/A</v>
      </c>
      <c r="U984">
        <f t="shared" si="854"/>
        <v>-1.0000000000000001E+300</v>
      </c>
      <c r="V984">
        <f t="shared" si="855"/>
        <v>0</v>
      </c>
      <c r="W984">
        <f t="shared" si="856"/>
        <v>0</v>
      </c>
      <c r="X984">
        <f t="shared" si="833"/>
        <v>0.16650441064025934</v>
      </c>
      <c r="Y984">
        <f t="shared" si="834"/>
        <v>7.8539816339744828</v>
      </c>
      <c r="Z984">
        <f t="shared" si="835"/>
        <v>-0.16650441064025934</v>
      </c>
      <c r="AA984">
        <f t="shared" si="857"/>
        <v>-0.99074163508772717</v>
      </c>
      <c r="AB984">
        <f t="shared" si="836"/>
        <v>6.8632399988867556</v>
      </c>
      <c r="AC984">
        <f t="shared" si="858"/>
        <v>-2.2443161848700681</v>
      </c>
      <c r="AD984">
        <f t="shared" si="837"/>
        <v>1.7973583769317614</v>
      </c>
      <c r="AE984" s="9">
        <f t="shared" si="859"/>
        <v>6.4162821909484489</v>
      </c>
      <c r="AF984">
        <f t="shared" si="860"/>
        <v>1.312003954418016E-263</v>
      </c>
      <c r="AH984">
        <f t="shared" si="838"/>
        <v>7.8539816339744828</v>
      </c>
      <c r="AI984">
        <f t="shared" si="839"/>
        <v>-0.99074163508772684</v>
      </c>
      <c r="AJ984">
        <f t="shared" si="840"/>
        <v>-2.2443161848700655</v>
      </c>
      <c r="AK984">
        <f t="shared" si="841"/>
        <v>1.7973583769317614</v>
      </c>
      <c r="AL984" s="9">
        <f t="shared" si="861"/>
        <v>6.4162821909484515</v>
      </c>
      <c r="AM984" t="e">
        <f t="shared" si="842"/>
        <v>#N/A</v>
      </c>
      <c r="AN984" t="e">
        <f t="shared" si="862"/>
        <v>#N/A</v>
      </c>
      <c r="AO984">
        <f t="shared" si="843"/>
        <v>0</v>
      </c>
      <c r="AP984">
        <f t="shared" si="844"/>
        <v>0</v>
      </c>
      <c r="AQ984">
        <f t="shared" si="845"/>
        <v>0</v>
      </c>
      <c r="AR984">
        <f t="shared" si="863"/>
        <v>0</v>
      </c>
      <c r="AS984">
        <f t="shared" si="846"/>
        <v>0</v>
      </c>
      <c r="AT984">
        <f t="shared" si="864"/>
        <v>0</v>
      </c>
      <c r="AU984">
        <f t="shared" si="865"/>
        <v>1.312003954415782E-263</v>
      </c>
      <c r="AV984">
        <f t="shared" si="847"/>
        <v>1.6650441064025933E-21</v>
      </c>
      <c r="AW984" t="b">
        <f t="shared" si="866"/>
        <v>1</v>
      </c>
      <c r="AX984">
        <f t="shared" si="848"/>
        <v>7.8539816339744828</v>
      </c>
      <c r="AY984">
        <f t="shared" si="849"/>
        <v>-0.99074163508772739</v>
      </c>
      <c r="AZ984">
        <f t="shared" si="850"/>
        <v>-2.2443161848700681</v>
      </c>
      <c r="BA984">
        <f t="shared" si="851"/>
        <v>1.797358376931762</v>
      </c>
      <c r="BB984">
        <f t="shared" si="852"/>
        <v>-1.2337005501361696E-20</v>
      </c>
      <c r="BD984" s="15">
        <f t="shared" si="867"/>
        <v>6.4162821909484498</v>
      </c>
      <c r="BE984" s="10">
        <f t="shared" si="868"/>
        <v>0</v>
      </c>
      <c r="BF984">
        <f t="shared" si="869"/>
        <v>0</v>
      </c>
      <c r="BG984">
        <f t="shared" si="870"/>
        <v>0</v>
      </c>
      <c r="BH984">
        <f t="shared" si="871"/>
        <v>0</v>
      </c>
      <c r="BI984">
        <f t="shared" si="872"/>
        <v>0</v>
      </c>
    </row>
    <row r="985" spans="1:61" x14ac:dyDescent="0.3">
      <c r="A985">
        <f t="shared" si="877"/>
        <v>0.94799999999999995</v>
      </c>
      <c r="B985">
        <f t="shared" si="878"/>
        <v>2.9782298356031238</v>
      </c>
      <c r="C985">
        <f t="shared" si="879"/>
        <v>0.1633628179866693</v>
      </c>
      <c r="D985">
        <f t="shared" si="880"/>
        <v>0.1633628179866693</v>
      </c>
      <c r="E985">
        <f t="shared" ref="E985:E1044" si="885">SIN(B985-add_l)</f>
        <v>0.16263716519488378</v>
      </c>
      <c r="F985">
        <f t="shared" ref="F985:F1044" si="886">SIN(C985)</f>
        <v>0.16263716519488364</v>
      </c>
      <c r="G985">
        <f t="shared" si="881"/>
        <v>2.9782298356031238</v>
      </c>
      <c r="H985">
        <f t="shared" si="882"/>
        <v>0.16263716519488378</v>
      </c>
      <c r="I985">
        <f t="shared" si="883"/>
        <v>0.16263716519488364</v>
      </c>
      <c r="J985">
        <f t="shared" si="873"/>
        <v>3.9143560551165349E+20</v>
      </c>
      <c r="K985">
        <f t="shared" si="874"/>
        <v>3.9143560551165349E+20</v>
      </c>
      <c r="L985" t="e">
        <f t="shared" ref="L985:L1044" si="887">(cat0*E985*K985)^(1/(alpha_m_1))</f>
        <v>#NUM!</v>
      </c>
      <c r="M985">
        <f t="shared" si="884"/>
        <v>1.6336281798666957E-21</v>
      </c>
      <c r="N985" s="9" t="e">
        <f t="shared" si="875"/>
        <v>#NUM!</v>
      </c>
      <c r="O985" t="e">
        <f t="shared" si="876"/>
        <v>#NUM!</v>
      </c>
      <c r="Q985">
        <f t="shared" ref="Q985:Q1044" si="888">alpha*LN(J985)</f>
        <v>47.416352694343409</v>
      </c>
      <c r="R985">
        <f t="shared" ref="R985:R1044" si="889">(LN(cat0)+LN(E985)+Q985)/(alpha_m_1)</f>
        <v>0</v>
      </c>
      <c r="S985">
        <f t="shared" si="853"/>
        <v>-47.86348353443222</v>
      </c>
      <c r="T985" s="9" t="e">
        <f t="shared" ref="T985:T1044" si="890">IF(ABS(alpha_m_1)&gt;0.00000000000001,R985+S985,NA())</f>
        <v>#N/A</v>
      </c>
      <c r="U985">
        <f t="shared" si="854"/>
        <v>-1.0000000000000001E+300</v>
      </c>
      <c r="V985">
        <f t="shared" si="855"/>
        <v>0</v>
      </c>
      <c r="W985">
        <f t="shared" si="856"/>
        <v>0</v>
      </c>
      <c r="X985">
        <f t="shared" ref="X985:X1044" si="891">C985</f>
        <v>0.1633628179866693</v>
      </c>
      <c r="Y985">
        <f t="shared" ref="Y985:Y1044" si="892">ea</f>
        <v>7.8539816339744828</v>
      </c>
      <c r="Z985">
        <f t="shared" ref="Z985:Z1044" si="893">p2b+PI()/2-X985</f>
        <v>-0.1633628179866693</v>
      </c>
      <c r="AA985">
        <f t="shared" si="857"/>
        <v>-0.99108832916810807</v>
      </c>
      <c r="AB985">
        <f t="shared" ref="AB985:AB1044" si="894">$AA$7+AA985</f>
        <v>6.8628933048063745</v>
      </c>
      <c r="AC985">
        <f t="shared" si="858"/>
        <v>-2.2633643798407639</v>
      </c>
      <c r="AD985">
        <f t="shared" ref="AD985:AD1044" si="895">-LN(SIN(A985*PI()))</f>
        <v>1.8162335397519485</v>
      </c>
      <c r="AE985" s="9">
        <f t="shared" si="859"/>
        <v>6.4157624647175595</v>
      </c>
      <c r="AF985">
        <f t="shared" si="860"/>
        <v>1.801973941708571E-263</v>
      </c>
      <c r="AH985">
        <f t="shared" ref="AH985:AH1044" si="896">IF(use_alpha_near_1,$D$18,NA())</f>
        <v>7.8539816339744828</v>
      </c>
      <c r="AI985">
        <f t="shared" ref="AI985:AI1044" si="897">IF(use_alpha_near_1,alpha/(alpha_m_1)*(log1p(-SIN(add_l)*_xlfn.COT(B985)-2*SIN(add_l/2)^2)-log1p(SIN(alpha_m_1*B985)*_xlfn.COT(B985)-2*SIN(alpha_m_1*B985/2)^2)),NA())</f>
        <v>-0.9910883291681083</v>
      </c>
      <c r="AJ985">
        <f t="shared" ref="AJ985:AJ1044" si="898">IF(use_alpha_near_1,$D$21+LN(M985),NA())</f>
        <v>-2.263364379840759</v>
      </c>
      <c r="AK985">
        <f t="shared" ref="AK985:AK1044" si="899">IF(use_alpha_near_1,-LN(E985),NA())</f>
        <v>1.8162335397519485</v>
      </c>
      <c r="AL985" s="9">
        <f t="shared" si="861"/>
        <v>6.415762464717564</v>
      </c>
      <c r="AM985" t="e">
        <f t="shared" ref="AM985:AM1044" si="900">AL985-T985</f>
        <v>#N/A</v>
      </c>
      <c r="AN985" t="e">
        <f t="shared" si="862"/>
        <v>#N/A</v>
      </c>
      <c r="AO985">
        <f t="shared" ref="AO985:AO1044" si="901">AH985-Y985</f>
        <v>0</v>
      </c>
      <c r="AP985">
        <f t="shared" ref="AP985:AP1044" si="902">AI985-AA985</f>
        <v>0</v>
      </c>
      <c r="AQ985">
        <f t="shared" ref="AQ985:AQ1044" si="903">AJ985-AC985</f>
        <v>4.8849813083506888E-15</v>
      </c>
      <c r="AR985">
        <f t="shared" si="863"/>
        <v>0</v>
      </c>
      <c r="AS985">
        <f t="shared" ref="AS985:AS1044" si="904">AL985-AE985</f>
        <v>0</v>
      </c>
      <c r="AT985">
        <f t="shared" si="864"/>
        <v>0</v>
      </c>
      <c r="AU985">
        <f t="shared" si="865"/>
        <v>1.8019739417036624E-263</v>
      </c>
      <c r="AV985">
        <f t="shared" ref="AV985:AV1044" si="905">alpha_m_1*C985+add_r</f>
        <v>1.6336281798666929E-21</v>
      </c>
      <c r="AW985" t="b">
        <f t="shared" si="866"/>
        <v>1</v>
      </c>
      <c r="AX985">
        <f t="shared" ref="AX985:AX1044" si="906">IF(use_alpha_near_1,$D$18,NA())</f>
        <v>7.8539816339744828</v>
      </c>
      <c r="AY985">
        <f t="shared" ref="AY985:AY1044" si="907">-alpha/alpha_m_1*log1p(_xlfn.COT(C985)*SIN(AV985)-2*SIN(AV985/2)^2)</f>
        <v>-0.99108832916810852</v>
      </c>
      <c r="AZ985">
        <f t="shared" ref="AZ985:AZ1044" si="908">LN(ABS(zeta)*SIN(AV985))</f>
        <v>-2.2633643798407639</v>
      </c>
      <c r="BA985">
        <f t="shared" ref="BA985:BA1044" si="909">-LN(SIN(C985))</f>
        <v>1.8162335397519493</v>
      </c>
      <c r="BB985">
        <f t="shared" ref="BB985:BB1044" si="910">-log1p(zeta^-2)/(2*alpha_m_1)</f>
        <v>-1.2337005501361696E-20</v>
      </c>
      <c r="BD985" s="15">
        <f t="shared" si="867"/>
        <v>6.4157624647175604</v>
      </c>
      <c r="BE985" s="10">
        <f t="shared" si="868"/>
        <v>0</v>
      </c>
      <c r="BF985">
        <f t="shared" si="869"/>
        <v>0</v>
      </c>
      <c r="BG985">
        <f t="shared" si="870"/>
        <v>0</v>
      </c>
      <c r="BH985">
        <f t="shared" si="871"/>
        <v>0</v>
      </c>
      <c r="BI985">
        <f t="shared" si="872"/>
        <v>0</v>
      </c>
    </row>
    <row r="986" spans="1:61" x14ac:dyDescent="0.3">
      <c r="A986">
        <f t="shared" si="877"/>
        <v>0.94899999999999995</v>
      </c>
      <c r="B986">
        <f t="shared" si="878"/>
        <v>2.9813714282567134</v>
      </c>
      <c r="C986">
        <f t="shared" si="879"/>
        <v>0.1602212253330797</v>
      </c>
      <c r="D986">
        <f t="shared" si="880"/>
        <v>0.1602212253330797</v>
      </c>
      <c r="E986">
        <f t="shared" si="885"/>
        <v>0.15953660239848666</v>
      </c>
      <c r="F986">
        <f t="shared" si="886"/>
        <v>0.15953660239848655</v>
      </c>
      <c r="G986">
        <f t="shared" si="881"/>
        <v>2.9813714282567134</v>
      </c>
      <c r="H986">
        <f t="shared" si="882"/>
        <v>0.15953660239848666</v>
      </c>
      <c r="I986">
        <f t="shared" si="883"/>
        <v>0.15953660239848655</v>
      </c>
      <c r="J986">
        <f t="shared" si="873"/>
        <v>3.9904308026909583E+20</v>
      </c>
      <c r="K986">
        <f t="shared" si="874"/>
        <v>3.9904308026909583E+20</v>
      </c>
      <c r="L986">
        <f t="shared" si="887"/>
        <v>0</v>
      </c>
      <c r="M986">
        <f t="shared" si="884"/>
        <v>1.6022122533307961E-21</v>
      </c>
      <c r="N986" s="9">
        <f t="shared" si="875"/>
        <v>0</v>
      </c>
      <c r="O986">
        <f t="shared" si="876"/>
        <v>0</v>
      </c>
      <c r="Q986">
        <f t="shared" si="888"/>
        <v>47.435601055553519</v>
      </c>
      <c r="R986">
        <f t="shared" si="889"/>
        <v>0</v>
      </c>
      <c r="S986">
        <f t="shared" ref="S986:S1044" si="911">LN(M986)</f>
        <v>-47.882901620289324</v>
      </c>
      <c r="T986" s="9" t="e">
        <f t="shared" si="890"/>
        <v>#N/A</v>
      </c>
      <c r="U986">
        <f t="shared" ref="U986:U1044" si="912">IFERROR(T986-EXP(T986),-1E+300)</f>
        <v>-1.0000000000000001E+300</v>
      </c>
      <c r="V986">
        <f t="shared" ref="V986:V1044" si="913">EXP(U986)</f>
        <v>0</v>
      </c>
      <c r="W986">
        <f t="shared" ref="W986:W1044" si="914">IFERROR(T986-LN(N986),0)</f>
        <v>0</v>
      </c>
      <c r="X986">
        <f t="shared" si="891"/>
        <v>0.1602212253330797</v>
      </c>
      <c r="Y986">
        <f t="shared" si="892"/>
        <v>7.8539816339744828</v>
      </c>
      <c r="Z986">
        <f t="shared" si="893"/>
        <v>-0.1602212253330797</v>
      </c>
      <c r="AA986">
        <f t="shared" ref="AA986:AA1044" si="915">Z986*TAN(PI()/2-X986)</f>
        <v>-0.99142837282073837</v>
      </c>
      <c r="AB986">
        <f t="shared" si="894"/>
        <v>6.8625532611537441</v>
      </c>
      <c r="AC986">
        <f t="shared" ref="AC986:AC1044" si="916">LN(Z986/$AA$6)</f>
        <v>-2.2827824656978644</v>
      </c>
      <c r="AD986">
        <f t="shared" si="895"/>
        <v>1.8354819009620589</v>
      </c>
      <c r="AE986" s="9">
        <f t="shared" ref="AE986:AE1044" si="917">AB986+AC986+AD986</f>
        <v>6.415252696417939</v>
      </c>
      <c r="AF986">
        <f t="shared" ref="AF986:AF1044" si="918">IFERROR(EXP(AE986)*EXP(-EXP(AE986)),0)</f>
        <v>2.4595275688709754E-263</v>
      </c>
      <c r="AH986">
        <f t="shared" si="896"/>
        <v>7.8539816339744828</v>
      </c>
      <c r="AI986">
        <f t="shared" si="897"/>
        <v>-0.9914283728207377</v>
      </c>
      <c r="AJ986">
        <f t="shared" si="898"/>
        <v>-2.2827824656978635</v>
      </c>
      <c r="AK986">
        <f t="shared" si="899"/>
        <v>1.8354819009620589</v>
      </c>
      <c r="AL986" s="9">
        <f t="shared" ref="AL986:AL1044" si="919">SUM(AH986:AK986)</f>
        <v>6.4152526964179408</v>
      </c>
      <c r="AM986" t="e">
        <f t="shared" si="900"/>
        <v>#N/A</v>
      </c>
      <c r="AN986" t="e">
        <f t="shared" ref="AN986:AN1044" si="920">AM986/AL986</f>
        <v>#N/A</v>
      </c>
      <c r="AO986">
        <f t="shared" si="901"/>
        <v>0</v>
      </c>
      <c r="AP986">
        <f t="shared" si="902"/>
        <v>0</v>
      </c>
      <c r="AQ986">
        <f t="shared" si="903"/>
        <v>0</v>
      </c>
      <c r="AR986">
        <f t="shared" ref="AR986:AR1044" si="921">AP986/AI986</f>
        <v>0</v>
      </c>
      <c r="AS986">
        <f t="shared" si="904"/>
        <v>0</v>
      </c>
      <c r="AT986">
        <f t="shared" ref="AT986:AT1044" si="922">AS986/AL986</f>
        <v>0</v>
      </c>
      <c r="AU986">
        <f t="shared" ref="AU986:AU1044" si="923">IFERROR(EXP(AL986)*EXP(-EXP(AL986)),0)</f>
        <v>2.4595275688681833E-263</v>
      </c>
      <c r="AV986">
        <f t="shared" si="905"/>
        <v>1.6022122533307969E-21</v>
      </c>
      <c r="AW986" t="b">
        <f t="shared" ref="AW986:AW1044" si="924">(ABS(_xlfn.COT(C986)*SIN(AV986))&lt;0.00000001)</f>
        <v>1</v>
      </c>
      <c r="AX986">
        <f t="shared" si="906"/>
        <v>7.8539816339744828</v>
      </c>
      <c r="AY986">
        <f t="shared" si="907"/>
        <v>-0.9914283728207387</v>
      </c>
      <c r="AZ986">
        <f t="shared" si="908"/>
        <v>-2.2827824656978644</v>
      </c>
      <c r="BA986">
        <f t="shared" si="909"/>
        <v>1.8354819009620595</v>
      </c>
      <c r="BB986">
        <f t="shared" si="910"/>
        <v>-1.2337005501361696E-20</v>
      </c>
      <c r="BD986" s="15">
        <f t="shared" ref="BD986:BD1044" si="925">SUM(AX986:BB986)</f>
        <v>6.415252696417939</v>
      </c>
      <c r="BE986" s="10">
        <f t="shared" ref="BE986:BE1044" si="926">BD986-AL986</f>
        <v>0</v>
      </c>
      <c r="BF986">
        <f t="shared" ref="BF986:BF1044" si="927">BD986-AE986</f>
        <v>0</v>
      </c>
      <c r="BG986">
        <f t="shared" ref="BG986:BG1044" si="928">AX986-Y986</f>
        <v>0</v>
      </c>
      <c r="BH986">
        <f t="shared" ref="BH986:BH1044" si="929">AY986-AA986</f>
        <v>0</v>
      </c>
      <c r="BI986">
        <f t="shared" ref="BI986:BI1044" si="930">AZ986-AC986</f>
        <v>0</v>
      </c>
    </row>
    <row r="987" spans="1:61" x14ac:dyDescent="0.3">
      <c r="A987">
        <f t="shared" si="877"/>
        <v>0.95</v>
      </c>
      <c r="B987">
        <f t="shared" si="878"/>
        <v>2.9845130209103035</v>
      </c>
      <c r="C987">
        <f t="shared" si="879"/>
        <v>0.15707963267948966</v>
      </c>
      <c r="D987">
        <f t="shared" si="880"/>
        <v>0.15707963267948966</v>
      </c>
      <c r="E987">
        <f t="shared" si="885"/>
        <v>0.15643446504023098</v>
      </c>
      <c r="F987">
        <f t="shared" si="886"/>
        <v>0.15643446504023087</v>
      </c>
      <c r="G987">
        <f t="shared" si="881"/>
        <v>2.9845130209103035</v>
      </c>
      <c r="H987">
        <f t="shared" si="882"/>
        <v>0.15643446504023098</v>
      </c>
      <c r="I987">
        <f t="shared" si="883"/>
        <v>0.15643446504023087</v>
      </c>
      <c r="J987">
        <f t="shared" si="873"/>
        <v>4.0695621147415242E+20</v>
      </c>
      <c r="K987">
        <f t="shared" si="874"/>
        <v>4.0695621147415242E+20</v>
      </c>
      <c r="L987">
        <f t="shared" si="887"/>
        <v>1</v>
      </c>
      <c r="M987">
        <f t="shared" si="884"/>
        <v>1.5707963267948965E-21</v>
      </c>
      <c r="N987" s="9">
        <f t="shared" si="875"/>
        <v>1.5707963267948965E-21</v>
      </c>
      <c r="O987">
        <f t="shared" si="876"/>
        <v>1.5707963267948965E-21</v>
      </c>
      <c r="Q987">
        <f t="shared" si="888"/>
        <v>47.455237265031762</v>
      </c>
      <c r="R987">
        <f t="shared" si="889"/>
        <v>0</v>
      </c>
      <c r="S987">
        <f t="shared" si="911"/>
        <v>-47.902704247585504</v>
      </c>
      <c r="T987" s="9" t="e">
        <f t="shared" si="890"/>
        <v>#N/A</v>
      </c>
      <c r="U987">
        <f t="shared" si="912"/>
        <v>-1.0000000000000001E+300</v>
      </c>
      <c r="V987">
        <f t="shared" si="913"/>
        <v>0</v>
      </c>
      <c r="W987">
        <f t="shared" si="914"/>
        <v>0</v>
      </c>
      <c r="X987">
        <f t="shared" si="891"/>
        <v>0.15707963267948966</v>
      </c>
      <c r="Y987">
        <f t="shared" si="892"/>
        <v>7.8539816339744828</v>
      </c>
      <c r="Z987">
        <f t="shared" si="893"/>
        <v>-0.15707963267948966</v>
      </c>
      <c r="AA987">
        <f t="shared" si="915"/>
        <v>-0.99176176875472688</v>
      </c>
      <c r="AB987">
        <f t="shared" si="894"/>
        <v>6.8622198652197559</v>
      </c>
      <c r="AC987">
        <f t="shared" si="916"/>
        <v>-2.3025850929940455</v>
      </c>
      <c r="AD987">
        <f t="shared" si="895"/>
        <v>1.8551181104403029</v>
      </c>
      <c r="AE987" s="9">
        <f t="shared" si="917"/>
        <v>6.4147528826660132</v>
      </c>
      <c r="AF987">
        <f t="shared" si="918"/>
        <v>3.3361816065480427E-263</v>
      </c>
      <c r="AH987">
        <f t="shared" si="896"/>
        <v>7.8539816339744828</v>
      </c>
      <c r="AI987">
        <f t="shared" si="897"/>
        <v>-0.99176176875472444</v>
      </c>
      <c r="AJ987">
        <f t="shared" si="898"/>
        <v>-2.3025850929940432</v>
      </c>
      <c r="AK987">
        <f t="shared" si="899"/>
        <v>1.8551181104403029</v>
      </c>
      <c r="AL987" s="9">
        <f t="shared" si="919"/>
        <v>6.4147528826660185</v>
      </c>
      <c r="AM987" t="e">
        <f t="shared" si="900"/>
        <v>#N/A</v>
      </c>
      <c r="AN987" t="e">
        <f t="shared" si="920"/>
        <v>#N/A</v>
      </c>
      <c r="AO987">
        <f t="shared" si="901"/>
        <v>0</v>
      </c>
      <c r="AP987">
        <f t="shared" si="902"/>
        <v>2.4424906541753444E-15</v>
      </c>
      <c r="AQ987">
        <f t="shared" si="903"/>
        <v>0</v>
      </c>
      <c r="AR987">
        <f t="shared" si="921"/>
        <v>-2.4627796020431235E-15</v>
      </c>
      <c r="AS987">
        <f t="shared" si="904"/>
        <v>0</v>
      </c>
      <c r="AT987">
        <f t="shared" si="922"/>
        <v>0</v>
      </c>
      <c r="AU987">
        <f t="shared" si="923"/>
        <v>3.3361816065370614E-263</v>
      </c>
      <c r="AV987">
        <f t="shared" si="905"/>
        <v>1.5707963267948965E-21</v>
      </c>
      <c r="AW987" t="b">
        <f t="shared" si="924"/>
        <v>1</v>
      </c>
      <c r="AX987">
        <f t="shared" si="906"/>
        <v>7.8539816339744828</v>
      </c>
      <c r="AY987">
        <f t="shared" si="907"/>
        <v>-0.99176176875472732</v>
      </c>
      <c r="AZ987">
        <f t="shared" si="908"/>
        <v>-2.3025850929940455</v>
      </c>
      <c r="BA987">
        <f t="shared" si="909"/>
        <v>1.8551181104403036</v>
      </c>
      <c r="BB987">
        <f t="shared" si="910"/>
        <v>-1.2337005501361696E-20</v>
      </c>
      <c r="BD987" s="15">
        <f t="shared" si="925"/>
        <v>6.4147528826660132</v>
      </c>
      <c r="BE987" s="10">
        <f t="shared" si="926"/>
        <v>0</v>
      </c>
      <c r="BF987">
        <f t="shared" si="927"/>
        <v>0</v>
      </c>
      <c r="BG987">
        <f t="shared" si="928"/>
        <v>0</v>
      </c>
      <c r="BH987">
        <f t="shared" si="929"/>
        <v>0</v>
      </c>
      <c r="BI987">
        <f t="shared" si="930"/>
        <v>0</v>
      </c>
    </row>
    <row r="988" spans="1:61" x14ac:dyDescent="0.3">
      <c r="A988">
        <f t="shared" si="877"/>
        <v>0.95099999999999996</v>
      </c>
      <c r="B988">
        <f t="shared" si="878"/>
        <v>2.9876546135638931</v>
      </c>
      <c r="C988">
        <f t="shared" si="879"/>
        <v>0.15393804002590006</v>
      </c>
      <c r="D988">
        <f t="shared" si="880"/>
        <v>0.15393804002590006</v>
      </c>
      <c r="E988">
        <f t="shared" si="885"/>
        <v>0.15333078373696093</v>
      </c>
      <c r="F988">
        <f t="shared" si="886"/>
        <v>0.15333078373696082</v>
      </c>
      <c r="G988">
        <f t="shared" si="881"/>
        <v>2.9876546135638931</v>
      </c>
      <c r="H988">
        <f t="shared" si="882"/>
        <v>0.15333078373696093</v>
      </c>
      <c r="I988">
        <f t="shared" si="883"/>
        <v>0.15333078373696082</v>
      </c>
      <c r="J988">
        <f t="shared" si="873"/>
        <v>4.1519371182482384E+20</v>
      </c>
      <c r="K988">
        <f t="shared" si="874"/>
        <v>4.1519371182482384E+20</v>
      </c>
      <c r="L988">
        <f t="shared" si="887"/>
        <v>1</v>
      </c>
      <c r="M988">
        <f t="shared" si="884"/>
        <v>1.5393804002590029E-21</v>
      </c>
      <c r="N988" s="9">
        <f t="shared" si="875"/>
        <v>1.5393804002590029E-21</v>
      </c>
      <c r="O988">
        <f t="shared" si="876"/>
        <v>1.5393804002590029E-21</v>
      </c>
      <c r="Q988">
        <f t="shared" si="888"/>
        <v>47.475276860699239</v>
      </c>
      <c r="R988">
        <f t="shared" si="889"/>
        <v>0</v>
      </c>
      <c r="S988">
        <f t="shared" si="911"/>
        <v>-47.92290695490302</v>
      </c>
      <c r="T988" s="9" t="e">
        <f t="shared" si="890"/>
        <v>#N/A</v>
      </c>
      <c r="U988">
        <f t="shared" si="912"/>
        <v>-1.0000000000000001E+300</v>
      </c>
      <c r="V988">
        <f t="shared" si="913"/>
        <v>0</v>
      </c>
      <c r="W988">
        <f t="shared" si="914"/>
        <v>0</v>
      </c>
      <c r="X988">
        <f t="shared" si="891"/>
        <v>0.15393804002590006</v>
      </c>
      <c r="Y988">
        <f t="shared" si="892"/>
        <v>7.8539816339744828</v>
      </c>
      <c r="Z988">
        <f t="shared" si="893"/>
        <v>-0.15393804002590006</v>
      </c>
      <c r="AA988">
        <f t="shared" si="915"/>
        <v>-0.99208851962530231</v>
      </c>
      <c r="AB988">
        <f t="shared" si="894"/>
        <v>6.8618931143491801</v>
      </c>
      <c r="AC988">
        <f t="shared" si="916"/>
        <v>-2.3227878003115636</v>
      </c>
      <c r="AD988">
        <f t="shared" si="895"/>
        <v>1.8751577061077782</v>
      </c>
      <c r="AE988" s="9">
        <f t="shared" si="917"/>
        <v>6.4142630201453947</v>
      </c>
      <c r="AF988">
        <f t="shared" si="918"/>
        <v>4.4972532447062958E-263</v>
      </c>
      <c r="AH988">
        <f t="shared" si="896"/>
        <v>7.8539816339744828</v>
      </c>
      <c r="AI988">
        <f t="shared" si="897"/>
        <v>-0.99208851962530231</v>
      </c>
      <c r="AJ988">
        <f t="shared" si="898"/>
        <v>-2.3227878003115592</v>
      </c>
      <c r="AK988">
        <f t="shared" si="899"/>
        <v>1.8751577061077782</v>
      </c>
      <c r="AL988" s="9">
        <f t="shared" si="919"/>
        <v>6.4142630201453992</v>
      </c>
      <c r="AM988" t="e">
        <f t="shared" si="900"/>
        <v>#N/A</v>
      </c>
      <c r="AN988" t="e">
        <f t="shared" si="920"/>
        <v>#N/A</v>
      </c>
      <c r="AO988">
        <f t="shared" si="901"/>
        <v>0</v>
      </c>
      <c r="AP988">
        <f t="shared" si="902"/>
        <v>0</v>
      </c>
      <c r="AQ988">
        <f t="shared" si="903"/>
        <v>4.4408920985006262E-15</v>
      </c>
      <c r="AR988">
        <f t="shared" si="921"/>
        <v>0</v>
      </c>
      <c r="AS988">
        <f t="shared" si="904"/>
        <v>0</v>
      </c>
      <c r="AT988">
        <f t="shared" si="922"/>
        <v>0</v>
      </c>
      <c r="AU988">
        <f t="shared" si="923"/>
        <v>4.4972532446940451E-263</v>
      </c>
      <c r="AV988">
        <f t="shared" si="905"/>
        <v>1.5393804002590004E-21</v>
      </c>
      <c r="AW988" t="b">
        <f t="shared" si="924"/>
        <v>1</v>
      </c>
      <c r="AX988">
        <f t="shared" si="906"/>
        <v>7.8539816339744828</v>
      </c>
      <c r="AY988">
        <f t="shared" si="907"/>
        <v>-0.99208851962530276</v>
      </c>
      <c r="AZ988">
        <f t="shared" si="908"/>
        <v>-2.3227878003115636</v>
      </c>
      <c r="BA988">
        <f t="shared" si="909"/>
        <v>1.8751577061077789</v>
      </c>
      <c r="BB988">
        <f t="shared" si="910"/>
        <v>-1.2337005501361696E-20</v>
      </c>
      <c r="BD988" s="15">
        <f t="shared" si="925"/>
        <v>6.4142630201453956</v>
      </c>
      <c r="BE988" s="10">
        <f t="shared" si="926"/>
        <v>0</v>
      </c>
      <c r="BF988">
        <f t="shared" si="927"/>
        <v>0</v>
      </c>
      <c r="BG988">
        <f t="shared" si="928"/>
        <v>0</v>
      </c>
      <c r="BH988">
        <f t="shared" si="929"/>
        <v>0</v>
      </c>
      <c r="BI988">
        <f t="shared" si="930"/>
        <v>0</v>
      </c>
    </row>
    <row r="989" spans="1:61" x14ac:dyDescent="0.3">
      <c r="A989">
        <f t="shared" si="877"/>
        <v>0.95199999999999996</v>
      </c>
      <c r="B989">
        <f t="shared" si="878"/>
        <v>2.9907962062174831</v>
      </c>
      <c r="C989">
        <f t="shared" si="879"/>
        <v>0.15079644737231002</v>
      </c>
      <c r="D989">
        <f t="shared" si="880"/>
        <v>0.15079644737231002</v>
      </c>
      <c r="E989">
        <f t="shared" si="885"/>
        <v>0.15022558912075712</v>
      </c>
      <c r="F989">
        <f t="shared" si="886"/>
        <v>0.15022558912075701</v>
      </c>
      <c r="G989">
        <f t="shared" si="881"/>
        <v>2.9907962062174831</v>
      </c>
      <c r="H989">
        <f t="shared" si="882"/>
        <v>0.15022558912075712</v>
      </c>
      <c r="I989">
        <f t="shared" si="883"/>
        <v>0.15022558912075701</v>
      </c>
      <c r="J989">
        <f t="shared" si="873"/>
        <v>4.2377585343056432E+20</v>
      </c>
      <c r="K989">
        <f t="shared" si="874"/>
        <v>4.2377585343056432E+20</v>
      </c>
      <c r="L989" t="e">
        <f t="shared" si="887"/>
        <v>#NUM!</v>
      </c>
      <c r="M989">
        <f t="shared" si="884"/>
        <v>1.5079644737231033E-21</v>
      </c>
      <c r="N989" s="9" t="e">
        <f t="shared" si="875"/>
        <v>#NUM!</v>
      </c>
      <c r="O989" t="e">
        <f t="shared" si="876"/>
        <v>#NUM!</v>
      </c>
      <c r="Q989">
        <f t="shared" si="888"/>
        <v>47.495736341771966</v>
      </c>
      <c r="R989">
        <f t="shared" si="889"/>
        <v>0</v>
      </c>
      <c r="S989">
        <f t="shared" si="911"/>
        <v>-47.943526242105754</v>
      </c>
      <c r="T989" s="9" t="e">
        <f t="shared" si="890"/>
        <v>#N/A</v>
      </c>
      <c r="U989">
        <f t="shared" si="912"/>
        <v>-1.0000000000000001E+300</v>
      </c>
      <c r="V989">
        <f t="shared" si="913"/>
        <v>0</v>
      </c>
      <c r="W989">
        <f t="shared" si="914"/>
        <v>0</v>
      </c>
      <c r="X989">
        <f t="shared" si="891"/>
        <v>0.15079644737231002</v>
      </c>
      <c r="Y989">
        <f t="shared" si="892"/>
        <v>7.8539816339744828</v>
      </c>
      <c r="Z989">
        <f t="shared" si="893"/>
        <v>-0.15079644737231002</v>
      </c>
      <c r="AA989">
        <f t="shared" si="915"/>
        <v>-0.99240862803388963</v>
      </c>
      <c r="AB989">
        <f t="shared" si="894"/>
        <v>6.8615730059405928</v>
      </c>
      <c r="AC989">
        <f t="shared" si="916"/>
        <v>-2.3434070875143012</v>
      </c>
      <c r="AD989">
        <f t="shared" si="895"/>
        <v>1.8956171871805048</v>
      </c>
      <c r="AE989" s="9">
        <f t="shared" si="917"/>
        <v>6.4137831056067958</v>
      </c>
      <c r="AF989">
        <f t="shared" si="918"/>
        <v>6.0248944737669435E-263</v>
      </c>
      <c r="AH989">
        <f t="shared" si="896"/>
        <v>7.8539816339744828</v>
      </c>
      <c r="AI989">
        <f t="shared" si="897"/>
        <v>-0.99240862803388996</v>
      </c>
      <c r="AJ989">
        <f t="shared" si="898"/>
        <v>-2.3434070875142936</v>
      </c>
      <c r="AK989">
        <f t="shared" si="899"/>
        <v>1.8956171871805048</v>
      </c>
      <c r="AL989" s="9">
        <f t="shared" si="919"/>
        <v>6.4137831056068038</v>
      </c>
      <c r="AM989" t="e">
        <f t="shared" si="900"/>
        <v>#N/A</v>
      </c>
      <c r="AN989" t="e">
        <f t="shared" si="920"/>
        <v>#N/A</v>
      </c>
      <c r="AO989">
        <f t="shared" si="901"/>
        <v>0</v>
      </c>
      <c r="AP989">
        <f t="shared" si="902"/>
        <v>0</v>
      </c>
      <c r="AQ989">
        <f t="shared" si="903"/>
        <v>7.5495165674510645E-15</v>
      </c>
      <c r="AR989">
        <f t="shared" si="921"/>
        <v>0</v>
      </c>
      <c r="AS989">
        <f t="shared" si="904"/>
        <v>7.9936057773011271E-15</v>
      </c>
      <c r="AT989">
        <f t="shared" si="922"/>
        <v>1.246316822019328E-15</v>
      </c>
      <c r="AU989">
        <f t="shared" si="923"/>
        <v>6.0248944737375385E-263</v>
      </c>
      <c r="AV989">
        <f t="shared" si="905"/>
        <v>1.5079644737231001E-21</v>
      </c>
      <c r="AW989" t="b">
        <f t="shared" si="924"/>
        <v>1</v>
      </c>
      <c r="AX989">
        <f t="shared" si="906"/>
        <v>7.8539816339744828</v>
      </c>
      <c r="AY989">
        <f t="shared" si="907"/>
        <v>-0.99240862803388996</v>
      </c>
      <c r="AZ989">
        <f t="shared" si="908"/>
        <v>-2.3434070875143012</v>
      </c>
      <c r="BA989">
        <f t="shared" si="909"/>
        <v>1.8956171871805054</v>
      </c>
      <c r="BB989">
        <f t="shared" si="910"/>
        <v>-1.2337005501361696E-20</v>
      </c>
      <c r="BD989" s="15">
        <f t="shared" si="925"/>
        <v>6.4137831056067967</v>
      </c>
      <c r="BE989" s="10">
        <f t="shared" si="926"/>
        <v>-7.1054273576010019E-15</v>
      </c>
      <c r="BF989">
        <f t="shared" si="927"/>
        <v>0</v>
      </c>
      <c r="BG989">
        <f t="shared" si="928"/>
        <v>0</v>
      </c>
      <c r="BH989">
        <f t="shared" si="929"/>
        <v>0</v>
      </c>
      <c r="BI989">
        <f t="shared" si="930"/>
        <v>0</v>
      </c>
    </row>
    <row r="990" spans="1:61" x14ac:dyDescent="0.3">
      <c r="A990">
        <f t="shared" si="877"/>
        <v>0.95299999999999996</v>
      </c>
      <c r="B990">
        <f t="shared" si="878"/>
        <v>2.9939377988710727</v>
      </c>
      <c r="C990">
        <f t="shared" si="879"/>
        <v>0.14765485471872042</v>
      </c>
      <c r="D990">
        <f t="shared" si="880"/>
        <v>0.14765485471872042</v>
      </c>
      <c r="E990">
        <f t="shared" si="885"/>
        <v>0.14711891183863762</v>
      </c>
      <c r="F990">
        <f t="shared" si="886"/>
        <v>0.14711891183863751</v>
      </c>
      <c r="G990">
        <f t="shared" si="881"/>
        <v>2.9939377988710727</v>
      </c>
      <c r="H990">
        <f t="shared" si="882"/>
        <v>0.14711891183863762</v>
      </c>
      <c r="I990">
        <f t="shared" si="883"/>
        <v>0.14711891183863751</v>
      </c>
      <c r="J990">
        <f t="shared" si="873"/>
        <v>4.3272463370707645E+20</v>
      </c>
      <c r="K990">
        <f t="shared" si="874"/>
        <v>4.3272463370707645E+20</v>
      </c>
      <c r="L990">
        <f t="shared" si="887"/>
        <v>0</v>
      </c>
      <c r="M990">
        <f t="shared" si="884"/>
        <v>1.4765485471872037E-21</v>
      </c>
      <c r="N990" s="9">
        <f t="shared" si="875"/>
        <v>0</v>
      </c>
      <c r="O990">
        <f t="shared" si="876"/>
        <v>0</v>
      </c>
      <c r="Q990">
        <f t="shared" si="888"/>
        <v>47.516633249725238</v>
      </c>
      <c r="R990">
        <f t="shared" si="889"/>
        <v>0</v>
      </c>
      <c r="S990">
        <f t="shared" si="911"/>
        <v>-47.964579651303595</v>
      </c>
      <c r="T990" s="9" t="e">
        <f t="shared" si="890"/>
        <v>#N/A</v>
      </c>
      <c r="U990">
        <f t="shared" si="912"/>
        <v>-1.0000000000000001E+300</v>
      </c>
      <c r="V990">
        <f t="shared" si="913"/>
        <v>0</v>
      </c>
      <c r="W990">
        <f t="shared" si="914"/>
        <v>0</v>
      </c>
      <c r="X990">
        <f t="shared" si="891"/>
        <v>0.14765485471872042</v>
      </c>
      <c r="Y990">
        <f t="shared" si="892"/>
        <v>7.8539816339744828</v>
      </c>
      <c r="Z990">
        <f t="shared" si="893"/>
        <v>-0.14765485471872042</v>
      </c>
      <c r="AA990">
        <f t="shared" si="915"/>
        <v>-0.99272209652818311</v>
      </c>
      <c r="AB990">
        <f t="shared" si="894"/>
        <v>6.8612595374462995</v>
      </c>
      <c r="AC990">
        <f t="shared" si="916"/>
        <v>-2.3644604967121321</v>
      </c>
      <c r="AD990">
        <f t="shared" si="895"/>
        <v>1.9165140951337785</v>
      </c>
      <c r="AE990" s="9">
        <f t="shared" si="917"/>
        <v>6.4133131358679458</v>
      </c>
      <c r="AF990">
        <f t="shared" si="918"/>
        <v>8.0215935631152521E-263</v>
      </c>
      <c r="AH990">
        <f t="shared" si="896"/>
        <v>7.8539816339744828</v>
      </c>
      <c r="AI990">
        <f t="shared" si="897"/>
        <v>-0.992722096528182</v>
      </c>
      <c r="AJ990">
        <f t="shared" si="898"/>
        <v>-2.3644604967121339</v>
      </c>
      <c r="AK990">
        <f t="shared" si="899"/>
        <v>1.9165140951337785</v>
      </c>
      <c r="AL990" s="9">
        <f t="shared" si="919"/>
        <v>6.4133131358679458</v>
      </c>
      <c r="AM990" t="e">
        <f t="shared" si="900"/>
        <v>#N/A</v>
      </c>
      <c r="AN990" t="e">
        <f t="shared" si="920"/>
        <v>#N/A</v>
      </c>
      <c r="AO990">
        <f t="shared" si="901"/>
        <v>0</v>
      </c>
      <c r="AP990">
        <f t="shared" si="902"/>
        <v>1.1102230246251565E-15</v>
      </c>
      <c r="AQ990">
        <f t="shared" si="903"/>
        <v>0</v>
      </c>
      <c r="AR990">
        <f t="shared" si="921"/>
        <v>-1.1183623579125589E-15</v>
      </c>
      <c r="AS990">
        <f t="shared" si="904"/>
        <v>0</v>
      </c>
      <c r="AT990">
        <f t="shared" si="922"/>
        <v>0</v>
      </c>
      <c r="AU990">
        <f t="shared" si="923"/>
        <v>8.0215935631152521E-263</v>
      </c>
      <c r="AV990">
        <f t="shared" si="905"/>
        <v>1.476548547187204E-21</v>
      </c>
      <c r="AW990" t="b">
        <f t="shared" si="924"/>
        <v>1</v>
      </c>
      <c r="AX990">
        <f t="shared" si="906"/>
        <v>7.8539816339744828</v>
      </c>
      <c r="AY990">
        <f t="shared" si="907"/>
        <v>-0.99272209652818355</v>
      </c>
      <c r="AZ990">
        <f t="shared" si="908"/>
        <v>-2.3644604967121321</v>
      </c>
      <c r="BA990">
        <f t="shared" si="909"/>
        <v>1.9165140951337791</v>
      </c>
      <c r="BB990">
        <f t="shared" si="910"/>
        <v>-1.2337005501361696E-20</v>
      </c>
      <c r="BD990" s="15">
        <f t="shared" si="925"/>
        <v>6.4133131358679467</v>
      </c>
      <c r="BE990" s="10">
        <f t="shared" si="926"/>
        <v>0</v>
      </c>
      <c r="BF990">
        <f t="shared" si="927"/>
        <v>0</v>
      </c>
      <c r="BG990">
        <f t="shared" si="928"/>
        <v>0</v>
      </c>
      <c r="BH990">
        <f t="shared" si="929"/>
        <v>0</v>
      </c>
      <c r="BI990">
        <f t="shared" si="930"/>
        <v>0</v>
      </c>
    </row>
    <row r="991" spans="1:61" x14ac:dyDescent="0.3">
      <c r="A991">
        <f t="shared" si="877"/>
        <v>0.95399999999999996</v>
      </c>
      <c r="B991">
        <f t="shared" si="878"/>
        <v>2.9970793915246623</v>
      </c>
      <c r="C991">
        <f t="shared" si="879"/>
        <v>0.14451326206513082</v>
      </c>
      <c r="D991">
        <f t="shared" si="880"/>
        <v>0.14451326206513082</v>
      </c>
      <c r="E991">
        <f t="shared" si="885"/>
        <v>0.14401078255225261</v>
      </c>
      <c r="F991">
        <f t="shared" si="886"/>
        <v>0.1440107825522525</v>
      </c>
      <c r="G991">
        <f t="shared" si="881"/>
        <v>2.9970793915246623</v>
      </c>
      <c r="H991">
        <f t="shared" si="882"/>
        <v>0.14401078255225261</v>
      </c>
      <c r="I991">
        <f t="shared" si="883"/>
        <v>0.1440107825522525</v>
      </c>
      <c r="J991">
        <f t="shared" si="873"/>
        <v>4.4206396290957692E+20</v>
      </c>
      <c r="K991">
        <f t="shared" si="874"/>
        <v>4.4206396290957692E+20</v>
      </c>
      <c r="L991">
        <f t="shared" si="887"/>
        <v>1</v>
      </c>
      <c r="M991">
        <f t="shared" si="884"/>
        <v>1.4451326206513101E-21</v>
      </c>
      <c r="N991" s="9">
        <f t="shared" si="875"/>
        <v>1.4451326206513101E-21</v>
      </c>
      <c r="O991">
        <f t="shared" si="876"/>
        <v>1.4451326206513101E-21</v>
      </c>
      <c r="Q991">
        <f t="shared" si="888"/>
        <v>47.537986257965791</v>
      </c>
      <c r="R991">
        <f t="shared" si="889"/>
        <v>0</v>
      </c>
      <c r="S991">
        <f t="shared" si="911"/>
        <v>-47.986085856524554</v>
      </c>
      <c r="T991" s="9" t="e">
        <f t="shared" si="890"/>
        <v>#N/A</v>
      </c>
      <c r="U991">
        <f t="shared" si="912"/>
        <v>-1.0000000000000001E+300</v>
      </c>
      <c r="V991">
        <f t="shared" si="913"/>
        <v>0</v>
      </c>
      <c r="W991">
        <f t="shared" si="914"/>
        <v>0</v>
      </c>
      <c r="X991">
        <f t="shared" si="891"/>
        <v>0.14451326206513082</v>
      </c>
      <c r="Y991">
        <f t="shared" si="892"/>
        <v>7.8539816339744828</v>
      </c>
      <c r="Z991">
        <f t="shared" si="893"/>
        <v>-0.14451326206513082</v>
      </c>
      <c r="AA991">
        <f t="shared" si="915"/>
        <v>-0.99302892760222017</v>
      </c>
      <c r="AB991">
        <f t="shared" si="894"/>
        <v>6.8609527063722631</v>
      </c>
      <c r="AC991">
        <f t="shared" si="916"/>
        <v>-2.3859667019330941</v>
      </c>
      <c r="AD991">
        <f t="shared" si="895"/>
        <v>1.9378671033743289</v>
      </c>
      <c r="AE991" s="9">
        <f t="shared" si="917"/>
        <v>6.4128531078134969</v>
      </c>
      <c r="AF991">
        <f t="shared" si="918"/>
        <v>1.061415770400915E-262</v>
      </c>
      <c r="AH991">
        <f t="shared" si="896"/>
        <v>7.8539816339744828</v>
      </c>
      <c r="AI991">
        <f t="shared" si="897"/>
        <v>-0.99302892760221939</v>
      </c>
      <c r="AJ991">
        <f t="shared" si="898"/>
        <v>-2.3859667019330928</v>
      </c>
      <c r="AK991">
        <f t="shared" si="899"/>
        <v>1.9378671033743289</v>
      </c>
      <c r="AL991" s="9">
        <f t="shared" si="919"/>
        <v>6.4128531078134987</v>
      </c>
      <c r="AM991" t="e">
        <f t="shared" si="900"/>
        <v>#N/A</v>
      </c>
      <c r="AN991" t="e">
        <f t="shared" si="920"/>
        <v>#N/A</v>
      </c>
      <c r="AO991">
        <f t="shared" si="901"/>
        <v>0</v>
      </c>
      <c r="AP991">
        <f t="shared" si="902"/>
        <v>0</v>
      </c>
      <c r="AQ991">
        <f t="shared" si="903"/>
        <v>0</v>
      </c>
      <c r="AR991">
        <f t="shared" si="921"/>
        <v>0</v>
      </c>
      <c r="AS991">
        <f t="shared" si="904"/>
        <v>0</v>
      </c>
      <c r="AT991">
        <f t="shared" si="922"/>
        <v>0</v>
      </c>
      <c r="AU991">
        <f t="shared" si="923"/>
        <v>1.0614157703998309E-262</v>
      </c>
      <c r="AV991">
        <f t="shared" si="905"/>
        <v>1.4451326206513082E-21</v>
      </c>
      <c r="AW991" t="b">
        <f t="shared" si="924"/>
        <v>1</v>
      </c>
      <c r="AX991">
        <f t="shared" si="906"/>
        <v>7.8539816339744828</v>
      </c>
      <c r="AY991">
        <f t="shared" si="907"/>
        <v>-0.99302892760222061</v>
      </c>
      <c r="AZ991">
        <f t="shared" si="908"/>
        <v>-2.3859667019330941</v>
      </c>
      <c r="BA991">
        <f t="shared" si="909"/>
        <v>1.9378671033743298</v>
      </c>
      <c r="BB991">
        <f t="shared" si="910"/>
        <v>-1.2337005501361696E-20</v>
      </c>
      <c r="BD991" s="15">
        <f t="shared" si="925"/>
        <v>6.4128531078134987</v>
      </c>
      <c r="BE991" s="10">
        <f t="shared" si="926"/>
        <v>0</v>
      </c>
      <c r="BF991">
        <f t="shared" si="927"/>
        <v>0</v>
      </c>
      <c r="BG991">
        <f t="shared" si="928"/>
        <v>0</v>
      </c>
      <c r="BH991">
        <f t="shared" si="929"/>
        <v>0</v>
      </c>
      <c r="BI991">
        <f t="shared" si="930"/>
        <v>0</v>
      </c>
    </row>
    <row r="992" spans="1:61" x14ac:dyDescent="0.3">
      <c r="A992">
        <f t="shared" si="877"/>
        <v>0.95499999999999996</v>
      </c>
      <c r="B992">
        <f t="shared" si="878"/>
        <v>3.0002209841782523</v>
      </c>
      <c r="C992">
        <f t="shared" si="879"/>
        <v>0.14137166941154078</v>
      </c>
      <c r="D992">
        <f t="shared" si="880"/>
        <v>0.14137166941154078</v>
      </c>
      <c r="E992">
        <f t="shared" si="885"/>
        <v>0.14090123193758286</v>
      </c>
      <c r="F992">
        <f t="shared" si="886"/>
        <v>0.14090123193758275</v>
      </c>
      <c r="G992">
        <f t="shared" si="881"/>
        <v>3.0002209841782523</v>
      </c>
      <c r="H992">
        <f t="shared" si="882"/>
        <v>0.14090123193758286</v>
      </c>
      <c r="I992">
        <f t="shared" si="883"/>
        <v>0.14090123193758275</v>
      </c>
      <c r="J992">
        <f t="shared" si="873"/>
        <v>4.5181987667048536E+20</v>
      </c>
      <c r="K992">
        <f t="shared" si="874"/>
        <v>4.5181987667048536E+20</v>
      </c>
      <c r="L992">
        <f t="shared" si="887"/>
        <v>1</v>
      </c>
      <c r="M992">
        <f t="shared" si="884"/>
        <v>1.4137166941154104E-21</v>
      </c>
      <c r="N992" s="9">
        <f t="shared" si="875"/>
        <v>1.4137166941154104E-21</v>
      </c>
      <c r="O992">
        <f t="shared" si="876"/>
        <v>1.4137166941154104E-21</v>
      </c>
      <c r="Q992">
        <f t="shared" si="888"/>
        <v>47.55981527136025</v>
      </c>
      <c r="R992">
        <f t="shared" si="889"/>
        <v>0</v>
      </c>
      <c r="S992">
        <f t="shared" si="911"/>
        <v>-48.008064763243326</v>
      </c>
      <c r="T992" s="9" t="e">
        <f t="shared" si="890"/>
        <v>#N/A</v>
      </c>
      <c r="U992">
        <f t="shared" si="912"/>
        <v>-1.0000000000000001E+300</v>
      </c>
      <c r="V992">
        <f t="shared" si="913"/>
        <v>0</v>
      </c>
      <c r="W992">
        <f t="shared" si="914"/>
        <v>0</v>
      </c>
      <c r="X992">
        <f t="shared" si="891"/>
        <v>0.14137166941154078</v>
      </c>
      <c r="Y992">
        <f t="shared" si="892"/>
        <v>7.8539816339744828</v>
      </c>
      <c r="Z992">
        <f t="shared" si="893"/>
        <v>-0.14137166941154078</v>
      </c>
      <c r="AA992">
        <f t="shared" si="915"/>
        <v>-0.99332912369645143</v>
      </c>
      <c r="AB992">
        <f t="shared" si="894"/>
        <v>6.8606525102780314</v>
      </c>
      <c r="AC992">
        <f t="shared" si="916"/>
        <v>-2.4079456086518713</v>
      </c>
      <c r="AD992">
        <f t="shared" si="895"/>
        <v>1.9596961167687923</v>
      </c>
      <c r="AE992" s="9">
        <f t="shared" si="917"/>
        <v>6.4124030183949516</v>
      </c>
      <c r="AF992">
        <f t="shared" si="918"/>
        <v>1.3958172368812008E-262</v>
      </c>
      <c r="AH992">
        <f t="shared" si="896"/>
        <v>7.8539816339744828</v>
      </c>
      <c r="AI992">
        <f t="shared" si="897"/>
        <v>-0.99332912369645376</v>
      </c>
      <c r="AJ992">
        <f t="shared" si="898"/>
        <v>-2.4079456086518647</v>
      </c>
      <c r="AK992">
        <f t="shared" si="899"/>
        <v>1.9596961167687923</v>
      </c>
      <c r="AL992" s="9">
        <f t="shared" si="919"/>
        <v>6.4124030183949561</v>
      </c>
      <c r="AM992" t="e">
        <f t="shared" si="900"/>
        <v>#N/A</v>
      </c>
      <c r="AN992" t="e">
        <f t="shared" si="920"/>
        <v>#N/A</v>
      </c>
      <c r="AO992">
        <f t="shared" si="901"/>
        <v>0</v>
      </c>
      <c r="AP992">
        <f t="shared" si="902"/>
        <v>-2.3314683517128287E-15</v>
      </c>
      <c r="AQ992">
        <f t="shared" si="903"/>
        <v>6.6613381477509392E-15</v>
      </c>
      <c r="AR992">
        <f t="shared" si="921"/>
        <v>2.3471257371743889E-15</v>
      </c>
      <c r="AS992">
        <f t="shared" si="904"/>
        <v>0</v>
      </c>
      <c r="AT992">
        <f t="shared" si="922"/>
        <v>0</v>
      </c>
      <c r="AU992">
        <f t="shared" si="923"/>
        <v>1.3958172368773986E-262</v>
      </c>
      <c r="AV992">
        <f t="shared" si="905"/>
        <v>1.4137166941154076E-21</v>
      </c>
      <c r="AW992" t="b">
        <f t="shared" si="924"/>
        <v>1</v>
      </c>
      <c r="AX992">
        <f t="shared" si="906"/>
        <v>7.8539816339744828</v>
      </c>
      <c r="AY992">
        <f t="shared" si="907"/>
        <v>-0.99332912369645165</v>
      </c>
      <c r="AZ992">
        <f t="shared" si="908"/>
        <v>-2.4079456086518713</v>
      </c>
      <c r="BA992">
        <f t="shared" si="909"/>
        <v>1.9596961167687932</v>
      </c>
      <c r="BB992">
        <f t="shared" si="910"/>
        <v>-1.2337005501361696E-20</v>
      </c>
      <c r="BD992" s="15">
        <f t="shared" si="925"/>
        <v>6.4124030183949525</v>
      </c>
      <c r="BE992" s="10">
        <f t="shared" si="926"/>
        <v>0</v>
      </c>
      <c r="BF992">
        <f t="shared" si="927"/>
        <v>0</v>
      </c>
      <c r="BG992">
        <f t="shared" si="928"/>
        <v>0</v>
      </c>
      <c r="BH992">
        <f t="shared" si="929"/>
        <v>0</v>
      </c>
      <c r="BI992">
        <f t="shared" si="930"/>
        <v>0</v>
      </c>
    </row>
    <row r="993" spans="1:61" x14ac:dyDescent="0.3">
      <c r="A993">
        <f t="shared" si="877"/>
        <v>0.95599999999999996</v>
      </c>
      <c r="B993">
        <f t="shared" si="878"/>
        <v>3.0033625768318419</v>
      </c>
      <c r="C993">
        <f t="shared" si="879"/>
        <v>0.13823007675795118</v>
      </c>
      <c r="D993">
        <f t="shared" si="880"/>
        <v>0.13823007675795118</v>
      </c>
      <c r="E993">
        <f t="shared" si="885"/>
        <v>0.13779029068463847</v>
      </c>
      <c r="F993">
        <f t="shared" si="886"/>
        <v>0.13779029068463833</v>
      </c>
      <c r="G993">
        <f t="shared" si="881"/>
        <v>3.0033625768318419</v>
      </c>
      <c r="H993">
        <f t="shared" si="882"/>
        <v>0.13779029068463847</v>
      </c>
      <c r="I993">
        <f t="shared" si="883"/>
        <v>0.13779029068463833</v>
      </c>
      <c r="J993">
        <f t="shared" si="873"/>
        <v>4.6202077751952586E+20</v>
      </c>
      <c r="K993">
        <f t="shared" si="874"/>
        <v>4.6202077751952586E+20</v>
      </c>
      <c r="L993">
        <f t="shared" si="887"/>
        <v>1</v>
      </c>
      <c r="M993">
        <f t="shared" si="884"/>
        <v>1.3823007675795108E-21</v>
      </c>
      <c r="N993" s="9">
        <f t="shared" si="875"/>
        <v>1.3823007675795108E-21</v>
      </c>
      <c r="O993">
        <f t="shared" si="876"/>
        <v>1.3823007675795108E-21</v>
      </c>
      <c r="Q993">
        <f t="shared" si="888"/>
        <v>47.582141536949294</v>
      </c>
      <c r="R993">
        <f t="shared" si="889"/>
        <v>0</v>
      </c>
      <c r="S993">
        <f t="shared" si="911"/>
        <v>-48.030537619095391</v>
      </c>
      <c r="T993" s="9" t="e">
        <f t="shared" si="890"/>
        <v>#N/A</v>
      </c>
      <c r="U993">
        <f t="shared" si="912"/>
        <v>-1.0000000000000001E+300</v>
      </c>
      <c r="V993">
        <f t="shared" si="913"/>
        <v>0</v>
      </c>
      <c r="W993">
        <f t="shared" si="914"/>
        <v>0</v>
      </c>
      <c r="X993">
        <f t="shared" si="891"/>
        <v>0.13823007675795118</v>
      </c>
      <c r="Y993">
        <f t="shared" si="892"/>
        <v>7.8539816339744828</v>
      </c>
      <c r="Z993">
        <f t="shared" si="893"/>
        <v>-0.13823007675795118</v>
      </c>
      <c r="AA993">
        <f t="shared" si="915"/>
        <v>-0.99362268719781055</v>
      </c>
      <c r="AB993">
        <f t="shared" si="894"/>
        <v>6.8603589467766719</v>
      </c>
      <c r="AC993">
        <f t="shared" si="916"/>
        <v>-2.4304184645039286</v>
      </c>
      <c r="AD993">
        <f t="shared" si="895"/>
        <v>1.9820223823578345</v>
      </c>
      <c r="AE993" s="9">
        <f t="shared" si="917"/>
        <v>6.4119628646305777</v>
      </c>
      <c r="AF993">
        <f t="shared" si="918"/>
        <v>1.8242908524153969E-262</v>
      </c>
      <c r="AH993">
        <f t="shared" si="896"/>
        <v>7.8539816339744828</v>
      </c>
      <c r="AI993">
        <f t="shared" si="897"/>
        <v>-0.99362268719781044</v>
      </c>
      <c r="AJ993">
        <f t="shared" si="898"/>
        <v>-2.43041846450393</v>
      </c>
      <c r="AK993">
        <f t="shared" si="899"/>
        <v>1.9820223823578345</v>
      </c>
      <c r="AL993" s="9">
        <f t="shared" si="919"/>
        <v>6.4119628646305777</v>
      </c>
      <c r="AM993" t="e">
        <f t="shared" si="900"/>
        <v>#N/A</v>
      </c>
      <c r="AN993" t="e">
        <f t="shared" si="920"/>
        <v>#N/A</v>
      </c>
      <c r="AO993">
        <f t="shared" si="901"/>
        <v>0</v>
      </c>
      <c r="AP993">
        <f t="shared" si="902"/>
        <v>0</v>
      </c>
      <c r="AQ993">
        <f t="shared" si="903"/>
        <v>0</v>
      </c>
      <c r="AR993">
        <f t="shared" si="921"/>
        <v>0</v>
      </c>
      <c r="AS993">
        <f t="shared" si="904"/>
        <v>0</v>
      </c>
      <c r="AT993">
        <f t="shared" si="922"/>
        <v>0</v>
      </c>
      <c r="AU993">
        <f t="shared" si="923"/>
        <v>1.8242908524153969E-262</v>
      </c>
      <c r="AV993">
        <f t="shared" si="905"/>
        <v>1.3823007675795118E-21</v>
      </c>
      <c r="AW993" t="b">
        <f t="shared" si="924"/>
        <v>1</v>
      </c>
      <c r="AX993">
        <f t="shared" si="906"/>
        <v>7.8539816339744828</v>
      </c>
      <c r="AY993">
        <f t="shared" si="907"/>
        <v>-0.99362268719781088</v>
      </c>
      <c r="AZ993">
        <f t="shared" si="908"/>
        <v>-2.4304184645039286</v>
      </c>
      <c r="BA993">
        <f t="shared" si="909"/>
        <v>1.9820223823578356</v>
      </c>
      <c r="BB993">
        <f t="shared" si="910"/>
        <v>-1.2337005501361696E-20</v>
      </c>
      <c r="BD993" s="15">
        <f t="shared" si="925"/>
        <v>6.4119628646305786</v>
      </c>
      <c r="BE993" s="10">
        <f t="shared" si="926"/>
        <v>0</v>
      </c>
      <c r="BF993">
        <f t="shared" si="927"/>
        <v>0</v>
      </c>
      <c r="BG993">
        <f t="shared" si="928"/>
        <v>0</v>
      </c>
      <c r="BH993">
        <f t="shared" si="929"/>
        <v>0</v>
      </c>
      <c r="BI993">
        <f t="shared" si="930"/>
        <v>0</v>
      </c>
    </row>
    <row r="994" spans="1:61" x14ac:dyDescent="0.3">
      <c r="A994">
        <f t="shared" si="877"/>
        <v>0.95699999999999996</v>
      </c>
      <c r="B994">
        <f t="shared" si="878"/>
        <v>3.006504169485432</v>
      </c>
      <c r="C994">
        <f t="shared" si="879"/>
        <v>0.13508848410436114</v>
      </c>
      <c r="D994">
        <f t="shared" si="880"/>
        <v>0.13508848410436114</v>
      </c>
      <c r="E994">
        <f t="shared" si="885"/>
        <v>0.13467798949715276</v>
      </c>
      <c r="F994">
        <f t="shared" si="886"/>
        <v>0.13467798949715262</v>
      </c>
      <c r="G994">
        <f t="shared" si="881"/>
        <v>3.006504169485432</v>
      </c>
      <c r="H994">
        <f t="shared" si="882"/>
        <v>0.13467798949715276</v>
      </c>
      <c r="I994">
        <f t="shared" si="883"/>
        <v>0.13467798949715262</v>
      </c>
      <c r="J994">
        <f t="shared" si="873"/>
        <v>4.7269771010432277E+20</v>
      </c>
      <c r="K994">
        <f t="shared" si="874"/>
        <v>4.7269771010432277E+20</v>
      </c>
      <c r="L994" t="e">
        <f t="shared" si="887"/>
        <v>#NUM!</v>
      </c>
      <c r="M994">
        <f t="shared" si="884"/>
        <v>1.3508848410436112E-21</v>
      </c>
      <c r="N994" s="9" t="e">
        <f t="shared" si="875"/>
        <v>#NUM!</v>
      </c>
      <c r="O994" t="e">
        <f t="shared" si="876"/>
        <v>#NUM!</v>
      </c>
      <c r="Q994">
        <f t="shared" si="888"/>
        <v>47.604987767390718</v>
      </c>
      <c r="R994">
        <f t="shared" si="889"/>
        <v>0</v>
      </c>
      <c r="S994">
        <f t="shared" si="911"/>
        <v>-48.053527137320089</v>
      </c>
      <c r="T994" s="9" t="e">
        <f t="shared" si="890"/>
        <v>#N/A</v>
      </c>
      <c r="U994">
        <f t="shared" si="912"/>
        <v>-1.0000000000000001E+300</v>
      </c>
      <c r="V994">
        <f t="shared" si="913"/>
        <v>0</v>
      </c>
      <c r="W994">
        <f t="shared" si="914"/>
        <v>0</v>
      </c>
      <c r="X994">
        <f t="shared" si="891"/>
        <v>0.13508848410436114</v>
      </c>
      <c r="Y994">
        <f t="shared" si="892"/>
        <v>7.8539816339744828</v>
      </c>
      <c r="Z994">
        <f t="shared" si="893"/>
        <v>-0.13508848410436114</v>
      </c>
      <c r="AA994">
        <f t="shared" si="915"/>
        <v>-0.99390962043978259</v>
      </c>
      <c r="AB994">
        <f t="shared" si="894"/>
        <v>6.8600720135347002</v>
      </c>
      <c r="AC994">
        <f t="shared" si="916"/>
        <v>-2.453407982728629</v>
      </c>
      <c r="AD994">
        <f t="shared" si="895"/>
        <v>2.0048686127992559</v>
      </c>
      <c r="AE994" s="9">
        <f t="shared" si="917"/>
        <v>6.4115326436053275</v>
      </c>
      <c r="AF994">
        <f t="shared" si="918"/>
        <v>2.3696618097080337E-262</v>
      </c>
      <c r="AH994">
        <f t="shared" si="896"/>
        <v>7.8539816339744828</v>
      </c>
      <c r="AI994">
        <f t="shared" si="897"/>
        <v>-0.99390962043978237</v>
      </c>
      <c r="AJ994">
        <f t="shared" si="898"/>
        <v>-2.4534079827286277</v>
      </c>
      <c r="AK994">
        <f t="shared" si="899"/>
        <v>2.0048686127992559</v>
      </c>
      <c r="AL994" s="9">
        <f t="shared" si="919"/>
        <v>6.4115326436053284</v>
      </c>
      <c r="AM994" t="e">
        <f t="shared" si="900"/>
        <v>#N/A</v>
      </c>
      <c r="AN994" t="e">
        <f t="shared" si="920"/>
        <v>#N/A</v>
      </c>
      <c r="AO994">
        <f t="shared" si="901"/>
        <v>0</v>
      </c>
      <c r="AP994">
        <f t="shared" si="902"/>
        <v>0</v>
      </c>
      <c r="AQ994">
        <f t="shared" si="903"/>
        <v>0</v>
      </c>
      <c r="AR994">
        <f t="shared" si="921"/>
        <v>0</v>
      </c>
      <c r="AS994">
        <f t="shared" si="904"/>
        <v>0</v>
      </c>
      <c r="AT994">
        <f t="shared" si="922"/>
        <v>0</v>
      </c>
      <c r="AU994">
        <f t="shared" si="923"/>
        <v>2.3696618097069579E-262</v>
      </c>
      <c r="AV994">
        <f t="shared" si="905"/>
        <v>1.3508848410436114E-21</v>
      </c>
      <c r="AW994" t="b">
        <f t="shared" si="924"/>
        <v>1</v>
      </c>
      <c r="AX994">
        <f t="shared" si="906"/>
        <v>7.8539816339744828</v>
      </c>
      <c r="AY994">
        <f t="shared" si="907"/>
        <v>-0.99390962043978304</v>
      </c>
      <c r="AZ994">
        <f t="shared" si="908"/>
        <v>-2.453407982728629</v>
      </c>
      <c r="BA994">
        <f t="shared" si="909"/>
        <v>2.0048686127992568</v>
      </c>
      <c r="BB994">
        <f t="shared" si="910"/>
        <v>-1.2337005501361696E-20</v>
      </c>
      <c r="BD994" s="15">
        <f t="shared" si="925"/>
        <v>6.4115326436053266</v>
      </c>
      <c r="BE994" s="10">
        <f t="shared" si="926"/>
        <v>0</v>
      </c>
      <c r="BF994">
        <f t="shared" si="927"/>
        <v>0</v>
      </c>
      <c r="BG994">
        <f t="shared" si="928"/>
        <v>0</v>
      </c>
      <c r="BH994">
        <f t="shared" si="929"/>
        <v>0</v>
      </c>
      <c r="BI994">
        <f t="shared" si="930"/>
        <v>0</v>
      </c>
    </row>
    <row r="995" spans="1:61" x14ac:dyDescent="0.3">
      <c r="A995">
        <f t="shared" si="877"/>
        <v>0.95799999999999996</v>
      </c>
      <c r="B995">
        <f t="shared" si="878"/>
        <v>3.0096457621390216</v>
      </c>
      <c r="C995">
        <f t="shared" si="879"/>
        <v>0.13194689145077154</v>
      </c>
      <c r="D995">
        <f t="shared" si="880"/>
        <v>0.13194689145077154</v>
      </c>
      <c r="E995">
        <f t="shared" si="885"/>
        <v>0.13156435909228284</v>
      </c>
      <c r="F995">
        <f t="shared" si="886"/>
        <v>0.13156435909228273</v>
      </c>
      <c r="G995">
        <f t="shared" si="881"/>
        <v>3.0096457621390216</v>
      </c>
      <c r="H995">
        <f t="shared" si="882"/>
        <v>0.13156435909228284</v>
      </c>
      <c r="I995">
        <f t="shared" si="883"/>
        <v>0.13156435909228273</v>
      </c>
      <c r="J995">
        <f t="shared" si="873"/>
        <v>4.8388467572820306E+20</v>
      </c>
      <c r="K995">
        <f t="shared" si="874"/>
        <v>4.8388467572820306E+20</v>
      </c>
      <c r="L995" t="e">
        <f t="shared" si="887"/>
        <v>#NUM!</v>
      </c>
      <c r="M995">
        <f t="shared" si="884"/>
        <v>1.3194689145077176E-21</v>
      </c>
      <c r="N995" s="9" t="e">
        <f t="shared" si="875"/>
        <v>#NUM!</v>
      </c>
      <c r="O995" t="e">
        <f t="shared" si="876"/>
        <v>#NUM!</v>
      </c>
      <c r="Q995">
        <f t="shared" si="888"/>
        <v>47.628378278929027</v>
      </c>
      <c r="R995">
        <f t="shared" si="889"/>
        <v>0</v>
      </c>
      <c r="S995">
        <f t="shared" si="911"/>
        <v>-48.077057634730281</v>
      </c>
      <c r="T995" s="9" t="e">
        <f t="shared" si="890"/>
        <v>#N/A</v>
      </c>
      <c r="U995">
        <f t="shared" si="912"/>
        <v>-1.0000000000000001E+300</v>
      </c>
      <c r="V995">
        <f t="shared" si="913"/>
        <v>0</v>
      </c>
      <c r="W995">
        <f t="shared" si="914"/>
        <v>0</v>
      </c>
      <c r="X995">
        <f t="shared" si="891"/>
        <v>0.13194689145077154</v>
      </c>
      <c r="Y995">
        <f t="shared" si="892"/>
        <v>7.8539816339744828</v>
      </c>
      <c r="Z995">
        <f t="shared" si="893"/>
        <v>-0.13194689145077154</v>
      </c>
      <c r="AA995">
        <f t="shared" si="915"/>
        <v>-0.99418992570246967</v>
      </c>
      <c r="AB995">
        <f t="shared" si="894"/>
        <v>6.859791708272013</v>
      </c>
      <c r="AC995">
        <f t="shared" si="916"/>
        <v>-2.4769384801388217</v>
      </c>
      <c r="AD995">
        <f t="shared" si="895"/>
        <v>2.0282591243375681</v>
      </c>
      <c r="AE995" s="9">
        <f t="shared" si="917"/>
        <v>6.4111123524707594</v>
      </c>
      <c r="AF995">
        <f t="shared" si="918"/>
        <v>3.059212090128955E-262</v>
      </c>
      <c r="AH995">
        <f t="shared" si="896"/>
        <v>7.8539816339744828</v>
      </c>
      <c r="AI995">
        <f t="shared" si="897"/>
        <v>-0.99418992570247311</v>
      </c>
      <c r="AJ995">
        <f t="shared" si="898"/>
        <v>-2.4769384801388199</v>
      </c>
      <c r="AK995">
        <f t="shared" si="899"/>
        <v>2.0282591243375681</v>
      </c>
      <c r="AL995" s="9">
        <f t="shared" si="919"/>
        <v>6.4111123524707576</v>
      </c>
      <c r="AM995" t="e">
        <f t="shared" si="900"/>
        <v>#N/A</v>
      </c>
      <c r="AN995" t="e">
        <f t="shared" si="920"/>
        <v>#N/A</v>
      </c>
      <c r="AO995">
        <f t="shared" si="901"/>
        <v>0</v>
      </c>
      <c r="AP995">
        <f t="shared" si="902"/>
        <v>-3.4416913763379853E-15</v>
      </c>
      <c r="AQ995">
        <f t="shared" si="903"/>
        <v>0</v>
      </c>
      <c r="AR995">
        <f t="shared" si="921"/>
        <v>3.4618047189586645E-15</v>
      </c>
      <c r="AS995">
        <f t="shared" si="904"/>
        <v>0</v>
      </c>
      <c r="AT995">
        <f t="shared" si="922"/>
        <v>0</v>
      </c>
      <c r="AU995">
        <f t="shared" si="923"/>
        <v>3.0592120901324277E-262</v>
      </c>
      <c r="AV995">
        <f t="shared" si="905"/>
        <v>1.3194689145077154E-21</v>
      </c>
      <c r="AW995" t="b">
        <f t="shared" si="924"/>
        <v>1</v>
      </c>
      <c r="AX995">
        <f t="shared" si="906"/>
        <v>7.8539816339744828</v>
      </c>
      <c r="AY995">
        <f t="shared" si="907"/>
        <v>-0.99418992570247011</v>
      </c>
      <c r="AZ995">
        <f t="shared" si="908"/>
        <v>-2.4769384801388217</v>
      </c>
      <c r="BA995">
        <f t="shared" si="909"/>
        <v>2.0282591243375689</v>
      </c>
      <c r="BB995">
        <f t="shared" si="910"/>
        <v>-1.2337005501361696E-20</v>
      </c>
      <c r="BD995" s="15">
        <f t="shared" si="925"/>
        <v>6.4111123524707603</v>
      </c>
      <c r="BE995" s="10">
        <f t="shared" si="926"/>
        <v>0</v>
      </c>
      <c r="BF995">
        <f t="shared" si="927"/>
        <v>0</v>
      </c>
      <c r="BG995">
        <f t="shared" si="928"/>
        <v>0</v>
      </c>
      <c r="BH995">
        <f t="shared" si="929"/>
        <v>0</v>
      </c>
      <c r="BI995">
        <f t="shared" si="930"/>
        <v>0</v>
      </c>
    </row>
    <row r="996" spans="1:61" x14ac:dyDescent="0.3">
      <c r="A996">
        <f t="shared" si="877"/>
        <v>0.95899999999999996</v>
      </c>
      <c r="B996">
        <f t="shared" si="878"/>
        <v>3.0127873547926116</v>
      </c>
      <c r="C996">
        <f t="shared" si="879"/>
        <v>0.1288052987971815</v>
      </c>
      <c r="D996">
        <f t="shared" si="880"/>
        <v>0.1288052987971815</v>
      </c>
      <c r="E996">
        <f t="shared" si="885"/>
        <v>0.12844943020030294</v>
      </c>
      <c r="F996">
        <f t="shared" si="886"/>
        <v>0.12844943020030283</v>
      </c>
      <c r="G996">
        <f t="shared" si="881"/>
        <v>3.0127873547926116</v>
      </c>
      <c r="H996">
        <f t="shared" si="882"/>
        <v>0.12844943020030294</v>
      </c>
      <c r="I996">
        <f t="shared" si="883"/>
        <v>0.12844943020030283</v>
      </c>
      <c r="J996">
        <f t="shared" si="873"/>
        <v>4.9561899291794597E+20</v>
      </c>
      <c r="K996">
        <f t="shared" si="874"/>
        <v>4.9561899291794597E+20</v>
      </c>
      <c r="L996">
        <f t="shared" si="887"/>
        <v>1</v>
      </c>
      <c r="M996">
        <f t="shared" si="884"/>
        <v>1.288052987971818E-21</v>
      </c>
      <c r="N996" s="9">
        <f t="shared" si="875"/>
        <v>1.288052987971818E-21</v>
      </c>
      <c r="O996">
        <f t="shared" si="876"/>
        <v>1.288052987971818E-21</v>
      </c>
      <c r="Q996">
        <f t="shared" si="888"/>
        <v>47.652339145992485</v>
      </c>
      <c r="R996">
        <f t="shared" si="889"/>
        <v>0</v>
      </c>
      <c r="S996">
        <f t="shared" si="911"/>
        <v>-48.101155186309342</v>
      </c>
      <c r="T996" s="9" t="e">
        <f t="shared" si="890"/>
        <v>#N/A</v>
      </c>
      <c r="U996">
        <f t="shared" si="912"/>
        <v>-1.0000000000000001E+300</v>
      </c>
      <c r="V996">
        <f t="shared" si="913"/>
        <v>0</v>
      </c>
      <c r="W996">
        <f t="shared" si="914"/>
        <v>0</v>
      </c>
      <c r="X996">
        <f t="shared" si="891"/>
        <v>0.1288052987971815</v>
      </c>
      <c r="Y996">
        <f t="shared" si="892"/>
        <v>7.8539816339744828</v>
      </c>
      <c r="Z996">
        <f t="shared" si="893"/>
        <v>-0.1288052987971815</v>
      </c>
      <c r="AA996">
        <f t="shared" si="915"/>
        <v>-0.99446360521265631</v>
      </c>
      <c r="AB996">
        <f t="shared" si="894"/>
        <v>6.8595180287618263</v>
      </c>
      <c r="AC996">
        <f t="shared" si="916"/>
        <v>-2.5010360317178839</v>
      </c>
      <c r="AD996">
        <f t="shared" si="895"/>
        <v>2.0522199914010275</v>
      </c>
      <c r="AE996" s="9">
        <f t="shared" si="917"/>
        <v>6.4107019884449699</v>
      </c>
      <c r="AF996">
        <f t="shared" si="918"/>
        <v>3.9252542852759607E-262</v>
      </c>
      <c r="AH996">
        <f t="shared" si="896"/>
        <v>7.8539816339744828</v>
      </c>
      <c r="AI996">
        <f t="shared" si="897"/>
        <v>-0.99446360521265742</v>
      </c>
      <c r="AJ996">
        <f t="shared" si="898"/>
        <v>-2.5010360317178808</v>
      </c>
      <c r="AK996">
        <f t="shared" si="899"/>
        <v>2.0522199914010275</v>
      </c>
      <c r="AL996" s="9">
        <f t="shared" si="919"/>
        <v>6.4107019884449716</v>
      </c>
      <c r="AM996" t="e">
        <f t="shared" si="900"/>
        <v>#N/A</v>
      </c>
      <c r="AN996" t="e">
        <f t="shared" si="920"/>
        <v>#N/A</v>
      </c>
      <c r="AO996">
        <f t="shared" si="901"/>
        <v>0</v>
      </c>
      <c r="AP996">
        <f t="shared" si="902"/>
        <v>-1.1102230246251565E-15</v>
      </c>
      <c r="AQ996">
        <f t="shared" si="903"/>
        <v>0</v>
      </c>
      <c r="AR996">
        <f t="shared" si="921"/>
        <v>1.1164038772316308E-15</v>
      </c>
      <c r="AS996">
        <f t="shared" si="904"/>
        <v>0</v>
      </c>
      <c r="AT996">
        <f t="shared" si="922"/>
        <v>0</v>
      </c>
      <c r="AU996">
        <f t="shared" si="923"/>
        <v>3.9252542852719509E-262</v>
      </c>
      <c r="AV996">
        <f t="shared" si="905"/>
        <v>1.288052987971815E-21</v>
      </c>
      <c r="AW996" t="b">
        <f t="shared" si="924"/>
        <v>1</v>
      </c>
      <c r="AX996">
        <f t="shared" si="906"/>
        <v>7.8539816339744828</v>
      </c>
      <c r="AY996">
        <f t="shared" si="907"/>
        <v>-0.99446360521265675</v>
      </c>
      <c r="AZ996">
        <f t="shared" si="908"/>
        <v>-2.5010360317178839</v>
      </c>
      <c r="BA996">
        <f t="shared" si="909"/>
        <v>2.0522199914010284</v>
      </c>
      <c r="BB996">
        <f t="shared" si="910"/>
        <v>-1.2337005501361696E-20</v>
      </c>
      <c r="BD996" s="15">
        <f t="shared" si="925"/>
        <v>6.4107019884449699</v>
      </c>
      <c r="BE996" s="10">
        <f t="shared" si="926"/>
        <v>0</v>
      </c>
      <c r="BF996">
        <f t="shared" si="927"/>
        <v>0</v>
      </c>
      <c r="BG996">
        <f t="shared" si="928"/>
        <v>0</v>
      </c>
      <c r="BH996">
        <f t="shared" si="929"/>
        <v>0</v>
      </c>
      <c r="BI996">
        <f t="shared" si="930"/>
        <v>0</v>
      </c>
    </row>
    <row r="997" spans="1:61" x14ac:dyDescent="0.3">
      <c r="A997">
        <f t="shared" si="877"/>
        <v>0.96</v>
      </c>
      <c r="B997">
        <f t="shared" si="878"/>
        <v>3.0159289474462012</v>
      </c>
      <c r="C997">
        <f t="shared" si="879"/>
        <v>0.1256637061435919</v>
      </c>
      <c r="D997">
        <f t="shared" si="880"/>
        <v>0.1256637061435919</v>
      </c>
      <c r="E997">
        <f t="shared" si="885"/>
        <v>0.12533323356430454</v>
      </c>
      <c r="F997">
        <f t="shared" si="886"/>
        <v>0.12533323356430442</v>
      </c>
      <c r="G997">
        <f t="shared" si="881"/>
        <v>3.0159289474462012</v>
      </c>
      <c r="H997">
        <f t="shared" si="882"/>
        <v>0.12533323356430454</v>
      </c>
      <c r="I997">
        <f t="shared" si="883"/>
        <v>0.12533323356430442</v>
      </c>
      <c r="J997">
        <f t="shared" ref="J997:J1044" si="931">x_m_zeta/H997</f>
        <v>5.0794171207667109E+20</v>
      </c>
      <c r="K997">
        <f t="shared" ref="K997:K1044" si="932">(J997)^alpha</f>
        <v>5.0794171207667109E+20</v>
      </c>
      <c r="L997">
        <f t="shared" si="887"/>
        <v>1</v>
      </c>
      <c r="M997">
        <f t="shared" si="884"/>
        <v>1.2566370614359184E-21</v>
      </c>
      <c r="N997" s="9">
        <f t="shared" si="875"/>
        <v>1.2566370614359184E-21</v>
      </c>
      <c r="O997">
        <f t="shared" si="876"/>
        <v>1.2566370614359184E-21</v>
      </c>
      <c r="Q997">
        <f t="shared" si="888"/>
        <v>47.67689837488161</v>
      </c>
      <c r="R997">
        <f t="shared" si="889"/>
        <v>-710542.73576010019</v>
      </c>
      <c r="S997">
        <f t="shared" si="911"/>
        <v>-48.125847798899713</v>
      </c>
      <c r="T997" s="9" t="e">
        <f t="shared" si="890"/>
        <v>#N/A</v>
      </c>
      <c r="U997">
        <f t="shared" si="912"/>
        <v>-1.0000000000000001E+300</v>
      </c>
      <c r="V997">
        <f t="shared" si="913"/>
        <v>0</v>
      </c>
      <c r="W997">
        <f t="shared" si="914"/>
        <v>0</v>
      </c>
      <c r="X997">
        <f t="shared" si="891"/>
        <v>0.1256637061435919</v>
      </c>
      <c r="Y997">
        <f t="shared" si="892"/>
        <v>7.8539816339744828</v>
      </c>
      <c r="Z997">
        <f t="shared" si="893"/>
        <v>-0.1256637061435919</v>
      </c>
      <c r="AA997">
        <f t="shared" si="915"/>
        <v>-0.99473066114387254</v>
      </c>
      <c r="AB997">
        <f t="shared" si="894"/>
        <v>6.8592509728306101</v>
      </c>
      <c r="AC997">
        <f t="shared" si="916"/>
        <v>-2.5257286443082538</v>
      </c>
      <c r="AD997">
        <f t="shared" si="895"/>
        <v>2.0767792202901543</v>
      </c>
      <c r="AE997" s="9">
        <f t="shared" si="917"/>
        <v>6.4103015488125106</v>
      </c>
      <c r="AF997">
        <f t="shared" si="918"/>
        <v>5.0057016509663491E-262</v>
      </c>
      <c r="AH997">
        <f t="shared" si="896"/>
        <v>7.8539816339744828</v>
      </c>
      <c r="AI997">
        <f t="shared" si="897"/>
        <v>-0.99473066114387221</v>
      </c>
      <c r="AJ997">
        <f t="shared" si="898"/>
        <v>-2.5257286443082521</v>
      </c>
      <c r="AK997">
        <f t="shared" si="899"/>
        <v>2.0767792202901543</v>
      </c>
      <c r="AL997" s="9">
        <f t="shared" si="919"/>
        <v>6.4103015488125124</v>
      </c>
      <c r="AM997" t="e">
        <f t="shared" si="900"/>
        <v>#N/A</v>
      </c>
      <c r="AN997" t="e">
        <f t="shared" si="920"/>
        <v>#N/A</v>
      </c>
      <c r="AO997">
        <f t="shared" si="901"/>
        <v>0</v>
      </c>
      <c r="AP997">
        <f t="shared" si="902"/>
        <v>0</v>
      </c>
      <c r="AQ997">
        <f t="shared" si="903"/>
        <v>0</v>
      </c>
      <c r="AR997">
        <f t="shared" si="921"/>
        <v>0</v>
      </c>
      <c r="AS997">
        <f t="shared" si="904"/>
        <v>0</v>
      </c>
      <c r="AT997">
        <f t="shared" si="922"/>
        <v>0</v>
      </c>
      <c r="AU997">
        <f t="shared" si="923"/>
        <v>5.0057016509606678E-262</v>
      </c>
      <c r="AV997">
        <f t="shared" si="905"/>
        <v>1.256637061435919E-21</v>
      </c>
      <c r="AW997" t="b">
        <f t="shared" si="924"/>
        <v>1</v>
      </c>
      <c r="AX997">
        <f t="shared" si="906"/>
        <v>7.8539816339744828</v>
      </c>
      <c r="AY997">
        <f t="shared" si="907"/>
        <v>-0.99473066114387299</v>
      </c>
      <c r="AZ997">
        <f t="shared" si="908"/>
        <v>-2.5257286443082538</v>
      </c>
      <c r="BA997">
        <f t="shared" si="909"/>
        <v>2.0767792202901552</v>
      </c>
      <c r="BB997">
        <f t="shared" si="910"/>
        <v>-1.2337005501361696E-20</v>
      </c>
      <c r="BD997" s="15">
        <f t="shared" si="925"/>
        <v>6.4103015488125115</v>
      </c>
      <c r="BE997" s="10">
        <f t="shared" si="926"/>
        <v>0</v>
      </c>
      <c r="BF997">
        <f t="shared" si="927"/>
        <v>0</v>
      </c>
      <c r="BG997">
        <f t="shared" si="928"/>
        <v>0</v>
      </c>
      <c r="BH997">
        <f t="shared" si="929"/>
        <v>0</v>
      </c>
      <c r="BI997">
        <f t="shared" si="930"/>
        <v>0</v>
      </c>
    </row>
    <row r="998" spans="1:61" x14ac:dyDescent="0.3">
      <c r="A998">
        <f t="shared" si="877"/>
        <v>0.96099999999999997</v>
      </c>
      <c r="B998">
        <f t="shared" si="878"/>
        <v>3.0190705400997913</v>
      </c>
      <c r="C998">
        <f t="shared" si="879"/>
        <v>0.12252211349000186</v>
      </c>
      <c r="D998">
        <f t="shared" si="880"/>
        <v>0.12252211349000186</v>
      </c>
      <c r="E998">
        <f t="shared" si="885"/>
        <v>0.12221579993988949</v>
      </c>
      <c r="F998">
        <f t="shared" si="886"/>
        <v>0.12221579993988936</v>
      </c>
      <c r="G998">
        <f t="shared" si="881"/>
        <v>3.0190705400997913</v>
      </c>
      <c r="H998">
        <f t="shared" si="882"/>
        <v>0.12221579993988949</v>
      </c>
      <c r="I998">
        <f t="shared" si="883"/>
        <v>0.12221579993988936</v>
      </c>
      <c r="J998">
        <f t="shared" si="931"/>
        <v>5.2089809392950496E+20</v>
      </c>
      <c r="K998">
        <f t="shared" si="932"/>
        <v>5.2089809392950496E+20</v>
      </c>
      <c r="L998">
        <f t="shared" si="887"/>
        <v>1</v>
      </c>
      <c r="M998">
        <f t="shared" si="884"/>
        <v>1.2252211349000188E-21</v>
      </c>
      <c r="N998" s="9">
        <f t="shared" ref="N998:N1044" si="933">L998*M998</f>
        <v>1.2252211349000188E-21</v>
      </c>
      <c r="O998">
        <f t="shared" ref="O998:O1044" si="934">N998*EXP(-N998)</f>
        <v>1.2252211349000188E-21</v>
      </c>
      <c r="Q998">
        <f t="shared" si="888"/>
        <v>47.702086099450298</v>
      </c>
      <c r="R998">
        <f t="shared" si="889"/>
        <v>0</v>
      </c>
      <c r="S998">
        <f t="shared" si="911"/>
        <v>-48.151165606884007</v>
      </c>
      <c r="T998" s="9" t="e">
        <f t="shared" si="890"/>
        <v>#N/A</v>
      </c>
      <c r="U998">
        <f t="shared" si="912"/>
        <v>-1.0000000000000001E+300</v>
      </c>
      <c r="V998">
        <f t="shared" si="913"/>
        <v>0</v>
      </c>
      <c r="W998">
        <f t="shared" si="914"/>
        <v>0</v>
      </c>
      <c r="X998">
        <f t="shared" si="891"/>
        <v>0.12252211349000186</v>
      </c>
      <c r="Y998">
        <f t="shared" si="892"/>
        <v>7.8539816339744828</v>
      </c>
      <c r="Z998">
        <f t="shared" si="893"/>
        <v>-0.12252211349000186</v>
      </c>
      <c r="AA998">
        <f t="shared" si="915"/>
        <v>-0.99499109561645593</v>
      </c>
      <c r="AB998">
        <f t="shared" si="894"/>
        <v>6.858990538358027</v>
      </c>
      <c r="AC998">
        <f t="shared" si="916"/>
        <v>-2.551046452292546</v>
      </c>
      <c r="AD998">
        <f t="shared" si="895"/>
        <v>2.1019669448588401</v>
      </c>
      <c r="AE998" s="9">
        <f t="shared" si="917"/>
        <v>6.409911030924321</v>
      </c>
      <c r="AF998">
        <f t="shared" si="918"/>
        <v>6.3446102121032816E-262</v>
      </c>
      <c r="AH998">
        <f t="shared" si="896"/>
        <v>7.8539816339744828</v>
      </c>
      <c r="AI998">
        <f t="shared" si="897"/>
        <v>-0.99499109561645582</v>
      </c>
      <c r="AJ998">
        <f t="shared" si="898"/>
        <v>-2.551046452292546</v>
      </c>
      <c r="AK998">
        <f t="shared" si="899"/>
        <v>2.1019669448588401</v>
      </c>
      <c r="AL998" s="9">
        <f t="shared" si="919"/>
        <v>6.409911030924321</v>
      </c>
      <c r="AM998" t="e">
        <f t="shared" si="900"/>
        <v>#N/A</v>
      </c>
      <c r="AN998" t="e">
        <f t="shared" si="920"/>
        <v>#N/A</v>
      </c>
      <c r="AO998">
        <f t="shared" si="901"/>
        <v>0</v>
      </c>
      <c r="AP998">
        <f t="shared" si="902"/>
        <v>0</v>
      </c>
      <c r="AQ998">
        <f t="shared" si="903"/>
        <v>0</v>
      </c>
      <c r="AR998">
        <f t="shared" si="921"/>
        <v>0</v>
      </c>
      <c r="AS998">
        <f t="shared" si="904"/>
        <v>0</v>
      </c>
      <c r="AT998">
        <f t="shared" si="922"/>
        <v>0</v>
      </c>
      <c r="AU998">
        <f t="shared" si="923"/>
        <v>6.3446102121032816E-262</v>
      </c>
      <c r="AV998">
        <f t="shared" si="905"/>
        <v>1.2252211349000186E-21</v>
      </c>
      <c r="AW998" t="b">
        <f t="shared" si="924"/>
        <v>1</v>
      </c>
      <c r="AX998">
        <f t="shared" si="906"/>
        <v>7.8539816339744828</v>
      </c>
      <c r="AY998">
        <f t="shared" si="907"/>
        <v>-0.99499109561645649</v>
      </c>
      <c r="AZ998">
        <f t="shared" si="908"/>
        <v>-2.551046452292546</v>
      </c>
      <c r="BA998">
        <f t="shared" si="909"/>
        <v>2.1019669448588409</v>
      </c>
      <c r="BB998">
        <f t="shared" si="910"/>
        <v>-1.2337005501361696E-20</v>
      </c>
      <c r="BD998" s="15">
        <f t="shared" si="925"/>
        <v>6.409911030924321</v>
      </c>
      <c r="BE998" s="10">
        <f t="shared" si="926"/>
        <v>0</v>
      </c>
      <c r="BF998">
        <f t="shared" si="927"/>
        <v>0</v>
      </c>
      <c r="BG998">
        <f t="shared" si="928"/>
        <v>0</v>
      </c>
      <c r="BH998">
        <f t="shared" si="929"/>
        <v>0</v>
      </c>
      <c r="BI998">
        <f t="shared" si="930"/>
        <v>0</v>
      </c>
    </row>
    <row r="999" spans="1:61" x14ac:dyDescent="0.3">
      <c r="A999">
        <f t="shared" ref="A999:A1036" si="935">ROUND(A998+1/1000,3)</f>
        <v>0.96199999999999997</v>
      </c>
      <c r="B999">
        <f t="shared" si="878"/>
        <v>3.0222121327533809</v>
      </c>
      <c r="C999">
        <f t="shared" si="879"/>
        <v>0.11938052083641226</v>
      </c>
      <c r="D999">
        <f t="shared" si="880"/>
        <v>0.11938052083641226</v>
      </c>
      <c r="E999">
        <f t="shared" si="885"/>
        <v>0.11909716009486998</v>
      </c>
      <c r="F999">
        <f t="shared" si="886"/>
        <v>0.11909716009486986</v>
      </c>
      <c r="G999">
        <f t="shared" si="881"/>
        <v>3.0222121327533809</v>
      </c>
      <c r="H999">
        <f t="shared" si="882"/>
        <v>0.11909716009486998</v>
      </c>
      <c r="I999">
        <f t="shared" si="883"/>
        <v>0.11909716009486986</v>
      </c>
      <c r="J999">
        <f t="shared" si="931"/>
        <v>5.3453816351327368E+20</v>
      </c>
      <c r="K999">
        <f t="shared" si="932"/>
        <v>5.3453816351327368E+20</v>
      </c>
      <c r="L999">
        <f t="shared" si="887"/>
        <v>1</v>
      </c>
      <c r="M999">
        <f t="shared" si="884"/>
        <v>1.1938052083641252E-21</v>
      </c>
      <c r="N999" s="9">
        <f t="shared" si="933"/>
        <v>1.1938052083641252E-21</v>
      </c>
      <c r="O999">
        <f t="shared" si="934"/>
        <v>1.1938052083641252E-21</v>
      </c>
      <c r="Q999">
        <f t="shared" si="888"/>
        <v>47.727934802208047</v>
      </c>
      <c r="R999">
        <f t="shared" si="889"/>
        <v>-710542.73576010019</v>
      </c>
      <c r="S999">
        <f t="shared" si="911"/>
        <v>-48.177141093287261</v>
      </c>
      <c r="T999" s="9" t="e">
        <f t="shared" si="890"/>
        <v>#N/A</v>
      </c>
      <c r="U999">
        <f t="shared" si="912"/>
        <v>-1.0000000000000001E+300</v>
      </c>
      <c r="V999">
        <f t="shared" si="913"/>
        <v>0</v>
      </c>
      <c r="W999">
        <f t="shared" si="914"/>
        <v>0</v>
      </c>
      <c r="X999">
        <f t="shared" si="891"/>
        <v>0.11938052083641226</v>
      </c>
      <c r="Y999">
        <f t="shared" si="892"/>
        <v>7.8539816339744828</v>
      </c>
      <c r="Z999">
        <f t="shared" si="893"/>
        <v>-0.11938052083641226</v>
      </c>
      <c r="AA999">
        <f t="shared" si="915"/>
        <v>-0.99524491069761123</v>
      </c>
      <c r="AB999">
        <f t="shared" si="894"/>
        <v>6.8587367232768717</v>
      </c>
      <c r="AC999">
        <f t="shared" si="916"/>
        <v>-2.5770219386958049</v>
      </c>
      <c r="AD999">
        <f t="shared" si="895"/>
        <v>2.1278156476165915</v>
      </c>
      <c r="AE999" s="9">
        <f t="shared" si="917"/>
        <v>6.4095304321976583</v>
      </c>
      <c r="AF999">
        <f t="shared" si="918"/>
        <v>7.9926632496252541E-262</v>
      </c>
      <c r="AH999">
        <f t="shared" si="896"/>
        <v>7.8539816339744828</v>
      </c>
      <c r="AI999">
        <f t="shared" si="897"/>
        <v>-0.99524491069761467</v>
      </c>
      <c r="AJ999">
        <f t="shared" si="898"/>
        <v>-2.5770219386958004</v>
      </c>
      <c r="AK999">
        <f t="shared" si="899"/>
        <v>2.1278156476165915</v>
      </c>
      <c r="AL999" s="9">
        <f t="shared" si="919"/>
        <v>6.4095304321976592</v>
      </c>
      <c r="AM999" t="e">
        <f t="shared" si="900"/>
        <v>#N/A</v>
      </c>
      <c r="AN999" t="e">
        <f t="shared" si="920"/>
        <v>#N/A</v>
      </c>
      <c r="AO999">
        <f t="shared" si="901"/>
        <v>0</v>
      </c>
      <c r="AP999">
        <f t="shared" si="902"/>
        <v>-3.4416913763379853E-15</v>
      </c>
      <c r="AQ999">
        <f t="shared" si="903"/>
        <v>4.4408920985006262E-15</v>
      </c>
      <c r="AR999">
        <f t="shared" si="921"/>
        <v>3.4581351176420884E-15</v>
      </c>
      <c r="AS999">
        <f t="shared" si="904"/>
        <v>0</v>
      </c>
      <c r="AT999">
        <f t="shared" si="922"/>
        <v>0</v>
      </c>
      <c r="AU999">
        <f t="shared" si="923"/>
        <v>7.9926632496207174E-262</v>
      </c>
      <c r="AV999">
        <f t="shared" si="905"/>
        <v>1.1938052083641225E-21</v>
      </c>
      <c r="AW999" t="b">
        <f t="shared" si="924"/>
        <v>1</v>
      </c>
      <c r="AX999">
        <f t="shared" si="906"/>
        <v>7.8539816339744828</v>
      </c>
      <c r="AY999">
        <f t="shared" si="907"/>
        <v>-0.99524491069761156</v>
      </c>
      <c r="AZ999">
        <f t="shared" si="908"/>
        <v>-2.5770219386958049</v>
      </c>
      <c r="BA999">
        <f t="shared" si="909"/>
        <v>2.1278156476165924</v>
      </c>
      <c r="BB999">
        <f t="shared" si="910"/>
        <v>-1.2337005501361696E-20</v>
      </c>
      <c r="BD999" s="15">
        <f t="shared" si="925"/>
        <v>6.4095304321976592</v>
      </c>
      <c r="BE999" s="10">
        <f t="shared" si="926"/>
        <v>0</v>
      </c>
      <c r="BF999">
        <f t="shared" si="927"/>
        <v>0</v>
      </c>
      <c r="BG999">
        <f t="shared" si="928"/>
        <v>0</v>
      </c>
      <c r="BH999">
        <f t="shared" si="929"/>
        <v>0</v>
      </c>
      <c r="BI999">
        <f t="shared" si="930"/>
        <v>0</v>
      </c>
    </row>
    <row r="1000" spans="1:61" x14ac:dyDescent="0.3">
      <c r="A1000">
        <f t="shared" si="935"/>
        <v>0.96299999999999997</v>
      </c>
      <c r="B1000">
        <f t="shared" si="878"/>
        <v>3.0253537254069705</v>
      </c>
      <c r="C1000">
        <f t="shared" si="879"/>
        <v>0.11623892818282267</v>
      </c>
      <c r="D1000">
        <f t="shared" si="880"/>
        <v>0.11623892818282267</v>
      </c>
      <c r="E1000">
        <f t="shared" si="885"/>
        <v>0.11597734480896181</v>
      </c>
      <c r="F1000">
        <f t="shared" si="886"/>
        <v>0.11597734480896169</v>
      </c>
      <c r="G1000">
        <f t="shared" si="881"/>
        <v>3.0253537254069705</v>
      </c>
      <c r="H1000">
        <f t="shared" si="882"/>
        <v>0.11597734480896181</v>
      </c>
      <c r="I1000">
        <f t="shared" si="883"/>
        <v>0.11597734480896169</v>
      </c>
      <c r="J1000">
        <f t="shared" si="931"/>
        <v>5.4891735400239006E+20</v>
      </c>
      <c r="K1000">
        <f t="shared" si="932"/>
        <v>5.4891735400239006E+20</v>
      </c>
      <c r="L1000" t="e">
        <f t="shared" si="887"/>
        <v>#NUM!</v>
      </c>
      <c r="M1000">
        <f t="shared" si="884"/>
        <v>1.1623892818282256E-21</v>
      </c>
      <c r="N1000" s="9" t="e">
        <f t="shared" si="933"/>
        <v>#NUM!</v>
      </c>
      <c r="O1000" t="e">
        <f t="shared" si="934"/>
        <v>#NUM!</v>
      </c>
      <c r="Q1000">
        <f t="shared" si="888"/>
        <v>47.754479564912437</v>
      </c>
      <c r="R1000">
        <f t="shared" si="889"/>
        <v>0</v>
      </c>
      <c r="S1000">
        <f t="shared" si="911"/>
        <v>-48.203809340369425</v>
      </c>
      <c r="T1000" s="9" t="e">
        <f t="shared" si="890"/>
        <v>#N/A</v>
      </c>
      <c r="U1000">
        <f t="shared" si="912"/>
        <v>-1.0000000000000001E+300</v>
      </c>
      <c r="V1000">
        <f t="shared" si="913"/>
        <v>0</v>
      </c>
      <c r="W1000">
        <f t="shared" si="914"/>
        <v>0</v>
      </c>
      <c r="X1000">
        <f t="shared" si="891"/>
        <v>0.11623892818282267</v>
      </c>
      <c r="Y1000">
        <f t="shared" si="892"/>
        <v>7.8539816339744828</v>
      </c>
      <c r="Z1000">
        <f t="shared" si="893"/>
        <v>-0.11623892818282267</v>
      </c>
      <c r="AA1000">
        <f t="shared" si="915"/>
        <v>-0.99549210840146973</v>
      </c>
      <c r="AB1000">
        <f t="shared" si="894"/>
        <v>6.8584895255730132</v>
      </c>
      <c r="AC1000">
        <f t="shared" si="916"/>
        <v>-2.6036901857779644</v>
      </c>
      <c r="AD1000">
        <f t="shared" si="895"/>
        <v>2.1543604103209781</v>
      </c>
      <c r="AE1000" s="9">
        <f t="shared" si="917"/>
        <v>6.4091597501160269</v>
      </c>
      <c r="AF1000">
        <f t="shared" si="918"/>
        <v>1.0007563085081344E-261</v>
      </c>
      <c r="AH1000">
        <f t="shared" si="896"/>
        <v>7.8539816339744828</v>
      </c>
      <c r="AI1000">
        <f t="shared" si="897"/>
        <v>-0.99549210840147195</v>
      </c>
      <c r="AJ1000">
        <f t="shared" si="898"/>
        <v>-2.603690185777964</v>
      </c>
      <c r="AK1000">
        <f t="shared" si="899"/>
        <v>2.1543604103209781</v>
      </c>
      <c r="AL1000" s="9">
        <f t="shared" si="919"/>
        <v>6.4091597501160251</v>
      </c>
      <c r="AM1000" t="e">
        <f t="shared" si="900"/>
        <v>#N/A</v>
      </c>
      <c r="AN1000" t="e">
        <f t="shared" si="920"/>
        <v>#N/A</v>
      </c>
      <c r="AO1000">
        <f t="shared" si="901"/>
        <v>0</v>
      </c>
      <c r="AP1000">
        <f t="shared" si="902"/>
        <v>-2.2204460492503131E-15</v>
      </c>
      <c r="AQ1000">
        <f t="shared" si="903"/>
        <v>0</v>
      </c>
      <c r="AR1000">
        <f t="shared" si="921"/>
        <v>2.230500905542919E-15</v>
      </c>
      <c r="AS1000">
        <f t="shared" si="904"/>
        <v>0</v>
      </c>
      <c r="AT1000">
        <f t="shared" si="922"/>
        <v>0</v>
      </c>
      <c r="AU1000">
        <f t="shared" si="923"/>
        <v>1.0007563085091566E-261</v>
      </c>
      <c r="AV1000">
        <f t="shared" si="905"/>
        <v>1.1623892818282265E-21</v>
      </c>
      <c r="AW1000" t="b">
        <f t="shared" si="924"/>
        <v>1</v>
      </c>
      <c r="AX1000">
        <f t="shared" si="906"/>
        <v>7.8539816339744828</v>
      </c>
      <c r="AY1000">
        <f t="shared" si="907"/>
        <v>-0.99549210840147029</v>
      </c>
      <c r="AZ1000">
        <f t="shared" si="908"/>
        <v>-2.6036901857779644</v>
      </c>
      <c r="BA1000">
        <f t="shared" si="909"/>
        <v>2.1543604103209795</v>
      </c>
      <c r="BB1000">
        <f t="shared" si="910"/>
        <v>-1.2337005501361696E-20</v>
      </c>
      <c r="BD1000" s="15">
        <f t="shared" si="925"/>
        <v>6.4091597501160269</v>
      </c>
      <c r="BE1000" s="10">
        <f t="shared" si="926"/>
        <v>0</v>
      </c>
      <c r="BF1000">
        <f t="shared" si="927"/>
        <v>0</v>
      </c>
      <c r="BG1000">
        <f t="shared" si="928"/>
        <v>0</v>
      </c>
      <c r="BH1000">
        <f t="shared" si="929"/>
        <v>0</v>
      </c>
      <c r="BI1000">
        <f t="shared" si="930"/>
        <v>0</v>
      </c>
    </row>
    <row r="1001" spans="1:61" x14ac:dyDescent="0.3">
      <c r="A1001">
        <f t="shared" si="935"/>
        <v>0.96399999999999997</v>
      </c>
      <c r="B1001">
        <f t="shared" si="878"/>
        <v>3.0284953180605605</v>
      </c>
      <c r="C1001">
        <f t="shared" si="879"/>
        <v>0.11309733552923262</v>
      </c>
      <c r="D1001">
        <f t="shared" si="880"/>
        <v>0.11309733552923262</v>
      </c>
      <c r="E1001">
        <f t="shared" si="885"/>
        <v>0.11285638487348187</v>
      </c>
      <c r="F1001">
        <f t="shared" si="886"/>
        <v>0.11285638487348175</v>
      </c>
      <c r="G1001">
        <f t="shared" si="881"/>
        <v>3.0284953180605605</v>
      </c>
      <c r="H1001">
        <f t="shared" si="882"/>
        <v>0.11285638487348187</v>
      </c>
      <c r="I1001">
        <f t="shared" si="883"/>
        <v>0.11285638487348175</v>
      </c>
      <c r="J1001">
        <f t="shared" si="931"/>
        <v>5.6409725783903738E+20</v>
      </c>
      <c r="K1001">
        <f t="shared" si="932"/>
        <v>5.6409725783903738E+20</v>
      </c>
      <c r="L1001">
        <f t="shared" si="887"/>
        <v>1</v>
      </c>
      <c r="M1001">
        <f t="shared" si="884"/>
        <v>1.130973355292326E-21</v>
      </c>
      <c r="N1001" s="9">
        <f t="shared" si="933"/>
        <v>1.130973355292326E-21</v>
      </c>
      <c r="O1001">
        <f t="shared" si="934"/>
        <v>1.130973355292326E-21</v>
      </c>
      <c r="Q1001">
        <f t="shared" si="888"/>
        <v>47.781758353501317</v>
      </c>
      <c r="R1001">
        <f t="shared" si="889"/>
        <v>0</v>
      </c>
      <c r="S1001">
        <f t="shared" si="911"/>
        <v>-48.231208314557541</v>
      </c>
      <c r="T1001" s="9" t="e">
        <f t="shared" si="890"/>
        <v>#N/A</v>
      </c>
      <c r="U1001">
        <f t="shared" si="912"/>
        <v>-1.0000000000000001E+300</v>
      </c>
      <c r="V1001">
        <f t="shared" si="913"/>
        <v>0</v>
      </c>
      <c r="W1001">
        <f t="shared" si="914"/>
        <v>0</v>
      </c>
      <c r="X1001">
        <f t="shared" si="891"/>
        <v>0.11309733552923262</v>
      </c>
      <c r="Y1001">
        <f t="shared" si="892"/>
        <v>7.8539816339744828</v>
      </c>
      <c r="Z1001">
        <f t="shared" si="893"/>
        <v>-0.11309733552923262</v>
      </c>
      <c r="AA1001">
        <f t="shared" si="915"/>
        <v>-0.99573269068914649</v>
      </c>
      <c r="AB1001">
        <f t="shared" si="894"/>
        <v>6.8582489432853366</v>
      </c>
      <c r="AC1001">
        <f t="shared" si="916"/>
        <v>-2.6310891599660811</v>
      </c>
      <c r="AD1001">
        <f t="shared" si="895"/>
        <v>2.1816391989098576</v>
      </c>
      <c r="AE1001" s="9">
        <f t="shared" si="917"/>
        <v>6.4087989822291132</v>
      </c>
      <c r="AF1001">
        <f t="shared" si="918"/>
        <v>1.2454290079145554E-261</v>
      </c>
      <c r="AH1001">
        <f t="shared" si="896"/>
        <v>7.8539816339744828</v>
      </c>
      <c r="AI1001">
        <f t="shared" si="897"/>
        <v>-0.99573269068914427</v>
      </c>
      <c r="AJ1001">
        <f t="shared" si="898"/>
        <v>-2.6310891599660806</v>
      </c>
      <c r="AK1001">
        <f t="shared" si="899"/>
        <v>2.1816391989098576</v>
      </c>
      <c r="AL1001" s="9">
        <f t="shared" si="919"/>
        <v>6.4087989822291149</v>
      </c>
      <c r="AM1001" t="e">
        <f t="shared" si="900"/>
        <v>#N/A</v>
      </c>
      <c r="AN1001" t="e">
        <f t="shared" si="920"/>
        <v>#N/A</v>
      </c>
      <c r="AO1001">
        <f t="shared" si="901"/>
        <v>0</v>
      </c>
      <c r="AP1001">
        <f t="shared" si="902"/>
        <v>2.2204460492503131E-15</v>
      </c>
      <c r="AQ1001">
        <f t="shared" si="903"/>
        <v>0</v>
      </c>
      <c r="AR1001">
        <f t="shared" si="921"/>
        <v>-2.2299619867994368E-15</v>
      </c>
      <c r="AS1001">
        <f t="shared" si="904"/>
        <v>0</v>
      </c>
      <c r="AT1001">
        <f t="shared" si="922"/>
        <v>0</v>
      </c>
      <c r="AU1001">
        <f t="shared" si="923"/>
        <v>1.245429007913142E-261</v>
      </c>
      <c r="AV1001">
        <f t="shared" si="905"/>
        <v>1.1309733552923261E-21</v>
      </c>
      <c r="AW1001" t="b">
        <f t="shared" si="924"/>
        <v>1</v>
      </c>
      <c r="AX1001">
        <f t="shared" si="906"/>
        <v>7.8539816339744828</v>
      </c>
      <c r="AY1001">
        <f t="shared" si="907"/>
        <v>-0.99573269068914694</v>
      </c>
      <c r="AZ1001">
        <f t="shared" si="908"/>
        <v>-2.6310891599660811</v>
      </c>
      <c r="BA1001">
        <f t="shared" si="909"/>
        <v>2.1816391989098589</v>
      </c>
      <c r="BB1001">
        <f t="shared" si="910"/>
        <v>-1.2337005501361696E-20</v>
      </c>
      <c r="BD1001" s="15">
        <f t="shared" si="925"/>
        <v>6.408798982229114</v>
      </c>
      <c r="BE1001" s="10">
        <f t="shared" si="926"/>
        <v>0</v>
      </c>
      <c r="BF1001">
        <f t="shared" si="927"/>
        <v>0</v>
      </c>
      <c r="BG1001">
        <f t="shared" si="928"/>
        <v>0</v>
      </c>
      <c r="BH1001">
        <f t="shared" si="929"/>
        <v>0</v>
      </c>
      <c r="BI1001">
        <f t="shared" si="930"/>
        <v>0</v>
      </c>
    </row>
    <row r="1002" spans="1:61" x14ac:dyDescent="0.3">
      <c r="A1002">
        <f t="shared" si="935"/>
        <v>0.96499999999999997</v>
      </c>
      <c r="B1002">
        <f t="shared" si="878"/>
        <v>3.0316369107141501</v>
      </c>
      <c r="C1002">
        <f t="shared" si="879"/>
        <v>0.10995574287564303</v>
      </c>
      <c r="D1002">
        <f t="shared" si="880"/>
        <v>0.10995574287564303</v>
      </c>
      <c r="E1002">
        <f t="shared" si="885"/>
        <v>0.10973431109104564</v>
      </c>
      <c r="F1002">
        <f t="shared" si="886"/>
        <v>0.10973431109104553</v>
      </c>
      <c r="G1002">
        <f t="shared" si="881"/>
        <v>3.0316369107141501</v>
      </c>
      <c r="H1002">
        <f t="shared" si="882"/>
        <v>0.10973431109104564</v>
      </c>
      <c r="I1002">
        <f t="shared" si="883"/>
        <v>0.10973431109104553</v>
      </c>
      <c r="J1002">
        <f t="shared" si="931"/>
        <v>5.801465066285269E+20</v>
      </c>
      <c r="K1002">
        <f t="shared" si="932"/>
        <v>5.801465066285269E+20</v>
      </c>
      <c r="L1002">
        <f t="shared" si="887"/>
        <v>1</v>
      </c>
      <c r="M1002">
        <f t="shared" si="884"/>
        <v>1.0995574287564324E-21</v>
      </c>
      <c r="N1002" s="9">
        <f t="shared" si="933"/>
        <v>1.0995574287564324E-21</v>
      </c>
      <c r="O1002">
        <f t="shared" si="934"/>
        <v>1.0995574287564324E-21</v>
      </c>
      <c r="Q1002">
        <f t="shared" si="888"/>
        <v>47.809812343171266</v>
      </c>
      <c r="R1002">
        <f t="shared" si="889"/>
        <v>0</v>
      </c>
      <c r="S1002">
        <f t="shared" si="911"/>
        <v>-48.259379191524232</v>
      </c>
      <c r="T1002" s="9" t="e">
        <f t="shared" si="890"/>
        <v>#N/A</v>
      </c>
      <c r="U1002">
        <f t="shared" si="912"/>
        <v>-1.0000000000000001E+300</v>
      </c>
      <c r="V1002">
        <f t="shared" si="913"/>
        <v>0</v>
      </c>
      <c r="W1002">
        <f t="shared" si="914"/>
        <v>0</v>
      </c>
      <c r="X1002">
        <f t="shared" si="891"/>
        <v>0.10995574287564303</v>
      </c>
      <c r="Y1002">
        <f t="shared" si="892"/>
        <v>7.8539816339744828</v>
      </c>
      <c r="Z1002">
        <f t="shared" si="893"/>
        <v>-0.10995574287564303</v>
      </c>
      <c r="AA1002">
        <f t="shared" si="915"/>
        <v>-0.99596665946879492</v>
      </c>
      <c r="AB1002">
        <f t="shared" si="894"/>
        <v>6.8580149745056875</v>
      </c>
      <c r="AC1002">
        <f t="shared" si="916"/>
        <v>-2.6592600369327757</v>
      </c>
      <c r="AD1002">
        <f t="shared" si="895"/>
        <v>2.2096931885798083</v>
      </c>
      <c r="AE1002" s="9">
        <f t="shared" si="917"/>
        <v>6.4084481261527202</v>
      </c>
      <c r="AF1002">
        <f t="shared" si="918"/>
        <v>1.5405184586733992E-261</v>
      </c>
      <c r="AH1002">
        <f t="shared" si="896"/>
        <v>7.8539816339744828</v>
      </c>
      <c r="AI1002">
        <f t="shared" si="897"/>
        <v>-0.99596665946879481</v>
      </c>
      <c r="AJ1002">
        <f t="shared" si="898"/>
        <v>-2.6592600369327712</v>
      </c>
      <c r="AK1002">
        <f t="shared" si="899"/>
        <v>2.2096931885798083</v>
      </c>
      <c r="AL1002" s="9">
        <f t="shared" si="919"/>
        <v>6.4084481261527246</v>
      </c>
      <c r="AM1002" t="e">
        <f t="shared" si="900"/>
        <v>#N/A</v>
      </c>
      <c r="AN1002" t="e">
        <f t="shared" si="920"/>
        <v>#N/A</v>
      </c>
      <c r="AO1002">
        <f t="shared" si="901"/>
        <v>0</v>
      </c>
      <c r="AP1002">
        <f t="shared" si="902"/>
        <v>0</v>
      </c>
      <c r="AQ1002">
        <f t="shared" si="903"/>
        <v>4.4408920985006262E-15</v>
      </c>
      <c r="AR1002">
        <f t="shared" si="921"/>
        <v>0</v>
      </c>
      <c r="AS1002">
        <f t="shared" si="904"/>
        <v>0</v>
      </c>
      <c r="AT1002">
        <f t="shared" si="922"/>
        <v>0</v>
      </c>
      <c r="AU1002">
        <f t="shared" si="923"/>
        <v>1.5405184586692028E-261</v>
      </c>
      <c r="AV1002">
        <f t="shared" si="905"/>
        <v>1.0995574287564303E-21</v>
      </c>
      <c r="AW1002" t="b">
        <f t="shared" si="924"/>
        <v>1</v>
      </c>
      <c r="AX1002">
        <f t="shared" si="906"/>
        <v>7.8539816339744828</v>
      </c>
      <c r="AY1002">
        <f t="shared" si="907"/>
        <v>-0.99596665946879537</v>
      </c>
      <c r="AZ1002">
        <f t="shared" si="908"/>
        <v>-2.6592600369327757</v>
      </c>
      <c r="BA1002">
        <f t="shared" si="909"/>
        <v>2.2096931885798092</v>
      </c>
      <c r="BB1002">
        <f t="shared" si="910"/>
        <v>-1.2337005501361696E-20</v>
      </c>
      <c r="BD1002" s="15">
        <f t="shared" si="925"/>
        <v>6.4084481261527211</v>
      </c>
      <c r="BE1002" s="10">
        <f t="shared" si="926"/>
        <v>0</v>
      </c>
      <c r="BF1002">
        <f t="shared" si="927"/>
        <v>0</v>
      </c>
      <c r="BG1002">
        <f t="shared" si="928"/>
        <v>0</v>
      </c>
      <c r="BH1002">
        <f t="shared" si="929"/>
        <v>0</v>
      </c>
      <c r="BI1002">
        <f t="shared" si="930"/>
        <v>0</v>
      </c>
    </row>
    <row r="1003" spans="1:61" x14ac:dyDescent="0.3">
      <c r="A1003">
        <f t="shared" si="935"/>
        <v>0.96599999999999997</v>
      </c>
      <c r="B1003">
        <f t="shared" si="878"/>
        <v>3.0347785033677401</v>
      </c>
      <c r="C1003">
        <f t="shared" si="879"/>
        <v>0.10681415022205298</v>
      </c>
      <c r="D1003">
        <f t="shared" si="880"/>
        <v>0.10681415022205298</v>
      </c>
      <c r="E1003">
        <f t="shared" si="885"/>
        <v>0.10661115427526005</v>
      </c>
      <c r="F1003">
        <f t="shared" si="886"/>
        <v>0.10661115427525993</v>
      </c>
      <c r="G1003">
        <f t="shared" si="881"/>
        <v>3.0347785033677401</v>
      </c>
      <c r="H1003">
        <f t="shared" si="882"/>
        <v>0.10661115427526005</v>
      </c>
      <c r="I1003">
        <f t="shared" si="883"/>
        <v>0.10661115427525993</v>
      </c>
      <c r="J1003">
        <f t="shared" si="931"/>
        <v>5.9714180631033086E+20</v>
      </c>
      <c r="K1003">
        <f t="shared" si="932"/>
        <v>5.9714180631033086E+20</v>
      </c>
      <c r="L1003">
        <f t="shared" si="887"/>
        <v>1</v>
      </c>
      <c r="M1003">
        <f t="shared" si="884"/>
        <v>1.0681415022205327E-21</v>
      </c>
      <c r="N1003" s="9">
        <f t="shared" si="933"/>
        <v>1.0681415022205327E-21</v>
      </c>
      <c r="O1003">
        <f t="shared" si="934"/>
        <v>1.0681415022205327E-21</v>
      </c>
      <c r="Q1003">
        <f t="shared" si="888"/>
        <v>47.838686290587376</v>
      </c>
      <c r="R1003">
        <f t="shared" si="889"/>
        <v>0</v>
      </c>
      <c r="S1003">
        <f t="shared" si="911"/>
        <v>-48.288366728397484</v>
      </c>
      <c r="T1003" s="9" t="e">
        <f t="shared" si="890"/>
        <v>#N/A</v>
      </c>
      <c r="U1003">
        <f t="shared" si="912"/>
        <v>-1.0000000000000001E+300</v>
      </c>
      <c r="V1003">
        <f t="shared" si="913"/>
        <v>0</v>
      </c>
      <c r="W1003">
        <f t="shared" si="914"/>
        <v>0</v>
      </c>
      <c r="X1003">
        <f t="shared" si="891"/>
        <v>0.10681415022205298</v>
      </c>
      <c r="Y1003">
        <f t="shared" si="892"/>
        <v>7.8539816339744828</v>
      </c>
      <c r="Z1003">
        <f t="shared" si="893"/>
        <v>-0.10681415022205298</v>
      </c>
      <c r="AA1003">
        <f t="shared" si="915"/>
        <v>-0.9961940165956622</v>
      </c>
      <c r="AB1003">
        <f t="shared" si="894"/>
        <v>6.8577876173788201</v>
      </c>
      <c r="AC1003">
        <f t="shared" si="916"/>
        <v>-2.6882475738060303</v>
      </c>
      <c r="AD1003">
        <f t="shared" si="895"/>
        <v>2.2385671359959152</v>
      </c>
      <c r="AE1003" s="9">
        <f t="shared" si="917"/>
        <v>6.4081071795687041</v>
      </c>
      <c r="AF1003">
        <f t="shared" si="918"/>
        <v>1.8939804724345361E-261</v>
      </c>
      <c r="AH1003">
        <f t="shared" si="896"/>
        <v>7.8539816339744828</v>
      </c>
      <c r="AI1003">
        <f t="shared" si="897"/>
        <v>-0.99619401659566242</v>
      </c>
      <c r="AJ1003">
        <f t="shared" si="898"/>
        <v>-2.6882475738060236</v>
      </c>
      <c r="AK1003">
        <f t="shared" si="899"/>
        <v>2.2385671359959152</v>
      </c>
      <c r="AL1003" s="9">
        <f t="shared" si="919"/>
        <v>6.4081071795687112</v>
      </c>
      <c r="AM1003" t="e">
        <f t="shared" si="900"/>
        <v>#N/A</v>
      </c>
      <c r="AN1003" t="e">
        <f t="shared" si="920"/>
        <v>#N/A</v>
      </c>
      <c r="AO1003">
        <f t="shared" si="901"/>
        <v>0</v>
      </c>
      <c r="AP1003">
        <f t="shared" si="902"/>
        <v>0</v>
      </c>
      <c r="AQ1003">
        <f t="shared" si="903"/>
        <v>6.6613381477509392E-15</v>
      </c>
      <c r="AR1003">
        <f t="shared" si="921"/>
        <v>0</v>
      </c>
      <c r="AS1003">
        <f t="shared" si="904"/>
        <v>7.1054273576010019E-15</v>
      </c>
      <c r="AT1003">
        <f t="shared" si="922"/>
        <v>1.1088184324156736E-15</v>
      </c>
      <c r="AU1003">
        <f t="shared" si="923"/>
        <v>1.8939804724263676E-261</v>
      </c>
      <c r="AV1003">
        <f t="shared" si="905"/>
        <v>1.0681415022205297E-21</v>
      </c>
      <c r="AW1003" t="b">
        <f t="shared" si="924"/>
        <v>1</v>
      </c>
      <c r="AX1003">
        <f t="shared" si="906"/>
        <v>7.8539816339744828</v>
      </c>
      <c r="AY1003">
        <f t="shared" si="907"/>
        <v>-0.99619401659566276</v>
      </c>
      <c r="AZ1003">
        <f t="shared" si="908"/>
        <v>-2.6882475738060303</v>
      </c>
      <c r="BA1003">
        <f t="shared" si="909"/>
        <v>2.2385671359959165</v>
      </c>
      <c r="BB1003">
        <f t="shared" si="910"/>
        <v>-1.2337005501361696E-20</v>
      </c>
      <c r="BD1003" s="15">
        <f t="shared" si="925"/>
        <v>6.4081071795687059</v>
      </c>
      <c r="BE1003" s="10">
        <f t="shared" si="926"/>
        <v>0</v>
      </c>
      <c r="BF1003">
        <f t="shared" si="927"/>
        <v>0</v>
      </c>
      <c r="BG1003">
        <f t="shared" si="928"/>
        <v>0</v>
      </c>
      <c r="BH1003">
        <f t="shared" si="929"/>
        <v>0</v>
      </c>
      <c r="BI1003">
        <f t="shared" si="930"/>
        <v>0</v>
      </c>
    </row>
    <row r="1004" spans="1:61" x14ac:dyDescent="0.3">
      <c r="A1004">
        <f t="shared" si="935"/>
        <v>0.96699999999999997</v>
      </c>
      <c r="B1004">
        <f t="shared" si="878"/>
        <v>3.0379200960213297</v>
      </c>
      <c r="C1004">
        <f t="shared" si="879"/>
        <v>0.10367255756846339</v>
      </c>
      <c r="D1004">
        <f t="shared" si="880"/>
        <v>0.10367255756846339</v>
      </c>
      <c r="E1004">
        <f t="shared" si="885"/>
        <v>0.10348694525042286</v>
      </c>
      <c r="F1004">
        <f t="shared" si="886"/>
        <v>0.10348694525042273</v>
      </c>
      <c r="G1004">
        <f t="shared" si="881"/>
        <v>3.0379200960213297</v>
      </c>
      <c r="H1004">
        <f t="shared" si="882"/>
        <v>0.10348694525042286</v>
      </c>
      <c r="I1004">
        <f t="shared" si="883"/>
        <v>0.10348694525042273</v>
      </c>
      <c r="J1004">
        <f t="shared" si="931"/>
        <v>6.1516916054199606E+20</v>
      </c>
      <c r="K1004">
        <f t="shared" si="932"/>
        <v>6.1516916054199606E+20</v>
      </c>
      <c r="L1004">
        <f t="shared" si="887"/>
        <v>0</v>
      </c>
      <c r="M1004">
        <f t="shared" si="884"/>
        <v>1.0367255756846331E-21</v>
      </c>
      <c r="N1004" s="9">
        <f t="shared" si="933"/>
        <v>0</v>
      </c>
      <c r="O1004">
        <f t="shared" si="934"/>
        <v>0</v>
      </c>
      <c r="Q1004">
        <f t="shared" si="888"/>
        <v>47.868428961669743</v>
      </c>
      <c r="R1004">
        <f t="shared" si="889"/>
        <v>-710542.73576010019</v>
      </c>
      <c r="S1004">
        <f t="shared" si="911"/>
        <v>-48.318219691547171</v>
      </c>
      <c r="T1004" s="9" t="e">
        <f t="shared" si="890"/>
        <v>#N/A</v>
      </c>
      <c r="U1004">
        <f t="shared" si="912"/>
        <v>-1.0000000000000001E+300</v>
      </c>
      <c r="V1004">
        <f t="shared" si="913"/>
        <v>0</v>
      </c>
      <c r="W1004">
        <f t="shared" si="914"/>
        <v>0</v>
      </c>
      <c r="X1004">
        <f t="shared" si="891"/>
        <v>0.10367255756846339</v>
      </c>
      <c r="Y1004">
        <f t="shared" si="892"/>
        <v>7.8539816339744828</v>
      </c>
      <c r="Z1004">
        <f t="shared" si="893"/>
        <v>-0.10367255756846339</v>
      </c>
      <c r="AA1004">
        <f t="shared" si="915"/>
        <v>-0.99641476387214134</v>
      </c>
      <c r="AB1004">
        <f t="shared" si="894"/>
        <v>6.8575668701023416</v>
      </c>
      <c r="AC1004">
        <f t="shared" si="916"/>
        <v>-2.7181005369557094</v>
      </c>
      <c r="AD1004">
        <f t="shared" si="895"/>
        <v>2.2683098070782854</v>
      </c>
      <c r="AE1004" s="9">
        <f t="shared" si="917"/>
        <v>6.407776140224918</v>
      </c>
      <c r="AF1004">
        <f t="shared" si="918"/>
        <v>2.3144511697089793E-261</v>
      </c>
      <c r="AH1004">
        <f t="shared" si="896"/>
        <v>7.8539816339744828</v>
      </c>
      <c r="AI1004">
        <f t="shared" si="897"/>
        <v>-0.99641476387213812</v>
      </c>
      <c r="AJ1004">
        <f t="shared" si="898"/>
        <v>-2.7181005369557099</v>
      </c>
      <c r="AK1004">
        <f t="shared" si="899"/>
        <v>2.2683098070782854</v>
      </c>
      <c r="AL1004" s="9">
        <f t="shared" si="919"/>
        <v>6.4077761402249198</v>
      </c>
      <c r="AM1004" t="e">
        <f t="shared" si="900"/>
        <v>#N/A</v>
      </c>
      <c r="AN1004" t="e">
        <f t="shared" si="920"/>
        <v>#N/A</v>
      </c>
      <c r="AO1004">
        <f t="shared" si="901"/>
        <v>0</v>
      </c>
      <c r="AP1004">
        <f t="shared" si="902"/>
        <v>3.219646771412954E-15</v>
      </c>
      <c r="AQ1004">
        <f t="shared" si="903"/>
        <v>0</v>
      </c>
      <c r="AR1004">
        <f t="shared" si="921"/>
        <v>-3.231231499321808E-15</v>
      </c>
      <c r="AS1004">
        <f t="shared" si="904"/>
        <v>0</v>
      </c>
      <c r="AT1004">
        <f t="shared" si="922"/>
        <v>0</v>
      </c>
      <c r="AU1004">
        <f t="shared" si="923"/>
        <v>2.3144511697066154E-261</v>
      </c>
      <c r="AV1004">
        <f t="shared" si="905"/>
        <v>1.0367255756846339E-21</v>
      </c>
      <c r="AW1004" t="b">
        <f t="shared" si="924"/>
        <v>1</v>
      </c>
      <c r="AX1004">
        <f t="shared" si="906"/>
        <v>7.8539816339744828</v>
      </c>
      <c r="AY1004">
        <f t="shared" si="907"/>
        <v>-0.99641476387214212</v>
      </c>
      <c r="AZ1004">
        <f t="shared" si="908"/>
        <v>-2.7181005369557094</v>
      </c>
      <c r="BA1004">
        <f t="shared" si="909"/>
        <v>2.2683098070782868</v>
      </c>
      <c r="BB1004">
        <f t="shared" si="910"/>
        <v>-1.2337005501361696E-20</v>
      </c>
      <c r="BD1004" s="15">
        <f t="shared" si="925"/>
        <v>6.407776140224918</v>
      </c>
      <c r="BE1004" s="10">
        <f t="shared" si="926"/>
        <v>0</v>
      </c>
      <c r="BF1004">
        <f t="shared" si="927"/>
        <v>0</v>
      </c>
      <c r="BG1004">
        <f t="shared" si="928"/>
        <v>0</v>
      </c>
      <c r="BH1004">
        <f t="shared" si="929"/>
        <v>0</v>
      </c>
      <c r="BI1004">
        <f t="shared" si="930"/>
        <v>0</v>
      </c>
    </row>
    <row r="1005" spans="1:61" x14ac:dyDescent="0.3">
      <c r="A1005">
        <f t="shared" si="935"/>
        <v>0.96799999999999997</v>
      </c>
      <c r="B1005">
        <f t="shared" si="878"/>
        <v>3.0410616886749198</v>
      </c>
      <c r="C1005">
        <f t="shared" si="879"/>
        <v>0.10053096491487334</v>
      </c>
      <c r="D1005">
        <f t="shared" si="880"/>
        <v>0.10053096491487334</v>
      </c>
      <c r="E1005">
        <f t="shared" si="885"/>
        <v>0.10036171485121498</v>
      </c>
      <c r="F1005">
        <f t="shared" si="886"/>
        <v>0.10036171485121485</v>
      </c>
      <c r="G1005">
        <f t="shared" si="881"/>
        <v>3.0410616886749198</v>
      </c>
      <c r="H1005">
        <f t="shared" si="882"/>
        <v>0.10036171485121498</v>
      </c>
      <c r="I1005">
        <f t="shared" si="883"/>
        <v>0.10036171485121485</v>
      </c>
      <c r="J1005">
        <f t="shared" si="931"/>
        <v>6.3432532346758169E+20</v>
      </c>
      <c r="K1005">
        <f t="shared" si="932"/>
        <v>6.3432532346758169E+20</v>
      </c>
      <c r="L1005">
        <f t="shared" si="887"/>
        <v>1</v>
      </c>
      <c r="M1005">
        <f t="shared" si="884"/>
        <v>1.0053096491487335E-21</v>
      </c>
      <c r="N1005" s="9">
        <f t="shared" si="933"/>
        <v>1.0053096491487335E-21</v>
      </c>
      <c r="O1005">
        <f t="shared" si="934"/>
        <v>1.0053096491487335E-21</v>
      </c>
      <c r="Q1005">
        <f t="shared" si="888"/>
        <v>47.899093625222399</v>
      </c>
      <c r="R1005">
        <f t="shared" si="889"/>
        <v>-710542.73576010019</v>
      </c>
      <c r="S1005">
        <f t="shared" si="911"/>
        <v>-48.348991350213922</v>
      </c>
      <c r="T1005" s="9" t="e">
        <f t="shared" si="890"/>
        <v>#N/A</v>
      </c>
      <c r="U1005">
        <f t="shared" si="912"/>
        <v>-1.0000000000000001E+300</v>
      </c>
      <c r="V1005">
        <f t="shared" si="913"/>
        <v>0</v>
      </c>
      <c r="W1005">
        <f t="shared" si="914"/>
        <v>0</v>
      </c>
      <c r="X1005">
        <f t="shared" si="891"/>
        <v>0.10053096491487334</v>
      </c>
      <c r="Y1005">
        <f t="shared" si="892"/>
        <v>7.8539816339744828</v>
      </c>
      <c r="Z1005">
        <f t="shared" si="893"/>
        <v>-0.10053096491487334</v>
      </c>
      <c r="AA1005">
        <f t="shared" si="915"/>
        <v>-0.99662890304782215</v>
      </c>
      <c r="AB1005">
        <f t="shared" si="894"/>
        <v>6.8573527309266602</v>
      </c>
      <c r="AC1005">
        <f t="shared" si="916"/>
        <v>-2.7488721956224658</v>
      </c>
      <c r="AD1005">
        <f t="shared" si="895"/>
        <v>2.298974470630943</v>
      </c>
      <c r="AE1005" s="9">
        <f t="shared" si="917"/>
        <v>6.4074550059351374</v>
      </c>
      <c r="AF1005">
        <f t="shared" si="918"/>
        <v>2.8111735600532808E-261</v>
      </c>
      <c r="AH1005">
        <f t="shared" si="896"/>
        <v>7.8539816339744828</v>
      </c>
      <c r="AI1005">
        <f t="shared" si="897"/>
        <v>-0.99662890304781859</v>
      </c>
      <c r="AJ1005">
        <f t="shared" si="898"/>
        <v>-2.7488721956224609</v>
      </c>
      <c r="AK1005">
        <f t="shared" si="899"/>
        <v>2.298974470630943</v>
      </c>
      <c r="AL1005" s="9">
        <f t="shared" si="919"/>
        <v>6.4074550059351463</v>
      </c>
      <c r="AM1005" t="e">
        <f t="shared" si="900"/>
        <v>#N/A</v>
      </c>
      <c r="AN1005" t="e">
        <f t="shared" si="920"/>
        <v>#N/A</v>
      </c>
      <c r="AO1005">
        <f t="shared" si="901"/>
        <v>0</v>
      </c>
      <c r="AP1005">
        <f t="shared" si="902"/>
        <v>3.5527136788005009E-15</v>
      </c>
      <c r="AQ1005">
        <f t="shared" si="903"/>
        <v>4.8849813083506888E-15</v>
      </c>
      <c r="AR1005">
        <f t="shared" si="921"/>
        <v>-3.5647307317055004E-15</v>
      </c>
      <c r="AS1005">
        <f t="shared" si="904"/>
        <v>8.8817841970012523E-15</v>
      </c>
      <c r="AT1005">
        <f t="shared" si="922"/>
        <v>1.3861641148902591E-15</v>
      </c>
      <c r="AU1005">
        <f t="shared" si="923"/>
        <v>2.8111735600379655E-261</v>
      </c>
      <c r="AV1005">
        <f t="shared" si="905"/>
        <v>1.0053096491487333E-21</v>
      </c>
      <c r="AW1005" t="b">
        <f t="shared" si="924"/>
        <v>1</v>
      </c>
      <c r="AX1005">
        <f t="shared" si="906"/>
        <v>7.8539816339744828</v>
      </c>
      <c r="AY1005">
        <f t="shared" si="907"/>
        <v>-0.9966289030478227</v>
      </c>
      <c r="AZ1005">
        <f t="shared" si="908"/>
        <v>-2.7488721956224658</v>
      </c>
      <c r="BA1005">
        <f t="shared" si="909"/>
        <v>2.2989744706309443</v>
      </c>
      <c r="BB1005">
        <f t="shared" si="910"/>
        <v>-1.2337005501361696E-20</v>
      </c>
      <c r="BD1005" s="15">
        <f t="shared" si="925"/>
        <v>6.4074550059351383</v>
      </c>
      <c r="BE1005" s="10">
        <f t="shared" si="926"/>
        <v>-7.9936057773011271E-15</v>
      </c>
      <c r="BF1005">
        <f t="shared" si="927"/>
        <v>0</v>
      </c>
      <c r="BG1005">
        <f t="shared" si="928"/>
        <v>0</v>
      </c>
      <c r="BH1005">
        <f t="shared" si="929"/>
        <v>0</v>
      </c>
      <c r="BI1005">
        <f t="shared" si="930"/>
        <v>0</v>
      </c>
    </row>
    <row r="1006" spans="1:61" x14ac:dyDescent="0.3">
      <c r="A1006">
        <f t="shared" si="935"/>
        <v>0.96899999999999997</v>
      </c>
      <c r="B1006">
        <f t="shared" si="878"/>
        <v>3.0442032813285094</v>
      </c>
      <c r="C1006">
        <f t="shared" si="879"/>
        <v>9.7389372261283746E-2</v>
      </c>
      <c r="D1006">
        <f t="shared" si="880"/>
        <v>9.7389372261283746E-2</v>
      </c>
      <c r="E1006">
        <f t="shared" si="885"/>
        <v>9.7235493922399607E-2</v>
      </c>
      <c r="F1006">
        <f t="shared" si="886"/>
        <v>9.7235493922399482E-2</v>
      </c>
      <c r="G1006">
        <f t="shared" si="881"/>
        <v>3.0442032813285094</v>
      </c>
      <c r="H1006">
        <f t="shared" si="882"/>
        <v>9.7235493922399607E-2</v>
      </c>
      <c r="I1006">
        <f t="shared" si="883"/>
        <v>9.7235493922399482E-2</v>
      </c>
      <c r="J1006">
        <f t="shared" si="931"/>
        <v>6.5471953366704377E+20</v>
      </c>
      <c r="K1006">
        <f t="shared" si="932"/>
        <v>6.5471953366704377E+20</v>
      </c>
      <c r="L1006">
        <f t="shared" si="887"/>
        <v>1</v>
      </c>
      <c r="M1006">
        <f t="shared" si="884"/>
        <v>9.7389372261283991E-22</v>
      </c>
      <c r="N1006" s="9">
        <f t="shared" si="933"/>
        <v>9.7389372261283991E-22</v>
      </c>
      <c r="O1006">
        <f t="shared" si="934"/>
        <v>9.7389372261283991E-22</v>
      </c>
      <c r="Q1006">
        <f t="shared" si="888"/>
        <v>47.930738624952582</v>
      </c>
      <c r="R1006">
        <f t="shared" si="889"/>
        <v>-710542.73576010019</v>
      </c>
      <c r="S1006">
        <f t="shared" si="911"/>
        <v>-48.380740048528502</v>
      </c>
      <c r="T1006" s="9" t="e">
        <f t="shared" si="890"/>
        <v>#N/A</v>
      </c>
      <c r="U1006">
        <f t="shared" si="912"/>
        <v>-1.0000000000000001E+300</v>
      </c>
      <c r="V1006">
        <f t="shared" si="913"/>
        <v>0</v>
      </c>
      <c r="W1006">
        <f t="shared" si="914"/>
        <v>0</v>
      </c>
      <c r="X1006">
        <f t="shared" si="891"/>
        <v>9.7389372261283746E-2</v>
      </c>
      <c r="Y1006">
        <f t="shared" si="892"/>
        <v>7.8539816339744828</v>
      </c>
      <c r="Z1006">
        <f t="shared" si="893"/>
        <v>-9.7389372261283746E-2</v>
      </c>
      <c r="AA1006">
        <f t="shared" si="915"/>
        <v>-0.99683643581954096</v>
      </c>
      <c r="AB1006">
        <f t="shared" si="894"/>
        <v>6.8571451981549423</v>
      </c>
      <c r="AC1006">
        <f t="shared" si="916"/>
        <v>-2.7806208939370438</v>
      </c>
      <c r="AD1006">
        <f t="shared" si="895"/>
        <v>2.330619470361126</v>
      </c>
      <c r="AE1006" s="9">
        <f t="shared" si="917"/>
        <v>6.4071437745790245</v>
      </c>
      <c r="AF1006">
        <f t="shared" si="918"/>
        <v>3.3938878519017998E-261</v>
      </c>
      <c r="AH1006">
        <f t="shared" si="896"/>
        <v>7.8539816339744828</v>
      </c>
      <c r="AI1006">
        <f t="shared" si="897"/>
        <v>-0.99683643581953962</v>
      </c>
      <c r="AJ1006">
        <f t="shared" si="898"/>
        <v>-2.7806208939370407</v>
      </c>
      <c r="AK1006">
        <f t="shared" si="899"/>
        <v>2.330619470361126</v>
      </c>
      <c r="AL1006" s="9">
        <f t="shared" si="919"/>
        <v>6.4071437745790281</v>
      </c>
      <c r="AM1006" t="e">
        <f t="shared" si="900"/>
        <v>#N/A</v>
      </c>
      <c r="AN1006" t="e">
        <f t="shared" si="920"/>
        <v>#N/A</v>
      </c>
      <c r="AO1006">
        <f t="shared" si="901"/>
        <v>0</v>
      </c>
      <c r="AP1006">
        <f t="shared" si="902"/>
        <v>1.3322676295501878E-15</v>
      </c>
      <c r="AQ1006">
        <f t="shared" si="903"/>
        <v>0</v>
      </c>
      <c r="AR1006">
        <f t="shared" si="921"/>
        <v>-1.3364957195358501E-15</v>
      </c>
      <c r="AS1006">
        <f t="shared" si="904"/>
        <v>0</v>
      </c>
      <c r="AT1006">
        <f t="shared" si="922"/>
        <v>0</v>
      </c>
      <c r="AU1006">
        <f t="shared" si="923"/>
        <v>3.393887851894866E-261</v>
      </c>
      <c r="AV1006">
        <f t="shared" si="905"/>
        <v>9.7389372261283747E-22</v>
      </c>
      <c r="AW1006" t="b">
        <f t="shared" si="924"/>
        <v>1</v>
      </c>
      <c r="AX1006">
        <f t="shared" si="906"/>
        <v>7.8539816339744828</v>
      </c>
      <c r="AY1006">
        <f t="shared" si="907"/>
        <v>-0.99683643581954173</v>
      </c>
      <c r="AZ1006">
        <f t="shared" si="908"/>
        <v>-2.7806208939370438</v>
      </c>
      <c r="BA1006">
        <f t="shared" si="909"/>
        <v>2.3306194703611274</v>
      </c>
      <c r="BB1006">
        <f t="shared" si="910"/>
        <v>-1.2337005501361696E-20</v>
      </c>
      <c r="BD1006" s="15">
        <f t="shared" si="925"/>
        <v>6.4071437745790254</v>
      </c>
      <c r="BE1006" s="10">
        <f t="shared" si="926"/>
        <v>0</v>
      </c>
      <c r="BF1006">
        <f t="shared" si="927"/>
        <v>0</v>
      </c>
      <c r="BG1006">
        <f t="shared" si="928"/>
        <v>0</v>
      </c>
      <c r="BH1006">
        <f t="shared" si="929"/>
        <v>0</v>
      </c>
      <c r="BI1006">
        <f t="shared" si="930"/>
        <v>0</v>
      </c>
    </row>
    <row r="1007" spans="1:61" x14ac:dyDescent="0.3">
      <c r="A1007">
        <f t="shared" si="935"/>
        <v>0.97</v>
      </c>
      <c r="B1007">
        <f t="shared" si="878"/>
        <v>3.0473448739820994</v>
      </c>
      <c r="C1007">
        <f t="shared" si="879"/>
        <v>9.4247779607693705E-2</v>
      </c>
      <c r="D1007">
        <f t="shared" si="880"/>
        <v>9.4247779607693705E-2</v>
      </c>
      <c r="E1007">
        <f t="shared" si="885"/>
        <v>9.4108313318514353E-2</v>
      </c>
      <c r="F1007">
        <f t="shared" si="886"/>
        <v>9.4108313318514228E-2</v>
      </c>
      <c r="G1007">
        <f t="shared" si="881"/>
        <v>3.0473448739820994</v>
      </c>
      <c r="H1007">
        <f t="shared" si="882"/>
        <v>9.4108313318514353E-2</v>
      </c>
      <c r="I1007">
        <f t="shared" si="883"/>
        <v>9.4108313318514228E-2</v>
      </c>
      <c r="J1007">
        <f t="shared" si="931"/>
        <v>6.7647559489554298E+20</v>
      </c>
      <c r="K1007">
        <f t="shared" si="932"/>
        <v>6.7647559489554298E+20</v>
      </c>
      <c r="L1007">
        <f t="shared" si="887"/>
        <v>1</v>
      </c>
      <c r="M1007">
        <f t="shared" si="884"/>
        <v>9.4247779607693428E-22</v>
      </c>
      <c r="N1007" s="9">
        <f t="shared" si="933"/>
        <v>9.4247779607693428E-22</v>
      </c>
      <c r="O1007">
        <f t="shared" si="934"/>
        <v>9.4247779607693428E-22</v>
      </c>
      <c r="Q1007">
        <f t="shared" si="888"/>
        <v>47.963428045310494</v>
      </c>
      <c r="R1007">
        <f t="shared" si="889"/>
        <v>0</v>
      </c>
      <c r="S1007">
        <f t="shared" si="911"/>
        <v>-48.4135298713515</v>
      </c>
      <c r="T1007" s="9" t="e">
        <f t="shared" si="890"/>
        <v>#N/A</v>
      </c>
      <c r="U1007">
        <f t="shared" si="912"/>
        <v>-1.0000000000000001E+300</v>
      </c>
      <c r="V1007">
        <f t="shared" si="913"/>
        <v>0</v>
      </c>
      <c r="W1007">
        <f t="shared" si="914"/>
        <v>0</v>
      </c>
      <c r="X1007">
        <f t="shared" si="891"/>
        <v>9.4247779607693705E-2</v>
      </c>
      <c r="Y1007">
        <f t="shared" si="892"/>
        <v>7.8539816339744828</v>
      </c>
      <c r="Z1007">
        <f t="shared" si="893"/>
        <v>-9.4247779607693705E-2</v>
      </c>
      <c r="AA1007">
        <f t="shared" si="915"/>
        <v>-0.99703736383142894</v>
      </c>
      <c r="AB1007">
        <f t="shared" si="894"/>
        <v>6.8569442701430541</v>
      </c>
      <c r="AC1007">
        <f t="shared" si="916"/>
        <v>-2.8134107167600373</v>
      </c>
      <c r="AD1007">
        <f t="shared" si="895"/>
        <v>2.3633088907190332</v>
      </c>
      <c r="AE1007" s="9">
        <f t="shared" si="917"/>
        <v>6.4068424441020504</v>
      </c>
      <c r="AF1007">
        <f t="shared" si="918"/>
        <v>4.0726818785445731E-261</v>
      </c>
      <c r="AH1007">
        <f t="shared" si="896"/>
        <v>7.8539816339744828</v>
      </c>
      <c r="AI1007">
        <f t="shared" si="897"/>
        <v>-0.99703736383142427</v>
      </c>
      <c r="AJ1007">
        <f t="shared" si="898"/>
        <v>-2.8134107167600391</v>
      </c>
      <c r="AK1007">
        <f t="shared" si="899"/>
        <v>2.3633088907190332</v>
      </c>
      <c r="AL1007" s="9">
        <f t="shared" si="919"/>
        <v>6.4068424441020522</v>
      </c>
      <c r="AM1007" t="e">
        <f t="shared" si="900"/>
        <v>#N/A</v>
      </c>
      <c r="AN1007" t="e">
        <f t="shared" si="920"/>
        <v>#N/A</v>
      </c>
      <c r="AO1007">
        <f t="shared" si="901"/>
        <v>0</v>
      </c>
      <c r="AP1007">
        <f t="shared" si="902"/>
        <v>4.6629367034256575E-15</v>
      </c>
      <c r="AQ1007">
        <f t="shared" si="903"/>
        <v>0</v>
      </c>
      <c r="AR1007">
        <f t="shared" si="921"/>
        <v>-4.6767923375578243E-15</v>
      </c>
      <c r="AS1007">
        <f t="shared" si="904"/>
        <v>0</v>
      </c>
      <c r="AT1007">
        <f t="shared" si="922"/>
        <v>0</v>
      </c>
      <c r="AU1007">
        <f t="shared" si="923"/>
        <v>4.0726818785399509E-261</v>
      </c>
      <c r="AV1007">
        <f t="shared" si="905"/>
        <v>9.4247779607693691E-22</v>
      </c>
      <c r="AW1007" t="b">
        <f t="shared" si="924"/>
        <v>1</v>
      </c>
      <c r="AX1007">
        <f t="shared" si="906"/>
        <v>7.8539816339744828</v>
      </c>
      <c r="AY1007">
        <f t="shared" si="907"/>
        <v>-0.99703736383142949</v>
      </c>
      <c r="AZ1007">
        <f t="shared" si="908"/>
        <v>-2.8134107167600373</v>
      </c>
      <c r="BA1007">
        <f t="shared" si="909"/>
        <v>2.3633088907190345</v>
      </c>
      <c r="BB1007">
        <f t="shared" si="910"/>
        <v>-1.2337005501361696E-20</v>
      </c>
      <c r="BD1007" s="15">
        <f t="shared" si="925"/>
        <v>6.4068424441020504</v>
      </c>
      <c r="BE1007" s="10">
        <f t="shared" si="926"/>
        <v>0</v>
      </c>
      <c r="BF1007">
        <f t="shared" si="927"/>
        <v>0</v>
      </c>
      <c r="BG1007">
        <f t="shared" si="928"/>
        <v>0</v>
      </c>
      <c r="BH1007">
        <f t="shared" si="929"/>
        <v>0</v>
      </c>
      <c r="BI1007">
        <f t="shared" si="930"/>
        <v>0</v>
      </c>
    </row>
    <row r="1008" spans="1:61" x14ac:dyDescent="0.3">
      <c r="A1008">
        <f t="shared" si="935"/>
        <v>0.97099999999999997</v>
      </c>
      <c r="B1008">
        <f t="shared" si="878"/>
        <v>3.050486466635689</v>
      </c>
      <c r="C1008">
        <f t="shared" si="879"/>
        <v>9.1106186954104107E-2</v>
      </c>
      <c r="D1008">
        <f t="shared" si="880"/>
        <v>9.1106186954104107E-2</v>
      </c>
      <c r="E1008">
        <f t="shared" si="885"/>
        <v>9.0980203903570145E-2</v>
      </c>
      <c r="F1008">
        <f t="shared" si="886"/>
        <v>9.098020390357002E-2</v>
      </c>
      <c r="G1008">
        <f t="shared" si="881"/>
        <v>3.050486466635689</v>
      </c>
      <c r="H1008">
        <f t="shared" si="882"/>
        <v>9.0980203903570145E-2</v>
      </c>
      <c r="I1008">
        <f t="shared" si="883"/>
        <v>9.098020390357002E-2</v>
      </c>
      <c r="J1008">
        <f t="shared" si="931"/>
        <v>6.9973438732049252E+20</v>
      </c>
      <c r="K1008">
        <f t="shared" si="932"/>
        <v>6.9973438732049252E+20</v>
      </c>
      <c r="L1008">
        <f t="shared" si="887"/>
        <v>0</v>
      </c>
      <c r="M1008">
        <f t="shared" si="884"/>
        <v>9.1106186954104068E-22</v>
      </c>
      <c r="N1008" s="9">
        <f t="shared" si="933"/>
        <v>0</v>
      </c>
      <c r="O1008">
        <f t="shared" si="934"/>
        <v>0</v>
      </c>
      <c r="Q1008">
        <f t="shared" si="888"/>
        <v>47.997232490243107</v>
      </c>
      <c r="R1008">
        <f t="shared" si="889"/>
        <v>0</v>
      </c>
      <c r="S1008">
        <f t="shared" si="911"/>
        <v>-48.447431423027176</v>
      </c>
      <c r="T1008" s="9" t="e">
        <f t="shared" si="890"/>
        <v>#N/A</v>
      </c>
      <c r="U1008">
        <f t="shared" si="912"/>
        <v>-1.0000000000000001E+300</v>
      </c>
      <c r="V1008">
        <f t="shared" si="913"/>
        <v>0</v>
      </c>
      <c r="W1008">
        <f t="shared" si="914"/>
        <v>0</v>
      </c>
      <c r="X1008">
        <f t="shared" si="891"/>
        <v>9.1106186954104107E-2</v>
      </c>
      <c r="Y1008">
        <f t="shared" si="892"/>
        <v>7.8539816339744828</v>
      </c>
      <c r="Z1008">
        <f t="shared" si="893"/>
        <v>-9.1106186954104107E-2</v>
      </c>
      <c r="AA1008">
        <f t="shared" si="915"/>
        <v>-0.99723168867495837</v>
      </c>
      <c r="AB1008">
        <f t="shared" si="894"/>
        <v>6.8567499452995246</v>
      </c>
      <c r="AC1008">
        <f t="shared" si="916"/>
        <v>-2.8473122684357164</v>
      </c>
      <c r="AD1008">
        <f t="shared" si="895"/>
        <v>2.3971133356516479</v>
      </c>
      <c r="AE1008" s="9">
        <f t="shared" si="917"/>
        <v>6.4065510125154557</v>
      </c>
      <c r="AF1008">
        <f t="shared" si="918"/>
        <v>4.8577990717606121E-261</v>
      </c>
      <c r="AH1008">
        <f t="shared" si="896"/>
        <v>7.8539816339744828</v>
      </c>
      <c r="AI1008">
        <f t="shared" si="897"/>
        <v>-0.99723168867495493</v>
      </c>
      <c r="AJ1008">
        <f t="shared" si="898"/>
        <v>-2.8473122684357151</v>
      </c>
      <c r="AK1008">
        <f t="shared" si="899"/>
        <v>2.3971133356516479</v>
      </c>
      <c r="AL1008" s="9">
        <f t="shared" si="919"/>
        <v>6.406551012515461</v>
      </c>
      <c r="AM1008" t="e">
        <f t="shared" si="900"/>
        <v>#N/A</v>
      </c>
      <c r="AN1008" t="e">
        <f t="shared" si="920"/>
        <v>#N/A</v>
      </c>
      <c r="AO1008">
        <f t="shared" si="901"/>
        <v>0</v>
      </c>
      <c r="AP1008">
        <f t="shared" si="902"/>
        <v>3.4416913763379853E-15</v>
      </c>
      <c r="AQ1008">
        <f t="shared" si="903"/>
        <v>0</v>
      </c>
      <c r="AR1008">
        <f t="shared" si="921"/>
        <v>-3.4512454983365411E-15</v>
      </c>
      <c r="AS1008">
        <f t="shared" si="904"/>
        <v>0</v>
      </c>
      <c r="AT1008">
        <f t="shared" si="922"/>
        <v>0</v>
      </c>
      <c r="AU1008">
        <f t="shared" si="923"/>
        <v>4.8577990717451741E-261</v>
      </c>
      <c r="AV1008">
        <f t="shared" si="905"/>
        <v>9.1106186954104106E-22</v>
      </c>
      <c r="AW1008" t="b">
        <f t="shared" si="924"/>
        <v>1</v>
      </c>
      <c r="AX1008">
        <f t="shared" si="906"/>
        <v>7.8539816339744828</v>
      </c>
      <c r="AY1008">
        <f t="shared" si="907"/>
        <v>-0.99723168867495904</v>
      </c>
      <c r="AZ1008">
        <f t="shared" si="908"/>
        <v>-2.8473122684357164</v>
      </c>
      <c r="BA1008">
        <f t="shared" si="909"/>
        <v>2.3971133356516492</v>
      </c>
      <c r="BB1008">
        <f t="shared" si="910"/>
        <v>-1.2337005501361696E-20</v>
      </c>
      <c r="BD1008" s="15">
        <f t="shared" si="925"/>
        <v>6.4065510125154574</v>
      </c>
      <c r="BE1008" s="10">
        <f t="shared" si="926"/>
        <v>0</v>
      </c>
      <c r="BF1008">
        <f t="shared" si="927"/>
        <v>0</v>
      </c>
      <c r="BG1008">
        <f t="shared" si="928"/>
        <v>0</v>
      </c>
      <c r="BH1008">
        <f t="shared" si="929"/>
        <v>0</v>
      </c>
      <c r="BI1008">
        <f t="shared" si="930"/>
        <v>0</v>
      </c>
    </row>
    <row r="1009" spans="1:61" x14ac:dyDescent="0.3">
      <c r="A1009">
        <f t="shared" si="935"/>
        <v>0.97199999999999998</v>
      </c>
      <c r="B1009">
        <f t="shared" si="878"/>
        <v>3.0536280592892791</v>
      </c>
      <c r="C1009">
        <f t="shared" si="879"/>
        <v>8.7964594300514065E-2</v>
      </c>
      <c r="D1009">
        <f t="shared" si="880"/>
        <v>8.7964594300514065E-2</v>
      </c>
      <c r="E1009">
        <f t="shared" si="885"/>
        <v>8.7851196550743152E-2</v>
      </c>
      <c r="F1009">
        <f t="shared" si="886"/>
        <v>8.7851196550743027E-2</v>
      </c>
      <c r="G1009">
        <f t="shared" si="881"/>
        <v>3.0536280592892791</v>
      </c>
      <c r="H1009">
        <f t="shared" si="882"/>
        <v>8.7851196550743152E-2</v>
      </c>
      <c r="I1009">
        <f t="shared" si="883"/>
        <v>8.7851196550743027E-2</v>
      </c>
      <c r="J1009">
        <f t="shared" si="931"/>
        <v>7.2465691688088463E+20</v>
      </c>
      <c r="K1009">
        <f t="shared" si="932"/>
        <v>7.2465691688088463E+20</v>
      </c>
      <c r="L1009">
        <f t="shared" si="887"/>
        <v>0</v>
      </c>
      <c r="M1009">
        <f t="shared" si="884"/>
        <v>8.7964594300514107E-22</v>
      </c>
      <c r="N1009" s="9">
        <f t="shared" si="933"/>
        <v>0</v>
      </c>
      <c r="O1009">
        <f t="shared" si="934"/>
        <v>0</v>
      </c>
      <c r="Q1009">
        <f t="shared" si="888"/>
        <v>48.03222999864915</v>
      </c>
      <c r="R1009">
        <f t="shared" si="889"/>
        <v>0</v>
      </c>
      <c r="S1009">
        <f t="shared" si="911"/>
        <v>-48.482522742838448</v>
      </c>
      <c r="T1009" s="9" t="e">
        <f t="shared" si="890"/>
        <v>#N/A</v>
      </c>
      <c r="U1009">
        <f t="shared" si="912"/>
        <v>-1.0000000000000001E+300</v>
      </c>
      <c r="V1009">
        <f t="shared" si="913"/>
        <v>0</v>
      </c>
      <c r="W1009">
        <f t="shared" si="914"/>
        <v>0</v>
      </c>
      <c r="X1009">
        <f t="shared" si="891"/>
        <v>8.7964594300514065E-2</v>
      </c>
      <c r="Y1009">
        <f t="shared" si="892"/>
        <v>7.8539816339744828</v>
      </c>
      <c r="Z1009">
        <f t="shared" si="893"/>
        <v>-8.7964594300514065E-2</v>
      </c>
      <c r="AA1009">
        <f t="shared" si="915"/>
        <v>-0.99741941188898753</v>
      </c>
      <c r="AB1009">
        <f t="shared" si="894"/>
        <v>6.8565622220854952</v>
      </c>
      <c r="AC1009">
        <f t="shared" si="916"/>
        <v>-2.8824035882469894</v>
      </c>
      <c r="AD1009">
        <f t="shared" si="895"/>
        <v>2.432110844057688</v>
      </c>
      <c r="AE1009" s="9">
        <f t="shared" si="917"/>
        <v>6.4062694778961937</v>
      </c>
      <c r="AF1009">
        <f t="shared" si="918"/>
        <v>5.7594028128183834E-261</v>
      </c>
      <c r="AH1009">
        <f t="shared" si="896"/>
        <v>7.8539816339744828</v>
      </c>
      <c r="AI1009">
        <f t="shared" si="897"/>
        <v>-0.99741941188898842</v>
      </c>
      <c r="AJ1009">
        <f t="shared" si="898"/>
        <v>-2.8824035882469872</v>
      </c>
      <c r="AK1009">
        <f t="shared" si="899"/>
        <v>2.432110844057688</v>
      </c>
      <c r="AL1009" s="9">
        <f t="shared" si="919"/>
        <v>6.4062694778961955</v>
      </c>
      <c r="AM1009" t="e">
        <f t="shared" si="900"/>
        <v>#N/A</v>
      </c>
      <c r="AN1009" t="e">
        <f t="shared" si="920"/>
        <v>#N/A</v>
      </c>
      <c r="AO1009">
        <f t="shared" si="901"/>
        <v>0</v>
      </c>
      <c r="AP1009">
        <f t="shared" si="902"/>
        <v>-8.8817841970012523E-16</v>
      </c>
      <c r="AQ1009">
        <f t="shared" si="903"/>
        <v>0</v>
      </c>
      <c r="AR1009">
        <f t="shared" si="921"/>
        <v>8.9047637243998059E-16</v>
      </c>
      <c r="AS1009">
        <f t="shared" si="904"/>
        <v>0</v>
      </c>
      <c r="AT1009">
        <f t="shared" si="922"/>
        <v>0</v>
      </c>
      <c r="AU1009">
        <f t="shared" si="923"/>
        <v>5.7594028128118468E-261</v>
      </c>
      <c r="AV1009">
        <f t="shared" si="905"/>
        <v>8.7964594300514069E-22</v>
      </c>
      <c r="AW1009" t="b">
        <f t="shared" si="924"/>
        <v>1</v>
      </c>
      <c r="AX1009">
        <f t="shared" si="906"/>
        <v>7.8539816339744828</v>
      </c>
      <c r="AY1009">
        <f t="shared" si="907"/>
        <v>-0.99741941188898819</v>
      </c>
      <c r="AZ1009">
        <f t="shared" si="908"/>
        <v>-2.8824035882469894</v>
      </c>
      <c r="BA1009">
        <f t="shared" si="909"/>
        <v>2.4321108440576893</v>
      </c>
      <c r="BB1009">
        <f t="shared" si="910"/>
        <v>-1.2337005501361696E-20</v>
      </c>
      <c r="BD1009" s="15">
        <f t="shared" si="925"/>
        <v>6.4062694778961937</v>
      </c>
      <c r="BE1009" s="10">
        <f t="shared" si="926"/>
        <v>0</v>
      </c>
      <c r="BF1009">
        <f t="shared" si="927"/>
        <v>0</v>
      </c>
      <c r="BG1009">
        <f t="shared" si="928"/>
        <v>0</v>
      </c>
      <c r="BH1009">
        <f t="shared" si="929"/>
        <v>0</v>
      </c>
      <c r="BI1009">
        <f t="shared" si="930"/>
        <v>0</v>
      </c>
    </row>
    <row r="1010" spans="1:61" x14ac:dyDescent="0.3">
      <c r="A1010">
        <f t="shared" si="935"/>
        <v>0.97299999999999998</v>
      </c>
      <c r="B1010">
        <f t="shared" si="878"/>
        <v>3.0567696519428686</v>
      </c>
      <c r="C1010">
        <f t="shared" si="879"/>
        <v>8.4823001646924467E-2</v>
      </c>
      <c r="D1010">
        <f t="shared" si="880"/>
        <v>8.4823001646924467E-2</v>
      </c>
      <c r="E1010">
        <f t="shared" si="885"/>
        <v>8.4721322142073618E-2</v>
      </c>
      <c r="F1010">
        <f t="shared" si="886"/>
        <v>8.4721322142073494E-2</v>
      </c>
      <c r="G1010">
        <f t="shared" si="881"/>
        <v>3.0567696519428686</v>
      </c>
      <c r="H1010">
        <f t="shared" si="882"/>
        <v>8.4721322142073618E-2</v>
      </c>
      <c r="I1010">
        <f t="shared" si="883"/>
        <v>8.4721322142073494E-2</v>
      </c>
      <c r="J1010">
        <f t="shared" si="931"/>
        <v>7.5142804228196585E+20</v>
      </c>
      <c r="K1010">
        <f t="shared" si="932"/>
        <v>7.5142804228196585E+20</v>
      </c>
      <c r="L1010">
        <f t="shared" si="887"/>
        <v>1</v>
      </c>
      <c r="M1010">
        <f t="shared" si="884"/>
        <v>8.4823001646924747E-22</v>
      </c>
      <c r="N1010" s="9">
        <f t="shared" si="933"/>
        <v>8.4823001646924747E-22</v>
      </c>
      <c r="O1010">
        <f t="shared" si="934"/>
        <v>8.4823001646924747E-22</v>
      </c>
      <c r="Q1010">
        <f t="shared" si="888"/>
        <v>48.068507126381519</v>
      </c>
      <c r="R1010">
        <f t="shared" si="889"/>
        <v>0</v>
      </c>
      <c r="S1010">
        <f t="shared" si="911"/>
        <v>-48.518890387009314</v>
      </c>
      <c r="T1010" s="9" t="e">
        <f t="shared" si="890"/>
        <v>#N/A</v>
      </c>
      <c r="U1010">
        <f t="shared" si="912"/>
        <v>-1.0000000000000001E+300</v>
      </c>
      <c r="V1010">
        <f t="shared" si="913"/>
        <v>0</v>
      </c>
      <c r="W1010">
        <f t="shared" si="914"/>
        <v>0</v>
      </c>
      <c r="X1010">
        <f t="shared" si="891"/>
        <v>8.4823001646924467E-2</v>
      </c>
      <c r="Y1010">
        <f t="shared" si="892"/>
        <v>7.8539816339744828</v>
      </c>
      <c r="Z1010">
        <f t="shared" si="893"/>
        <v>-8.4823001646924467E-2</v>
      </c>
      <c r="AA1010">
        <f t="shared" si="915"/>
        <v>-0.9976005349598045</v>
      </c>
      <c r="AB1010">
        <f t="shared" si="894"/>
        <v>6.8563810990146781</v>
      </c>
      <c r="AC1010">
        <f t="shared" si="916"/>
        <v>-2.9187712324178618</v>
      </c>
      <c r="AD1010">
        <f t="shared" si="895"/>
        <v>2.4683879717900599</v>
      </c>
      <c r="AE1010" s="9">
        <f t="shared" si="917"/>
        <v>6.4059978383868756</v>
      </c>
      <c r="AF1010">
        <f t="shared" si="918"/>
        <v>6.7872977323608935E-261</v>
      </c>
      <c r="AH1010">
        <f t="shared" si="896"/>
        <v>7.8539816339744828</v>
      </c>
      <c r="AI1010">
        <f t="shared" si="897"/>
        <v>-0.99760053495980805</v>
      </c>
      <c r="AJ1010">
        <f t="shared" si="898"/>
        <v>-2.9187712324178534</v>
      </c>
      <c r="AK1010">
        <f t="shared" si="899"/>
        <v>2.4683879717900599</v>
      </c>
      <c r="AL1010" s="9">
        <f t="shared" si="919"/>
        <v>6.405997838386881</v>
      </c>
      <c r="AM1010" t="e">
        <f t="shared" si="900"/>
        <v>#N/A</v>
      </c>
      <c r="AN1010" t="e">
        <f t="shared" si="920"/>
        <v>#N/A</v>
      </c>
      <c r="AO1010">
        <f t="shared" si="901"/>
        <v>0</v>
      </c>
      <c r="AP1010">
        <f t="shared" si="902"/>
        <v>-3.5527136788005009E-15</v>
      </c>
      <c r="AQ1010">
        <f t="shared" si="903"/>
        <v>8.4376949871511897E-15</v>
      </c>
      <c r="AR1010">
        <f t="shared" si="921"/>
        <v>3.5612587947776462E-15</v>
      </c>
      <c r="AS1010">
        <f t="shared" si="904"/>
        <v>0</v>
      </c>
      <c r="AT1010">
        <f t="shared" si="922"/>
        <v>0</v>
      </c>
      <c r="AU1010">
        <f t="shared" si="923"/>
        <v>6.7872977323393232E-261</v>
      </c>
      <c r="AV1010">
        <f t="shared" si="905"/>
        <v>8.4823001646924465E-22</v>
      </c>
      <c r="AW1010" t="b">
        <f t="shared" si="924"/>
        <v>1</v>
      </c>
      <c r="AX1010">
        <f t="shared" si="906"/>
        <v>7.8539816339744828</v>
      </c>
      <c r="AY1010">
        <f t="shared" si="907"/>
        <v>-0.99760053495980527</v>
      </c>
      <c r="AZ1010">
        <f t="shared" si="908"/>
        <v>-2.9187712324178618</v>
      </c>
      <c r="BA1010">
        <f t="shared" si="909"/>
        <v>2.4683879717900612</v>
      </c>
      <c r="BB1010">
        <f t="shared" si="910"/>
        <v>-1.2337005501361696E-20</v>
      </c>
      <c r="BD1010" s="15">
        <f t="shared" si="925"/>
        <v>6.4059978383868765</v>
      </c>
      <c r="BE1010" s="10">
        <f t="shared" si="926"/>
        <v>0</v>
      </c>
      <c r="BF1010">
        <f t="shared" si="927"/>
        <v>0</v>
      </c>
      <c r="BG1010">
        <f t="shared" si="928"/>
        <v>0</v>
      </c>
      <c r="BH1010">
        <f t="shared" si="929"/>
        <v>0</v>
      </c>
      <c r="BI1010">
        <f t="shared" si="930"/>
        <v>0</v>
      </c>
    </row>
    <row r="1011" spans="1:61" x14ac:dyDescent="0.3">
      <c r="A1011">
        <f t="shared" si="935"/>
        <v>0.97399999999999998</v>
      </c>
      <c r="B1011">
        <f t="shared" si="878"/>
        <v>3.0599112445964582</v>
      </c>
      <c r="C1011">
        <f t="shared" si="879"/>
        <v>8.168140899333487E-2</v>
      </c>
      <c r="D1011">
        <f t="shared" si="880"/>
        <v>8.168140899333487E-2</v>
      </c>
      <c r="E1011">
        <f t="shared" si="885"/>
        <v>8.1590611568157917E-2</v>
      </c>
      <c r="F1011">
        <f t="shared" si="886"/>
        <v>8.1590611568157792E-2</v>
      </c>
      <c r="G1011">
        <f t="shared" si="881"/>
        <v>3.0599112445964582</v>
      </c>
      <c r="H1011">
        <f t="shared" si="882"/>
        <v>8.1590611568157917E-2</v>
      </c>
      <c r="I1011">
        <f t="shared" si="883"/>
        <v>8.1590611568157792E-2</v>
      </c>
      <c r="J1011">
        <f t="shared" si="931"/>
        <v>7.8026106206566639E+20</v>
      </c>
      <c r="K1011">
        <f t="shared" si="932"/>
        <v>7.8026106206566639E+20</v>
      </c>
      <c r="L1011">
        <f t="shared" si="887"/>
        <v>1</v>
      </c>
      <c r="M1011">
        <f t="shared" si="884"/>
        <v>8.1681408993334786E-22</v>
      </c>
      <c r="N1011" s="9">
        <f t="shared" si="933"/>
        <v>8.1681408993334786E-22</v>
      </c>
      <c r="O1011">
        <f t="shared" si="934"/>
        <v>8.1681408993334786E-22</v>
      </c>
      <c r="Q1011">
        <f t="shared" si="888"/>
        <v>48.106160232534577</v>
      </c>
      <c r="R1011">
        <f t="shared" si="889"/>
        <v>-710542.73576010019</v>
      </c>
      <c r="S1011">
        <f t="shared" si="911"/>
        <v>-48.556630714992167</v>
      </c>
      <c r="T1011" s="9" t="e">
        <f t="shared" si="890"/>
        <v>#N/A</v>
      </c>
      <c r="U1011">
        <f t="shared" si="912"/>
        <v>-1.0000000000000001E+300</v>
      </c>
      <c r="V1011">
        <f t="shared" si="913"/>
        <v>0</v>
      </c>
      <c r="W1011">
        <f t="shared" si="914"/>
        <v>0</v>
      </c>
      <c r="X1011">
        <f t="shared" si="891"/>
        <v>8.168140899333487E-2</v>
      </c>
      <c r="Y1011">
        <f t="shared" si="892"/>
        <v>7.8539816339744828</v>
      </c>
      <c r="Z1011">
        <f t="shared" si="893"/>
        <v>-8.168140899333487E-2</v>
      </c>
      <c r="AA1011">
        <f t="shared" si="915"/>
        <v>-0.99777505932117005</v>
      </c>
      <c r="AB1011">
        <f t="shared" si="894"/>
        <v>6.8562065746533127</v>
      </c>
      <c r="AC1011">
        <f t="shared" si="916"/>
        <v>-2.9565115604007066</v>
      </c>
      <c r="AD1011">
        <f t="shared" si="895"/>
        <v>2.506041077943121</v>
      </c>
      <c r="AE1011" s="9">
        <f t="shared" si="917"/>
        <v>6.4057360921957276</v>
      </c>
      <c r="AF1011">
        <f t="shared" si="918"/>
        <v>7.9506105839432263E-261</v>
      </c>
      <c r="AH1011">
        <f t="shared" si="896"/>
        <v>7.8539816339744828</v>
      </c>
      <c r="AI1011">
        <f t="shared" si="897"/>
        <v>-0.99777505932116761</v>
      </c>
      <c r="AJ1011">
        <f t="shared" si="898"/>
        <v>-2.9565115604007062</v>
      </c>
      <c r="AK1011">
        <f t="shared" si="899"/>
        <v>2.506041077943121</v>
      </c>
      <c r="AL1011" s="9">
        <f t="shared" si="919"/>
        <v>6.4057360921957303</v>
      </c>
      <c r="AM1011" t="e">
        <f t="shared" si="900"/>
        <v>#N/A</v>
      </c>
      <c r="AN1011" t="e">
        <f t="shared" si="920"/>
        <v>#N/A</v>
      </c>
      <c r="AO1011">
        <f t="shared" si="901"/>
        <v>0</v>
      </c>
      <c r="AP1011">
        <f t="shared" si="902"/>
        <v>2.4424906541753444E-15</v>
      </c>
      <c r="AQ1011">
        <f t="shared" si="903"/>
        <v>0</v>
      </c>
      <c r="AR1011">
        <f t="shared" si="921"/>
        <v>-2.4479371691622394E-15</v>
      </c>
      <c r="AS1011">
        <f t="shared" si="904"/>
        <v>0</v>
      </c>
      <c r="AT1011">
        <f t="shared" si="922"/>
        <v>0</v>
      </c>
      <c r="AU1011">
        <f t="shared" si="923"/>
        <v>7.9506105839305936E-261</v>
      </c>
      <c r="AV1011">
        <f t="shared" si="905"/>
        <v>8.1681408993334861E-22</v>
      </c>
      <c r="AW1011" t="b">
        <f t="shared" si="924"/>
        <v>1</v>
      </c>
      <c r="AX1011">
        <f t="shared" si="906"/>
        <v>7.8539816339744828</v>
      </c>
      <c r="AY1011">
        <f t="shared" si="907"/>
        <v>-0.99777505932117061</v>
      </c>
      <c r="AZ1011">
        <f t="shared" si="908"/>
        <v>-2.9565115604007066</v>
      </c>
      <c r="BA1011">
        <f t="shared" si="909"/>
        <v>2.5060410779431224</v>
      </c>
      <c r="BB1011">
        <f t="shared" si="910"/>
        <v>-1.2337005501361696E-20</v>
      </c>
      <c r="BD1011" s="15">
        <f t="shared" si="925"/>
        <v>6.4057360921957276</v>
      </c>
      <c r="BE1011" s="10">
        <f t="shared" si="926"/>
        <v>0</v>
      </c>
      <c r="BF1011">
        <f t="shared" si="927"/>
        <v>0</v>
      </c>
      <c r="BG1011">
        <f t="shared" si="928"/>
        <v>0</v>
      </c>
      <c r="BH1011">
        <f t="shared" si="929"/>
        <v>0</v>
      </c>
      <c r="BI1011">
        <f t="shared" si="930"/>
        <v>0</v>
      </c>
    </row>
    <row r="1012" spans="1:61" x14ac:dyDescent="0.3">
      <c r="A1012">
        <f t="shared" si="935"/>
        <v>0.97499999999999998</v>
      </c>
      <c r="B1012">
        <f t="shared" si="878"/>
        <v>3.0630528372500483</v>
      </c>
      <c r="C1012">
        <f t="shared" si="879"/>
        <v>7.8539816339744828E-2</v>
      </c>
      <c r="D1012">
        <f t="shared" si="880"/>
        <v>7.8539816339744828E-2</v>
      </c>
      <c r="E1012">
        <f t="shared" si="885"/>
        <v>7.8459095727845068E-2</v>
      </c>
      <c r="F1012">
        <f t="shared" si="886"/>
        <v>7.8459095727844944E-2</v>
      </c>
      <c r="G1012">
        <f t="shared" si="881"/>
        <v>3.0630528372500483</v>
      </c>
      <c r="H1012">
        <f t="shared" si="882"/>
        <v>7.8459095727845068E-2</v>
      </c>
      <c r="I1012">
        <f t="shared" si="883"/>
        <v>7.8459095727844944E-2</v>
      </c>
      <c r="J1012">
        <f t="shared" si="931"/>
        <v>8.1140340257789339E+20</v>
      </c>
      <c r="K1012">
        <f t="shared" si="932"/>
        <v>8.1140340257789339E+20</v>
      </c>
      <c r="L1012" t="e">
        <f t="shared" si="887"/>
        <v>#NUM!</v>
      </c>
      <c r="M1012">
        <f t="shared" si="884"/>
        <v>7.8539816339744824E-22</v>
      </c>
      <c r="N1012" s="9" t="e">
        <f t="shared" si="933"/>
        <v>#NUM!</v>
      </c>
      <c r="O1012" t="e">
        <f t="shared" si="934"/>
        <v>#NUM!</v>
      </c>
      <c r="Q1012">
        <f t="shared" si="888"/>
        <v>48.145297018121859</v>
      </c>
      <c r="R1012">
        <f t="shared" si="889"/>
        <v>0</v>
      </c>
      <c r="S1012">
        <f t="shared" si="911"/>
        <v>-48.595851428145451</v>
      </c>
      <c r="T1012" s="9" t="e">
        <f t="shared" si="890"/>
        <v>#N/A</v>
      </c>
      <c r="U1012">
        <f t="shared" si="912"/>
        <v>-1.0000000000000001E+300</v>
      </c>
      <c r="V1012">
        <f t="shared" si="913"/>
        <v>0</v>
      </c>
      <c r="W1012">
        <f t="shared" si="914"/>
        <v>0</v>
      </c>
      <c r="X1012">
        <f t="shared" si="891"/>
        <v>7.8539816339744828E-2</v>
      </c>
      <c r="Y1012">
        <f t="shared" si="892"/>
        <v>7.8539816339744828</v>
      </c>
      <c r="Z1012">
        <f t="shared" si="893"/>
        <v>-7.8539816339744828E-2</v>
      </c>
      <c r="AA1012">
        <f t="shared" si="915"/>
        <v>-0.99794298635435652</v>
      </c>
      <c r="AB1012">
        <f t="shared" si="894"/>
        <v>6.8560386476201263</v>
      </c>
      <c r="AC1012">
        <f t="shared" si="916"/>
        <v>-2.9957322735539909</v>
      </c>
      <c r="AD1012">
        <f t="shared" si="895"/>
        <v>2.5451778635304012</v>
      </c>
      <c r="AE1012" s="9">
        <f t="shared" si="917"/>
        <v>6.4054842375965366</v>
      </c>
      <c r="AF1012">
        <f t="shared" si="918"/>
        <v>9.2574356216250947E-261</v>
      </c>
      <c r="AH1012">
        <f t="shared" si="896"/>
        <v>7.8539816339744828</v>
      </c>
      <c r="AI1012">
        <f t="shared" si="897"/>
        <v>-0.99794298635435363</v>
      </c>
      <c r="AJ1012">
        <f t="shared" si="898"/>
        <v>-2.9957322735539904</v>
      </c>
      <c r="AK1012">
        <f t="shared" si="899"/>
        <v>2.5451778635304012</v>
      </c>
      <c r="AL1012" s="9">
        <f t="shared" si="919"/>
        <v>6.4054842375965393</v>
      </c>
      <c r="AM1012" t="e">
        <f t="shared" si="900"/>
        <v>#N/A</v>
      </c>
      <c r="AN1012" t="e">
        <f t="shared" si="920"/>
        <v>#N/A</v>
      </c>
      <c r="AO1012">
        <f t="shared" si="901"/>
        <v>0</v>
      </c>
      <c r="AP1012">
        <f t="shared" si="902"/>
        <v>2.886579864025407E-15</v>
      </c>
      <c r="AQ1012">
        <f t="shared" si="903"/>
        <v>0</v>
      </c>
      <c r="AR1012">
        <f t="shared" si="921"/>
        <v>-2.8925298373713192E-15</v>
      </c>
      <c r="AS1012">
        <f t="shared" si="904"/>
        <v>0</v>
      </c>
      <c r="AT1012">
        <f t="shared" si="922"/>
        <v>0</v>
      </c>
      <c r="AU1012">
        <f t="shared" si="923"/>
        <v>9.2574356216093336E-261</v>
      </c>
      <c r="AV1012">
        <f t="shared" si="905"/>
        <v>7.8539816339744824E-22</v>
      </c>
      <c r="AW1012" t="b">
        <f t="shared" si="924"/>
        <v>1</v>
      </c>
      <c r="AX1012">
        <f t="shared" si="906"/>
        <v>7.8539816339744828</v>
      </c>
      <c r="AY1012">
        <f t="shared" si="907"/>
        <v>-0.9979429863543573</v>
      </c>
      <c r="AZ1012">
        <f t="shared" si="908"/>
        <v>-2.9957322735539909</v>
      </c>
      <c r="BA1012">
        <f t="shared" si="909"/>
        <v>2.545177863530403</v>
      </c>
      <c r="BB1012">
        <f t="shared" si="910"/>
        <v>-1.2337005501361696E-20</v>
      </c>
      <c r="BD1012" s="15">
        <f t="shared" si="925"/>
        <v>6.4054842375965375</v>
      </c>
      <c r="BE1012" s="10">
        <f t="shared" si="926"/>
        <v>0</v>
      </c>
      <c r="BF1012">
        <f t="shared" si="927"/>
        <v>0</v>
      </c>
      <c r="BG1012">
        <f t="shared" si="928"/>
        <v>0</v>
      </c>
      <c r="BH1012">
        <f t="shared" si="929"/>
        <v>0</v>
      </c>
      <c r="BI1012">
        <f t="shared" si="930"/>
        <v>0</v>
      </c>
    </row>
    <row r="1013" spans="1:61" x14ac:dyDescent="0.3">
      <c r="A1013">
        <f t="shared" si="935"/>
        <v>0.97599999999999998</v>
      </c>
      <c r="B1013">
        <f t="shared" si="878"/>
        <v>3.0661944299036379</v>
      </c>
      <c r="C1013">
        <f t="shared" si="879"/>
        <v>7.539822368615523E-2</v>
      </c>
      <c r="D1013">
        <f t="shared" si="880"/>
        <v>7.539822368615523E-2</v>
      </c>
      <c r="E1013">
        <f t="shared" si="885"/>
        <v>7.5326805527933041E-2</v>
      </c>
      <c r="F1013">
        <f t="shared" si="886"/>
        <v>7.5326805527932916E-2</v>
      </c>
      <c r="G1013">
        <f t="shared" si="881"/>
        <v>3.0661944299036379</v>
      </c>
      <c r="H1013">
        <f t="shared" si="882"/>
        <v>7.5326805527933041E-2</v>
      </c>
      <c r="I1013">
        <f t="shared" si="883"/>
        <v>7.5326805527932916E-2</v>
      </c>
      <c r="J1013">
        <f t="shared" si="931"/>
        <v>8.4514372792764596E+20</v>
      </c>
      <c r="K1013">
        <f t="shared" si="932"/>
        <v>8.4514372792764596E+20</v>
      </c>
      <c r="L1013">
        <f t="shared" si="887"/>
        <v>1</v>
      </c>
      <c r="M1013">
        <f t="shared" si="884"/>
        <v>7.5398223686155465E-22</v>
      </c>
      <c r="N1013" s="9">
        <f t="shared" si="933"/>
        <v>7.5398223686155465E-22</v>
      </c>
      <c r="O1013">
        <f t="shared" si="934"/>
        <v>7.5398223686155465E-22</v>
      </c>
      <c r="Q1013">
        <f t="shared" si="888"/>
        <v>48.186038379008018</v>
      </c>
      <c r="R1013">
        <f t="shared" si="889"/>
        <v>-710542.73576010019</v>
      </c>
      <c r="S1013">
        <f t="shared" si="911"/>
        <v>-48.636673422665702</v>
      </c>
      <c r="T1013" s="9" t="e">
        <f t="shared" si="890"/>
        <v>#N/A</v>
      </c>
      <c r="U1013">
        <f t="shared" si="912"/>
        <v>-1.0000000000000001E+300</v>
      </c>
      <c r="V1013">
        <f t="shared" si="913"/>
        <v>0</v>
      </c>
      <c r="W1013">
        <f t="shared" si="914"/>
        <v>0</v>
      </c>
      <c r="X1013">
        <f t="shared" si="891"/>
        <v>7.539822368615523E-2</v>
      </c>
      <c r="Y1013">
        <f t="shared" si="892"/>
        <v>7.8539816339744828</v>
      </c>
      <c r="Z1013">
        <f t="shared" si="893"/>
        <v>-7.539822368615523E-2</v>
      </c>
      <c r="AA1013">
        <f t="shared" si="915"/>
        <v>-0.99810431738818783</v>
      </c>
      <c r="AB1013">
        <f t="shared" si="894"/>
        <v>6.8558773165862945</v>
      </c>
      <c r="AC1013">
        <f t="shared" si="916"/>
        <v>-3.0365542680742434</v>
      </c>
      <c r="AD1013">
        <f t="shared" si="895"/>
        <v>2.5859192244165614</v>
      </c>
      <c r="AE1013" s="9">
        <f t="shared" si="917"/>
        <v>6.4052422729286125</v>
      </c>
      <c r="AF1013">
        <f t="shared" si="918"/>
        <v>1.0714451883531025E-260</v>
      </c>
      <c r="AH1013">
        <f t="shared" si="896"/>
        <v>7.8539816339744828</v>
      </c>
      <c r="AI1013">
        <f t="shared" si="897"/>
        <v>-0.9981043173881905</v>
      </c>
      <c r="AJ1013">
        <f t="shared" si="898"/>
        <v>-3.0365542680742408</v>
      </c>
      <c r="AK1013">
        <f t="shared" si="899"/>
        <v>2.5859192244165614</v>
      </c>
      <c r="AL1013" s="9">
        <f t="shared" si="919"/>
        <v>6.4052422729286134</v>
      </c>
      <c r="AM1013" t="e">
        <f t="shared" si="900"/>
        <v>#N/A</v>
      </c>
      <c r="AN1013" t="e">
        <f t="shared" si="920"/>
        <v>#N/A</v>
      </c>
      <c r="AO1013">
        <f t="shared" si="901"/>
        <v>0</v>
      </c>
      <c r="AP1013">
        <f t="shared" si="902"/>
        <v>-2.6645352591003757E-15</v>
      </c>
      <c r="AQ1013">
        <f t="shared" si="903"/>
        <v>0</v>
      </c>
      <c r="AR1013">
        <f t="shared" si="921"/>
        <v>2.6695959657532109E-15</v>
      </c>
      <c r="AS1013">
        <f t="shared" si="904"/>
        <v>0</v>
      </c>
      <c r="AT1013">
        <f t="shared" si="922"/>
        <v>0</v>
      </c>
      <c r="AU1013">
        <f t="shared" si="923"/>
        <v>1.0714451883524943E-260</v>
      </c>
      <c r="AV1013">
        <f t="shared" si="905"/>
        <v>7.5398223686155229E-22</v>
      </c>
      <c r="AW1013" t="b">
        <f t="shared" si="924"/>
        <v>1</v>
      </c>
      <c r="AX1013">
        <f t="shared" si="906"/>
        <v>7.8539816339744828</v>
      </c>
      <c r="AY1013">
        <f t="shared" si="907"/>
        <v>-0.99810431738818872</v>
      </c>
      <c r="AZ1013">
        <f t="shared" si="908"/>
        <v>-3.0365542680742434</v>
      </c>
      <c r="BA1013">
        <f t="shared" si="909"/>
        <v>2.5859192244165632</v>
      </c>
      <c r="BB1013">
        <f t="shared" si="910"/>
        <v>-1.2337005501361696E-20</v>
      </c>
      <c r="BD1013" s="15">
        <f t="shared" si="925"/>
        <v>6.4052422729286143</v>
      </c>
      <c r="BE1013" s="10">
        <f t="shared" si="926"/>
        <v>0</v>
      </c>
      <c r="BF1013">
        <f t="shared" si="927"/>
        <v>0</v>
      </c>
      <c r="BG1013">
        <f t="shared" si="928"/>
        <v>0</v>
      </c>
      <c r="BH1013">
        <f t="shared" si="929"/>
        <v>-8.8817841970012523E-16</v>
      </c>
      <c r="BI1013">
        <f t="shared" si="930"/>
        <v>0</v>
      </c>
    </row>
    <row r="1014" spans="1:61" x14ac:dyDescent="0.3">
      <c r="A1014">
        <f t="shared" si="935"/>
        <v>0.97699999999999998</v>
      </c>
      <c r="B1014">
        <f t="shared" si="878"/>
        <v>3.0693360225572279</v>
      </c>
      <c r="C1014">
        <f t="shared" si="879"/>
        <v>7.2256631032565188E-2</v>
      </c>
      <c r="D1014">
        <f t="shared" si="880"/>
        <v>7.2256631032565188E-2</v>
      </c>
      <c r="E1014">
        <f t="shared" si="885"/>
        <v>7.2193771882860663E-2</v>
      </c>
      <c r="F1014">
        <f t="shared" si="886"/>
        <v>7.2193771882860538E-2</v>
      </c>
      <c r="G1014">
        <f t="shared" si="881"/>
        <v>3.0693360225572279</v>
      </c>
      <c r="H1014">
        <f t="shared" si="882"/>
        <v>7.2193771882860663E-2</v>
      </c>
      <c r="I1014">
        <f t="shared" si="883"/>
        <v>7.2193771882860538E-2</v>
      </c>
      <c r="J1014">
        <f t="shared" si="931"/>
        <v>8.8182090471812524E+20</v>
      </c>
      <c r="K1014">
        <f t="shared" si="932"/>
        <v>8.8182090471812524E+20</v>
      </c>
      <c r="L1014">
        <f t="shared" si="887"/>
        <v>1</v>
      </c>
      <c r="M1014">
        <f t="shared" si="884"/>
        <v>7.2256631032565503E-22</v>
      </c>
      <c r="N1014" s="9">
        <f t="shared" si="933"/>
        <v>7.2256631032565503E-22</v>
      </c>
      <c r="O1014">
        <f t="shared" si="934"/>
        <v>7.2256631032565503E-22</v>
      </c>
      <c r="Q1014">
        <f t="shared" si="888"/>
        <v>48.228520653405837</v>
      </c>
      <c r="R1014">
        <f t="shared" si="889"/>
        <v>0</v>
      </c>
      <c r="S1014">
        <f t="shared" si="911"/>
        <v>-48.679233037084501</v>
      </c>
      <c r="T1014" s="9" t="e">
        <f t="shared" si="890"/>
        <v>#N/A</v>
      </c>
      <c r="U1014">
        <f t="shared" si="912"/>
        <v>-1.0000000000000001E+300</v>
      </c>
      <c r="V1014">
        <f t="shared" si="913"/>
        <v>0</v>
      </c>
      <c r="W1014">
        <f t="shared" si="914"/>
        <v>0</v>
      </c>
      <c r="X1014">
        <f t="shared" si="891"/>
        <v>7.2256631032565188E-2</v>
      </c>
      <c r="Y1014">
        <f t="shared" si="892"/>
        <v>7.8539816339744828</v>
      </c>
      <c r="Z1014">
        <f t="shared" si="893"/>
        <v>-7.2256631032565188E-2</v>
      </c>
      <c r="AA1014">
        <f t="shared" si="915"/>
        <v>-0.99825905369907775</v>
      </c>
      <c r="AB1014">
        <f t="shared" si="894"/>
        <v>6.8557225802754047</v>
      </c>
      <c r="AC1014">
        <f t="shared" si="916"/>
        <v>-3.0791138824930426</v>
      </c>
      <c r="AD1014">
        <f t="shared" si="895"/>
        <v>2.628401498814378</v>
      </c>
      <c r="AE1014" s="9">
        <f t="shared" si="917"/>
        <v>6.4050101965967396</v>
      </c>
      <c r="AF1014">
        <f t="shared" si="918"/>
        <v>1.2326522308939143E-260</v>
      </c>
      <c r="AH1014">
        <f t="shared" si="896"/>
        <v>7.8539816339744828</v>
      </c>
      <c r="AI1014">
        <f t="shared" si="897"/>
        <v>-0.9982590536990833</v>
      </c>
      <c r="AJ1014">
        <f t="shared" si="898"/>
        <v>-3.07911388249304</v>
      </c>
      <c r="AK1014">
        <f t="shared" si="899"/>
        <v>2.628401498814378</v>
      </c>
      <c r="AL1014" s="9">
        <f t="shared" si="919"/>
        <v>6.4050101965967379</v>
      </c>
      <c r="AM1014" t="e">
        <f t="shared" si="900"/>
        <v>#N/A</v>
      </c>
      <c r="AN1014" t="e">
        <f t="shared" si="920"/>
        <v>#N/A</v>
      </c>
      <c r="AO1014">
        <f t="shared" si="901"/>
        <v>0</v>
      </c>
      <c r="AP1014">
        <f t="shared" si="902"/>
        <v>-5.5511151231257827E-15</v>
      </c>
      <c r="AQ1014">
        <f t="shared" si="903"/>
        <v>0</v>
      </c>
      <c r="AR1014">
        <f t="shared" si="921"/>
        <v>5.5607961706492261E-15</v>
      </c>
      <c r="AS1014">
        <f t="shared" si="904"/>
        <v>0</v>
      </c>
      <c r="AT1014">
        <f t="shared" si="922"/>
        <v>0</v>
      </c>
      <c r="AU1014">
        <f t="shared" si="923"/>
        <v>1.2326522308951736E-260</v>
      </c>
      <c r="AV1014">
        <f t="shared" si="905"/>
        <v>7.2256631032565183E-22</v>
      </c>
      <c r="AW1014" t="b">
        <f t="shared" si="924"/>
        <v>1</v>
      </c>
      <c r="AX1014">
        <f t="shared" si="906"/>
        <v>7.8539816339744828</v>
      </c>
      <c r="AY1014">
        <f t="shared" si="907"/>
        <v>-0.99825905369907852</v>
      </c>
      <c r="AZ1014">
        <f t="shared" si="908"/>
        <v>-3.0791138824930426</v>
      </c>
      <c r="BA1014">
        <f t="shared" si="909"/>
        <v>2.6284014988143793</v>
      </c>
      <c r="BB1014">
        <f t="shared" si="910"/>
        <v>-1.2337005501361696E-20</v>
      </c>
      <c r="BD1014" s="15">
        <f t="shared" si="925"/>
        <v>6.4050101965967414</v>
      </c>
      <c r="BE1014" s="10">
        <f t="shared" si="926"/>
        <v>0</v>
      </c>
      <c r="BF1014">
        <f t="shared" si="927"/>
        <v>0</v>
      </c>
      <c r="BG1014">
        <f t="shared" si="928"/>
        <v>0</v>
      </c>
      <c r="BH1014">
        <f t="shared" si="929"/>
        <v>0</v>
      </c>
      <c r="BI1014">
        <f t="shared" si="930"/>
        <v>0</v>
      </c>
    </row>
    <row r="1015" spans="1:61" x14ac:dyDescent="0.3">
      <c r="A1015">
        <f t="shared" si="935"/>
        <v>0.97799999999999998</v>
      </c>
      <c r="B1015">
        <f t="shared" si="878"/>
        <v>3.0724776152108175</v>
      </c>
      <c r="C1015">
        <f t="shared" si="879"/>
        <v>6.9115038378975591E-2</v>
      </c>
      <c r="D1015">
        <f t="shared" si="880"/>
        <v>6.9115038378975591E-2</v>
      </c>
      <c r="E1015">
        <f t="shared" si="885"/>
        <v>6.9060025714406059E-2</v>
      </c>
      <c r="F1015">
        <f t="shared" si="886"/>
        <v>6.9060025714405934E-2</v>
      </c>
      <c r="G1015">
        <f t="shared" si="881"/>
        <v>3.0724776152108175</v>
      </c>
      <c r="H1015">
        <f t="shared" si="882"/>
        <v>6.9060025714406059E-2</v>
      </c>
      <c r="I1015">
        <f t="shared" si="883"/>
        <v>6.9060025714405934E-2</v>
      </c>
      <c r="J1015">
        <f t="shared" si="931"/>
        <v>9.2183541170443164E+20</v>
      </c>
      <c r="K1015">
        <f t="shared" si="932"/>
        <v>9.2183541170443164E+20</v>
      </c>
      <c r="L1015" t="e">
        <f t="shared" si="887"/>
        <v>#NUM!</v>
      </c>
      <c r="M1015">
        <f t="shared" si="884"/>
        <v>6.9115038378975542E-22</v>
      </c>
      <c r="N1015" s="9" t="e">
        <f t="shared" si="933"/>
        <v>#NUM!</v>
      </c>
      <c r="O1015" t="e">
        <f t="shared" si="934"/>
        <v>#NUM!</v>
      </c>
      <c r="Q1015">
        <f t="shared" si="888"/>
        <v>48.272898369263046</v>
      </c>
      <c r="R1015">
        <f t="shared" si="889"/>
        <v>-710542.73576010019</v>
      </c>
      <c r="S1015">
        <f t="shared" si="911"/>
        <v>-48.723684799655331</v>
      </c>
      <c r="T1015" s="9" t="e">
        <f t="shared" si="890"/>
        <v>#N/A</v>
      </c>
      <c r="U1015">
        <f t="shared" si="912"/>
        <v>-1.0000000000000001E+300</v>
      </c>
      <c r="V1015">
        <f t="shared" si="913"/>
        <v>0</v>
      </c>
      <c r="W1015">
        <f t="shared" si="914"/>
        <v>0</v>
      </c>
      <c r="X1015">
        <f t="shared" si="891"/>
        <v>6.9115038378975591E-2</v>
      </c>
      <c r="Y1015">
        <f t="shared" si="892"/>
        <v>7.8539816339744828</v>
      </c>
      <c r="Z1015">
        <f t="shared" si="893"/>
        <v>-6.9115038378975591E-2</v>
      </c>
      <c r="AA1015">
        <f t="shared" si="915"/>
        <v>-0.99840719651106447</v>
      </c>
      <c r="AB1015">
        <f t="shared" si="894"/>
        <v>6.8555744374634182</v>
      </c>
      <c r="AC1015">
        <f t="shared" si="916"/>
        <v>-3.123565645063874</v>
      </c>
      <c r="AD1015">
        <f t="shared" si="895"/>
        <v>2.6727792146715901</v>
      </c>
      <c r="AE1015" s="9">
        <f t="shared" si="917"/>
        <v>6.4047880070711347</v>
      </c>
      <c r="AF1015">
        <f t="shared" si="918"/>
        <v>1.4096287060263014E-260</v>
      </c>
      <c r="AH1015">
        <f t="shared" si="896"/>
        <v>7.8539816339744828</v>
      </c>
      <c r="AI1015">
        <f t="shared" si="897"/>
        <v>-0.99840719651106169</v>
      </c>
      <c r="AJ1015">
        <f t="shared" si="898"/>
        <v>-3.12356564506387</v>
      </c>
      <c r="AK1015">
        <f t="shared" si="899"/>
        <v>2.6727792146715901</v>
      </c>
      <c r="AL1015" s="9">
        <f t="shared" si="919"/>
        <v>6.4047880070711409</v>
      </c>
      <c r="AM1015" t="e">
        <f t="shared" si="900"/>
        <v>#N/A</v>
      </c>
      <c r="AN1015" t="e">
        <f t="shared" si="920"/>
        <v>#N/A</v>
      </c>
      <c r="AO1015">
        <f t="shared" si="901"/>
        <v>0</v>
      </c>
      <c r="AP1015">
        <f t="shared" si="902"/>
        <v>2.7755575615628914E-15</v>
      </c>
      <c r="AQ1015">
        <f t="shared" si="903"/>
        <v>3.9968028886505635E-15</v>
      </c>
      <c r="AR1015">
        <f t="shared" si="921"/>
        <v>-2.779985532217806E-15</v>
      </c>
      <c r="AS1015">
        <f t="shared" si="904"/>
        <v>0</v>
      </c>
      <c r="AT1015">
        <f t="shared" si="922"/>
        <v>0</v>
      </c>
      <c r="AU1015">
        <f t="shared" si="923"/>
        <v>1.4096287060208618E-260</v>
      </c>
      <c r="AV1015">
        <f t="shared" si="905"/>
        <v>6.9115038378975589E-22</v>
      </c>
      <c r="AW1015" t="b">
        <f t="shared" si="924"/>
        <v>1</v>
      </c>
      <c r="AX1015">
        <f t="shared" si="906"/>
        <v>7.8539816339744828</v>
      </c>
      <c r="AY1015">
        <f t="shared" si="907"/>
        <v>-0.99840719651106535</v>
      </c>
      <c r="AZ1015">
        <f t="shared" si="908"/>
        <v>-3.1235656450638736</v>
      </c>
      <c r="BA1015">
        <f t="shared" si="909"/>
        <v>2.6727792146715919</v>
      </c>
      <c r="BB1015">
        <f t="shared" si="910"/>
        <v>-1.2337005501361696E-20</v>
      </c>
      <c r="BD1015" s="15">
        <f t="shared" si="925"/>
        <v>6.4047880070711356</v>
      </c>
      <c r="BE1015" s="10">
        <f t="shared" si="926"/>
        <v>0</v>
      </c>
      <c r="BF1015">
        <f t="shared" si="927"/>
        <v>0</v>
      </c>
      <c r="BG1015">
        <f t="shared" si="928"/>
        <v>0</v>
      </c>
      <c r="BH1015">
        <f t="shared" si="929"/>
        <v>-8.8817841970012523E-16</v>
      </c>
      <c r="BI1015">
        <f t="shared" si="930"/>
        <v>0</v>
      </c>
    </row>
    <row r="1016" spans="1:61" x14ac:dyDescent="0.3">
      <c r="A1016">
        <f t="shared" si="935"/>
        <v>0.97899999999999998</v>
      </c>
      <c r="B1016">
        <f t="shared" si="878"/>
        <v>3.0756192078644076</v>
      </c>
      <c r="C1016">
        <f t="shared" si="879"/>
        <v>6.5973445725385549E-2</v>
      </c>
      <c r="D1016">
        <f t="shared" si="880"/>
        <v>6.5973445725385549E-2</v>
      </c>
      <c r="E1016">
        <f t="shared" si="885"/>
        <v>6.5925597951377868E-2</v>
      </c>
      <c r="F1016">
        <f t="shared" si="886"/>
        <v>6.5925597951377743E-2</v>
      </c>
      <c r="G1016">
        <f t="shared" si="881"/>
        <v>3.0756192078644076</v>
      </c>
      <c r="H1016">
        <f t="shared" si="882"/>
        <v>6.5925597951377868E-2</v>
      </c>
      <c r="I1016">
        <f t="shared" si="883"/>
        <v>6.5925597951377743E-2</v>
      </c>
      <c r="J1016">
        <f t="shared" si="931"/>
        <v>9.6566400935355626E+20</v>
      </c>
      <c r="K1016">
        <f t="shared" si="932"/>
        <v>9.6566400935355626E+20</v>
      </c>
      <c r="L1016">
        <f t="shared" si="887"/>
        <v>1</v>
      </c>
      <c r="M1016">
        <f t="shared" si="884"/>
        <v>6.597344572538558E-22</v>
      </c>
      <c r="N1016" s="9">
        <f t="shared" si="933"/>
        <v>6.597344572538558E-22</v>
      </c>
      <c r="O1016">
        <f t="shared" si="934"/>
        <v>6.597344572538558E-22</v>
      </c>
      <c r="Q1016">
        <f t="shared" si="888"/>
        <v>48.319347631199001</v>
      </c>
      <c r="R1016">
        <f t="shared" si="889"/>
        <v>0</v>
      </c>
      <c r="S1016">
        <f t="shared" si="911"/>
        <v>-48.770204815290228</v>
      </c>
      <c r="T1016" s="9" t="e">
        <f t="shared" si="890"/>
        <v>#N/A</v>
      </c>
      <c r="U1016">
        <f t="shared" si="912"/>
        <v>-1.0000000000000001E+300</v>
      </c>
      <c r="V1016">
        <f t="shared" si="913"/>
        <v>0</v>
      </c>
      <c r="W1016">
        <f t="shared" si="914"/>
        <v>0</v>
      </c>
      <c r="X1016">
        <f t="shared" si="891"/>
        <v>6.5973445725385549E-2</v>
      </c>
      <c r="Y1016">
        <f t="shared" si="892"/>
        <v>7.8539816339744828</v>
      </c>
      <c r="Z1016">
        <f t="shared" si="893"/>
        <v>-6.5973445725385549E-2</v>
      </c>
      <c r="AA1016">
        <f t="shared" si="915"/>
        <v>-0.99854874699584617</v>
      </c>
      <c r="AB1016">
        <f t="shared" si="894"/>
        <v>6.8554328869786367</v>
      </c>
      <c r="AC1016">
        <f t="shared" si="916"/>
        <v>-3.1700856606987702</v>
      </c>
      <c r="AD1016">
        <f t="shared" si="895"/>
        <v>2.7192284766075403</v>
      </c>
      <c r="AE1016" s="9">
        <f t="shared" si="917"/>
        <v>6.4045757028874064</v>
      </c>
      <c r="AF1016">
        <f t="shared" si="918"/>
        <v>1.6023765631198106E-260</v>
      </c>
      <c r="AH1016">
        <f t="shared" si="896"/>
        <v>7.8539816339744828</v>
      </c>
      <c r="AI1016">
        <f t="shared" si="897"/>
        <v>-0.99854874699584217</v>
      </c>
      <c r="AJ1016">
        <f t="shared" si="898"/>
        <v>-3.1700856606987671</v>
      </c>
      <c r="AK1016">
        <f t="shared" si="899"/>
        <v>2.7192284766075403</v>
      </c>
      <c r="AL1016" s="9">
        <f t="shared" si="919"/>
        <v>6.4045757028874135</v>
      </c>
      <c r="AM1016" t="e">
        <f t="shared" si="900"/>
        <v>#N/A</v>
      </c>
      <c r="AN1016" t="e">
        <f t="shared" si="920"/>
        <v>#N/A</v>
      </c>
      <c r="AO1016">
        <f t="shared" si="901"/>
        <v>0</v>
      </c>
      <c r="AP1016">
        <f t="shared" si="902"/>
        <v>3.9968028886505635E-15</v>
      </c>
      <c r="AQ1016">
        <f t="shared" si="903"/>
        <v>0</v>
      </c>
      <c r="AR1016">
        <f t="shared" si="921"/>
        <v>-4.002611690891447E-15</v>
      </c>
      <c r="AS1016">
        <f t="shared" si="904"/>
        <v>7.1054273576010019E-15</v>
      </c>
      <c r="AT1016">
        <f t="shared" si="922"/>
        <v>1.1094298337979858E-15</v>
      </c>
      <c r="AU1016">
        <f t="shared" si="923"/>
        <v>1.6023765631128996E-260</v>
      </c>
      <c r="AV1016">
        <f t="shared" si="905"/>
        <v>6.5973445725385543E-22</v>
      </c>
      <c r="AW1016" t="b">
        <f t="shared" si="924"/>
        <v>1</v>
      </c>
      <c r="AX1016">
        <f t="shared" si="906"/>
        <v>7.8539816339744828</v>
      </c>
      <c r="AY1016">
        <f t="shared" si="907"/>
        <v>-0.99854874699584706</v>
      </c>
      <c r="AZ1016">
        <f t="shared" si="908"/>
        <v>-3.1700856606987702</v>
      </c>
      <c r="BA1016">
        <f t="shared" si="909"/>
        <v>2.7192284766075421</v>
      </c>
      <c r="BB1016">
        <f t="shared" si="910"/>
        <v>-1.2337005501361696E-20</v>
      </c>
      <c r="BD1016" s="15">
        <f t="shared" si="925"/>
        <v>6.4045757028874082</v>
      </c>
      <c r="BE1016" s="10">
        <f t="shared" si="926"/>
        <v>0</v>
      </c>
      <c r="BF1016">
        <f t="shared" si="927"/>
        <v>0</v>
      </c>
      <c r="BG1016">
        <f t="shared" si="928"/>
        <v>0</v>
      </c>
      <c r="BH1016">
        <f t="shared" si="929"/>
        <v>-8.8817841970012523E-16</v>
      </c>
      <c r="BI1016">
        <f t="shared" si="930"/>
        <v>0</v>
      </c>
    </row>
    <row r="1017" spans="1:61" x14ac:dyDescent="0.3">
      <c r="A1017">
        <f t="shared" si="935"/>
        <v>0.98</v>
      </c>
      <c r="B1017">
        <f t="shared" si="878"/>
        <v>3.0787608005179972</v>
      </c>
      <c r="C1017">
        <f t="shared" si="879"/>
        <v>6.2831853071795951E-2</v>
      </c>
      <c r="D1017">
        <f t="shared" si="880"/>
        <v>6.2831853071795951E-2</v>
      </c>
      <c r="E1017">
        <f t="shared" si="885"/>
        <v>6.2790519529313582E-2</v>
      </c>
      <c r="F1017">
        <f t="shared" si="886"/>
        <v>6.2790519529313457E-2</v>
      </c>
      <c r="G1017">
        <f t="shared" si="881"/>
        <v>3.0787608005179972</v>
      </c>
      <c r="H1017">
        <f t="shared" si="882"/>
        <v>6.2790519529313582E-2</v>
      </c>
      <c r="I1017">
        <f t="shared" si="883"/>
        <v>6.2790519529313457E-2</v>
      </c>
      <c r="J1017">
        <f t="shared" si="931"/>
        <v>1.0138788102722692E+21</v>
      </c>
      <c r="K1017">
        <f t="shared" si="932"/>
        <v>1.0138788102722692E+21</v>
      </c>
      <c r="L1017">
        <f t="shared" si="887"/>
        <v>1</v>
      </c>
      <c r="M1017">
        <f t="shared" si="884"/>
        <v>6.283185307179622E-22</v>
      </c>
      <c r="N1017" s="9">
        <f t="shared" si="933"/>
        <v>6.283185307179622E-22</v>
      </c>
      <c r="O1017">
        <f t="shared" si="934"/>
        <v>6.283185307179622E-22</v>
      </c>
      <c r="Q1017">
        <f t="shared" si="888"/>
        <v>48.368070334404507</v>
      </c>
      <c r="R1017">
        <f t="shared" si="889"/>
        <v>-710542.73576010019</v>
      </c>
      <c r="S1017">
        <f t="shared" si="911"/>
        <v>-48.818994979459653</v>
      </c>
      <c r="T1017" s="9" t="e">
        <f t="shared" si="890"/>
        <v>#N/A</v>
      </c>
      <c r="U1017">
        <f t="shared" si="912"/>
        <v>-1.0000000000000001E+300</v>
      </c>
      <c r="V1017">
        <f t="shared" si="913"/>
        <v>0</v>
      </c>
      <c r="W1017">
        <f t="shared" si="914"/>
        <v>0</v>
      </c>
      <c r="X1017">
        <f t="shared" si="891"/>
        <v>6.2831853071795951E-2</v>
      </c>
      <c r="Y1017">
        <f t="shared" si="892"/>
        <v>7.8539816339744828</v>
      </c>
      <c r="Z1017">
        <f t="shared" si="893"/>
        <v>-6.2831853071795951E-2</v>
      </c>
      <c r="AA1017">
        <f t="shared" si="915"/>
        <v>-0.99868370627281422</v>
      </c>
      <c r="AB1017">
        <f t="shared" si="894"/>
        <v>6.8552979277016686</v>
      </c>
      <c r="AC1017">
        <f t="shared" si="916"/>
        <v>-3.2188758248681992</v>
      </c>
      <c r="AD1017">
        <f t="shared" si="895"/>
        <v>2.7679511798130503</v>
      </c>
      <c r="AE1017" s="9">
        <f t="shared" si="917"/>
        <v>6.4043732826465192</v>
      </c>
      <c r="AF1017">
        <f t="shared" si="918"/>
        <v>1.8105984135696485E-260</v>
      </c>
      <c r="AH1017">
        <f t="shared" si="896"/>
        <v>7.8539816339744828</v>
      </c>
      <c r="AI1017">
        <f t="shared" si="897"/>
        <v>-0.99868370627281389</v>
      </c>
      <c r="AJ1017">
        <f t="shared" si="898"/>
        <v>-3.2188758248681921</v>
      </c>
      <c r="AK1017">
        <f t="shared" si="899"/>
        <v>2.7679511798130503</v>
      </c>
      <c r="AL1017" s="9">
        <f t="shared" si="919"/>
        <v>6.4043732826465263</v>
      </c>
      <c r="AM1017" t="e">
        <f t="shared" si="900"/>
        <v>#N/A</v>
      </c>
      <c r="AN1017" t="e">
        <f t="shared" si="920"/>
        <v>#N/A</v>
      </c>
      <c r="AO1017">
        <f t="shared" si="901"/>
        <v>0</v>
      </c>
      <c r="AP1017">
        <f t="shared" si="902"/>
        <v>0</v>
      </c>
      <c r="AQ1017">
        <f t="shared" si="903"/>
        <v>7.1054273576010019E-15</v>
      </c>
      <c r="AR1017">
        <f t="shared" si="921"/>
        <v>0</v>
      </c>
      <c r="AS1017">
        <f t="shared" si="904"/>
        <v>7.1054273576010019E-15</v>
      </c>
      <c r="AT1017">
        <f t="shared" si="922"/>
        <v>1.1094648990642179E-15</v>
      </c>
      <c r="AU1017">
        <f t="shared" si="923"/>
        <v>1.810598413562045E-260</v>
      </c>
      <c r="AV1017">
        <f t="shared" si="905"/>
        <v>6.2831853071795948E-22</v>
      </c>
      <c r="AW1017" t="b">
        <f t="shared" si="924"/>
        <v>1</v>
      </c>
      <c r="AX1017">
        <f t="shared" si="906"/>
        <v>7.8539816339744828</v>
      </c>
      <c r="AY1017">
        <f t="shared" si="907"/>
        <v>-0.99868370627281522</v>
      </c>
      <c r="AZ1017">
        <f t="shared" si="908"/>
        <v>-3.2188758248681992</v>
      </c>
      <c r="BA1017">
        <f t="shared" si="909"/>
        <v>2.7679511798130525</v>
      </c>
      <c r="BB1017">
        <f t="shared" si="910"/>
        <v>-1.2337005501361696E-20</v>
      </c>
      <c r="BD1017" s="15">
        <f t="shared" si="925"/>
        <v>6.4043732826465209</v>
      </c>
      <c r="BE1017" s="10">
        <f t="shared" si="926"/>
        <v>0</v>
      </c>
      <c r="BF1017">
        <f t="shared" si="927"/>
        <v>0</v>
      </c>
      <c r="BG1017">
        <f t="shared" si="928"/>
        <v>0</v>
      </c>
      <c r="BH1017">
        <f t="shared" si="929"/>
        <v>-9.9920072216264089E-16</v>
      </c>
      <c r="BI1017">
        <f t="shared" si="930"/>
        <v>0</v>
      </c>
    </row>
    <row r="1018" spans="1:61" x14ac:dyDescent="0.3">
      <c r="A1018">
        <f t="shared" si="935"/>
        <v>0.98099999999999998</v>
      </c>
      <c r="B1018">
        <f t="shared" si="878"/>
        <v>3.0819023931715872</v>
      </c>
      <c r="C1018">
        <f t="shared" si="879"/>
        <v>5.9690260418205909E-2</v>
      </c>
      <c r="D1018">
        <f t="shared" si="880"/>
        <v>5.9690260418205909E-2</v>
      </c>
      <c r="E1018">
        <f t="shared" si="885"/>
        <v>5.9654821390170656E-2</v>
      </c>
      <c r="F1018">
        <f t="shared" si="886"/>
        <v>5.9654821390170538E-2</v>
      </c>
      <c r="G1018">
        <f t="shared" si="881"/>
        <v>3.0819023931715872</v>
      </c>
      <c r="H1018">
        <f t="shared" si="882"/>
        <v>5.9654821390170656E-2</v>
      </c>
      <c r="I1018">
        <f t="shared" si="883"/>
        <v>5.9654821390170538E-2</v>
      </c>
      <c r="J1018">
        <f t="shared" si="931"/>
        <v>1.0671723718755069E+21</v>
      </c>
      <c r="K1018">
        <f t="shared" si="932"/>
        <v>1.0671723718755069E+21</v>
      </c>
      <c r="L1018">
        <f t="shared" si="887"/>
        <v>1</v>
      </c>
      <c r="M1018">
        <f t="shared" si="884"/>
        <v>5.9690260418205657E-22</v>
      </c>
      <c r="N1018" s="9">
        <f t="shared" si="933"/>
        <v>5.9690260418205657E-22</v>
      </c>
      <c r="O1018">
        <f t="shared" si="934"/>
        <v>5.9690260418205657E-22</v>
      </c>
      <c r="Q1018">
        <f t="shared" si="888"/>
        <v>48.419299460296571</v>
      </c>
      <c r="R1018">
        <f t="shared" si="889"/>
        <v>0</v>
      </c>
      <c r="S1018">
        <f t="shared" si="911"/>
        <v>-48.870288273847216</v>
      </c>
      <c r="T1018" s="9" t="e">
        <f t="shared" si="890"/>
        <v>#N/A</v>
      </c>
      <c r="U1018">
        <f t="shared" si="912"/>
        <v>-1.0000000000000001E+300</v>
      </c>
      <c r="V1018">
        <f t="shared" si="913"/>
        <v>0</v>
      </c>
      <c r="W1018">
        <f t="shared" si="914"/>
        <v>0</v>
      </c>
      <c r="X1018">
        <f t="shared" si="891"/>
        <v>5.9690260418205909E-2</v>
      </c>
      <c r="Y1018">
        <f t="shared" si="892"/>
        <v>7.8539816339744828</v>
      </c>
      <c r="Z1018">
        <f t="shared" si="893"/>
        <v>-5.9690260418205909E-2</v>
      </c>
      <c r="AA1018">
        <f t="shared" si="915"/>
        <v>-0.99881207540908457</v>
      </c>
      <c r="AB1018">
        <f t="shared" si="894"/>
        <v>6.8551695585653984</v>
      </c>
      <c r="AC1018">
        <f t="shared" si="916"/>
        <v>-3.2701691192557543</v>
      </c>
      <c r="AD1018">
        <f t="shared" si="895"/>
        <v>2.8191803057051108</v>
      </c>
      <c r="AE1018" s="9">
        <f t="shared" si="917"/>
        <v>6.404180745014755</v>
      </c>
      <c r="AF1018">
        <f t="shared" si="918"/>
        <v>2.0336645427215065E-260</v>
      </c>
      <c r="AH1018">
        <f t="shared" si="896"/>
        <v>7.8539816339744828</v>
      </c>
      <c r="AI1018">
        <f t="shared" si="897"/>
        <v>-0.99881207540907668</v>
      </c>
      <c r="AJ1018">
        <f t="shared" si="898"/>
        <v>-3.2701691192557547</v>
      </c>
      <c r="AK1018">
        <f t="shared" si="899"/>
        <v>2.8191803057051108</v>
      </c>
      <c r="AL1018" s="9">
        <f t="shared" si="919"/>
        <v>6.404180745014763</v>
      </c>
      <c r="AM1018" t="e">
        <f t="shared" si="900"/>
        <v>#N/A</v>
      </c>
      <c r="AN1018" t="e">
        <f t="shared" si="920"/>
        <v>#N/A</v>
      </c>
      <c r="AO1018">
        <f t="shared" si="901"/>
        <v>0</v>
      </c>
      <c r="AP1018">
        <f t="shared" si="902"/>
        <v>7.8825834748386114E-15</v>
      </c>
      <c r="AQ1018">
        <f t="shared" si="903"/>
        <v>0</v>
      </c>
      <c r="AR1018">
        <f t="shared" si="921"/>
        <v>-7.8919585264427193E-15</v>
      </c>
      <c r="AS1018">
        <f t="shared" si="904"/>
        <v>7.9936057773011271E-15</v>
      </c>
      <c r="AT1018">
        <f t="shared" si="922"/>
        <v>1.248185536225477E-15</v>
      </c>
      <c r="AU1018">
        <f t="shared" si="923"/>
        <v>2.0336645427115812E-260</v>
      </c>
      <c r="AV1018">
        <f t="shared" si="905"/>
        <v>5.9690260418205902E-22</v>
      </c>
      <c r="AW1018" t="b">
        <f t="shared" si="924"/>
        <v>1</v>
      </c>
      <c r="AX1018">
        <f t="shared" si="906"/>
        <v>7.8539816339744828</v>
      </c>
      <c r="AY1018">
        <f t="shared" si="907"/>
        <v>-0.99881207540908556</v>
      </c>
      <c r="AZ1018">
        <f t="shared" si="908"/>
        <v>-3.2701691192557543</v>
      </c>
      <c r="BA1018">
        <f t="shared" si="909"/>
        <v>2.8191803057051126</v>
      </c>
      <c r="BB1018">
        <f t="shared" si="910"/>
        <v>-1.2337005501361696E-20</v>
      </c>
      <c r="BD1018" s="15">
        <f t="shared" si="925"/>
        <v>6.4041807450147559</v>
      </c>
      <c r="BE1018" s="10">
        <f t="shared" si="926"/>
        <v>-7.1054273576010019E-15</v>
      </c>
      <c r="BF1018">
        <f t="shared" si="927"/>
        <v>0</v>
      </c>
      <c r="BG1018">
        <f t="shared" si="928"/>
        <v>0</v>
      </c>
      <c r="BH1018">
        <f t="shared" si="929"/>
        <v>-9.9920072216264089E-16</v>
      </c>
      <c r="BI1018">
        <f t="shared" si="930"/>
        <v>0</v>
      </c>
    </row>
    <row r="1019" spans="1:61" x14ac:dyDescent="0.3">
      <c r="A1019">
        <f t="shared" si="935"/>
        <v>0.98199999999999998</v>
      </c>
      <c r="B1019">
        <f t="shared" si="878"/>
        <v>3.0850439858251768</v>
      </c>
      <c r="C1019">
        <f t="shared" si="879"/>
        <v>5.6548667764616312E-2</v>
      </c>
      <c r="D1019">
        <f t="shared" si="880"/>
        <v>5.6548667764616312E-2</v>
      </c>
      <c r="E1019">
        <f t="shared" si="885"/>
        <v>5.6518534482024679E-2</v>
      </c>
      <c r="F1019">
        <f t="shared" si="886"/>
        <v>5.6518534482024561E-2</v>
      </c>
      <c r="G1019">
        <f t="shared" si="881"/>
        <v>3.0850439858251768</v>
      </c>
      <c r="H1019">
        <f t="shared" si="882"/>
        <v>5.6518534482024679E-2</v>
      </c>
      <c r="I1019">
        <f t="shared" si="883"/>
        <v>5.6518534482024561E-2</v>
      </c>
      <c r="J1019">
        <f t="shared" si="931"/>
        <v>1.126391153277433E+21</v>
      </c>
      <c r="K1019">
        <f t="shared" si="932"/>
        <v>1.126391153277433E+21</v>
      </c>
      <c r="L1019">
        <f t="shared" si="887"/>
        <v>1</v>
      </c>
      <c r="M1019">
        <f t="shared" si="884"/>
        <v>5.6548667764616298E-22</v>
      </c>
      <c r="N1019" s="9">
        <f t="shared" si="933"/>
        <v>5.6548667764616298E-22</v>
      </c>
      <c r="O1019">
        <f t="shared" si="934"/>
        <v>5.6548667764616298E-22</v>
      </c>
      <c r="Q1019">
        <f t="shared" si="888"/>
        <v>48.473305805286209</v>
      </c>
      <c r="R1019">
        <f t="shared" si="889"/>
        <v>0</v>
      </c>
      <c r="S1019">
        <f t="shared" si="911"/>
        <v>-48.924355495117489</v>
      </c>
      <c r="T1019" s="9" t="e">
        <f t="shared" si="890"/>
        <v>#N/A</v>
      </c>
      <c r="U1019">
        <f t="shared" si="912"/>
        <v>-1.0000000000000001E+300</v>
      </c>
      <c r="V1019">
        <f t="shared" si="913"/>
        <v>0</v>
      </c>
      <c r="W1019">
        <f t="shared" si="914"/>
        <v>0</v>
      </c>
      <c r="X1019">
        <f t="shared" si="891"/>
        <v>5.6548667764616312E-2</v>
      </c>
      <c r="Y1019">
        <f t="shared" si="892"/>
        <v>7.8539816339744828</v>
      </c>
      <c r="Z1019">
        <f t="shared" si="893"/>
        <v>-5.6548667764616312E-2</v>
      </c>
      <c r="AA1019">
        <f t="shared" si="915"/>
        <v>-0.99893385541952728</v>
      </c>
      <c r="AB1019">
        <f t="shared" si="894"/>
        <v>6.8550477785549555</v>
      </c>
      <c r="AC1019">
        <f t="shared" si="916"/>
        <v>-3.3242363405260265</v>
      </c>
      <c r="AD1019">
        <f t="shared" si="895"/>
        <v>2.873186650694747</v>
      </c>
      <c r="AE1019" s="9">
        <f t="shared" si="917"/>
        <v>6.403998088723676</v>
      </c>
      <c r="AF1019">
        <f t="shared" si="918"/>
        <v>2.2705860242725825E-260</v>
      </c>
      <c r="AH1019">
        <f t="shared" si="896"/>
        <v>7.8539816339744828</v>
      </c>
      <c r="AI1019">
        <f t="shared" si="897"/>
        <v>-0.99893385541952817</v>
      </c>
      <c r="AJ1019">
        <f t="shared" si="898"/>
        <v>-3.3242363405260278</v>
      </c>
      <c r="AK1019">
        <f t="shared" si="899"/>
        <v>2.873186650694747</v>
      </c>
      <c r="AL1019" s="9">
        <f t="shared" si="919"/>
        <v>6.4039980887236734</v>
      </c>
      <c r="AM1019" t="e">
        <f t="shared" si="900"/>
        <v>#N/A</v>
      </c>
      <c r="AN1019" t="e">
        <f t="shared" si="920"/>
        <v>#N/A</v>
      </c>
      <c r="AO1019">
        <f t="shared" si="901"/>
        <v>0</v>
      </c>
      <c r="AP1019">
        <f t="shared" si="902"/>
        <v>-8.8817841970012523E-16</v>
      </c>
      <c r="AQ1019">
        <f t="shared" si="903"/>
        <v>0</v>
      </c>
      <c r="AR1019">
        <f t="shared" si="921"/>
        <v>8.8912635694693887E-16</v>
      </c>
      <c r="AS1019">
        <f t="shared" si="904"/>
        <v>0</v>
      </c>
      <c r="AT1019">
        <f t="shared" si="922"/>
        <v>0</v>
      </c>
      <c r="AU1019">
        <f t="shared" si="923"/>
        <v>2.2705860242764481E-260</v>
      </c>
      <c r="AV1019">
        <f t="shared" si="905"/>
        <v>5.6548667764616307E-22</v>
      </c>
      <c r="AW1019" t="b">
        <f t="shared" si="924"/>
        <v>1</v>
      </c>
      <c r="AX1019">
        <f t="shared" si="906"/>
        <v>7.8539816339744828</v>
      </c>
      <c r="AY1019">
        <f t="shared" si="907"/>
        <v>-0.9989338554195285</v>
      </c>
      <c r="AZ1019">
        <f t="shared" si="908"/>
        <v>-3.3242363405260265</v>
      </c>
      <c r="BA1019">
        <f t="shared" si="909"/>
        <v>2.8731866506947492</v>
      </c>
      <c r="BB1019">
        <f t="shared" si="910"/>
        <v>-1.2337005501361696E-20</v>
      </c>
      <c r="BD1019" s="15">
        <f t="shared" si="925"/>
        <v>6.4039980887236769</v>
      </c>
      <c r="BE1019" s="10">
        <f t="shared" si="926"/>
        <v>0</v>
      </c>
      <c r="BF1019">
        <f t="shared" si="927"/>
        <v>0</v>
      </c>
      <c r="BG1019">
        <f t="shared" si="928"/>
        <v>0</v>
      </c>
      <c r="BH1019">
        <f t="shared" si="929"/>
        <v>-1.2212453270876722E-15</v>
      </c>
      <c r="BI1019">
        <f t="shared" si="930"/>
        <v>0</v>
      </c>
    </row>
    <row r="1020" spans="1:61" x14ac:dyDescent="0.3">
      <c r="A1020">
        <f t="shared" si="935"/>
        <v>0.98299999999999998</v>
      </c>
      <c r="B1020">
        <f t="shared" si="878"/>
        <v>3.0881855784787664</v>
      </c>
      <c r="C1020">
        <f t="shared" si="879"/>
        <v>5.3407075111026714E-2</v>
      </c>
      <c r="D1020">
        <f t="shared" si="880"/>
        <v>5.3407075111026714E-2</v>
      </c>
      <c r="E1020">
        <f t="shared" si="885"/>
        <v>5.3381689758760821E-2</v>
      </c>
      <c r="F1020">
        <f t="shared" si="886"/>
        <v>5.3381689758760696E-2</v>
      </c>
      <c r="G1020">
        <f t="shared" si="881"/>
        <v>3.0881855784787664</v>
      </c>
      <c r="H1020">
        <f t="shared" si="882"/>
        <v>5.3381689758760821E-2</v>
      </c>
      <c r="I1020">
        <f t="shared" si="883"/>
        <v>5.3381689758760696E-2</v>
      </c>
      <c r="J1020">
        <f t="shared" si="931"/>
        <v>1.1925807804971208E+21</v>
      </c>
      <c r="K1020">
        <f t="shared" si="932"/>
        <v>1.1925807804971208E+21</v>
      </c>
      <c r="L1020">
        <f t="shared" si="887"/>
        <v>1</v>
      </c>
      <c r="M1020">
        <f t="shared" si="884"/>
        <v>5.3407075111026938E-22</v>
      </c>
      <c r="N1020" s="9">
        <f t="shared" si="933"/>
        <v>5.3407075111026938E-22</v>
      </c>
      <c r="O1020">
        <f t="shared" si="934"/>
        <v>5.3407075111026938E-22</v>
      </c>
      <c r="Q1020">
        <f t="shared" si="888"/>
        <v>48.53040663481984</v>
      </c>
      <c r="R1020">
        <f t="shared" si="889"/>
        <v>0</v>
      </c>
      <c r="S1020">
        <f t="shared" si="911"/>
        <v>-48.981513908957425</v>
      </c>
      <c r="T1020" s="9" t="e">
        <f t="shared" si="890"/>
        <v>#N/A</v>
      </c>
      <c r="U1020">
        <f t="shared" si="912"/>
        <v>-1.0000000000000001E+300</v>
      </c>
      <c r="V1020">
        <f t="shared" si="913"/>
        <v>0</v>
      </c>
      <c r="W1020">
        <f t="shared" si="914"/>
        <v>0</v>
      </c>
      <c r="X1020">
        <f t="shared" si="891"/>
        <v>5.3407075111026714E-2</v>
      </c>
      <c r="Y1020">
        <f t="shared" si="892"/>
        <v>7.8539816339744828</v>
      </c>
      <c r="Z1020">
        <f t="shared" si="893"/>
        <v>-5.3407075111026714E-2</v>
      </c>
      <c r="AA1020">
        <f t="shared" si="915"/>
        <v>-0.99904904726679666</v>
      </c>
      <c r="AB1020">
        <f t="shared" si="894"/>
        <v>6.8549325867076858</v>
      </c>
      <c r="AC1020">
        <f t="shared" si="916"/>
        <v>-3.3813947543659713</v>
      </c>
      <c r="AD1020">
        <f t="shared" si="895"/>
        <v>2.93028748022838</v>
      </c>
      <c r="AE1020" s="9">
        <f t="shared" si="917"/>
        <v>6.4038253125700946</v>
      </c>
      <c r="AF1020">
        <f t="shared" si="918"/>
        <v>2.5199957273700735E-260</v>
      </c>
      <c r="AH1020">
        <f t="shared" si="896"/>
        <v>7.8539816339744828</v>
      </c>
      <c r="AI1020">
        <f t="shared" si="897"/>
        <v>-0.99904904726679655</v>
      </c>
      <c r="AJ1020">
        <f t="shared" si="898"/>
        <v>-3.3813947543659637</v>
      </c>
      <c r="AK1020">
        <f t="shared" si="899"/>
        <v>2.93028748022838</v>
      </c>
      <c r="AL1020" s="9">
        <f t="shared" si="919"/>
        <v>6.4038253125701026</v>
      </c>
      <c r="AM1020" t="e">
        <f t="shared" si="900"/>
        <v>#N/A</v>
      </c>
      <c r="AN1020" t="e">
        <f t="shared" si="920"/>
        <v>#N/A</v>
      </c>
      <c r="AO1020">
        <f t="shared" si="901"/>
        <v>0</v>
      </c>
      <c r="AP1020">
        <f t="shared" si="902"/>
        <v>0</v>
      </c>
      <c r="AQ1020">
        <f t="shared" si="903"/>
        <v>7.5495165674510645E-15</v>
      </c>
      <c r="AR1020">
        <f t="shared" si="921"/>
        <v>0</v>
      </c>
      <c r="AS1020">
        <f t="shared" si="904"/>
        <v>7.9936057773011271E-15</v>
      </c>
      <c r="AT1020">
        <f t="shared" si="922"/>
        <v>1.2482548144482386E-15</v>
      </c>
      <c r="AU1020">
        <f t="shared" si="923"/>
        <v>2.5199957273577747E-260</v>
      </c>
      <c r="AV1020">
        <f t="shared" si="905"/>
        <v>5.3407075111026712E-22</v>
      </c>
      <c r="AW1020" t="b">
        <f t="shared" si="924"/>
        <v>1</v>
      </c>
      <c r="AX1020">
        <f t="shared" si="906"/>
        <v>7.8539816339744828</v>
      </c>
      <c r="AY1020">
        <f t="shared" si="907"/>
        <v>-0.99904904726679766</v>
      </c>
      <c r="AZ1020">
        <f t="shared" si="908"/>
        <v>-3.3813947543659713</v>
      </c>
      <c r="BA1020">
        <f t="shared" si="909"/>
        <v>2.9302874802283823</v>
      </c>
      <c r="BB1020">
        <f t="shared" si="910"/>
        <v>-1.2337005501361696E-20</v>
      </c>
      <c r="BD1020" s="15">
        <f t="shared" si="925"/>
        <v>6.4038253125700955</v>
      </c>
      <c r="BE1020" s="10">
        <f t="shared" si="926"/>
        <v>-7.1054273576010019E-15</v>
      </c>
      <c r="BF1020">
        <f t="shared" si="927"/>
        <v>0</v>
      </c>
      <c r="BG1020">
        <f t="shared" si="928"/>
        <v>0</v>
      </c>
      <c r="BH1020">
        <f t="shared" si="929"/>
        <v>-9.9920072216264089E-16</v>
      </c>
      <c r="BI1020">
        <f t="shared" si="930"/>
        <v>0</v>
      </c>
    </row>
    <row r="1021" spans="1:61" x14ac:dyDescent="0.3">
      <c r="A1021">
        <f t="shared" si="935"/>
        <v>0.98399999999999999</v>
      </c>
      <c r="B1021">
        <f t="shared" si="878"/>
        <v>3.0913271711323564</v>
      </c>
      <c r="C1021">
        <f t="shared" si="879"/>
        <v>5.0265482457436672E-2</v>
      </c>
      <c r="D1021">
        <f t="shared" si="880"/>
        <v>5.0265482457436672E-2</v>
      </c>
      <c r="E1021">
        <f t="shared" si="885"/>
        <v>5.0244318179769661E-2</v>
      </c>
      <c r="F1021">
        <f t="shared" si="886"/>
        <v>5.0244318179769536E-2</v>
      </c>
      <c r="G1021">
        <f t="shared" si="881"/>
        <v>3.0913271711323564</v>
      </c>
      <c r="H1021">
        <f t="shared" si="882"/>
        <v>5.0244318179769661E-2</v>
      </c>
      <c r="I1021">
        <f t="shared" si="883"/>
        <v>5.0244318179769536E-2</v>
      </c>
      <c r="J1021">
        <f t="shared" si="931"/>
        <v>1.267048286116279E+21</v>
      </c>
      <c r="K1021">
        <f t="shared" si="932"/>
        <v>1.267048286116279E+21</v>
      </c>
      <c r="L1021" t="e">
        <f t="shared" si="887"/>
        <v>#NUM!</v>
      </c>
      <c r="M1021">
        <f t="shared" si="884"/>
        <v>5.0265482457436976E-22</v>
      </c>
      <c r="N1021" s="9" t="e">
        <f t="shared" si="933"/>
        <v>#NUM!</v>
      </c>
      <c r="O1021" t="e">
        <f t="shared" si="934"/>
        <v>#NUM!</v>
      </c>
      <c r="Q1021">
        <f t="shared" si="888"/>
        <v>48.590976964076781</v>
      </c>
      <c r="R1021">
        <f t="shared" si="889"/>
        <v>-710542.73576010019</v>
      </c>
      <c r="S1021">
        <f t="shared" si="911"/>
        <v>-49.042138530773862</v>
      </c>
      <c r="T1021" s="9" t="e">
        <f t="shared" si="890"/>
        <v>#N/A</v>
      </c>
      <c r="U1021">
        <f t="shared" si="912"/>
        <v>-1.0000000000000001E+300</v>
      </c>
      <c r="V1021">
        <f t="shared" si="913"/>
        <v>0</v>
      </c>
      <c r="W1021">
        <f t="shared" si="914"/>
        <v>0</v>
      </c>
      <c r="X1021">
        <f t="shared" si="891"/>
        <v>5.0265482457436672E-2</v>
      </c>
      <c r="Y1021">
        <f t="shared" si="892"/>
        <v>7.8539816339744828</v>
      </c>
      <c r="Z1021">
        <f t="shared" si="893"/>
        <v>-5.0265482457436672E-2</v>
      </c>
      <c r="AA1021">
        <f t="shared" si="915"/>
        <v>-0.99915765186135663</v>
      </c>
      <c r="AB1021">
        <f t="shared" si="894"/>
        <v>6.8548239821131265</v>
      </c>
      <c r="AC1021">
        <f t="shared" si="916"/>
        <v>-3.4420193761824107</v>
      </c>
      <c r="AD1021">
        <f t="shared" si="895"/>
        <v>2.9908578094853251</v>
      </c>
      <c r="AE1021" s="9">
        <f t="shared" si="917"/>
        <v>6.4036624154160409</v>
      </c>
      <c r="AF1021">
        <f t="shared" si="918"/>
        <v>2.7801388844126452E-260</v>
      </c>
      <c r="AH1021">
        <f t="shared" si="896"/>
        <v>7.8539816339744828</v>
      </c>
      <c r="AI1021">
        <f t="shared" si="897"/>
        <v>-0.9991576518613553</v>
      </c>
      <c r="AJ1021">
        <f t="shared" si="898"/>
        <v>-3.4420193761824009</v>
      </c>
      <c r="AK1021">
        <f t="shared" si="899"/>
        <v>2.9908578094853251</v>
      </c>
      <c r="AL1021" s="9">
        <f t="shared" si="919"/>
        <v>6.4036624154160515</v>
      </c>
      <c r="AM1021" t="e">
        <f t="shared" si="900"/>
        <v>#N/A</v>
      </c>
      <c r="AN1021" t="e">
        <f t="shared" si="920"/>
        <v>#N/A</v>
      </c>
      <c r="AO1021">
        <f t="shared" si="901"/>
        <v>0</v>
      </c>
      <c r="AP1021">
        <f t="shared" si="902"/>
        <v>1.3322676295501878E-15</v>
      </c>
      <c r="AQ1021">
        <f t="shared" si="903"/>
        <v>9.7699626167013776E-15</v>
      </c>
      <c r="AR1021">
        <f t="shared" si="921"/>
        <v>-1.3333908088160799E-15</v>
      </c>
      <c r="AS1021">
        <f t="shared" si="904"/>
        <v>1.0658141036401503E-14</v>
      </c>
      <c r="AT1021">
        <f t="shared" si="922"/>
        <v>1.6643820902774797E-15</v>
      </c>
      <c r="AU1021">
        <f t="shared" si="923"/>
        <v>2.7801388843949745E-260</v>
      </c>
      <c r="AV1021">
        <f t="shared" si="905"/>
        <v>5.0265482457436666E-22</v>
      </c>
      <c r="AW1021" t="b">
        <f t="shared" si="924"/>
        <v>1</v>
      </c>
      <c r="AX1021">
        <f t="shared" si="906"/>
        <v>7.8539816339744828</v>
      </c>
      <c r="AY1021">
        <f t="shared" si="907"/>
        <v>-0.99915765186135785</v>
      </c>
      <c r="AZ1021">
        <f t="shared" si="908"/>
        <v>-3.4420193761824107</v>
      </c>
      <c r="BA1021">
        <f t="shared" si="909"/>
        <v>2.9908578094853273</v>
      </c>
      <c r="BB1021">
        <f t="shared" si="910"/>
        <v>-1.2337005501361696E-20</v>
      </c>
      <c r="BD1021" s="15">
        <f t="shared" si="925"/>
        <v>6.4036624154160418</v>
      </c>
      <c r="BE1021" s="10">
        <f t="shared" si="926"/>
        <v>-9.7699626167013776E-15</v>
      </c>
      <c r="BF1021">
        <f t="shared" si="927"/>
        <v>0</v>
      </c>
      <c r="BG1021">
        <f t="shared" si="928"/>
        <v>0</v>
      </c>
      <c r="BH1021">
        <f t="shared" si="929"/>
        <v>-1.2212453270876722E-15</v>
      </c>
      <c r="BI1021">
        <f t="shared" si="930"/>
        <v>0</v>
      </c>
    </row>
    <row r="1022" spans="1:61" x14ac:dyDescent="0.3">
      <c r="A1022">
        <f t="shared" si="935"/>
        <v>0.98499999999999999</v>
      </c>
      <c r="B1022">
        <f t="shared" si="878"/>
        <v>3.094468763785946</v>
      </c>
      <c r="C1022">
        <f t="shared" si="879"/>
        <v>4.7123889803847074E-2</v>
      </c>
      <c r="D1022">
        <f t="shared" si="880"/>
        <v>4.7123889803847074E-2</v>
      </c>
      <c r="E1022">
        <f t="shared" si="885"/>
        <v>4.7106450709642957E-2</v>
      </c>
      <c r="F1022">
        <f t="shared" si="886"/>
        <v>4.7106450709642839E-2</v>
      </c>
      <c r="G1022">
        <f t="shared" si="881"/>
        <v>3.094468763785946</v>
      </c>
      <c r="H1022">
        <f t="shared" si="882"/>
        <v>4.7106450709642957E-2</v>
      </c>
      <c r="I1022">
        <f t="shared" si="883"/>
        <v>4.7106450709642839E-2</v>
      </c>
      <c r="J1022">
        <f t="shared" si="931"/>
        <v>1.3514492448000584E+21</v>
      </c>
      <c r="K1022">
        <f t="shared" si="932"/>
        <v>1.3514492448000584E+21</v>
      </c>
      <c r="L1022" t="e">
        <f t="shared" si="887"/>
        <v>#NUM!</v>
      </c>
      <c r="M1022">
        <f t="shared" si="884"/>
        <v>4.7123889803847015E-22</v>
      </c>
      <c r="N1022" s="9" t="e">
        <f t="shared" si="933"/>
        <v>#NUM!</v>
      </c>
      <c r="O1022" t="e">
        <f t="shared" si="934"/>
        <v>#NUM!</v>
      </c>
      <c r="Q1022">
        <f t="shared" si="888"/>
        <v>48.655464484187192</v>
      </c>
      <c r="R1022">
        <f t="shared" si="889"/>
        <v>0</v>
      </c>
      <c r="S1022">
        <f t="shared" si="911"/>
        <v>-49.10667705191144</v>
      </c>
      <c r="T1022" s="9" t="e">
        <f t="shared" si="890"/>
        <v>#N/A</v>
      </c>
      <c r="U1022">
        <f t="shared" si="912"/>
        <v>-1.0000000000000001E+300</v>
      </c>
      <c r="V1022">
        <f t="shared" si="913"/>
        <v>0</v>
      </c>
      <c r="W1022">
        <f t="shared" si="914"/>
        <v>0</v>
      </c>
      <c r="X1022">
        <f t="shared" si="891"/>
        <v>4.7123889803847074E-2</v>
      </c>
      <c r="Y1022">
        <f t="shared" si="892"/>
        <v>7.8539816339744828</v>
      </c>
      <c r="Z1022">
        <f t="shared" si="893"/>
        <v>-4.7123889803847074E-2</v>
      </c>
      <c r="AA1022">
        <f t="shared" si="915"/>
        <v>-0.99925967006150807</v>
      </c>
      <c r="AB1022">
        <f t="shared" si="894"/>
        <v>6.8547219639129748</v>
      </c>
      <c r="AC1022">
        <f t="shared" si="916"/>
        <v>-3.5065578973199778</v>
      </c>
      <c r="AD1022">
        <f t="shared" si="895"/>
        <v>3.0553453295957316</v>
      </c>
      <c r="AE1022" s="9">
        <f t="shared" si="917"/>
        <v>6.4035093961887286</v>
      </c>
      <c r="AF1022">
        <f t="shared" si="918"/>
        <v>3.0488746676976949E-260</v>
      </c>
      <c r="AH1022">
        <f t="shared" si="896"/>
        <v>7.8539816339744828</v>
      </c>
      <c r="AI1022">
        <f t="shared" si="897"/>
        <v>-0.99925967006150485</v>
      </c>
      <c r="AJ1022">
        <f t="shared" si="898"/>
        <v>-3.5065578973199791</v>
      </c>
      <c r="AK1022">
        <f t="shared" si="899"/>
        <v>3.0553453295957316</v>
      </c>
      <c r="AL1022" s="9">
        <f t="shared" si="919"/>
        <v>6.4035093961887295</v>
      </c>
      <c r="AM1022" t="e">
        <f t="shared" si="900"/>
        <v>#N/A</v>
      </c>
      <c r="AN1022" t="e">
        <f t="shared" si="920"/>
        <v>#N/A</v>
      </c>
      <c r="AO1022">
        <f t="shared" si="901"/>
        <v>0</v>
      </c>
      <c r="AP1022">
        <f t="shared" si="902"/>
        <v>3.219646771412954E-15</v>
      </c>
      <c r="AQ1022">
        <f t="shared" si="903"/>
        <v>0</v>
      </c>
      <c r="AR1022">
        <f t="shared" si="921"/>
        <v>-3.2220321382677072E-15</v>
      </c>
      <c r="AS1022">
        <f t="shared" si="904"/>
        <v>0</v>
      </c>
      <c r="AT1022">
        <f t="shared" si="922"/>
        <v>0</v>
      </c>
      <c r="AU1022">
        <f t="shared" si="923"/>
        <v>3.0488746676959648E-260</v>
      </c>
      <c r="AV1022">
        <f t="shared" si="905"/>
        <v>4.7123889803847071E-22</v>
      </c>
      <c r="AW1022" t="b">
        <f t="shared" si="924"/>
        <v>1</v>
      </c>
      <c r="AX1022">
        <f t="shared" si="906"/>
        <v>7.8539816339744828</v>
      </c>
      <c r="AY1022">
        <f t="shared" si="907"/>
        <v>-0.99925967006150918</v>
      </c>
      <c r="AZ1022">
        <f t="shared" si="908"/>
        <v>-3.5065578973199778</v>
      </c>
      <c r="BA1022">
        <f t="shared" si="909"/>
        <v>3.0553453295957342</v>
      </c>
      <c r="BB1022">
        <f t="shared" si="910"/>
        <v>-1.2337005501361696E-20</v>
      </c>
      <c r="BD1022" s="15">
        <f t="shared" si="925"/>
        <v>6.4035093961887304</v>
      </c>
      <c r="BE1022" s="10">
        <f t="shared" si="926"/>
        <v>0</v>
      </c>
      <c r="BF1022">
        <f t="shared" si="927"/>
        <v>0</v>
      </c>
      <c r="BG1022">
        <f t="shared" si="928"/>
        <v>0</v>
      </c>
      <c r="BH1022">
        <f t="shared" si="929"/>
        <v>-1.1102230246251565E-15</v>
      </c>
      <c r="BI1022">
        <f t="shared" si="930"/>
        <v>0</v>
      </c>
    </row>
    <row r="1023" spans="1:61" x14ac:dyDescent="0.3">
      <c r="A1023">
        <f t="shared" si="935"/>
        <v>0.98599999999999999</v>
      </c>
      <c r="B1023">
        <f t="shared" si="878"/>
        <v>3.0976103564395361</v>
      </c>
      <c r="C1023">
        <f t="shared" si="879"/>
        <v>4.3982297150257033E-2</v>
      </c>
      <c r="D1023">
        <f t="shared" si="880"/>
        <v>4.3982297150257033E-2</v>
      </c>
      <c r="E1023">
        <f t="shared" si="885"/>
        <v>4.3968118317864957E-2</v>
      </c>
      <c r="F1023">
        <f t="shared" si="886"/>
        <v>4.3968118317864832E-2</v>
      </c>
      <c r="G1023">
        <f t="shared" si="881"/>
        <v>3.0976103564395361</v>
      </c>
      <c r="H1023">
        <f t="shared" si="882"/>
        <v>4.3968118317864957E-2</v>
      </c>
      <c r="I1023">
        <f t="shared" si="883"/>
        <v>4.3968118317864832E-2</v>
      </c>
      <c r="J1023">
        <f t="shared" si="931"/>
        <v>1.4479122526126222E+21</v>
      </c>
      <c r="K1023">
        <f t="shared" si="932"/>
        <v>1.4479122526126222E+21</v>
      </c>
      <c r="L1023">
        <f t="shared" si="887"/>
        <v>1</v>
      </c>
      <c r="M1023">
        <f t="shared" si="884"/>
        <v>4.3982297150257053E-22</v>
      </c>
      <c r="N1023" s="9">
        <f t="shared" si="933"/>
        <v>4.3982297150257053E-22</v>
      </c>
      <c r="O1023">
        <f t="shared" si="934"/>
        <v>4.3982297150257053E-22</v>
      </c>
      <c r="Q1023">
        <f t="shared" si="888"/>
        <v>48.724409645977858</v>
      </c>
      <c r="R1023">
        <f t="shared" si="889"/>
        <v>0</v>
      </c>
      <c r="S1023">
        <f t="shared" si="911"/>
        <v>-49.175669923398395</v>
      </c>
      <c r="T1023" s="9" t="e">
        <f t="shared" si="890"/>
        <v>#N/A</v>
      </c>
      <c r="U1023">
        <f t="shared" si="912"/>
        <v>-1.0000000000000001E+300</v>
      </c>
      <c r="V1023">
        <f t="shared" si="913"/>
        <v>0</v>
      </c>
      <c r="W1023">
        <f t="shared" si="914"/>
        <v>0</v>
      </c>
      <c r="X1023">
        <f t="shared" si="891"/>
        <v>4.3982297150257033E-2</v>
      </c>
      <c r="Y1023">
        <f t="shared" si="892"/>
        <v>7.8539816339744828</v>
      </c>
      <c r="Z1023">
        <f t="shared" si="893"/>
        <v>-4.3982297150257033E-2</v>
      </c>
      <c r="AA1023">
        <f t="shared" si="915"/>
        <v>-0.99935510267341221</v>
      </c>
      <c r="AB1023">
        <f t="shared" si="894"/>
        <v>6.8546265313010704</v>
      </c>
      <c r="AC1023">
        <f t="shared" si="916"/>
        <v>-3.5755507688069348</v>
      </c>
      <c r="AD1023">
        <f t="shared" si="895"/>
        <v>3.1242904913863976</v>
      </c>
      <c r="AE1023" s="9">
        <f t="shared" si="917"/>
        <v>6.4033662538805327</v>
      </c>
      <c r="AF1023">
        <f t="shared" si="918"/>
        <v>3.3236899063075315E-260</v>
      </c>
      <c r="AH1023">
        <f t="shared" si="896"/>
        <v>7.8539816339744828</v>
      </c>
      <c r="AI1023">
        <f t="shared" si="897"/>
        <v>-0.99935510267341066</v>
      </c>
      <c r="AJ1023">
        <f t="shared" si="898"/>
        <v>-3.5755507688069343</v>
      </c>
      <c r="AK1023">
        <f t="shared" si="899"/>
        <v>3.1242904913863976</v>
      </c>
      <c r="AL1023" s="9">
        <f t="shared" si="919"/>
        <v>6.4033662538805354</v>
      </c>
      <c r="AM1023" t="e">
        <f t="shared" si="900"/>
        <v>#N/A</v>
      </c>
      <c r="AN1023" t="e">
        <f t="shared" si="920"/>
        <v>#N/A</v>
      </c>
      <c r="AO1023">
        <f t="shared" si="901"/>
        <v>0</v>
      </c>
      <c r="AP1023">
        <f t="shared" si="902"/>
        <v>1.5543122344752192E-15</v>
      </c>
      <c r="AQ1023">
        <f t="shared" si="903"/>
        <v>0</v>
      </c>
      <c r="AR1023">
        <f t="shared" si="921"/>
        <v>-1.5553152531239624E-15</v>
      </c>
      <c r="AS1023">
        <f t="shared" si="904"/>
        <v>0</v>
      </c>
      <c r="AT1023">
        <f t="shared" si="922"/>
        <v>0</v>
      </c>
      <c r="AU1023">
        <f t="shared" si="923"/>
        <v>3.3236899063022503E-260</v>
      </c>
      <c r="AV1023">
        <f t="shared" si="905"/>
        <v>4.3982297150257035E-22</v>
      </c>
      <c r="AW1023" t="b">
        <f t="shared" si="924"/>
        <v>1</v>
      </c>
      <c r="AX1023">
        <f t="shared" si="906"/>
        <v>7.8539816339744828</v>
      </c>
      <c r="AY1023">
        <f t="shared" si="907"/>
        <v>-0.99935510267341376</v>
      </c>
      <c r="AZ1023">
        <f t="shared" si="908"/>
        <v>-3.5755507688069348</v>
      </c>
      <c r="BA1023">
        <f t="shared" si="909"/>
        <v>3.1242904913864007</v>
      </c>
      <c r="BB1023">
        <f t="shared" si="910"/>
        <v>-1.2337005501361696E-20</v>
      </c>
      <c r="BD1023" s="15">
        <f t="shared" si="925"/>
        <v>6.4033662538805345</v>
      </c>
      <c r="BE1023" s="10">
        <f t="shared" si="926"/>
        <v>0</v>
      </c>
      <c r="BF1023">
        <f t="shared" si="927"/>
        <v>0</v>
      </c>
      <c r="BG1023">
        <f t="shared" si="928"/>
        <v>0</v>
      </c>
      <c r="BH1023">
        <f t="shared" si="929"/>
        <v>-1.5543122344752192E-15</v>
      </c>
      <c r="BI1023">
        <f t="shared" si="930"/>
        <v>0</v>
      </c>
    </row>
    <row r="1024" spans="1:61" x14ac:dyDescent="0.3">
      <c r="A1024">
        <f t="shared" si="935"/>
        <v>0.98699999999999999</v>
      </c>
      <c r="B1024">
        <f t="shared" si="878"/>
        <v>3.1007519490931257</v>
      </c>
      <c r="C1024">
        <f t="shared" si="879"/>
        <v>4.0840704496667435E-2</v>
      </c>
      <c r="D1024">
        <f t="shared" si="880"/>
        <v>4.0840704496667435E-2</v>
      </c>
      <c r="E1024">
        <f t="shared" si="885"/>
        <v>4.0829351978510245E-2</v>
      </c>
      <c r="F1024">
        <f t="shared" si="886"/>
        <v>4.082935197851012E-2</v>
      </c>
      <c r="G1024">
        <f t="shared" si="881"/>
        <v>3.1007519490931257</v>
      </c>
      <c r="H1024">
        <f t="shared" si="882"/>
        <v>4.0829351978510245E-2</v>
      </c>
      <c r="I1024">
        <f t="shared" si="883"/>
        <v>4.082935197851012E-2</v>
      </c>
      <c r="J1024">
        <f t="shared" si="931"/>
        <v>1.5592208583243108E+21</v>
      </c>
      <c r="K1024">
        <f t="shared" si="932"/>
        <v>1.5592208583243108E+21</v>
      </c>
      <c r="L1024">
        <f t="shared" si="887"/>
        <v>1</v>
      </c>
      <c r="M1024">
        <f t="shared" si="884"/>
        <v>4.0840704496667694E-22</v>
      </c>
      <c r="N1024" s="9">
        <f t="shared" si="933"/>
        <v>4.0840704496667694E-22</v>
      </c>
      <c r="O1024">
        <f t="shared" si="934"/>
        <v>4.0840704496667694E-22</v>
      </c>
      <c r="Q1024">
        <f t="shared" si="888"/>
        <v>48.798473199577707</v>
      </c>
      <c r="R1024">
        <f t="shared" si="889"/>
        <v>0</v>
      </c>
      <c r="S1024">
        <f t="shared" si="911"/>
        <v>-49.249777895552107</v>
      </c>
      <c r="T1024" s="9" t="e">
        <f t="shared" si="890"/>
        <v>#N/A</v>
      </c>
      <c r="U1024">
        <f t="shared" si="912"/>
        <v>-1.0000000000000001E+300</v>
      </c>
      <c r="V1024">
        <f t="shared" si="913"/>
        <v>0</v>
      </c>
      <c r="W1024">
        <f t="shared" si="914"/>
        <v>0</v>
      </c>
      <c r="X1024">
        <f t="shared" si="891"/>
        <v>4.0840704496667435E-2</v>
      </c>
      <c r="Y1024">
        <f t="shared" si="892"/>
        <v>7.8539816339744828</v>
      </c>
      <c r="Z1024">
        <f t="shared" si="893"/>
        <v>-4.0840704496667435E-2</v>
      </c>
      <c r="AA1024">
        <f t="shared" si="915"/>
        <v>-0.99944395045111345</v>
      </c>
      <c r="AB1024">
        <f t="shared" si="894"/>
        <v>6.8545376835233691</v>
      </c>
      <c r="AC1024">
        <f t="shared" si="916"/>
        <v>-3.649658740960652</v>
      </c>
      <c r="AD1024">
        <f t="shared" si="895"/>
        <v>3.1983540449862455</v>
      </c>
      <c r="AE1024" s="9">
        <f t="shared" si="917"/>
        <v>6.4032329875489626</v>
      </c>
      <c r="AF1024">
        <f t="shared" si="918"/>
        <v>3.6017256680549923E-260</v>
      </c>
      <c r="AH1024">
        <f t="shared" si="896"/>
        <v>7.8539816339744828</v>
      </c>
      <c r="AI1024">
        <f t="shared" si="897"/>
        <v>-0.99944395045112222</v>
      </c>
      <c r="AJ1024">
        <f t="shared" si="898"/>
        <v>-3.6496587409606462</v>
      </c>
      <c r="AK1024">
        <f t="shared" si="899"/>
        <v>3.1983540449862455</v>
      </c>
      <c r="AL1024" s="9">
        <f t="shared" si="919"/>
        <v>6.4032329875489591</v>
      </c>
      <c r="AM1024" t="e">
        <f t="shared" si="900"/>
        <v>#N/A</v>
      </c>
      <c r="AN1024" t="e">
        <f t="shared" si="920"/>
        <v>#N/A</v>
      </c>
      <c r="AO1024">
        <f t="shared" si="901"/>
        <v>0</v>
      </c>
      <c r="AP1024">
        <f t="shared" si="902"/>
        <v>-8.7707618945387367E-15</v>
      </c>
      <c r="AQ1024">
        <f t="shared" si="903"/>
        <v>5.773159728050814E-15</v>
      </c>
      <c r="AR1024">
        <f t="shared" si="921"/>
        <v>8.775641586083792E-15</v>
      </c>
      <c r="AS1024">
        <f t="shared" si="904"/>
        <v>0</v>
      </c>
      <c r="AT1024">
        <f t="shared" si="922"/>
        <v>0</v>
      </c>
      <c r="AU1024">
        <f t="shared" si="923"/>
        <v>3.601725668062759E-260</v>
      </c>
      <c r="AV1024">
        <f t="shared" si="905"/>
        <v>4.084070449666743E-22</v>
      </c>
      <c r="AW1024" t="b">
        <f t="shared" si="924"/>
        <v>1</v>
      </c>
      <c r="AX1024">
        <f t="shared" si="906"/>
        <v>7.8539816339744828</v>
      </c>
      <c r="AY1024">
        <f t="shared" si="907"/>
        <v>-0.99944395045111478</v>
      </c>
      <c r="AZ1024">
        <f t="shared" si="908"/>
        <v>-3.649658740960652</v>
      </c>
      <c r="BA1024">
        <f t="shared" si="909"/>
        <v>3.1983540449862486</v>
      </c>
      <c r="BB1024">
        <f t="shared" si="910"/>
        <v>-1.2337005501361696E-20</v>
      </c>
      <c r="BD1024" s="15">
        <f t="shared" si="925"/>
        <v>6.4032329875489644</v>
      </c>
      <c r="BE1024" s="10">
        <f t="shared" si="926"/>
        <v>0</v>
      </c>
      <c r="BF1024">
        <f t="shared" si="927"/>
        <v>0</v>
      </c>
      <c r="BG1024">
        <f t="shared" si="928"/>
        <v>0</v>
      </c>
      <c r="BH1024">
        <f t="shared" si="929"/>
        <v>-1.3322676295501878E-15</v>
      </c>
      <c r="BI1024">
        <f t="shared" si="930"/>
        <v>0</v>
      </c>
    </row>
    <row r="1025" spans="1:61" x14ac:dyDescent="0.3">
      <c r="A1025">
        <f t="shared" si="935"/>
        <v>0.98799999999999999</v>
      </c>
      <c r="B1025">
        <f t="shared" si="878"/>
        <v>3.1038935417467157</v>
      </c>
      <c r="C1025">
        <f t="shared" si="879"/>
        <v>3.7699111843077393E-2</v>
      </c>
      <c r="D1025">
        <f t="shared" si="880"/>
        <v>3.7699111843077393E-2</v>
      </c>
      <c r="E1025">
        <f t="shared" si="885"/>
        <v>3.7690182669934534E-2</v>
      </c>
      <c r="F1025">
        <f t="shared" si="886"/>
        <v>3.7690182669934416E-2</v>
      </c>
      <c r="G1025">
        <f t="shared" si="881"/>
        <v>3.1038935417467157</v>
      </c>
      <c r="H1025">
        <f t="shared" si="882"/>
        <v>3.7690182669934534E-2</v>
      </c>
      <c r="I1025">
        <f t="shared" si="883"/>
        <v>3.7690182669934416E-2</v>
      </c>
      <c r="J1025">
        <f t="shared" si="931"/>
        <v>1.6890864603726453E+21</v>
      </c>
      <c r="K1025">
        <f t="shared" si="932"/>
        <v>1.6890864603726453E+21</v>
      </c>
      <c r="L1025">
        <f t="shared" si="887"/>
        <v>1</v>
      </c>
      <c r="M1025">
        <f t="shared" si="884"/>
        <v>3.769911184307713E-22</v>
      </c>
      <c r="N1025" s="9">
        <f t="shared" si="933"/>
        <v>3.769911184307713E-22</v>
      </c>
      <c r="O1025">
        <f t="shared" si="934"/>
        <v>3.769911184307713E-22</v>
      </c>
      <c r="Q1025">
        <f t="shared" si="888"/>
        <v>48.878474779664359</v>
      </c>
      <c r="R1025">
        <f t="shared" si="889"/>
        <v>-710542.73576010019</v>
      </c>
      <c r="S1025">
        <f t="shared" si="911"/>
        <v>-49.329820603225663</v>
      </c>
      <c r="T1025" s="9" t="e">
        <f t="shared" si="890"/>
        <v>#N/A</v>
      </c>
      <c r="U1025">
        <f t="shared" si="912"/>
        <v>-1.0000000000000001E+300</v>
      </c>
      <c r="V1025">
        <f t="shared" si="913"/>
        <v>0</v>
      </c>
      <c r="W1025">
        <f t="shared" si="914"/>
        <v>0</v>
      </c>
      <c r="X1025">
        <f t="shared" si="891"/>
        <v>3.7699111843077393E-2</v>
      </c>
      <c r="Y1025">
        <f t="shared" si="892"/>
        <v>7.8539816339744828</v>
      </c>
      <c r="Z1025">
        <f t="shared" si="893"/>
        <v>-3.7699111843077393E-2</v>
      </c>
      <c r="AA1025">
        <f t="shared" si="915"/>
        <v>-0.99952621409656062</v>
      </c>
      <c r="AB1025">
        <f t="shared" si="894"/>
        <v>6.8544554198779224</v>
      </c>
      <c r="AC1025">
        <f t="shared" si="916"/>
        <v>-3.7297014486341946</v>
      </c>
      <c r="AD1025">
        <f t="shared" si="895"/>
        <v>3.2783556250729027</v>
      </c>
      <c r="AE1025" s="9">
        <f t="shared" si="917"/>
        <v>6.4031095963166305</v>
      </c>
      <c r="AF1025">
        <f t="shared" si="918"/>
        <v>3.8798169478686186E-260</v>
      </c>
      <c r="AH1025">
        <f t="shared" si="896"/>
        <v>7.8539816339744828</v>
      </c>
      <c r="AI1025">
        <f t="shared" si="897"/>
        <v>-0.99952621409655462</v>
      </c>
      <c r="AJ1025">
        <f t="shared" si="898"/>
        <v>-3.7297014486342022</v>
      </c>
      <c r="AK1025">
        <f t="shared" si="899"/>
        <v>3.2783556250729027</v>
      </c>
      <c r="AL1025" s="9">
        <f t="shared" si="919"/>
        <v>6.4031095963166287</v>
      </c>
      <c r="AM1025" t="e">
        <f t="shared" si="900"/>
        <v>#N/A</v>
      </c>
      <c r="AN1025" t="e">
        <f t="shared" si="920"/>
        <v>#N/A</v>
      </c>
      <c r="AO1025">
        <f t="shared" si="901"/>
        <v>0</v>
      </c>
      <c r="AP1025">
        <f t="shared" si="902"/>
        <v>5.9952043329758453E-15</v>
      </c>
      <c r="AQ1025">
        <f t="shared" si="903"/>
        <v>-7.5495165674510645E-15</v>
      </c>
      <c r="AR1025">
        <f t="shared" si="921"/>
        <v>-5.9980461226769849E-15</v>
      </c>
      <c r="AS1025">
        <f t="shared" si="904"/>
        <v>0</v>
      </c>
      <c r="AT1025">
        <f t="shared" si="922"/>
        <v>0</v>
      </c>
      <c r="AU1025">
        <f t="shared" si="923"/>
        <v>3.8798169478725828E-260</v>
      </c>
      <c r="AV1025">
        <f t="shared" si="905"/>
        <v>3.7699111843077389E-22</v>
      </c>
      <c r="AW1025" t="b">
        <f t="shared" si="924"/>
        <v>1</v>
      </c>
      <c r="AX1025">
        <f t="shared" si="906"/>
        <v>7.8539816339744828</v>
      </c>
      <c r="AY1025">
        <f t="shared" si="907"/>
        <v>-0.99952621409656195</v>
      </c>
      <c r="AZ1025">
        <f t="shared" si="908"/>
        <v>-3.7297014486341946</v>
      </c>
      <c r="BA1025">
        <f t="shared" si="909"/>
        <v>3.2783556250729058</v>
      </c>
      <c r="BB1025">
        <f t="shared" si="910"/>
        <v>-1.2337005501361696E-20</v>
      </c>
      <c r="BD1025" s="15">
        <f t="shared" si="925"/>
        <v>6.4031095963166322</v>
      </c>
      <c r="BE1025" s="10">
        <f t="shared" si="926"/>
        <v>0</v>
      </c>
      <c r="BF1025">
        <f t="shared" si="927"/>
        <v>0</v>
      </c>
      <c r="BG1025">
        <f t="shared" si="928"/>
        <v>0</v>
      </c>
      <c r="BH1025">
        <f t="shared" si="929"/>
        <v>-1.3322676295501878E-15</v>
      </c>
      <c r="BI1025">
        <f t="shared" si="930"/>
        <v>0</v>
      </c>
    </row>
    <row r="1026" spans="1:61" x14ac:dyDescent="0.3">
      <c r="A1026">
        <f t="shared" si="935"/>
        <v>0.98899999999999999</v>
      </c>
      <c r="B1026">
        <f t="shared" si="878"/>
        <v>3.1070351344003053</v>
      </c>
      <c r="C1026">
        <f t="shared" si="879"/>
        <v>3.4557519189487795E-2</v>
      </c>
      <c r="D1026">
        <f t="shared" si="880"/>
        <v>3.4557519189487795E-2</v>
      </c>
      <c r="E1026">
        <f t="shared" si="885"/>
        <v>3.455064137447246E-2</v>
      </c>
      <c r="F1026">
        <f t="shared" si="886"/>
        <v>3.4550641374472342E-2</v>
      </c>
      <c r="G1026">
        <f t="shared" si="881"/>
        <v>3.1070351344003053</v>
      </c>
      <c r="H1026">
        <f t="shared" si="882"/>
        <v>3.455064137447246E-2</v>
      </c>
      <c r="I1026">
        <f t="shared" si="883"/>
        <v>3.4550641374472342E-2</v>
      </c>
      <c r="J1026">
        <f t="shared" si="931"/>
        <v>1.8425700567108553E+21</v>
      </c>
      <c r="K1026">
        <f t="shared" si="932"/>
        <v>1.8425700567108553E+21</v>
      </c>
      <c r="L1026" t="e">
        <f t="shared" si="887"/>
        <v>#NUM!</v>
      </c>
      <c r="M1026">
        <f t="shared" si="884"/>
        <v>3.4557519189487771E-22</v>
      </c>
      <c r="N1026" s="9" t="e">
        <f t="shared" si="933"/>
        <v>#NUM!</v>
      </c>
      <c r="O1026" t="e">
        <f t="shared" si="934"/>
        <v>#NUM!</v>
      </c>
      <c r="Q1026">
        <f t="shared" si="888"/>
        <v>48.965448319871655</v>
      </c>
      <c r="R1026">
        <f t="shared" si="889"/>
        <v>0</v>
      </c>
      <c r="S1026">
        <f t="shared" si="911"/>
        <v>-49.416831980215278</v>
      </c>
      <c r="T1026" s="9" t="e">
        <f t="shared" si="890"/>
        <v>#N/A</v>
      </c>
      <c r="U1026">
        <f t="shared" si="912"/>
        <v>-1.0000000000000001E+300</v>
      </c>
      <c r="V1026">
        <f t="shared" si="913"/>
        <v>0</v>
      </c>
      <c r="W1026">
        <f t="shared" si="914"/>
        <v>0</v>
      </c>
      <c r="X1026">
        <f t="shared" si="891"/>
        <v>3.4557519189487795E-2</v>
      </c>
      <c r="Y1026">
        <f t="shared" si="892"/>
        <v>7.8539816339744828</v>
      </c>
      <c r="Z1026">
        <f t="shared" si="893"/>
        <v>-3.4557519189487795E-2</v>
      </c>
      <c r="AA1026">
        <f t="shared" si="915"/>
        <v>-0.99960189425962709</v>
      </c>
      <c r="AB1026">
        <f t="shared" si="894"/>
        <v>6.8543797397148554</v>
      </c>
      <c r="AC1026">
        <f t="shared" si="916"/>
        <v>-3.8167128256238194</v>
      </c>
      <c r="AD1026">
        <f t="shared" si="895"/>
        <v>3.3653291652801975</v>
      </c>
      <c r="AE1026" s="9">
        <f t="shared" si="917"/>
        <v>6.4029960793712331</v>
      </c>
      <c r="AF1026">
        <f t="shared" si="918"/>
        <v>4.1545451629316543E-260</v>
      </c>
      <c r="AH1026">
        <f t="shared" si="896"/>
        <v>7.8539816339744828</v>
      </c>
      <c r="AI1026">
        <f t="shared" si="897"/>
        <v>-0.99960189425962231</v>
      </c>
      <c r="AJ1026">
        <f t="shared" si="898"/>
        <v>-3.8167128256238172</v>
      </c>
      <c r="AK1026">
        <f t="shared" si="899"/>
        <v>3.3653291652801975</v>
      </c>
      <c r="AL1026" s="9">
        <f t="shared" si="919"/>
        <v>6.402996079371241</v>
      </c>
      <c r="AM1026" t="e">
        <f t="shared" si="900"/>
        <v>#N/A</v>
      </c>
      <c r="AN1026" t="e">
        <f t="shared" si="920"/>
        <v>#N/A</v>
      </c>
      <c r="AO1026">
        <f t="shared" si="901"/>
        <v>0</v>
      </c>
      <c r="AP1026">
        <f t="shared" si="902"/>
        <v>4.7739590058881731E-15</v>
      </c>
      <c r="AQ1026">
        <f t="shared" si="903"/>
        <v>0</v>
      </c>
      <c r="AR1026">
        <f t="shared" si="921"/>
        <v>-4.7758603032901552E-15</v>
      </c>
      <c r="AS1026">
        <f t="shared" si="904"/>
        <v>7.9936057773011271E-15</v>
      </c>
      <c r="AT1026">
        <f t="shared" si="922"/>
        <v>1.2484164722596675E-15</v>
      </c>
      <c r="AU1026">
        <f t="shared" si="923"/>
        <v>4.1545451629118491E-260</v>
      </c>
      <c r="AV1026">
        <f t="shared" si="905"/>
        <v>3.4557519189487794E-22</v>
      </c>
      <c r="AW1026" t="b">
        <f t="shared" si="924"/>
        <v>1</v>
      </c>
      <c r="AX1026">
        <f t="shared" si="906"/>
        <v>7.8539816339744828</v>
      </c>
      <c r="AY1026">
        <f t="shared" si="907"/>
        <v>-0.99960189425962875</v>
      </c>
      <c r="AZ1026">
        <f t="shared" si="908"/>
        <v>-3.816712825623819</v>
      </c>
      <c r="BA1026">
        <f t="shared" si="909"/>
        <v>3.3653291652802011</v>
      </c>
      <c r="BB1026">
        <f t="shared" si="910"/>
        <v>-1.2337005501361696E-20</v>
      </c>
      <c r="BD1026" s="15">
        <f t="shared" si="925"/>
        <v>6.4029960793712366</v>
      </c>
      <c r="BE1026" s="10">
        <f t="shared" si="926"/>
        <v>0</v>
      </c>
      <c r="BF1026">
        <f t="shared" si="927"/>
        <v>0</v>
      </c>
      <c r="BG1026">
        <f t="shared" si="928"/>
        <v>0</v>
      </c>
      <c r="BH1026">
        <f t="shared" si="929"/>
        <v>-1.6653345369377348E-15</v>
      </c>
      <c r="BI1026">
        <f t="shared" si="930"/>
        <v>0</v>
      </c>
    </row>
    <row r="1027" spans="1:61" x14ac:dyDescent="0.3">
      <c r="A1027">
        <f t="shared" si="935"/>
        <v>0.99</v>
      </c>
      <c r="B1027">
        <f t="shared" si="878"/>
        <v>3.1101767270538954</v>
      </c>
      <c r="C1027">
        <f t="shared" si="879"/>
        <v>3.1415926535897754E-2</v>
      </c>
      <c r="D1027">
        <f t="shared" si="880"/>
        <v>3.1415926535897754E-2</v>
      </c>
      <c r="E1027">
        <f t="shared" si="885"/>
        <v>3.1410759078128236E-2</v>
      </c>
      <c r="F1027">
        <f t="shared" si="886"/>
        <v>3.1410759078128118E-2</v>
      </c>
      <c r="G1027">
        <f t="shared" si="881"/>
        <v>3.1101767270538954</v>
      </c>
      <c r="H1027">
        <f t="shared" si="882"/>
        <v>3.1410759078128236E-2</v>
      </c>
      <c r="I1027">
        <f t="shared" si="883"/>
        <v>3.1410759078128118E-2</v>
      </c>
      <c r="J1027">
        <f t="shared" si="931"/>
        <v>2.0267570445658824E+21</v>
      </c>
      <c r="K1027">
        <f t="shared" si="932"/>
        <v>2.0267570445658824E+21</v>
      </c>
      <c r="L1027" t="e">
        <f t="shared" si="887"/>
        <v>#NUM!</v>
      </c>
      <c r="M1027">
        <f t="shared" si="884"/>
        <v>3.1415926535897809E-22</v>
      </c>
      <c r="N1027" s="9" t="e">
        <f t="shared" si="933"/>
        <v>#NUM!</v>
      </c>
      <c r="O1027" t="e">
        <f t="shared" si="934"/>
        <v>#NUM!</v>
      </c>
      <c r="Q1027">
        <f t="shared" si="888"/>
        <v>49.060723953548795</v>
      </c>
      <c r="R1027">
        <f t="shared" si="889"/>
        <v>0</v>
      </c>
      <c r="S1027">
        <f t="shared" si="911"/>
        <v>-49.512142160019607</v>
      </c>
      <c r="T1027" s="9" t="e">
        <f t="shared" si="890"/>
        <v>#N/A</v>
      </c>
      <c r="U1027">
        <f t="shared" si="912"/>
        <v>-1.0000000000000001E+300</v>
      </c>
      <c r="V1027">
        <f t="shared" si="913"/>
        <v>0</v>
      </c>
      <c r="W1027">
        <f t="shared" si="914"/>
        <v>0</v>
      </c>
      <c r="X1027">
        <f t="shared" si="891"/>
        <v>3.1415926535897754E-2</v>
      </c>
      <c r="Y1027">
        <f t="shared" si="892"/>
        <v>7.8539816339744828</v>
      </c>
      <c r="Z1027">
        <f t="shared" si="893"/>
        <v>-3.1415926535897754E-2</v>
      </c>
      <c r="AA1027">
        <f t="shared" si="915"/>
        <v>-0.99967099153812888</v>
      </c>
      <c r="AB1027">
        <f t="shared" si="894"/>
        <v>6.8543106424363538</v>
      </c>
      <c r="AC1027">
        <f t="shared" si="916"/>
        <v>-3.9120230054281517</v>
      </c>
      <c r="AD1027">
        <f t="shared" si="895"/>
        <v>3.4606047989573332</v>
      </c>
      <c r="AE1027" s="9">
        <f t="shared" si="917"/>
        <v>6.4028924359655353</v>
      </c>
      <c r="AF1027">
        <f t="shared" si="918"/>
        <v>4.4223025808712119E-260</v>
      </c>
      <c r="AH1027">
        <f t="shared" si="896"/>
        <v>7.8539816339744828</v>
      </c>
      <c r="AI1027">
        <f t="shared" si="897"/>
        <v>-0.99967099153812444</v>
      </c>
      <c r="AJ1027">
        <f t="shared" si="898"/>
        <v>-3.9120230054281464</v>
      </c>
      <c r="AK1027">
        <f t="shared" si="899"/>
        <v>3.4606047989573332</v>
      </c>
      <c r="AL1027" s="9">
        <f t="shared" si="919"/>
        <v>6.402892435965545</v>
      </c>
      <c r="AM1027" t="e">
        <f t="shared" si="900"/>
        <v>#N/A</v>
      </c>
      <c r="AN1027" t="e">
        <f t="shared" si="920"/>
        <v>#N/A</v>
      </c>
      <c r="AO1027">
        <f t="shared" si="901"/>
        <v>0</v>
      </c>
      <c r="AP1027">
        <f t="shared" si="902"/>
        <v>4.4408920985006262E-15</v>
      </c>
      <c r="AQ1027">
        <f t="shared" si="903"/>
        <v>5.3290705182007514E-15</v>
      </c>
      <c r="AR1027">
        <f t="shared" si="921"/>
        <v>-4.4423536704488479E-15</v>
      </c>
      <c r="AS1027">
        <f t="shared" si="904"/>
        <v>9.7699626167013776E-15</v>
      </c>
      <c r="AT1027">
        <f t="shared" si="922"/>
        <v>1.5258670537432016E-15</v>
      </c>
      <c r="AU1027">
        <f t="shared" si="923"/>
        <v>4.4223025808451117E-260</v>
      </c>
      <c r="AV1027">
        <f t="shared" si="905"/>
        <v>3.1415926535897753E-22</v>
      </c>
      <c r="AW1027" t="b">
        <f t="shared" si="924"/>
        <v>1</v>
      </c>
      <c r="AX1027">
        <f t="shared" si="906"/>
        <v>7.8539816339744828</v>
      </c>
      <c r="AY1027">
        <f t="shared" si="907"/>
        <v>-0.99967099153813066</v>
      </c>
      <c r="AZ1027">
        <f t="shared" si="908"/>
        <v>-3.9120230054281517</v>
      </c>
      <c r="BA1027">
        <f t="shared" si="909"/>
        <v>3.4606047989573367</v>
      </c>
      <c r="BB1027">
        <f t="shared" si="910"/>
        <v>-1.2337005501361696E-20</v>
      </c>
      <c r="BD1027" s="15">
        <f t="shared" si="925"/>
        <v>6.402892435965537</v>
      </c>
      <c r="BE1027" s="10">
        <f t="shared" si="926"/>
        <v>-7.9936057773011271E-15</v>
      </c>
      <c r="BF1027">
        <f t="shared" si="927"/>
        <v>0</v>
      </c>
      <c r="BG1027">
        <f t="shared" si="928"/>
        <v>0</v>
      </c>
      <c r="BH1027">
        <f t="shared" si="929"/>
        <v>-1.7763568394002505E-15</v>
      </c>
      <c r="BI1027">
        <f t="shared" si="930"/>
        <v>0</v>
      </c>
    </row>
    <row r="1028" spans="1:61" x14ac:dyDescent="0.3">
      <c r="A1028">
        <f t="shared" si="935"/>
        <v>0.99099999999999999</v>
      </c>
      <c r="B1028">
        <f t="shared" si="878"/>
        <v>3.113318319707485</v>
      </c>
      <c r="C1028">
        <f t="shared" si="879"/>
        <v>2.8274333882308156E-2</v>
      </c>
      <c r="D1028">
        <f t="shared" si="880"/>
        <v>2.8274333882308156E-2</v>
      </c>
      <c r="E1028">
        <f t="shared" si="885"/>
        <v>2.8270566770273391E-2</v>
      </c>
      <c r="F1028">
        <f t="shared" si="886"/>
        <v>2.8270566770273269E-2</v>
      </c>
      <c r="G1028">
        <f t="shared" si="881"/>
        <v>3.113318319707485</v>
      </c>
      <c r="H1028">
        <f t="shared" si="882"/>
        <v>2.8270566770273391E-2</v>
      </c>
      <c r="I1028">
        <f t="shared" si="883"/>
        <v>2.8270566770273269E-2</v>
      </c>
      <c r="J1028">
        <f t="shared" si="931"/>
        <v>2.2518818867012937E+21</v>
      </c>
      <c r="K1028">
        <f t="shared" si="932"/>
        <v>2.2518818867012937E+21</v>
      </c>
      <c r="L1028">
        <f t="shared" si="887"/>
        <v>1</v>
      </c>
      <c r="M1028">
        <f t="shared" si="884"/>
        <v>2.827433388230845E-22</v>
      </c>
      <c r="N1028" s="9">
        <f t="shared" si="933"/>
        <v>2.827433388230845E-22</v>
      </c>
      <c r="O1028">
        <f t="shared" si="934"/>
        <v>2.827433388230845E-22</v>
      </c>
      <c r="Q1028">
        <f t="shared" si="888"/>
        <v>49.166053213598126</v>
      </c>
      <c r="R1028">
        <f t="shared" si="889"/>
        <v>-710542.73576010019</v>
      </c>
      <c r="S1028">
        <f t="shared" si="911"/>
        <v>-49.617502675677422</v>
      </c>
      <c r="T1028" s="9" t="e">
        <f t="shared" si="890"/>
        <v>#N/A</v>
      </c>
      <c r="U1028">
        <f t="shared" si="912"/>
        <v>-1.0000000000000001E+300</v>
      </c>
      <c r="V1028">
        <f t="shared" si="913"/>
        <v>0</v>
      </c>
      <c r="W1028">
        <f t="shared" si="914"/>
        <v>0</v>
      </c>
      <c r="X1028">
        <f t="shared" si="891"/>
        <v>2.8274333882308156E-2</v>
      </c>
      <c r="Y1028">
        <f t="shared" si="892"/>
        <v>7.8539816339744828</v>
      </c>
      <c r="Z1028">
        <f t="shared" si="893"/>
        <v>-2.8274333882308156E-2</v>
      </c>
      <c r="AA1028">
        <f t="shared" si="915"/>
        <v>-0.99973350647784143</v>
      </c>
      <c r="AB1028">
        <f t="shared" si="894"/>
        <v>6.8542481274966409</v>
      </c>
      <c r="AC1028">
        <f t="shared" si="916"/>
        <v>-4.0173835210859714</v>
      </c>
      <c r="AD1028">
        <f t="shared" si="895"/>
        <v>3.5659340590066688</v>
      </c>
      <c r="AE1028" s="9">
        <f t="shared" si="917"/>
        <v>6.4027986654173379</v>
      </c>
      <c r="AF1028">
        <f t="shared" si="918"/>
        <v>4.6793672287895429E-260</v>
      </c>
      <c r="AH1028">
        <f t="shared" si="896"/>
        <v>7.8539816339744828</v>
      </c>
      <c r="AI1028">
        <f t="shared" si="897"/>
        <v>-0.99973350647784065</v>
      </c>
      <c r="AJ1028">
        <f t="shared" si="898"/>
        <v>-4.0173835210859608</v>
      </c>
      <c r="AK1028">
        <f t="shared" si="899"/>
        <v>3.5659340590066688</v>
      </c>
      <c r="AL1028" s="9">
        <f t="shared" si="919"/>
        <v>6.4027986654173503</v>
      </c>
      <c r="AM1028" t="e">
        <f t="shared" si="900"/>
        <v>#N/A</v>
      </c>
      <c r="AN1028" t="e">
        <f t="shared" si="920"/>
        <v>#N/A</v>
      </c>
      <c r="AO1028">
        <f t="shared" si="901"/>
        <v>0</v>
      </c>
      <c r="AP1028">
        <f t="shared" si="902"/>
        <v>0</v>
      </c>
      <c r="AQ1028">
        <f t="shared" si="903"/>
        <v>1.0658141036401503E-14</v>
      </c>
      <c r="AR1028">
        <f t="shared" si="921"/>
        <v>0</v>
      </c>
      <c r="AS1028">
        <f t="shared" si="904"/>
        <v>1.2434497875801753E-14</v>
      </c>
      <c r="AT1028">
        <f t="shared" si="922"/>
        <v>1.9420410551034E-15</v>
      </c>
      <c r="AU1028">
        <f t="shared" si="923"/>
        <v>4.6793672287544897E-260</v>
      </c>
      <c r="AV1028">
        <f t="shared" si="905"/>
        <v>2.8274333882308153E-22</v>
      </c>
      <c r="AW1028" t="b">
        <f t="shared" si="924"/>
        <v>1</v>
      </c>
      <c r="AX1028">
        <f t="shared" si="906"/>
        <v>7.8539816339744828</v>
      </c>
      <c r="AY1028">
        <f t="shared" si="907"/>
        <v>-0.99973350647784354</v>
      </c>
      <c r="AZ1028">
        <f t="shared" si="908"/>
        <v>-4.0173835210859714</v>
      </c>
      <c r="BA1028">
        <f t="shared" si="909"/>
        <v>3.5659340590066733</v>
      </c>
      <c r="BB1028">
        <f t="shared" si="910"/>
        <v>-1.2337005501361696E-20</v>
      </c>
      <c r="BD1028" s="15">
        <f t="shared" si="925"/>
        <v>6.4027986654173414</v>
      </c>
      <c r="BE1028" s="10">
        <f t="shared" si="926"/>
        <v>-8.8817841970012523E-15</v>
      </c>
      <c r="BF1028">
        <f t="shared" si="927"/>
        <v>0</v>
      </c>
      <c r="BG1028">
        <f t="shared" si="928"/>
        <v>0</v>
      </c>
      <c r="BH1028">
        <f t="shared" si="929"/>
        <v>-2.1094237467877974E-15</v>
      </c>
      <c r="BI1028">
        <f t="shared" si="930"/>
        <v>0</v>
      </c>
    </row>
    <row r="1029" spans="1:61" x14ac:dyDescent="0.3">
      <c r="A1029">
        <f t="shared" si="935"/>
        <v>0.99199999999999999</v>
      </c>
      <c r="B1029">
        <f t="shared" si="878"/>
        <v>3.1164599123610746</v>
      </c>
      <c r="C1029">
        <f t="shared" si="879"/>
        <v>2.5132741228718558E-2</v>
      </c>
      <c r="D1029">
        <f t="shared" si="880"/>
        <v>2.5132741228718558E-2</v>
      </c>
      <c r="E1029">
        <f t="shared" si="885"/>
        <v>2.5130095443337813E-2</v>
      </c>
      <c r="F1029">
        <f t="shared" si="886"/>
        <v>2.5130095443337691E-2</v>
      </c>
      <c r="G1029">
        <f t="shared" si="881"/>
        <v>3.1164599123610746</v>
      </c>
      <c r="H1029">
        <f t="shared" si="882"/>
        <v>2.5130095443337813E-2</v>
      </c>
      <c r="I1029">
        <f t="shared" si="883"/>
        <v>2.5130095443337691E-2</v>
      </c>
      <c r="J1029">
        <f t="shared" si="931"/>
        <v>2.5332962773778657E+21</v>
      </c>
      <c r="K1029">
        <f t="shared" si="932"/>
        <v>2.5332962773778657E+21</v>
      </c>
      <c r="L1029" t="e">
        <f t="shared" si="887"/>
        <v>#NUM!</v>
      </c>
      <c r="M1029">
        <f t="shared" si="884"/>
        <v>2.5132741228718488E-22</v>
      </c>
      <c r="N1029" s="9" t="e">
        <f t="shared" si="933"/>
        <v>#NUM!</v>
      </c>
      <c r="O1029" t="e">
        <f t="shared" si="934"/>
        <v>#NUM!</v>
      </c>
      <c r="Q1029">
        <f t="shared" si="888"/>
        <v>49.283808284041314</v>
      </c>
      <c r="R1029">
        <f t="shared" si="889"/>
        <v>0</v>
      </c>
      <c r="S1029">
        <f t="shared" si="911"/>
        <v>-49.735285711333809</v>
      </c>
      <c r="T1029" s="9" t="e">
        <f t="shared" si="890"/>
        <v>#N/A</v>
      </c>
      <c r="U1029">
        <f t="shared" si="912"/>
        <v>-1.0000000000000001E+300</v>
      </c>
      <c r="V1029">
        <f t="shared" si="913"/>
        <v>0</v>
      </c>
      <c r="W1029">
        <f t="shared" si="914"/>
        <v>0</v>
      </c>
      <c r="X1029">
        <f t="shared" si="891"/>
        <v>2.5132741228718558E-2</v>
      </c>
      <c r="Y1029">
        <f t="shared" si="892"/>
        <v>7.8539816339744828</v>
      </c>
      <c r="Z1029">
        <f t="shared" si="893"/>
        <v>-2.5132741228718558E-2</v>
      </c>
      <c r="AA1029">
        <f t="shared" si="915"/>
        <v>-0.99978943957251565</v>
      </c>
      <c r="AB1029">
        <f t="shared" si="894"/>
        <v>6.8541921944019668</v>
      </c>
      <c r="AC1029">
        <f t="shared" si="916"/>
        <v>-4.1351665567423472</v>
      </c>
      <c r="AD1029">
        <f t="shared" si="895"/>
        <v>3.6836891294498528</v>
      </c>
      <c r="AE1029" s="9">
        <f t="shared" si="917"/>
        <v>6.4027147671094724</v>
      </c>
      <c r="AF1029">
        <f t="shared" si="918"/>
        <v>4.9219862791691316E-260</v>
      </c>
      <c r="AH1029">
        <f t="shared" si="896"/>
        <v>7.8539816339744828</v>
      </c>
      <c r="AI1029">
        <f t="shared" si="897"/>
        <v>-0.99978943957252164</v>
      </c>
      <c r="AJ1029">
        <f t="shared" si="898"/>
        <v>-4.1351665567423481</v>
      </c>
      <c r="AK1029">
        <f t="shared" si="899"/>
        <v>3.6836891294498528</v>
      </c>
      <c r="AL1029" s="9">
        <f t="shared" si="919"/>
        <v>6.4027147671094662</v>
      </c>
      <c r="AM1029" t="e">
        <f t="shared" si="900"/>
        <v>#N/A</v>
      </c>
      <c r="AN1029" t="e">
        <f t="shared" si="920"/>
        <v>#N/A</v>
      </c>
      <c r="AO1029">
        <f t="shared" si="901"/>
        <v>0</v>
      </c>
      <c r="AP1029">
        <f t="shared" si="902"/>
        <v>-5.9952043329758453E-15</v>
      </c>
      <c r="AQ1029">
        <f t="shared" si="903"/>
        <v>0</v>
      </c>
      <c r="AR1029">
        <f t="shared" si="921"/>
        <v>5.9964669516205388E-15</v>
      </c>
      <c r="AS1029">
        <f t="shared" si="904"/>
        <v>0</v>
      </c>
      <c r="AT1029">
        <f t="shared" si="922"/>
        <v>0</v>
      </c>
      <c r="AU1029">
        <f t="shared" si="923"/>
        <v>4.9219862791875669E-260</v>
      </c>
      <c r="AV1029">
        <f t="shared" si="905"/>
        <v>2.5132741228718559E-22</v>
      </c>
      <c r="AW1029" t="b">
        <f t="shared" si="924"/>
        <v>1</v>
      </c>
      <c r="AX1029">
        <f t="shared" si="906"/>
        <v>7.8539816339744828</v>
      </c>
      <c r="AY1029">
        <f t="shared" si="907"/>
        <v>-0.9997894395725182</v>
      </c>
      <c r="AZ1029">
        <f t="shared" si="908"/>
        <v>-4.1351665567423472</v>
      </c>
      <c r="BA1029">
        <f t="shared" si="909"/>
        <v>3.6836891294498577</v>
      </c>
      <c r="BB1029">
        <f t="shared" si="910"/>
        <v>-1.2337005501361696E-20</v>
      </c>
      <c r="BD1029" s="15">
        <f t="shared" si="925"/>
        <v>6.4027147671094742</v>
      </c>
      <c r="BE1029" s="10">
        <f t="shared" si="926"/>
        <v>7.9936057773011271E-15</v>
      </c>
      <c r="BF1029">
        <f t="shared" si="927"/>
        <v>0</v>
      </c>
      <c r="BG1029">
        <f t="shared" si="928"/>
        <v>0</v>
      </c>
      <c r="BH1029">
        <f t="shared" si="929"/>
        <v>-2.55351295663786E-15</v>
      </c>
      <c r="BI1029">
        <f t="shared" si="930"/>
        <v>0</v>
      </c>
    </row>
    <row r="1030" spans="1:61" x14ac:dyDescent="0.3">
      <c r="A1030">
        <f t="shared" si="935"/>
        <v>0.99299999999999999</v>
      </c>
      <c r="B1030">
        <f t="shared" si="878"/>
        <v>3.1196015050146646</v>
      </c>
      <c r="C1030">
        <f t="shared" si="879"/>
        <v>2.1991148575128516E-2</v>
      </c>
      <c r="D1030">
        <f t="shared" si="880"/>
        <v>2.1991148575128516E-2</v>
      </c>
      <c r="E1030">
        <f t="shared" si="885"/>
        <v>2.1989376092505196E-2</v>
      </c>
      <c r="F1030">
        <f t="shared" si="886"/>
        <v>2.1989376092505071E-2</v>
      </c>
      <c r="G1030">
        <f t="shared" si="881"/>
        <v>3.1196015050146646</v>
      </c>
      <c r="H1030">
        <f t="shared" si="882"/>
        <v>2.1989376092505196E-2</v>
      </c>
      <c r="I1030">
        <f t="shared" si="883"/>
        <v>2.1989376092505071E-2</v>
      </c>
      <c r="J1030">
        <f t="shared" si="931"/>
        <v>2.8951243077086001E+21</v>
      </c>
      <c r="K1030">
        <f t="shared" si="932"/>
        <v>2.8951243077086001E+21</v>
      </c>
      <c r="L1030">
        <f t="shared" si="887"/>
        <v>1</v>
      </c>
      <c r="M1030">
        <f t="shared" si="884"/>
        <v>2.1991148575128527E-22</v>
      </c>
      <c r="N1030" s="9">
        <f t="shared" si="933"/>
        <v>2.1991148575128527E-22</v>
      </c>
      <c r="O1030">
        <f t="shared" si="934"/>
        <v>2.1991148575128527E-22</v>
      </c>
      <c r="Q1030">
        <f t="shared" si="888"/>
        <v>49.417315001737521</v>
      </c>
      <c r="R1030">
        <f t="shared" si="889"/>
        <v>-710542.73576010019</v>
      </c>
      <c r="S1030">
        <f t="shared" si="911"/>
        <v>-49.868817103958335</v>
      </c>
      <c r="T1030" s="9" t="e">
        <f t="shared" si="890"/>
        <v>#N/A</v>
      </c>
      <c r="U1030">
        <f t="shared" si="912"/>
        <v>-1.0000000000000001E+300</v>
      </c>
      <c r="V1030">
        <f t="shared" si="913"/>
        <v>0</v>
      </c>
      <c r="W1030">
        <f t="shared" si="914"/>
        <v>0</v>
      </c>
      <c r="X1030">
        <f t="shared" si="891"/>
        <v>2.1991148575128516E-2</v>
      </c>
      <c r="Y1030">
        <f t="shared" si="892"/>
        <v>7.8539816339744828</v>
      </c>
      <c r="Z1030">
        <f t="shared" si="893"/>
        <v>-2.1991148575128516E-2</v>
      </c>
      <c r="AA1030">
        <f t="shared" si="915"/>
        <v>-0.99983879126389053</v>
      </c>
      <c r="AB1030">
        <f t="shared" si="894"/>
        <v>6.8541428427105924</v>
      </c>
      <c r="AC1030">
        <f t="shared" si="916"/>
        <v>-4.2686979493668797</v>
      </c>
      <c r="AD1030">
        <f t="shared" si="895"/>
        <v>3.8171958471460643</v>
      </c>
      <c r="AE1030" s="9">
        <f t="shared" si="917"/>
        <v>6.4026407404897769</v>
      </c>
      <c r="AF1030">
        <f t="shared" si="918"/>
        <v>5.1464654161162374E-260</v>
      </c>
      <c r="AH1030">
        <f t="shared" si="896"/>
        <v>7.8539816339744828</v>
      </c>
      <c r="AI1030">
        <f t="shared" si="897"/>
        <v>-0.99983879126387931</v>
      </c>
      <c r="AJ1030">
        <f t="shared" si="898"/>
        <v>-4.2686979493668744</v>
      </c>
      <c r="AK1030">
        <f t="shared" si="899"/>
        <v>3.8171958471460643</v>
      </c>
      <c r="AL1030" s="9">
        <f t="shared" si="919"/>
        <v>6.4026407404897929</v>
      </c>
      <c r="AM1030" t="e">
        <f t="shared" si="900"/>
        <v>#N/A</v>
      </c>
      <c r="AN1030" t="e">
        <f t="shared" si="920"/>
        <v>#N/A</v>
      </c>
      <c r="AO1030">
        <f t="shared" si="901"/>
        <v>0</v>
      </c>
      <c r="AP1030">
        <f t="shared" si="902"/>
        <v>1.1213252548714081E-14</v>
      </c>
      <c r="AQ1030">
        <f t="shared" si="903"/>
        <v>0</v>
      </c>
      <c r="AR1030">
        <f t="shared" si="921"/>
        <v>-1.1215060514445131E-14</v>
      </c>
      <c r="AS1030">
        <f t="shared" si="904"/>
        <v>1.5987211554602254E-14</v>
      </c>
      <c r="AT1030">
        <f t="shared" si="922"/>
        <v>2.4969715157529292E-15</v>
      </c>
      <c r="AU1030">
        <f t="shared" si="923"/>
        <v>5.1464654160665873E-260</v>
      </c>
      <c r="AV1030">
        <f t="shared" si="905"/>
        <v>2.1991148575128517E-22</v>
      </c>
      <c r="AW1030" t="b">
        <f t="shared" si="924"/>
        <v>1</v>
      </c>
      <c r="AX1030">
        <f t="shared" si="906"/>
        <v>7.8539816339744828</v>
      </c>
      <c r="AY1030">
        <f t="shared" si="907"/>
        <v>-0.9998387912638933</v>
      </c>
      <c r="AZ1030">
        <f t="shared" si="908"/>
        <v>-4.2686979493668797</v>
      </c>
      <c r="BA1030">
        <f t="shared" si="909"/>
        <v>3.8171958471460696</v>
      </c>
      <c r="BB1030">
        <f t="shared" si="910"/>
        <v>-1.2337005501361696E-20</v>
      </c>
      <c r="BD1030" s="15">
        <f t="shared" si="925"/>
        <v>6.4026407404897796</v>
      </c>
      <c r="BE1030" s="10">
        <f t="shared" si="926"/>
        <v>-1.3322676295501878E-14</v>
      </c>
      <c r="BF1030">
        <f t="shared" si="927"/>
        <v>0</v>
      </c>
      <c r="BG1030">
        <f t="shared" si="928"/>
        <v>0</v>
      </c>
      <c r="BH1030">
        <f t="shared" si="929"/>
        <v>-2.7755575615628914E-15</v>
      </c>
      <c r="BI1030">
        <f t="shared" si="930"/>
        <v>0</v>
      </c>
    </row>
    <row r="1031" spans="1:61" x14ac:dyDescent="0.3">
      <c r="A1031">
        <f t="shared" si="935"/>
        <v>0.99399999999999999</v>
      </c>
      <c r="B1031">
        <f t="shared" si="878"/>
        <v>3.1227430976682542</v>
      </c>
      <c r="C1031">
        <f t="shared" si="879"/>
        <v>1.8849555921538919E-2</v>
      </c>
      <c r="D1031">
        <f t="shared" si="880"/>
        <v>1.8849555921538919E-2</v>
      </c>
      <c r="E1031">
        <f t="shared" si="885"/>
        <v>1.884843971540846E-2</v>
      </c>
      <c r="F1031">
        <f t="shared" si="886"/>
        <v>1.8848439715408335E-2</v>
      </c>
      <c r="G1031">
        <f t="shared" si="881"/>
        <v>3.1227430976682542</v>
      </c>
      <c r="H1031">
        <f t="shared" si="882"/>
        <v>1.884843971540846E-2</v>
      </c>
      <c r="I1031">
        <f t="shared" si="883"/>
        <v>1.8848439715408335E-2</v>
      </c>
      <c r="J1031">
        <f t="shared" si="931"/>
        <v>3.3775727963686536E+21</v>
      </c>
      <c r="K1031">
        <f t="shared" si="932"/>
        <v>3.3775727963686536E+21</v>
      </c>
      <c r="L1031">
        <f t="shared" si="887"/>
        <v>1</v>
      </c>
      <c r="M1031">
        <f t="shared" si="884"/>
        <v>1.8849555921539167E-22</v>
      </c>
      <c r="N1031" s="9">
        <f t="shared" si="933"/>
        <v>1.8849555921539167E-22</v>
      </c>
      <c r="O1031">
        <f t="shared" si="934"/>
        <v>1.8849555921539167E-22</v>
      </c>
      <c r="Q1031">
        <f t="shared" si="888"/>
        <v>49.571444296823891</v>
      </c>
      <c r="R1031">
        <f t="shared" si="889"/>
        <v>-710542.73576010019</v>
      </c>
      <c r="S1031">
        <f t="shared" si="911"/>
        <v>-50.022967783785575</v>
      </c>
      <c r="T1031" s="9" t="e">
        <f t="shared" si="890"/>
        <v>#N/A</v>
      </c>
      <c r="U1031">
        <f t="shared" si="912"/>
        <v>-1.0000000000000001E+300</v>
      </c>
      <c r="V1031">
        <f t="shared" si="913"/>
        <v>0</v>
      </c>
      <c r="W1031">
        <f t="shared" si="914"/>
        <v>0</v>
      </c>
      <c r="X1031">
        <f t="shared" si="891"/>
        <v>1.8849555921538919E-2</v>
      </c>
      <c r="Y1031">
        <f t="shared" si="892"/>
        <v>7.8539816339744828</v>
      </c>
      <c r="Z1031">
        <f t="shared" si="893"/>
        <v>-1.8849555921538919E-2</v>
      </c>
      <c r="AA1031">
        <f t="shared" si="915"/>
        <v>-0.99988156194170685</v>
      </c>
      <c r="AB1031">
        <f t="shared" si="894"/>
        <v>6.854100072032776</v>
      </c>
      <c r="AC1031">
        <f t="shared" si="916"/>
        <v>-4.422848629194128</v>
      </c>
      <c r="AD1031">
        <f t="shared" si="895"/>
        <v>3.9713251422324345</v>
      </c>
      <c r="AE1031" s="9">
        <f t="shared" si="917"/>
        <v>6.402576585071083</v>
      </c>
      <c r="AF1031">
        <f t="shared" si="918"/>
        <v>5.3492612820297831E-260</v>
      </c>
      <c r="AH1031">
        <f t="shared" si="896"/>
        <v>7.8539816339744828</v>
      </c>
      <c r="AI1031">
        <f t="shared" si="897"/>
        <v>-0.99988156194170275</v>
      </c>
      <c r="AJ1031">
        <f t="shared" si="898"/>
        <v>-4.4228486291941138</v>
      </c>
      <c r="AK1031">
        <f t="shared" si="899"/>
        <v>3.9713251422324345</v>
      </c>
      <c r="AL1031" s="9">
        <f t="shared" si="919"/>
        <v>6.4025765850711007</v>
      </c>
      <c r="AM1031" t="e">
        <f t="shared" si="900"/>
        <v>#N/A</v>
      </c>
      <c r="AN1031" t="e">
        <f t="shared" si="920"/>
        <v>#N/A</v>
      </c>
      <c r="AO1031">
        <f t="shared" si="901"/>
        <v>0</v>
      </c>
      <c r="AP1031">
        <f t="shared" si="902"/>
        <v>4.1078251911130792E-15</v>
      </c>
      <c r="AQ1031">
        <f t="shared" si="903"/>
        <v>1.4210854715202004E-14</v>
      </c>
      <c r="AR1031">
        <f t="shared" si="921"/>
        <v>-4.1083117715821848E-15</v>
      </c>
      <c r="AS1031">
        <f t="shared" si="904"/>
        <v>1.7763568394002505E-14</v>
      </c>
      <c r="AT1031">
        <f t="shared" si="922"/>
        <v>2.7744405955911326E-15</v>
      </c>
      <c r="AU1031">
        <f t="shared" si="923"/>
        <v>5.3492612819727129E-260</v>
      </c>
      <c r="AV1031">
        <f t="shared" si="905"/>
        <v>1.8849555921538918E-22</v>
      </c>
      <c r="AW1031" t="b">
        <f t="shared" si="924"/>
        <v>1</v>
      </c>
      <c r="AX1031">
        <f t="shared" si="906"/>
        <v>7.8539816339744828</v>
      </c>
      <c r="AY1031">
        <f t="shared" si="907"/>
        <v>-0.99988156194171018</v>
      </c>
      <c r="AZ1031">
        <f t="shared" si="908"/>
        <v>-4.422848629194128</v>
      </c>
      <c r="BA1031">
        <f t="shared" si="909"/>
        <v>3.9713251422324412</v>
      </c>
      <c r="BB1031">
        <f t="shared" si="910"/>
        <v>-1.2337005501361696E-20</v>
      </c>
      <c r="BD1031" s="15">
        <f t="shared" si="925"/>
        <v>6.4025765850710856</v>
      </c>
      <c r="BE1031" s="10">
        <f t="shared" si="926"/>
        <v>-1.5099033134902129E-14</v>
      </c>
      <c r="BF1031">
        <f t="shared" si="927"/>
        <v>0</v>
      </c>
      <c r="BG1031">
        <f t="shared" si="928"/>
        <v>0</v>
      </c>
      <c r="BH1031">
        <f t="shared" si="929"/>
        <v>-3.3306690738754696E-15</v>
      </c>
      <c r="BI1031">
        <f t="shared" si="930"/>
        <v>0</v>
      </c>
    </row>
    <row r="1032" spans="1:61" x14ac:dyDescent="0.3">
      <c r="A1032">
        <f t="shared" si="935"/>
        <v>0.995</v>
      </c>
      <c r="B1032">
        <f t="shared" si="878"/>
        <v>3.1258846903218442</v>
      </c>
      <c r="C1032">
        <f t="shared" si="879"/>
        <v>1.5707963267948877E-2</v>
      </c>
      <c r="D1032">
        <f t="shared" si="880"/>
        <v>1.5707963267948877E-2</v>
      </c>
      <c r="E1032">
        <f t="shared" si="885"/>
        <v>1.570731731182071E-2</v>
      </c>
      <c r="F1032">
        <f t="shared" si="886"/>
        <v>1.5707317311820585E-2</v>
      </c>
      <c r="G1032">
        <f t="shared" si="881"/>
        <v>3.1258846903218442</v>
      </c>
      <c r="H1032">
        <f t="shared" si="882"/>
        <v>1.570731731182071E-2</v>
      </c>
      <c r="I1032">
        <f t="shared" si="883"/>
        <v>1.5707317311820585E-2</v>
      </c>
      <c r="J1032">
        <f t="shared" si="931"/>
        <v>4.0530140171580185E+21</v>
      </c>
      <c r="K1032">
        <f t="shared" si="932"/>
        <v>4.0530140171580185E+21</v>
      </c>
      <c r="L1032">
        <f t="shared" si="887"/>
        <v>1</v>
      </c>
      <c r="M1032">
        <f t="shared" si="884"/>
        <v>1.5707963267948604E-22</v>
      </c>
      <c r="N1032" s="9">
        <f t="shared" si="933"/>
        <v>1.5707963267948604E-22</v>
      </c>
      <c r="O1032">
        <f t="shared" si="934"/>
        <v>1.5707963267948604E-22</v>
      </c>
      <c r="Q1032">
        <f t="shared" si="888"/>
        <v>49.753747758979998</v>
      </c>
      <c r="R1032">
        <f t="shared" si="889"/>
        <v>0</v>
      </c>
      <c r="S1032">
        <f t="shared" si="911"/>
        <v>-50.205289340579576</v>
      </c>
      <c r="T1032" s="9" t="e">
        <f t="shared" si="890"/>
        <v>#N/A</v>
      </c>
      <c r="U1032">
        <f t="shared" si="912"/>
        <v>-1.0000000000000001E+300</v>
      </c>
      <c r="V1032">
        <f t="shared" si="913"/>
        <v>0</v>
      </c>
      <c r="W1032">
        <f t="shared" si="914"/>
        <v>0</v>
      </c>
      <c r="X1032">
        <f t="shared" si="891"/>
        <v>1.5707963267948877E-2</v>
      </c>
      <c r="Y1032">
        <f t="shared" si="892"/>
        <v>7.8539816339744828</v>
      </c>
      <c r="Z1032">
        <f t="shared" si="893"/>
        <v>-1.5707963267948877E-2</v>
      </c>
      <c r="AA1032">
        <f t="shared" si="915"/>
        <v>-0.9999177519437179</v>
      </c>
      <c r="AB1032">
        <f t="shared" si="894"/>
        <v>6.8540638820307649</v>
      </c>
      <c r="AC1032">
        <f t="shared" si="916"/>
        <v>-4.6051701859880971</v>
      </c>
      <c r="AD1032">
        <f t="shared" si="895"/>
        <v>4.1536286043885369</v>
      </c>
      <c r="AE1032" s="9">
        <f t="shared" si="917"/>
        <v>6.4025223004312046</v>
      </c>
      <c r="AF1032">
        <f t="shared" si="918"/>
        <v>5.5270738183579084E-260</v>
      </c>
      <c r="AH1032">
        <f t="shared" si="896"/>
        <v>7.8539816339744828</v>
      </c>
      <c r="AI1032">
        <f t="shared" si="897"/>
        <v>-0.99991775194372301</v>
      </c>
      <c r="AJ1032">
        <f t="shared" si="898"/>
        <v>-4.6051701859881149</v>
      </c>
      <c r="AK1032">
        <f t="shared" si="899"/>
        <v>4.1536286043885369</v>
      </c>
      <c r="AL1032" s="9">
        <f t="shared" si="919"/>
        <v>6.4025223004311815</v>
      </c>
      <c r="AM1032" t="e">
        <f t="shared" si="900"/>
        <v>#N/A</v>
      </c>
      <c r="AN1032" t="e">
        <f t="shared" si="920"/>
        <v>#N/A</v>
      </c>
      <c r="AO1032">
        <f t="shared" si="901"/>
        <v>0</v>
      </c>
      <c r="AP1032">
        <f t="shared" si="902"/>
        <v>-5.1070259132757201E-15</v>
      </c>
      <c r="AQ1032">
        <f t="shared" si="903"/>
        <v>-1.7763568394002505E-14</v>
      </c>
      <c r="AR1032">
        <f t="shared" si="921"/>
        <v>5.1074459907810012E-15</v>
      </c>
      <c r="AS1032">
        <f t="shared" si="904"/>
        <v>-2.3092638912203256E-14</v>
      </c>
      <c r="AT1032">
        <f t="shared" si="922"/>
        <v>-3.6068033547728636E-15</v>
      </c>
      <c r="AU1032">
        <f t="shared" si="923"/>
        <v>5.5270738184344407E-260</v>
      </c>
      <c r="AV1032">
        <f t="shared" si="905"/>
        <v>1.5707963267948876E-22</v>
      </c>
      <c r="AW1032" t="b">
        <f t="shared" si="924"/>
        <v>1</v>
      </c>
      <c r="AX1032">
        <f t="shared" si="906"/>
        <v>7.8539816339744828</v>
      </c>
      <c r="AY1032">
        <f t="shared" si="907"/>
        <v>-0.99991775194372179</v>
      </c>
      <c r="AZ1032">
        <f t="shared" si="908"/>
        <v>-4.6051701859880971</v>
      </c>
      <c r="BA1032">
        <f t="shared" si="909"/>
        <v>4.1536286043885449</v>
      </c>
      <c r="BB1032">
        <f t="shared" si="910"/>
        <v>-1.2337005501361696E-20</v>
      </c>
      <c r="BD1032" s="15">
        <f t="shared" si="925"/>
        <v>6.4025223004312091</v>
      </c>
      <c r="BE1032" s="10">
        <f t="shared" si="926"/>
        <v>2.7533531010703882E-14</v>
      </c>
      <c r="BF1032">
        <f t="shared" si="927"/>
        <v>0</v>
      </c>
      <c r="BG1032">
        <f t="shared" si="928"/>
        <v>0</v>
      </c>
      <c r="BH1032">
        <f t="shared" si="929"/>
        <v>-3.8857805861880479E-15</v>
      </c>
      <c r="BI1032">
        <f t="shared" si="930"/>
        <v>0</v>
      </c>
    </row>
    <row r="1033" spans="1:61" x14ac:dyDescent="0.3">
      <c r="A1033">
        <f t="shared" si="935"/>
        <v>0.996</v>
      </c>
      <c r="B1033">
        <f t="shared" si="878"/>
        <v>3.1290262829754338</v>
      </c>
      <c r="C1033">
        <f t="shared" si="879"/>
        <v>1.2566370614359279E-2</v>
      </c>
      <c r="D1033">
        <f t="shared" si="880"/>
        <v>1.2566370614359279E-2</v>
      </c>
      <c r="E1033">
        <f t="shared" si="885"/>
        <v>1.2566039883352836E-2</v>
      </c>
      <c r="F1033">
        <f t="shared" si="886"/>
        <v>1.2566039883352713E-2</v>
      </c>
      <c r="G1033">
        <f t="shared" si="881"/>
        <v>3.1290262829754338</v>
      </c>
      <c r="H1033">
        <f t="shared" si="882"/>
        <v>1.2566039883352836E-2</v>
      </c>
      <c r="I1033">
        <f t="shared" si="883"/>
        <v>1.2566039883352713E-2</v>
      </c>
      <c r="J1033">
        <f t="shared" si="931"/>
        <v>5.0661925179066061E+21</v>
      </c>
      <c r="K1033">
        <f t="shared" si="932"/>
        <v>5.0661925179066061E+21</v>
      </c>
      <c r="L1033">
        <f t="shared" si="887"/>
        <v>1</v>
      </c>
      <c r="M1033">
        <f t="shared" si="884"/>
        <v>1.2566370614359244E-22</v>
      </c>
      <c r="N1033" s="9">
        <f t="shared" si="933"/>
        <v>1.2566370614359244E-22</v>
      </c>
      <c r="O1033">
        <f t="shared" si="934"/>
        <v>1.2566370614359244E-22</v>
      </c>
      <c r="Q1033">
        <f t="shared" si="888"/>
        <v>49.976876505687898</v>
      </c>
      <c r="R1033">
        <f t="shared" si="889"/>
        <v>0</v>
      </c>
      <c r="S1033">
        <f t="shared" si="911"/>
        <v>-50.428432891893756</v>
      </c>
      <c r="T1033" s="9" t="e">
        <f t="shared" si="890"/>
        <v>#N/A</v>
      </c>
      <c r="U1033">
        <f t="shared" si="912"/>
        <v>-1.0000000000000001E+300</v>
      </c>
      <c r="V1033">
        <f t="shared" si="913"/>
        <v>0</v>
      </c>
      <c r="W1033">
        <f t="shared" si="914"/>
        <v>0</v>
      </c>
      <c r="X1033">
        <f t="shared" si="891"/>
        <v>1.2566370614359279E-2</v>
      </c>
      <c r="Y1033">
        <f t="shared" si="892"/>
        <v>7.8539816339744828</v>
      </c>
      <c r="Z1033">
        <f t="shared" si="893"/>
        <v>-1.2566370614359279E-2</v>
      </c>
      <c r="AA1033">
        <f t="shared" si="915"/>
        <v>-0.99994736155569819</v>
      </c>
      <c r="AB1033">
        <f t="shared" si="894"/>
        <v>6.8540342724187848</v>
      </c>
      <c r="AC1033">
        <f t="shared" si="916"/>
        <v>-4.8283137373022926</v>
      </c>
      <c r="AD1033">
        <f t="shared" si="895"/>
        <v>4.3767573510964368</v>
      </c>
      <c r="AE1033" s="9">
        <f t="shared" si="917"/>
        <v>6.402477886212929</v>
      </c>
      <c r="AF1033">
        <f t="shared" si="918"/>
        <v>5.6769351661165416E-260</v>
      </c>
      <c r="AH1033">
        <f t="shared" si="896"/>
        <v>7.8539816339744828</v>
      </c>
      <c r="AI1033">
        <f t="shared" si="897"/>
        <v>-0.99994736155569031</v>
      </c>
      <c r="AJ1033">
        <f t="shared" si="898"/>
        <v>-4.8283137373022953</v>
      </c>
      <c r="AK1033">
        <f t="shared" si="899"/>
        <v>4.3767573510964368</v>
      </c>
      <c r="AL1033" s="9">
        <f t="shared" si="919"/>
        <v>6.4024778862129343</v>
      </c>
      <c r="AM1033" t="e">
        <f t="shared" si="900"/>
        <v>#N/A</v>
      </c>
      <c r="AN1033" t="e">
        <f t="shared" si="920"/>
        <v>#N/A</v>
      </c>
      <c r="AO1033">
        <f t="shared" si="901"/>
        <v>0</v>
      </c>
      <c r="AP1033">
        <f t="shared" si="902"/>
        <v>7.8825834748386114E-15</v>
      </c>
      <c r="AQ1033">
        <f t="shared" si="903"/>
        <v>0</v>
      </c>
      <c r="AR1033">
        <f t="shared" si="921"/>
        <v>-7.8829984236121262E-15</v>
      </c>
      <c r="AS1033">
        <f t="shared" si="904"/>
        <v>0</v>
      </c>
      <c r="AT1033">
        <f t="shared" si="922"/>
        <v>0</v>
      </c>
      <c r="AU1033">
        <f t="shared" si="923"/>
        <v>5.6769351660985005E-260</v>
      </c>
      <c r="AV1033">
        <f t="shared" si="905"/>
        <v>1.2566370614359279E-22</v>
      </c>
      <c r="AW1033" t="b">
        <f t="shared" si="924"/>
        <v>1</v>
      </c>
      <c r="AX1033">
        <f t="shared" si="906"/>
        <v>7.8539816339744828</v>
      </c>
      <c r="AY1033">
        <f t="shared" si="907"/>
        <v>-0.99994736155570307</v>
      </c>
      <c r="AZ1033">
        <f t="shared" si="908"/>
        <v>-4.8283137373022926</v>
      </c>
      <c r="BA1033">
        <f t="shared" si="909"/>
        <v>4.3767573510964466</v>
      </c>
      <c r="BB1033">
        <f t="shared" si="910"/>
        <v>-1.2337005501361696E-20</v>
      </c>
      <c r="BD1033" s="15">
        <f t="shared" si="925"/>
        <v>6.4024778862129335</v>
      </c>
      <c r="BE1033" s="10">
        <f t="shared" si="926"/>
        <v>0</v>
      </c>
      <c r="BF1033">
        <f t="shared" si="927"/>
        <v>0</v>
      </c>
      <c r="BG1033">
        <f t="shared" si="928"/>
        <v>0</v>
      </c>
      <c r="BH1033">
        <f t="shared" si="929"/>
        <v>-4.8849813083506888E-15</v>
      </c>
      <c r="BI1033">
        <f t="shared" si="930"/>
        <v>0</v>
      </c>
    </row>
    <row r="1034" spans="1:61" x14ac:dyDescent="0.3">
      <c r="A1034">
        <f t="shared" si="935"/>
        <v>0.997</v>
      </c>
      <c r="B1034">
        <f t="shared" si="878"/>
        <v>3.1321678756290239</v>
      </c>
      <c r="C1034">
        <f t="shared" si="879"/>
        <v>9.4247779607692372E-3</v>
      </c>
      <c r="D1034">
        <f t="shared" si="880"/>
        <v>9.4247779607692372E-3</v>
      </c>
      <c r="E1034">
        <f t="shared" si="885"/>
        <v>9.4246384331439868E-3</v>
      </c>
      <c r="F1034">
        <f t="shared" si="886"/>
        <v>9.4246384331438636E-3</v>
      </c>
      <c r="G1034">
        <f t="shared" si="881"/>
        <v>3.1321678756290239</v>
      </c>
      <c r="H1034">
        <f t="shared" si="882"/>
        <v>9.4246384331439868E-3</v>
      </c>
      <c r="I1034">
        <f t="shared" si="883"/>
        <v>9.4246384331438636E-3</v>
      </c>
      <c r="J1034">
        <f t="shared" si="931"/>
        <v>6.7548455771921847E+21</v>
      </c>
      <c r="K1034">
        <f t="shared" si="932"/>
        <v>6.7548455771921847E+21</v>
      </c>
      <c r="L1034">
        <f t="shared" si="887"/>
        <v>1</v>
      </c>
      <c r="M1034">
        <f t="shared" si="884"/>
        <v>9.4247779607692826E-23</v>
      </c>
      <c r="N1034" s="9">
        <f t="shared" si="933"/>
        <v>9.4247779607692826E-23</v>
      </c>
      <c r="O1034">
        <f t="shared" si="934"/>
        <v>9.4247779607692826E-23</v>
      </c>
      <c r="Q1034">
        <f t="shared" si="888"/>
        <v>50.264547063506527</v>
      </c>
      <c r="R1034">
        <f t="shared" si="889"/>
        <v>0</v>
      </c>
      <c r="S1034">
        <f t="shared" si="911"/>
        <v>-50.71611496434555</v>
      </c>
      <c r="T1034" s="9" t="e">
        <f t="shared" si="890"/>
        <v>#N/A</v>
      </c>
      <c r="U1034">
        <f t="shared" si="912"/>
        <v>-1.0000000000000001E+300</v>
      </c>
      <c r="V1034">
        <f t="shared" si="913"/>
        <v>0</v>
      </c>
      <c r="W1034">
        <f t="shared" si="914"/>
        <v>0</v>
      </c>
      <c r="X1034">
        <f t="shared" si="891"/>
        <v>9.4247779607692372E-3</v>
      </c>
      <c r="Y1034">
        <f t="shared" si="892"/>
        <v>7.8539816339744828</v>
      </c>
      <c r="Z1034">
        <f t="shared" si="893"/>
        <v>-9.4247779607692372E-3</v>
      </c>
      <c r="AA1034">
        <f t="shared" si="915"/>
        <v>-0.99997039101145235</v>
      </c>
      <c r="AB1034">
        <f t="shared" si="894"/>
        <v>6.8540112429630309</v>
      </c>
      <c r="AC1034">
        <f t="shared" si="916"/>
        <v>-5.1159958097540974</v>
      </c>
      <c r="AD1034">
        <f t="shared" si="895"/>
        <v>4.6644279089150649</v>
      </c>
      <c r="AE1034" s="9">
        <f t="shared" si="917"/>
        <v>6.4024433421239983</v>
      </c>
      <c r="AF1034">
        <f t="shared" si="918"/>
        <v>5.7962917968930472E-260</v>
      </c>
      <c r="AH1034">
        <f t="shared" si="896"/>
        <v>7.8539816339744828</v>
      </c>
      <c r="AI1034">
        <f t="shared" si="897"/>
        <v>-0.99997039101145091</v>
      </c>
      <c r="AJ1034">
        <f t="shared" si="898"/>
        <v>-5.1159958097540894</v>
      </c>
      <c r="AK1034">
        <f t="shared" si="899"/>
        <v>4.6644279089150649</v>
      </c>
      <c r="AL1034" s="9">
        <f t="shared" si="919"/>
        <v>6.4024433421240072</v>
      </c>
      <c r="AM1034" t="e">
        <f t="shared" si="900"/>
        <v>#N/A</v>
      </c>
      <c r="AN1034" t="e">
        <f t="shared" si="920"/>
        <v>#N/A</v>
      </c>
      <c r="AO1034">
        <f t="shared" si="901"/>
        <v>0</v>
      </c>
      <c r="AP1034">
        <f t="shared" si="902"/>
        <v>1.4432899320127035E-15</v>
      </c>
      <c r="AQ1034">
        <f t="shared" si="903"/>
        <v>7.9936057773011271E-15</v>
      </c>
      <c r="AR1034">
        <f t="shared" si="921"/>
        <v>-1.443332667633132E-15</v>
      </c>
      <c r="AS1034">
        <f t="shared" si="904"/>
        <v>8.8817841970012523E-15</v>
      </c>
      <c r="AT1034">
        <f t="shared" si="922"/>
        <v>1.3872491676052419E-15</v>
      </c>
      <c r="AU1034">
        <f t="shared" si="923"/>
        <v>5.7962917968621271E-260</v>
      </c>
      <c r="AV1034">
        <f t="shared" si="905"/>
        <v>9.4247779607692368E-23</v>
      </c>
      <c r="AW1034" t="b">
        <f t="shared" si="924"/>
        <v>1</v>
      </c>
      <c r="AX1034">
        <f t="shared" si="906"/>
        <v>7.8539816339744828</v>
      </c>
      <c r="AY1034">
        <f t="shared" si="907"/>
        <v>-0.9999703910114589</v>
      </c>
      <c r="AZ1034">
        <f t="shared" si="908"/>
        <v>-5.1159958097540974</v>
      </c>
      <c r="BA1034">
        <f t="shared" si="909"/>
        <v>4.6644279089150782</v>
      </c>
      <c r="BB1034">
        <f t="shared" si="910"/>
        <v>-1.2337005501361696E-20</v>
      </c>
      <c r="BD1034" s="15">
        <f t="shared" si="925"/>
        <v>6.4024433421240046</v>
      </c>
      <c r="BE1034" s="10">
        <f t="shared" si="926"/>
        <v>0</v>
      </c>
      <c r="BF1034">
        <f t="shared" si="927"/>
        <v>0</v>
      </c>
      <c r="BG1034">
        <f t="shared" si="928"/>
        <v>0</v>
      </c>
      <c r="BH1034">
        <f t="shared" si="929"/>
        <v>-6.5503158452884236E-15</v>
      </c>
      <c r="BI1034">
        <f t="shared" si="930"/>
        <v>0</v>
      </c>
    </row>
    <row r="1035" spans="1:61" x14ac:dyDescent="0.3">
      <c r="A1035">
        <f t="shared" si="935"/>
        <v>0.998</v>
      </c>
      <c r="B1035">
        <f t="shared" si="878"/>
        <v>3.1353094682826135</v>
      </c>
      <c r="C1035">
        <f t="shared" si="879"/>
        <v>6.2831853071796395E-3</v>
      </c>
      <c r="D1035">
        <f t="shared" si="880"/>
        <v>6.2831853071796395E-3</v>
      </c>
      <c r="E1035">
        <f t="shared" si="885"/>
        <v>6.2831439655591272E-3</v>
      </c>
      <c r="F1035">
        <f t="shared" si="886"/>
        <v>6.283143965559004E-3</v>
      </c>
      <c r="G1035">
        <f t="shared" si="881"/>
        <v>3.1353094682826135</v>
      </c>
      <c r="H1035">
        <f t="shared" si="882"/>
        <v>6.2831439655591272E-3</v>
      </c>
      <c r="I1035">
        <f t="shared" si="883"/>
        <v>6.283143965559004E-3</v>
      </c>
      <c r="J1035">
        <f t="shared" si="931"/>
        <v>1.0132185031207218E+22</v>
      </c>
      <c r="K1035">
        <f t="shared" si="932"/>
        <v>1.0132185031207218E+22</v>
      </c>
      <c r="L1035" t="e">
        <f t="shared" si="887"/>
        <v>#NUM!</v>
      </c>
      <c r="M1035">
        <f t="shared" si="884"/>
        <v>6.283185307179923E-23</v>
      </c>
      <c r="N1035" s="9" t="e">
        <f t="shared" si="933"/>
        <v>#NUM!</v>
      </c>
      <c r="O1035" t="e">
        <f t="shared" si="934"/>
        <v>#NUM!</v>
      </c>
      <c r="Q1035">
        <f t="shared" si="888"/>
        <v>50.670003946909148</v>
      </c>
      <c r="R1035">
        <f t="shared" si="889"/>
        <v>0</v>
      </c>
      <c r="S1035">
        <f t="shared" si="911"/>
        <v>-51.121580072453654</v>
      </c>
      <c r="T1035" s="9" t="e">
        <f t="shared" si="890"/>
        <v>#N/A</v>
      </c>
      <c r="U1035">
        <f t="shared" si="912"/>
        <v>-1.0000000000000001E+300</v>
      </c>
      <c r="V1035">
        <f t="shared" si="913"/>
        <v>0</v>
      </c>
      <c r="W1035">
        <f t="shared" si="914"/>
        <v>0</v>
      </c>
      <c r="X1035">
        <f t="shared" si="891"/>
        <v>6.2831853071796395E-3</v>
      </c>
      <c r="Y1035">
        <f t="shared" si="892"/>
        <v>7.8539816339744828</v>
      </c>
      <c r="Z1035">
        <f t="shared" si="893"/>
        <v>-6.2831853071796395E-3</v>
      </c>
      <c r="AA1035">
        <f t="shared" si="915"/>
        <v>-0.99998684049282094</v>
      </c>
      <c r="AB1035">
        <f t="shared" si="894"/>
        <v>6.8539947934816619</v>
      </c>
      <c r="AC1035">
        <f t="shared" si="916"/>
        <v>-5.521460917862238</v>
      </c>
      <c r="AD1035">
        <f t="shared" si="895"/>
        <v>5.0698847923176897</v>
      </c>
      <c r="AE1035" s="9">
        <f t="shared" si="917"/>
        <v>6.4024186679371136</v>
      </c>
      <c r="AF1035">
        <f t="shared" si="918"/>
        <v>5.883076709068286E-260</v>
      </c>
      <c r="AH1035">
        <f t="shared" si="896"/>
        <v>7.8539816339744828</v>
      </c>
      <c r="AI1035">
        <f t="shared" si="897"/>
        <v>-0.99998684049285136</v>
      </c>
      <c r="AJ1035">
        <f t="shared" si="898"/>
        <v>-5.5214609178621927</v>
      </c>
      <c r="AK1035">
        <f t="shared" si="899"/>
        <v>5.0698847923176897</v>
      </c>
      <c r="AL1035" s="9">
        <f t="shared" si="919"/>
        <v>6.4024186679371287</v>
      </c>
      <c r="AM1035" t="e">
        <f t="shared" si="900"/>
        <v>#N/A</v>
      </c>
      <c r="AN1035" t="e">
        <f t="shared" si="920"/>
        <v>#N/A</v>
      </c>
      <c r="AO1035">
        <f t="shared" si="901"/>
        <v>0</v>
      </c>
      <c r="AP1035">
        <f t="shared" si="902"/>
        <v>-3.0420110874729289E-14</v>
      </c>
      <c r="AQ1035">
        <f t="shared" si="903"/>
        <v>4.5297099404706387E-14</v>
      </c>
      <c r="AR1035">
        <f t="shared" si="921"/>
        <v>3.0420511193663807E-14</v>
      </c>
      <c r="AS1035">
        <f t="shared" si="904"/>
        <v>1.5099033134902129E-14</v>
      </c>
      <c r="AT1035">
        <f t="shared" si="922"/>
        <v>2.3583326736373936E-15</v>
      </c>
      <c r="AU1035">
        <f t="shared" si="923"/>
        <v>5.8830767090148689E-260</v>
      </c>
      <c r="AV1035">
        <f t="shared" si="905"/>
        <v>6.2831853071796397E-23</v>
      </c>
      <c r="AW1035" t="b">
        <f t="shared" si="924"/>
        <v>1</v>
      </c>
      <c r="AX1035">
        <f t="shared" si="906"/>
        <v>7.8539816339744828</v>
      </c>
      <c r="AY1035">
        <f t="shared" si="907"/>
        <v>-0.99998684049283082</v>
      </c>
      <c r="AZ1035">
        <f t="shared" si="908"/>
        <v>-5.521460917862238</v>
      </c>
      <c r="BA1035">
        <f t="shared" si="909"/>
        <v>5.0698847923177093</v>
      </c>
      <c r="BB1035">
        <f t="shared" si="910"/>
        <v>-1.2337005501361696E-20</v>
      </c>
      <c r="BD1035" s="15">
        <f t="shared" si="925"/>
        <v>6.4024186679371233</v>
      </c>
      <c r="BE1035" s="10">
        <f t="shared" si="926"/>
        <v>0</v>
      </c>
      <c r="BF1035">
        <f t="shared" si="927"/>
        <v>9.7699626167013776E-15</v>
      </c>
      <c r="BG1035">
        <f t="shared" si="928"/>
        <v>0</v>
      </c>
      <c r="BH1035">
        <f t="shared" si="929"/>
        <v>-9.8809849191638932E-15</v>
      </c>
      <c r="BI1035">
        <f t="shared" si="930"/>
        <v>0</v>
      </c>
    </row>
    <row r="1036" spans="1:61" x14ac:dyDescent="0.3">
      <c r="A1036">
        <f t="shared" si="935"/>
        <v>0.999</v>
      </c>
      <c r="B1036">
        <f t="shared" si="878"/>
        <v>3.1384510609362035</v>
      </c>
      <c r="C1036">
        <f t="shared" si="879"/>
        <v>3.1415926535895977E-3</v>
      </c>
      <c r="D1036">
        <f t="shared" si="880"/>
        <v>3.1415926535895977E-3</v>
      </c>
      <c r="E1036">
        <f t="shared" si="885"/>
        <v>3.1415874858794902E-3</v>
      </c>
      <c r="F1036">
        <f t="shared" si="886"/>
        <v>3.1415874858793679E-3</v>
      </c>
      <c r="G1036">
        <f t="shared" si="881"/>
        <v>3.1384510609362035</v>
      </c>
      <c r="H1036">
        <f t="shared" si="882"/>
        <v>3.1415874858794902E-3</v>
      </c>
      <c r="I1036">
        <f t="shared" si="883"/>
        <v>3.1415874858793679E-3</v>
      </c>
      <c r="J1036">
        <f t="shared" si="931"/>
        <v>2.0264270061839745E+22</v>
      </c>
      <c r="K1036">
        <f t="shared" si="932"/>
        <v>2.0264270061839745E+22</v>
      </c>
      <c r="L1036" t="e">
        <f t="shared" si="887"/>
        <v>#NUM!</v>
      </c>
      <c r="M1036">
        <f t="shared" si="884"/>
        <v>3.1415926535893596E-23</v>
      </c>
      <c r="N1036" s="9" t="e">
        <f t="shared" si="933"/>
        <v>#NUM!</v>
      </c>
      <c r="O1036" t="e">
        <f t="shared" si="934"/>
        <v>#NUM!</v>
      </c>
      <c r="Q1036">
        <f t="shared" si="888"/>
        <v>51.363146192658824</v>
      </c>
      <c r="R1036">
        <f t="shared" si="889"/>
        <v>-710542.73576010019</v>
      </c>
      <c r="S1036">
        <f t="shared" si="911"/>
        <v>-51.814727253013785</v>
      </c>
      <c r="T1036" s="9" t="e">
        <f t="shared" si="890"/>
        <v>#N/A</v>
      </c>
      <c r="U1036">
        <f t="shared" si="912"/>
        <v>-1.0000000000000001E+300</v>
      </c>
      <c r="V1036">
        <f t="shared" si="913"/>
        <v>0</v>
      </c>
      <c r="W1036">
        <f t="shared" si="914"/>
        <v>0</v>
      </c>
      <c r="X1036">
        <f t="shared" si="891"/>
        <v>3.1415926535895977E-3</v>
      </c>
      <c r="Y1036">
        <f t="shared" si="892"/>
        <v>7.8539816339744828</v>
      </c>
      <c r="Z1036">
        <f t="shared" si="893"/>
        <v>-3.1415926535895977E-3</v>
      </c>
      <c r="AA1036">
        <f t="shared" si="915"/>
        <v>-0.99999671012968205</v>
      </c>
      <c r="AB1036">
        <f t="shared" si="894"/>
        <v>6.8539849238448003</v>
      </c>
      <c r="AC1036">
        <f t="shared" si="916"/>
        <v>-6.2146080984222536</v>
      </c>
      <c r="AD1036">
        <f t="shared" si="895"/>
        <v>5.763027038067368</v>
      </c>
      <c r="AE1036" s="9">
        <f t="shared" si="917"/>
        <v>6.4024038634899147</v>
      </c>
      <c r="AF1036">
        <f t="shared" si="918"/>
        <v>5.9357688444163375E-260</v>
      </c>
      <c r="AH1036">
        <f t="shared" si="896"/>
        <v>7.8539816339744828</v>
      </c>
      <c r="AI1036">
        <f t="shared" si="897"/>
        <v>-0.99999671012962221</v>
      </c>
      <c r="AJ1036">
        <f t="shared" si="898"/>
        <v>-6.2146080984223246</v>
      </c>
      <c r="AK1036">
        <f t="shared" si="899"/>
        <v>5.763027038067368</v>
      </c>
      <c r="AL1036" s="9">
        <f t="shared" si="919"/>
        <v>6.4024038634899041</v>
      </c>
      <c r="AM1036" t="e">
        <f t="shared" si="900"/>
        <v>#N/A</v>
      </c>
      <c r="AN1036" t="e">
        <f t="shared" si="920"/>
        <v>#N/A</v>
      </c>
      <c r="AO1036">
        <f t="shared" si="901"/>
        <v>0</v>
      </c>
      <c r="AP1036">
        <f t="shared" si="902"/>
        <v>5.9841021027295938E-14</v>
      </c>
      <c r="AQ1036">
        <f t="shared" si="903"/>
        <v>-7.1054273576010019E-14</v>
      </c>
      <c r="AR1036">
        <f t="shared" si="921"/>
        <v>-5.9841217897146064E-14</v>
      </c>
      <c r="AS1036">
        <f t="shared" si="904"/>
        <v>-1.0658141036401503E-14</v>
      </c>
      <c r="AT1036">
        <f t="shared" si="922"/>
        <v>-1.6647092660274366E-15</v>
      </c>
      <c r="AU1036">
        <f t="shared" si="923"/>
        <v>5.935768844454739E-260</v>
      </c>
      <c r="AV1036">
        <f t="shared" si="905"/>
        <v>3.1415926535895977E-23</v>
      </c>
      <c r="AW1036" t="b">
        <f t="shared" si="924"/>
        <v>1</v>
      </c>
      <c r="AX1036">
        <f t="shared" si="906"/>
        <v>7.8539816339744828</v>
      </c>
      <c r="AY1036">
        <f t="shared" si="907"/>
        <v>-0.99999671012970159</v>
      </c>
      <c r="AZ1036">
        <f t="shared" si="908"/>
        <v>-6.2146080984222536</v>
      </c>
      <c r="BA1036">
        <f t="shared" si="909"/>
        <v>5.7630270380674071</v>
      </c>
      <c r="BB1036">
        <f t="shared" si="910"/>
        <v>-1.2337005501361696E-20</v>
      </c>
      <c r="BD1036" s="15">
        <f t="shared" si="925"/>
        <v>6.4024038634899343</v>
      </c>
      <c r="BE1036" s="10">
        <f t="shared" si="926"/>
        <v>3.0198066269804258E-14</v>
      </c>
      <c r="BF1036">
        <f t="shared" si="927"/>
        <v>1.9539925233402755E-14</v>
      </c>
      <c r="BG1036">
        <f t="shared" si="928"/>
        <v>0</v>
      </c>
      <c r="BH1036">
        <f t="shared" si="929"/>
        <v>-1.9539925233402755E-14</v>
      </c>
      <c r="BI1036">
        <f t="shared" si="930"/>
        <v>0</v>
      </c>
    </row>
    <row r="1037" spans="1:61" x14ac:dyDescent="0.3">
      <c r="A1037" s="1">
        <f>1-0.0001</f>
        <v>0.99990000000000001</v>
      </c>
      <c r="B1037">
        <f t="shared" si="878"/>
        <v>3.1412784943244341</v>
      </c>
      <c r="C1037">
        <f t="shared" si="879"/>
        <v>3.1415926535904859E-4</v>
      </c>
      <c r="D1037">
        <f t="shared" si="880"/>
        <v>3.1415926535904859E-4</v>
      </c>
      <c r="E1037">
        <f t="shared" si="885"/>
        <v>3.1415926019145833E-4</v>
      </c>
      <c r="F1037">
        <f t="shared" si="886"/>
        <v>3.1415926019133581E-4</v>
      </c>
      <c r="G1037">
        <f t="shared" si="881"/>
        <v>3.1412784943244341</v>
      </c>
      <c r="H1037">
        <f t="shared" si="882"/>
        <v>3.1415926019145833E-4</v>
      </c>
      <c r="I1037">
        <f t="shared" si="883"/>
        <v>3.1415926019133581E-4</v>
      </c>
      <c r="J1037">
        <f t="shared" si="931"/>
        <v>2.0264237061788524E+23</v>
      </c>
      <c r="K1037">
        <f t="shared" si="932"/>
        <v>2.0264237061788524E+23</v>
      </c>
      <c r="L1037">
        <f t="shared" si="887"/>
        <v>1</v>
      </c>
      <c r="M1037">
        <f t="shared" si="884"/>
        <v>3.1415926535899615E-24</v>
      </c>
      <c r="N1037" s="9">
        <f t="shared" ref="N1037:N1043" si="936">L1037*M1037</f>
        <v>3.1415926535899615E-24</v>
      </c>
      <c r="O1037">
        <f t="shared" ref="O1037:O1043" si="937">N1037*EXP(-N1037)</f>
        <v>3.1415926535899615E-24</v>
      </c>
      <c r="Q1037">
        <f t="shared" si="888"/>
        <v>53.66572965716697</v>
      </c>
      <c r="R1037">
        <f t="shared" si="889"/>
        <v>-710542.73576010019</v>
      </c>
      <c r="S1037">
        <f t="shared" si="911"/>
        <v>-54.117312346007644</v>
      </c>
      <c r="T1037" s="9" t="e">
        <f t="shared" si="890"/>
        <v>#N/A</v>
      </c>
      <c r="U1037">
        <f t="shared" si="912"/>
        <v>-1.0000000000000001E+300</v>
      </c>
      <c r="V1037">
        <f t="shared" si="913"/>
        <v>0</v>
      </c>
      <c r="W1037">
        <f t="shared" si="914"/>
        <v>0</v>
      </c>
      <c r="X1037">
        <f t="shared" si="891"/>
        <v>3.1415926535904859E-4</v>
      </c>
      <c r="Y1037">
        <f t="shared" si="892"/>
        <v>7.8539816339744828</v>
      </c>
      <c r="Z1037">
        <f t="shared" si="893"/>
        <v>-3.1415926535904859E-4</v>
      </c>
      <c r="AA1037">
        <f t="shared" si="915"/>
        <v>-0.99999996710112349</v>
      </c>
      <c r="AB1037">
        <f t="shared" si="894"/>
        <v>6.8539816668733593</v>
      </c>
      <c r="AC1037">
        <f t="shared" si="916"/>
        <v>-8.5171931914160162</v>
      </c>
      <c r="AD1037">
        <f t="shared" si="895"/>
        <v>8.0656105025755132</v>
      </c>
      <c r="AE1037" s="9">
        <f t="shared" si="917"/>
        <v>6.4023989780328563</v>
      </c>
      <c r="AF1037">
        <f t="shared" si="918"/>
        <v>5.9532603995362101E-260</v>
      </c>
      <c r="AH1037">
        <f t="shared" si="896"/>
        <v>7.8539816339744828</v>
      </c>
      <c r="AI1037">
        <f t="shared" si="897"/>
        <v>-0.99999996710072014</v>
      </c>
      <c r="AJ1037">
        <f t="shared" si="898"/>
        <v>-8.5171931914161831</v>
      </c>
      <c r="AK1037">
        <f t="shared" si="899"/>
        <v>8.0656105025755132</v>
      </c>
      <c r="AL1037" s="9">
        <f t="shared" si="919"/>
        <v>6.4023989780330925</v>
      </c>
      <c r="AM1037" t="e">
        <f t="shared" si="900"/>
        <v>#N/A</v>
      </c>
      <c r="AN1037" t="e">
        <f t="shared" si="920"/>
        <v>#N/A</v>
      </c>
      <c r="AO1037">
        <f t="shared" si="901"/>
        <v>0</v>
      </c>
      <c r="AP1037">
        <f t="shared" si="902"/>
        <v>4.0334402484631937E-13</v>
      </c>
      <c r="AQ1037">
        <f t="shared" si="903"/>
        <v>-1.6697754290362354E-13</v>
      </c>
      <c r="AR1037">
        <f t="shared" si="921"/>
        <v>-4.0334403811604774E-13</v>
      </c>
      <c r="AS1037">
        <f t="shared" si="904"/>
        <v>2.3625545964023331E-13</v>
      </c>
      <c r="AT1037">
        <f t="shared" si="922"/>
        <v>3.6901083554904343E-14</v>
      </c>
      <c r="AU1037">
        <f t="shared" si="923"/>
        <v>5.953260398688901E-260</v>
      </c>
      <c r="AV1037">
        <f t="shared" si="905"/>
        <v>3.1415926535904857E-24</v>
      </c>
      <c r="AW1037" t="b">
        <f t="shared" si="924"/>
        <v>1</v>
      </c>
      <c r="AX1037">
        <f t="shared" si="906"/>
        <v>7.8539816339744828</v>
      </c>
      <c r="AY1037">
        <f t="shared" si="907"/>
        <v>-0.99999996710131833</v>
      </c>
      <c r="AZ1037">
        <f t="shared" si="908"/>
        <v>-8.5171931914160162</v>
      </c>
      <c r="BA1037">
        <f t="shared" si="909"/>
        <v>8.0656105025759022</v>
      </c>
      <c r="BB1037">
        <f t="shared" si="910"/>
        <v>-1.2337005501361696E-20</v>
      </c>
      <c r="BD1037" s="15">
        <f t="shared" si="925"/>
        <v>6.4023989780330508</v>
      </c>
      <c r="BE1037" s="10">
        <f t="shared" si="926"/>
        <v>-4.1744385725905886E-14</v>
      </c>
      <c r="BF1037">
        <f t="shared" si="927"/>
        <v>1.9451107391432743E-13</v>
      </c>
      <c r="BG1037">
        <f t="shared" si="928"/>
        <v>0</v>
      </c>
      <c r="BH1037">
        <f t="shared" si="929"/>
        <v>-1.9484414082171497E-13</v>
      </c>
      <c r="BI1037">
        <f t="shared" si="930"/>
        <v>0</v>
      </c>
    </row>
    <row r="1038" spans="1:61" x14ac:dyDescent="0.3">
      <c r="A1038" s="1">
        <f>1-0.00001</f>
        <v>0.99999000000000005</v>
      </c>
      <c r="B1038">
        <f t="shared" si="878"/>
        <v>3.1415612376632573</v>
      </c>
      <c r="C1038">
        <f t="shared" si="879"/>
        <v>3.1415926535771632E-5</v>
      </c>
      <c r="D1038">
        <f t="shared" si="880"/>
        <v>3.1415926535771632E-5</v>
      </c>
      <c r="E1038">
        <f t="shared" si="885"/>
        <v>3.1415926530726433E-5</v>
      </c>
      <c r="F1038">
        <f t="shared" si="886"/>
        <v>3.1415926530603918E-5</v>
      </c>
      <c r="G1038">
        <f t="shared" si="881"/>
        <v>3.1415612376632573</v>
      </c>
      <c r="H1038">
        <f t="shared" si="882"/>
        <v>3.1415926530726433E-5</v>
      </c>
      <c r="I1038">
        <f t="shared" si="883"/>
        <v>3.1415926530603918E-5</v>
      </c>
      <c r="J1038">
        <f t="shared" si="931"/>
        <v>2.0264236731803333E+24</v>
      </c>
      <c r="K1038">
        <f t="shared" si="932"/>
        <v>2.0264236731803333E+24</v>
      </c>
      <c r="L1038">
        <f t="shared" si="887"/>
        <v>1</v>
      </c>
      <c r="M1038">
        <f t="shared" si="884"/>
        <v>3.1415926535719059E-25</v>
      </c>
      <c r="N1038" s="9">
        <f t="shared" si="936"/>
        <v>3.1415926535719059E-25</v>
      </c>
      <c r="O1038">
        <f t="shared" si="937"/>
        <v>3.1415926535719059E-25</v>
      </c>
      <c r="Q1038">
        <f t="shared" si="888"/>
        <v>55.968314733876902</v>
      </c>
      <c r="R1038">
        <f t="shared" si="889"/>
        <v>0</v>
      </c>
      <c r="S1038">
        <f t="shared" si="911"/>
        <v>-56.419897439007435</v>
      </c>
      <c r="T1038" s="9" t="e">
        <f t="shared" si="890"/>
        <v>#N/A</v>
      </c>
      <c r="U1038">
        <f t="shared" si="912"/>
        <v>-1.0000000000000001E+300</v>
      </c>
      <c r="V1038">
        <f t="shared" si="913"/>
        <v>0</v>
      </c>
      <c r="W1038">
        <f t="shared" si="914"/>
        <v>0</v>
      </c>
      <c r="X1038">
        <f t="shared" si="891"/>
        <v>3.1415926535771632E-5</v>
      </c>
      <c r="Y1038">
        <f t="shared" si="892"/>
        <v>7.8539816339744828</v>
      </c>
      <c r="Z1038">
        <f t="shared" si="893"/>
        <v>-3.1415926535771632E-5</v>
      </c>
      <c r="AA1038">
        <f t="shared" si="915"/>
        <v>-0.99999999966906339</v>
      </c>
      <c r="AB1038">
        <f t="shared" si="894"/>
        <v>6.8539816343054198</v>
      </c>
      <c r="AC1038">
        <f t="shared" si="916"/>
        <v>-10.819778284414303</v>
      </c>
      <c r="AD1038">
        <f t="shared" si="895"/>
        <v>10.368195579285443</v>
      </c>
      <c r="AE1038" s="9">
        <f t="shared" si="917"/>
        <v>6.4023989291765595</v>
      </c>
      <c r="AF1038">
        <f t="shared" si="918"/>
        <v>5.9534355808889835E-260</v>
      </c>
      <c r="AH1038">
        <f t="shared" si="896"/>
        <v>7.8539816339744828</v>
      </c>
      <c r="AI1038">
        <f t="shared" si="897"/>
        <v>-0.99999999966218656</v>
      </c>
      <c r="AJ1038">
        <f t="shared" si="898"/>
        <v>-10.819778284415975</v>
      </c>
      <c r="AK1038">
        <f t="shared" si="899"/>
        <v>10.368195579285443</v>
      </c>
      <c r="AL1038" s="9">
        <f t="shared" si="919"/>
        <v>6.4023989291817642</v>
      </c>
      <c r="AM1038" t="e">
        <f t="shared" si="900"/>
        <v>#N/A</v>
      </c>
      <c r="AN1038" t="e">
        <f t="shared" si="920"/>
        <v>#N/A</v>
      </c>
      <c r="AO1038">
        <f t="shared" si="901"/>
        <v>0</v>
      </c>
      <c r="AP1038">
        <f t="shared" si="902"/>
        <v>6.8768324368306821E-12</v>
      </c>
      <c r="AQ1038">
        <f t="shared" si="903"/>
        <v>-1.6715517858756357E-12</v>
      </c>
      <c r="AR1038">
        <f t="shared" si="921"/>
        <v>-6.8768324391537688E-12</v>
      </c>
      <c r="AS1038">
        <f t="shared" si="904"/>
        <v>5.2047255394427339E-12</v>
      </c>
      <c r="AT1038">
        <f t="shared" si="922"/>
        <v>8.1293365143491697E-13</v>
      </c>
      <c r="AU1038">
        <f t="shared" si="923"/>
        <v>5.9534355622266775E-260</v>
      </c>
      <c r="AV1038">
        <f t="shared" si="905"/>
        <v>3.141592653577163E-25</v>
      </c>
      <c r="AW1038" t="b">
        <f t="shared" si="924"/>
        <v>1</v>
      </c>
      <c r="AX1038">
        <f t="shared" si="906"/>
        <v>7.8539816339744828</v>
      </c>
      <c r="AY1038">
        <f t="shared" si="907"/>
        <v>-0.99999999967101305</v>
      </c>
      <c r="AZ1038">
        <f t="shared" si="908"/>
        <v>-10.819778284414303</v>
      </c>
      <c r="BA1038">
        <f t="shared" si="909"/>
        <v>10.368195579289342</v>
      </c>
      <c r="BB1038">
        <f t="shared" si="910"/>
        <v>-1.2337005501361696E-20</v>
      </c>
      <c r="BD1038" s="15">
        <f t="shared" si="925"/>
        <v>6.4023989291785082</v>
      </c>
      <c r="BE1038" s="10">
        <f t="shared" si="926"/>
        <v>-3.2560620866206591E-12</v>
      </c>
      <c r="BF1038">
        <f t="shared" si="927"/>
        <v>1.9486634528220748E-12</v>
      </c>
      <c r="BG1038">
        <f t="shared" si="928"/>
        <v>0</v>
      </c>
      <c r="BH1038">
        <f t="shared" si="929"/>
        <v>-1.9496626535442374E-12</v>
      </c>
      <c r="BI1038">
        <f t="shared" si="930"/>
        <v>0</v>
      </c>
    </row>
    <row r="1039" spans="1:61" x14ac:dyDescent="0.3">
      <c r="A1039" s="1">
        <f>1-0.000001</f>
        <v>0.99999899999999997</v>
      </c>
      <c r="B1039">
        <f t="shared" si="878"/>
        <v>3.1415895119971395</v>
      </c>
      <c r="C1039">
        <f t="shared" si="879"/>
        <v>3.1415926535771632E-6</v>
      </c>
      <c r="D1039">
        <f t="shared" si="880"/>
        <v>3.1415926535771632E-6</v>
      </c>
      <c r="E1039">
        <f t="shared" si="885"/>
        <v>3.1415926536945103E-6</v>
      </c>
      <c r="F1039">
        <f t="shared" si="886"/>
        <v>3.1415926535719955E-6</v>
      </c>
      <c r="G1039">
        <f t="shared" si="881"/>
        <v>3.1415895119971395</v>
      </c>
      <c r="H1039">
        <f t="shared" si="882"/>
        <v>3.1415926536945103E-6</v>
      </c>
      <c r="I1039">
        <f t="shared" si="883"/>
        <v>3.1415926535719955E-6</v>
      </c>
      <c r="J1039">
        <f t="shared" si="931"/>
        <v>2.0264236727792102E+25</v>
      </c>
      <c r="K1039">
        <f t="shared" si="932"/>
        <v>2.0264236727792102E+25</v>
      </c>
      <c r="L1039" t="e">
        <f t="shared" si="887"/>
        <v>#NUM!</v>
      </c>
      <c r="M1039">
        <f t="shared" si="884"/>
        <v>3.1415926535117206E-26</v>
      </c>
      <c r="N1039" s="9" t="e">
        <f t="shared" si="936"/>
        <v>#NUM!</v>
      </c>
      <c r="O1039" t="e">
        <f t="shared" si="937"/>
        <v>#NUM!</v>
      </c>
      <c r="Q1039">
        <f t="shared" si="888"/>
        <v>58.270899826673002</v>
      </c>
      <c r="R1039">
        <f t="shared" si="889"/>
        <v>0</v>
      </c>
      <c r="S1039">
        <f t="shared" si="911"/>
        <v>-58.722482532020642</v>
      </c>
      <c r="T1039" s="9" t="e">
        <f t="shared" si="890"/>
        <v>#N/A</v>
      </c>
      <c r="U1039">
        <f t="shared" si="912"/>
        <v>-1.0000000000000001E+300</v>
      </c>
      <c r="V1039">
        <f t="shared" si="913"/>
        <v>0</v>
      </c>
      <c r="W1039">
        <f t="shared" si="914"/>
        <v>0</v>
      </c>
      <c r="X1039">
        <f t="shared" si="891"/>
        <v>3.1415926535771632E-6</v>
      </c>
      <c r="Y1039">
        <f t="shared" si="892"/>
        <v>7.8539816339744828</v>
      </c>
      <c r="Z1039">
        <f t="shared" si="893"/>
        <v>-3.1415926535771632E-6</v>
      </c>
      <c r="AA1039">
        <f t="shared" si="915"/>
        <v>-0.99999999997721123</v>
      </c>
      <c r="AB1039">
        <f t="shared" si="894"/>
        <v>6.8539816339972717</v>
      </c>
      <c r="AC1039">
        <f t="shared" si="916"/>
        <v>-13.12236337740835</v>
      </c>
      <c r="AD1039">
        <f t="shared" si="895"/>
        <v>12.670780672081541</v>
      </c>
      <c r="AE1039" s="9">
        <f t="shared" si="917"/>
        <v>6.402398928670463</v>
      </c>
      <c r="AF1039">
        <f t="shared" si="918"/>
        <v>5.9534373955987447E-260</v>
      </c>
      <c r="AH1039">
        <f t="shared" si="896"/>
        <v>7.8539816339744828</v>
      </c>
      <c r="AI1039">
        <f t="shared" si="897"/>
        <v>-0.9999999998199588</v>
      </c>
      <c r="AJ1039">
        <f t="shared" si="898"/>
        <v>-13.122363377429181</v>
      </c>
      <c r="AK1039">
        <f t="shared" si="899"/>
        <v>12.670780672081541</v>
      </c>
      <c r="AL1039" s="9">
        <f t="shared" si="919"/>
        <v>6.4023989288068837</v>
      </c>
      <c r="AM1039" t="e">
        <f t="shared" si="900"/>
        <v>#N/A</v>
      </c>
      <c r="AN1039" t="e">
        <f t="shared" si="920"/>
        <v>#N/A</v>
      </c>
      <c r="AO1039">
        <f t="shared" si="901"/>
        <v>0</v>
      </c>
      <c r="AP1039">
        <f t="shared" si="902"/>
        <v>1.5725243329711702E-10</v>
      </c>
      <c r="AQ1039">
        <f t="shared" si="903"/>
        <v>-2.0831336655646737E-11</v>
      </c>
      <c r="AR1039">
        <f t="shared" si="921"/>
        <v>-1.5725243332542893E-10</v>
      </c>
      <c r="AS1039">
        <f t="shared" si="904"/>
        <v>1.3642065255226044E-10</v>
      </c>
      <c r="AT1039">
        <f t="shared" si="922"/>
        <v>2.1307740125103865E-11</v>
      </c>
      <c r="AU1039">
        <f t="shared" si="923"/>
        <v>5.9534369064352254E-260</v>
      </c>
      <c r="AV1039">
        <f t="shared" si="905"/>
        <v>3.1415926535771631E-26</v>
      </c>
      <c r="AW1039" t="b">
        <f t="shared" si="924"/>
        <v>1</v>
      </c>
      <c r="AX1039">
        <f t="shared" si="906"/>
        <v>7.8539816339744828</v>
      </c>
      <c r="AY1039">
        <f t="shared" si="907"/>
        <v>-0.99999999999671008</v>
      </c>
      <c r="AZ1039">
        <f t="shared" si="908"/>
        <v>-13.122363377408348</v>
      </c>
      <c r="BA1039">
        <f t="shared" si="909"/>
        <v>12.670780672120539</v>
      </c>
      <c r="BB1039">
        <f t="shared" si="910"/>
        <v>-1.2337005501361696E-20</v>
      </c>
      <c r="BD1039" s="15">
        <f t="shared" si="925"/>
        <v>6.4023989286899639</v>
      </c>
      <c r="BE1039" s="10">
        <f t="shared" si="926"/>
        <v>-1.1691980716932449E-10</v>
      </c>
      <c r="BF1039">
        <f t="shared" si="927"/>
        <v>1.950084538293595E-11</v>
      </c>
      <c r="BG1039">
        <f t="shared" si="928"/>
        <v>0</v>
      </c>
      <c r="BH1039">
        <f t="shared" si="929"/>
        <v>-1.9498846981491624E-11</v>
      </c>
      <c r="BI1039">
        <f t="shared" si="930"/>
        <v>0</v>
      </c>
    </row>
    <row r="1040" spans="1:61" x14ac:dyDescent="0.3">
      <c r="A1040" s="1">
        <f>1-0.0000001</f>
        <v>0.99999990000000005</v>
      </c>
      <c r="B1040">
        <f t="shared" si="878"/>
        <v>3.1415923394305278</v>
      </c>
      <c r="C1040">
        <f t="shared" si="879"/>
        <v>3.1415926526889848E-7</v>
      </c>
      <c r="D1040">
        <f t="shared" si="880"/>
        <v>3.1415926526889848E-7</v>
      </c>
      <c r="E1040">
        <f t="shared" si="885"/>
        <v>3.1415926539140814E-7</v>
      </c>
      <c r="F1040">
        <f t="shared" si="886"/>
        <v>3.1415926526889329E-7</v>
      </c>
      <c r="G1040">
        <f t="shared" si="881"/>
        <v>3.1415923394305278</v>
      </c>
      <c r="H1040">
        <f t="shared" si="882"/>
        <v>3.1415926539140814E-7</v>
      </c>
      <c r="I1040">
        <f t="shared" si="883"/>
        <v>3.1415926526889329E-7</v>
      </c>
      <c r="J1040">
        <f t="shared" si="931"/>
        <v>2.02642367263758E+26</v>
      </c>
      <c r="K1040">
        <f t="shared" si="932"/>
        <v>2.02642367263758E+26</v>
      </c>
      <c r="L1040" t="e">
        <f t="shared" si="887"/>
        <v>#NUM!</v>
      </c>
      <c r="M1040">
        <f t="shared" si="884"/>
        <v>3.1415926517061613E-27</v>
      </c>
      <c r="N1040" s="9" t="e">
        <f t="shared" si="936"/>
        <v>#NUM!</v>
      </c>
      <c r="O1040" t="e">
        <f t="shared" si="937"/>
        <v>#NUM!</v>
      </c>
      <c r="Q1040">
        <f t="shared" si="888"/>
        <v>60.573484919597156</v>
      </c>
      <c r="R1040">
        <f t="shared" si="889"/>
        <v>0</v>
      </c>
      <c r="S1040">
        <f t="shared" si="911"/>
        <v>-61.025067625589415</v>
      </c>
      <c r="T1040" s="9" t="e">
        <f t="shared" si="890"/>
        <v>#N/A</v>
      </c>
      <c r="U1040">
        <f t="shared" si="912"/>
        <v>-1.0000000000000001E+300</v>
      </c>
      <c r="V1040">
        <f t="shared" si="913"/>
        <v>0</v>
      </c>
      <c r="W1040">
        <f t="shared" si="914"/>
        <v>0</v>
      </c>
      <c r="X1040">
        <f t="shared" si="891"/>
        <v>3.1415926526889848E-7</v>
      </c>
      <c r="Y1040">
        <f t="shared" si="892"/>
        <v>7.8539816339744828</v>
      </c>
      <c r="Z1040">
        <f t="shared" si="893"/>
        <v>-3.1415926526889848E-7</v>
      </c>
      <c r="AA1040">
        <f t="shared" si="915"/>
        <v>-0.99999999980497867</v>
      </c>
      <c r="AB1040">
        <f t="shared" si="894"/>
        <v>6.8539816341695037</v>
      </c>
      <c r="AC1040">
        <f t="shared" si="916"/>
        <v>-15.424948470685111</v>
      </c>
      <c r="AD1040">
        <f t="shared" si="895"/>
        <v>14.973365765005695</v>
      </c>
      <c r="AE1040" s="9">
        <f t="shared" si="917"/>
        <v>6.4023989284900882</v>
      </c>
      <c r="AF1040">
        <f t="shared" si="918"/>
        <v>5.9534380423686171E-260</v>
      </c>
      <c r="AH1040">
        <f t="shared" si="896"/>
        <v>7.8539816339744828</v>
      </c>
      <c r="AI1040">
        <f t="shared" si="897"/>
        <v>-0.9999999998199588</v>
      </c>
      <c r="AJ1040">
        <f t="shared" si="898"/>
        <v>-15.424948470997954</v>
      </c>
      <c r="AK1040">
        <f t="shared" si="899"/>
        <v>14.973365765005695</v>
      </c>
      <c r="AL1040" s="9">
        <f t="shared" si="919"/>
        <v>6.4023989281622651</v>
      </c>
      <c r="AM1040" t="e">
        <f t="shared" si="900"/>
        <v>#N/A</v>
      </c>
      <c r="AN1040" t="e">
        <f t="shared" si="920"/>
        <v>#N/A</v>
      </c>
      <c r="AO1040">
        <f t="shared" si="901"/>
        <v>0</v>
      </c>
      <c r="AP1040">
        <f t="shared" si="902"/>
        <v>-1.4980128248964775E-11</v>
      </c>
      <c r="AQ1040">
        <f t="shared" si="903"/>
        <v>-3.1284308477097511E-10</v>
      </c>
      <c r="AR1040">
        <f t="shared" si="921"/>
        <v>1.4980128251661816E-11</v>
      </c>
      <c r="AS1040">
        <f t="shared" si="904"/>
        <v>-3.2782310199763742E-10</v>
      </c>
      <c r="AT1040">
        <f t="shared" si="922"/>
        <v>-5.1203167074710114E-11</v>
      </c>
      <c r="AU1040">
        <f t="shared" si="923"/>
        <v>5.953439217843853E-260</v>
      </c>
      <c r="AV1040">
        <f t="shared" si="905"/>
        <v>3.1415926526889847E-27</v>
      </c>
      <c r="AW1040" t="b">
        <f t="shared" si="924"/>
        <v>1</v>
      </c>
      <c r="AX1040">
        <f t="shared" si="906"/>
        <v>7.8539816339744828</v>
      </c>
      <c r="AY1040">
        <f t="shared" si="907"/>
        <v>-0.99999999999996714</v>
      </c>
      <c r="AZ1040">
        <f t="shared" si="908"/>
        <v>-15.424948470685111</v>
      </c>
      <c r="BA1040">
        <f t="shared" si="909"/>
        <v>14.973365765395672</v>
      </c>
      <c r="BB1040">
        <f t="shared" si="910"/>
        <v>-1.2337005501361696E-20</v>
      </c>
      <c r="BD1040" s="15">
        <f t="shared" si="925"/>
        <v>6.4023989286850753</v>
      </c>
      <c r="BE1040" s="10">
        <f t="shared" si="926"/>
        <v>5.2281023954492412E-10</v>
      </c>
      <c r="BF1040">
        <f t="shared" si="927"/>
        <v>1.9498713754728669E-10</v>
      </c>
      <c r="BG1040">
        <f t="shared" si="928"/>
        <v>0</v>
      </c>
      <c r="BH1040">
        <f t="shared" si="929"/>
        <v>-1.9498846981491624E-10</v>
      </c>
      <c r="BI1040">
        <f t="shared" si="930"/>
        <v>0</v>
      </c>
    </row>
    <row r="1041" spans="1:61" x14ac:dyDescent="0.3">
      <c r="A1041" s="1">
        <f>1-0.00000001</f>
        <v>0.99999998999999995</v>
      </c>
      <c r="B1041">
        <f t="shared" si="878"/>
        <v>3.1415926221738664</v>
      </c>
      <c r="C1041">
        <f t="shared" si="879"/>
        <v>3.1415926748934453E-8</v>
      </c>
      <c r="D1041">
        <f t="shared" si="880"/>
        <v>3.1415926748934453E-8</v>
      </c>
      <c r="E1041">
        <f t="shared" si="885"/>
        <v>3.1415926871449292E-8</v>
      </c>
      <c r="F1041">
        <f t="shared" si="886"/>
        <v>3.1415926748934446E-8</v>
      </c>
      <c r="G1041">
        <f t="shared" si="881"/>
        <v>3.1415926221738664</v>
      </c>
      <c r="H1041">
        <f t="shared" si="882"/>
        <v>3.1415926871449292E-8</v>
      </c>
      <c r="I1041">
        <f t="shared" si="883"/>
        <v>3.1415926748934446E-8</v>
      </c>
      <c r="J1041">
        <f t="shared" si="931"/>
        <v>2.0264236512026635E+27</v>
      </c>
      <c r="K1041">
        <f t="shared" si="932"/>
        <v>2.0264236512026635E+27</v>
      </c>
      <c r="L1041">
        <f t="shared" si="887"/>
        <v>1</v>
      </c>
      <c r="M1041">
        <f t="shared" si="884"/>
        <v>3.1415926938358788E-28</v>
      </c>
      <c r="N1041" s="9">
        <f t="shared" si="936"/>
        <v>3.1415926938358788E-28</v>
      </c>
      <c r="O1041">
        <f t="shared" si="937"/>
        <v>3.1415926938358788E-28</v>
      </c>
      <c r="Q1041">
        <f t="shared" si="888"/>
        <v>62.876070002013492</v>
      </c>
      <c r="R1041">
        <f t="shared" si="889"/>
        <v>0</v>
      </c>
      <c r="S1041">
        <f t="shared" si="911"/>
        <v>-63.327652705173151</v>
      </c>
      <c r="T1041" s="9" t="e">
        <f t="shared" si="890"/>
        <v>#N/A</v>
      </c>
      <c r="U1041">
        <f t="shared" si="912"/>
        <v>-1.0000000000000001E+300</v>
      </c>
      <c r="V1041">
        <f t="shared" si="913"/>
        <v>0</v>
      </c>
      <c r="W1041">
        <f t="shared" si="914"/>
        <v>0</v>
      </c>
      <c r="X1041">
        <f t="shared" si="891"/>
        <v>3.1415926748934453E-8</v>
      </c>
      <c r="Y1041">
        <f t="shared" si="892"/>
        <v>7.8539816339744828</v>
      </c>
      <c r="Z1041">
        <f t="shared" si="893"/>
        <v>-3.1415926748934453E-8</v>
      </c>
      <c r="AA1041">
        <f t="shared" si="915"/>
        <v>-0.99999999805011541</v>
      </c>
      <c r="AB1041">
        <f t="shared" si="894"/>
        <v>6.8539816359243675</v>
      </c>
      <c r="AC1041">
        <f t="shared" si="916"/>
        <v>-17.727533556611256</v>
      </c>
      <c r="AD1041">
        <f t="shared" si="895"/>
        <v>17.275950847422035</v>
      </c>
      <c r="AE1041" s="9">
        <f t="shared" si="917"/>
        <v>6.4023989267351453</v>
      </c>
      <c r="AF1041">
        <f t="shared" si="918"/>
        <v>5.9534443350700199E-260</v>
      </c>
      <c r="AH1041">
        <f t="shared" si="896"/>
        <v>7.8539816339744828</v>
      </c>
      <c r="AI1041">
        <f t="shared" si="897"/>
        <v>-1.0000000086552008</v>
      </c>
      <c r="AJ1041">
        <f t="shared" si="898"/>
        <v>-17.72753355058169</v>
      </c>
      <c r="AK1041">
        <f t="shared" si="899"/>
        <v>17.275950847422035</v>
      </c>
      <c r="AL1041" s="9">
        <f t="shared" si="919"/>
        <v>6.4023989221596267</v>
      </c>
      <c r="AM1041" t="e">
        <f t="shared" si="900"/>
        <v>#N/A</v>
      </c>
      <c r="AN1041" t="e">
        <f t="shared" si="920"/>
        <v>#N/A</v>
      </c>
      <c r="AO1041">
        <f t="shared" si="901"/>
        <v>0</v>
      </c>
      <c r="AP1041">
        <f t="shared" si="902"/>
        <v>-1.0605085365433808E-8</v>
      </c>
      <c r="AQ1041">
        <f t="shared" si="903"/>
        <v>6.0295661796772038E-9</v>
      </c>
      <c r="AR1041">
        <f t="shared" si="921"/>
        <v>1.0605085273644666E-8</v>
      </c>
      <c r="AS1041">
        <f t="shared" si="904"/>
        <v>-4.5755186306450923E-9</v>
      </c>
      <c r="AT1041">
        <f t="shared" si="922"/>
        <v>-7.1465691005422394E-10</v>
      </c>
      <c r="AU1041">
        <f t="shared" si="923"/>
        <v>5.95346074154455E-260</v>
      </c>
      <c r="AV1041">
        <f t="shared" si="905"/>
        <v>3.141592674893445E-28</v>
      </c>
      <c r="AW1041" t="b">
        <f t="shared" si="924"/>
        <v>1</v>
      </c>
      <c r="AX1041">
        <f t="shared" si="906"/>
        <v>7.8539816339744828</v>
      </c>
      <c r="AY1041">
        <f t="shared" si="907"/>
        <v>-0.99999999999999944</v>
      </c>
      <c r="AZ1041">
        <f t="shared" si="908"/>
        <v>-17.727533556611256</v>
      </c>
      <c r="BA1041">
        <f t="shared" si="909"/>
        <v>17.275950851321802</v>
      </c>
      <c r="BB1041">
        <f t="shared" si="910"/>
        <v>-1.2337005501361696E-20</v>
      </c>
      <c r="BD1041" s="15">
        <f t="shared" si="925"/>
        <v>6.4023989286850309</v>
      </c>
      <c r="BE1041" s="10">
        <f t="shared" si="926"/>
        <v>6.5254042169726745E-9</v>
      </c>
      <c r="BF1041">
        <f t="shared" si="927"/>
        <v>1.9498855863275821E-9</v>
      </c>
      <c r="BG1041">
        <f t="shared" si="928"/>
        <v>0</v>
      </c>
      <c r="BH1041">
        <f t="shared" si="929"/>
        <v>-1.9498840320153477E-9</v>
      </c>
      <c r="BI1041">
        <f t="shared" si="930"/>
        <v>0</v>
      </c>
    </row>
    <row r="1042" spans="1:61" x14ac:dyDescent="0.3">
      <c r="A1042" s="1">
        <f>1-0.000000001</f>
        <v>0.99999999900000003</v>
      </c>
      <c r="B1042">
        <f t="shared" si="878"/>
        <v>3.1415926504482004</v>
      </c>
      <c r="C1042">
        <f t="shared" si="879"/>
        <v>3.1415927637112873E-9</v>
      </c>
      <c r="D1042">
        <f t="shared" si="880"/>
        <v>3.1415927637112873E-9</v>
      </c>
      <c r="E1042">
        <f t="shared" si="885"/>
        <v>3.1415928862261328E-9</v>
      </c>
      <c r="F1042">
        <f t="shared" si="886"/>
        <v>3.1415927637112873E-9</v>
      </c>
      <c r="G1042">
        <f t="shared" si="881"/>
        <v>3.1415926504482004</v>
      </c>
      <c r="H1042">
        <f t="shared" si="882"/>
        <v>3.1415928862261328E-9</v>
      </c>
      <c r="I1042">
        <f t="shared" si="883"/>
        <v>3.1415927637112873E-9</v>
      </c>
      <c r="J1042">
        <f t="shared" si="931"/>
        <v>2.0264235227891885E+28</v>
      </c>
      <c r="K1042">
        <f t="shared" si="932"/>
        <v>2.0264235227891885E+28</v>
      </c>
      <c r="L1042">
        <f t="shared" si="887"/>
        <v>1</v>
      </c>
      <c r="M1042">
        <f t="shared" si="884"/>
        <v>3.1415925734652573E-29</v>
      </c>
      <c r="N1042" s="9">
        <f t="shared" si="936"/>
        <v>3.1415925734652573E-29</v>
      </c>
      <c r="O1042">
        <f t="shared" si="937"/>
        <v>3.1415925734652573E-29</v>
      </c>
      <c r="Q1042">
        <f t="shared" si="888"/>
        <v>65.17865503163803</v>
      </c>
      <c r="R1042">
        <f t="shared" si="889"/>
        <v>0</v>
      </c>
      <c r="S1042">
        <f t="shared" si="911"/>
        <v>-65.630237836482351</v>
      </c>
      <c r="T1042" s="9" t="e">
        <f t="shared" si="890"/>
        <v>#N/A</v>
      </c>
      <c r="U1042">
        <f t="shared" si="912"/>
        <v>-1.0000000000000001E+300</v>
      </c>
      <c r="V1042">
        <f t="shared" si="913"/>
        <v>0</v>
      </c>
      <c r="W1042">
        <f t="shared" si="914"/>
        <v>0</v>
      </c>
      <c r="X1042">
        <f t="shared" si="891"/>
        <v>3.1415927637112873E-9</v>
      </c>
      <c r="Y1042">
        <f t="shared" si="892"/>
        <v>7.8539816339744828</v>
      </c>
      <c r="Z1042">
        <f t="shared" si="893"/>
        <v>-3.1415927637112873E-9</v>
      </c>
      <c r="AA1042">
        <f t="shared" si="915"/>
        <v>-0.99999998050115779</v>
      </c>
      <c r="AB1042">
        <f t="shared" si="894"/>
        <v>6.8539816534733253</v>
      </c>
      <c r="AC1042">
        <f t="shared" si="916"/>
        <v>-20.030118621333706</v>
      </c>
      <c r="AD1042">
        <f t="shared" si="895"/>
        <v>19.578535877046566</v>
      </c>
      <c r="AE1042" s="9">
        <f t="shared" si="917"/>
        <v>6.4023989091861857</v>
      </c>
      <c r="AF1042">
        <f t="shared" si="918"/>
        <v>5.9535072607639598E-260</v>
      </c>
      <c r="AH1042">
        <f t="shared" si="896"/>
        <v>7.8539816339744828</v>
      </c>
      <c r="AI1042">
        <f t="shared" si="897"/>
        <v>-0.9999998067068091</v>
      </c>
      <c r="AJ1042">
        <f t="shared" si="898"/>
        <v>-20.03011868189089</v>
      </c>
      <c r="AK1042">
        <f t="shared" si="899"/>
        <v>19.578535877046566</v>
      </c>
      <c r="AL1042" s="9">
        <f t="shared" si="919"/>
        <v>6.4023990224233494</v>
      </c>
      <c r="AM1042" t="e">
        <f t="shared" si="900"/>
        <v>#N/A</v>
      </c>
      <c r="AN1042" t="e">
        <f t="shared" si="920"/>
        <v>#N/A</v>
      </c>
      <c r="AO1042">
        <f t="shared" si="901"/>
        <v>0</v>
      </c>
      <c r="AP1042">
        <f t="shared" si="902"/>
        <v>1.7379434869013721E-7</v>
      </c>
      <c r="AQ1042">
        <f t="shared" si="903"/>
        <v>-6.05571841560959E-8</v>
      </c>
      <c r="AR1042">
        <f t="shared" si="921"/>
        <v>-1.7379438228340792E-7</v>
      </c>
      <c r="AS1042">
        <f t="shared" si="904"/>
        <v>1.1323716364586289E-7</v>
      </c>
      <c r="AT1042">
        <f t="shared" si="922"/>
        <v>1.7686677017359955E-8</v>
      </c>
      <c r="AU1042">
        <f t="shared" si="923"/>
        <v>5.9531012354325931E-260</v>
      </c>
      <c r="AV1042">
        <f t="shared" si="905"/>
        <v>3.1415927637112872E-29</v>
      </c>
      <c r="AW1042" t="b">
        <f t="shared" si="924"/>
        <v>1</v>
      </c>
      <c r="AX1042">
        <f t="shared" si="906"/>
        <v>7.8539816339744828</v>
      </c>
      <c r="AY1042">
        <f t="shared" si="907"/>
        <v>-1</v>
      </c>
      <c r="AZ1042">
        <f t="shared" si="908"/>
        <v>-20.030118621333706</v>
      </c>
      <c r="BA1042">
        <f t="shared" si="909"/>
        <v>19.578535916044252</v>
      </c>
      <c r="BB1042">
        <f t="shared" si="910"/>
        <v>-1.2337005501361696E-20</v>
      </c>
      <c r="BD1042" s="15">
        <f t="shared" si="925"/>
        <v>6.4023989286850291</v>
      </c>
      <c r="BE1042" s="10">
        <f t="shared" si="926"/>
        <v>-9.3738320217084947E-8</v>
      </c>
      <c r="BF1042">
        <f t="shared" si="927"/>
        <v>1.9498843428777946E-8</v>
      </c>
      <c r="BG1042">
        <f t="shared" si="928"/>
        <v>0</v>
      </c>
      <c r="BH1042">
        <f t="shared" si="929"/>
        <v>-1.9498842207532618E-8</v>
      </c>
      <c r="BI1042">
        <f t="shared" si="930"/>
        <v>0</v>
      </c>
    </row>
    <row r="1043" spans="1:61" x14ac:dyDescent="0.3">
      <c r="A1043" s="2">
        <f>1-0.0000000001</f>
        <v>0.99999999989999999</v>
      </c>
      <c r="B1043">
        <f t="shared" si="878"/>
        <v>3.1415926532756338</v>
      </c>
      <c r="C1043">
        <f t="shared" si="879"/>
        <v>3.141593651889707E-10</v>
      </c>
      <c r="D1043">
        <f t="shared" si="880"/>
        <v>3.141593651889707E-10</v>
      </c>
      <c r="E1043">
        <f t="shared" si="885"/>
        <v>3.1415948770381619E-10</v>
      </c>
      <c r="F1043">
        <f t="shared" si="886"/>
        <v>3.141593651889707E-10</v>
      </c>
      <c r="G1043">
        <f t="shared" si="881"/>
        <v>3.1415926532756338</v>
      </c>
      <c r="H1043">
        <f t="shared" si="882"/>
        <v>3.1415948770381619E-10</v>
      </c>
      <c r="I1043">
        <f t="shared" si="883"/>
        <v>3.141593651889707E-10</v>
      </c>
      <c r="J1043">
        <f t="shared" si="931"/>
        <v>2.0264222386553383E+29</v>
      </c>
      <c r="K1043">
        <f t="shared" si="932"/>
        <v>2.0264222386553383E+29</v>
      </c>
      <c r="L1043">
        <f t="shared" si="887"/>
        <v>1</v>
      </c>
      <c r="M1043">
        <f t="shared" si="884"/>
        <v>3.1415949808776878E-30</v>
      </c>
      <c r="N1043" s="9">
        <f t="shared" si="936"/>
        <v>3.1415949808776878E-30</v>
      </c>
      <c r="O1043">
        <f t="shared" si="937"/>
        <v>3.1415949808776878E-30</v>
      </c>
      <c r="Q1043">
        <f t="shared" si="888"/>
        <v>67.48123949093717</v>
      </c>
      <c r="R1043">
        <f t="shared" si="889"/>
        <v>0</v>
      </c>
      <c r="S1043">
        <f t="shared" si="911"/>
        <v>-67.932822163173498</v>
      </c>
      <c r="T1043" s="9" t="e">
        <f t="shared" si="890"/>
        <v>#N/A</v>
      </c>
      <c r="U1043">
        <f t="shared" si="912"/>
        <v>-1.0000000000000001E+300</v>
      </c>
      <c r="V1043">
        <f t="shared" si="913"/>
        <v>0</v>
      </c>
      <c r="W1043">
        <f t="shared" si="914"/>
        <v>0</v>
      </c>
      <c r="X1043">
        <f t="shared" si="891"/>
        <v>3.141593651889707E-10</v>
      </c>
      <c r="Y1043">
        <f t="shared" si="892"/>
        <v>7.8539816339744828</v>
      </c>
      <c r="Z1043">
        <f t="shared" si="893"/>
        <v>-3.141593651889707E-10</v>
      </c>
      <c r="AA1043">
        <f t="shared" si="915"/>
        <v>-0.99999980501166741</v>
      </c>
      <c r="AB1043">
        <f t="shared" si="894"/>
        <v>6.8539818289628158</v>
      </c>
      <c r="AC1043">
        <f t="shared" si="916"/>
        <v>-22.332703431611829</v>
      </c>
      <c r="AD1043">
        <f t="shared" si="895"/>
        <v>21.88112033634571</v>
      </c>
      <c r="AE1043" s="9">
        <f t="shared" si="917"/>
        <v>6.4023987336966961</v>
      </c>
      <c r="AF1043">
        <f t="shared" si="918"/>
        <v>5.9541365538436972E-260</v>
      </c>
      <c r="AH1043">
        <f t="shared" si="896"/>
        <v>7.8539816339744828</v>
      </c>
      <c r="AI1043">
        <f t="shared" si="897"/>
        <v>-1.0000006145003761</v>
      </c>
      <c r="AJ1043">
        <f t="shared" si="898"/>
        <v>-22.332703008582037</v>
      </c>
      <c r="AK1043">
        <f t="shared" si="899"/>
        <v>21.88112033634571</v>
      </c>
      <c r="AL1043" s="9">
        <f t="shared" si="919"/>
        <v>6.4023983472377797</v>
      </c>
      <c r="AM1043" t="e">
        <f t="shared" si="900"/>
        <v>#N/A</v>
      </c>
      <c r="AN1043" t="e">
        <f t="shared" si="920"/>
        <v>#N/A</v>
      </c>
      <c r="AO1043">
        <f t="shared" si="901"/>
        <v>0</v>
      </c>
      <c r="AP1043">
        <f t="shared" si="902"/>
        <v>-8.0948870873065459E-7</v>
      </c>
      <c r="AQ1043">
        <f t="shared" si="903"/>
        <v>4.2302979252895057E-7</v>
      </c>
      <c r="AR1043">
        <f t="shared" si="921"/>
        <v>8.0948821129984432E-7</v>
      </c>
      <c r="AS1043">
        <f t="shared" si="904"/>
        <v>-3.8645891642374863E-7</v>
      </c>
      <c r="AT1043">
        <f t="shared" si="922"/>
        <v>-6.0361585684602188E-8</v>
      </c>
      <c r="AU1043">
        <f t="shared" si="923"/>
        <v>5.955522602735956E-260</v>
      </c>
      <c r="AV1043">
        <f t="shared" si="905"/>
        <v>3.1415936518897068E-30</v>
      </c>
      <c r="AW1043" t="b">
        <f t="shared" si="924"/>
        <v>1</v>
      </c>
      <c r="AX1043">
        <f t="shared" si="906"/>
        <v>7.8539816339744828</v>
      </c>
      <c r="AY1043">
        <f t="shared" si="907"/>
        <v>-1</v>
      </c>
      <c r="AZ1043">
        <f t="shared" si="908"/>
        <v>-22.332703431611829</v>
      </c>
      <c r="BA1043">
        <f t="shared" si="909"/>
        <v>21.881120726322376</v>
      </c>
      <c r="BB1043">
        <f t="shared" si="910"/>
        <v>-1.2337005501361696E-20</v>
      </c>
      <c r="BD1043" s="15">
        <f t="shared" si="925"/>
        <v>6.4023989286850291</v>
      </c>
      <c r="BE1043" s="10">
        <f t="shared" si="926"/>
        <v>5.8144724945918824E-7</v>
      </c>
      <c r="BF1043">
        <f t="shared" si="927"/>
        <v>1.9498833303543961E-7</v>
      </c>
      <c r="BG1043">
        <f t="shared" si="928"/>
        <v>0</v>
      </c>
      <c r="BH1043">
        <f t="shared" si="929"/>
        <v>-1.949883325913504E-7</v>
      </c>
      <c r="BI1043">
        <f t="shared" si="930"/>
        <v>0</v>
      </c>
    </row>
    <row r="1044" spans="1:61" x14ac:dyDescent="0.3">
      <c r="A1044">
        <f>ROUND(A1036+1/1000,3)</f>
        <v>1</v>
      </c>
      <c r="B1044">
        <f t="shared" si="878"/>
        <v>3.1415926535897931</v>
      </c>
      <c r="C1044">
        <f t="shared" si="879"/>
        <v>0</v>
      </c>
      <c r="D1044">
        <f t="shared" si="880"/>
        <v>0</v>
      </c>
      <c r="E1044">
        <f t="shared" si="885"/>
        <v>1.22514845490862E-16</v>
      </c>
      <c r="F1044">
        <f t="shared" si="886"/>
        <v>0</v>
      </c>
      <c r="G1044">
        <f t="shared" si="881"/>
        <v>3.1415926535897931</v>
      </c>
      <c r="H1044">
        <f t="shared" si="882"/>
        <v>1.22514845490862E-16</v>
      </c>
      <c r="I1044">
        <f t="shared" si="883"/>
        <v>0</v>
      </c>
      <c r="J1044">
        <f t="shared" si="931"/>
        <v>5.1962663774902683E+35</v>
      </c>
      <c r="K1044">
        <f t="shared" si="932"/>
        <v>5.1962663774902683E+35</v>
      </c>
      <c r="L1044">
        <f t="shared" si="887"/>
        <v>1</v>
      </c>
      <c r="M1044">
        <f t="shared" si="884"/>
        <v>0</v>
      </c>
      <c r="N1044" s="9">
        <f t="shared" si="933"/>
        <v>0</v>
      </c>
      <c r="O1044">
        <f t="shared" si="934"/>
        <v>0</v>
      </c>
      <c r="Q1044">
        <f t="shared" si="888"/>
        <v>82.238418618161631</v>
      </c>
      <c r="R1044">
        <f t="shared" si="889"/>
        <v>0</v>
      </c>
      <c r="S1044" t="e">
        <f t="shared" si="911"/>
        <v>#NUM!</v>
      </c>
      <c r="T1044" s="9" t="e">
        <f t="shared" si="890"/>
        <v>#N/A</v>
      </c>
      <c r="U1044">
        <f t="shared" si="912"/>
        <v>-1.0000000000000001E+300</v>
      </c>
      <c r="V1044">
        <f t="shared" si="913"/>
        <v>0</v>
      </c>
      <c r="W1044">
        <f t="shared" si="914"/>
        <v>0</v>
      </c>
      <c r="X1044">
        <f t="shared" si="891"/>
        <v>0</v>
      </c>
      <c r="Y1044">
        <f t="shared" si="892"/>
        <v>7.8539816339744828</v>
      </c>
      <c r="Z1044">
        <f t="shared" si="893"/>
        <v>0</v>
      </c>
      <c r="AA1044">
        <f t="shared" si="915"/>
        <v>0</v>
      </c>
      <c r="AB1044">
        <f t="shared" si="894"/>
        <v>7.8539816339744828</v>
      </c>
      <c r="AC1044" t="e">
        <f t="shared" si="916"/>
        <v>#NUM!</v>
      </c>
      <c r="AD1044">
        <f t="shared" si="895"/>
        <v>36.638299463570171</v>
      </c>
      <c r="AE1044" s="9" t="e">
        <f t="shared" si="917"/>
        <v>#NUM!</v>
      </c>
      <c r="AF1044">
        <f t="shared" si="918"/>
        <v>0</v>
      </c>
      <c r="AH1044">
        <f t="shared" si="896"/>
        <v>7.8539816339744828</v>
      </c>
      <c r="AI1044">
        <f t="shared" si="897"/>
        <v>0</v>
      </c>
      <c r="AJ1044" t="e">
        <f t="shared" si="898"/>
        <v>#NUM!</v>
      </c>
      <c r="AK1044">
        <f t="shared" si="899"/>
        <v>36.638299463570171</v>
      </c>
      <c r="AL1044" s="9" t="e">
        <f t="shared" si="919"/>
        <v>#NUM!</v>
      </c>
      <c r="AM1044" t="e">
        <f t="shared" si="900"/>
        <v>#NUM!</v>
      </c>
      <c r="AN1044" t="e">
        <f t="shared" si="920"/>
        <v>#NUM!</v>
      </c>
      <c r="AO1044">
        <f t="shared" si="901"/>
        <v>0</v>
      </c>
      <c r="AP1044">
        <f t="shared" si="902"/>
        <v>0</v>
      </c>
      <c r="AQ1044" t="e">
        <f t="shared" si="903"/>
        <v>#NUM!</v>
      </c>
      <c r="AR1044" t="e">
        <f t="shared" si="921"/>
        <v>#DIV/0!</v>
      </c>
      <c r="AS1044" t="e">
        <f t="shared" si="904"/>
        <v>#NUM!</v>
      </c>
      <c r="AT1044" t="e">
        <f t="shared" si="922"/>
        <v>#NUM!</v>
      </c>
      <c r="AU1044">
        <f t="shared" si="923"/>
        <v>0</v>
      </c>
      <c r="AV1044">
        <f t="shared" si="905"/>
        <v>0</v>
      </c>
      <c r="AW1044" t="e">
        <f t="shared" si="924"/>
        <v>#DIV/0!</v>
      </c>
      <c r="AX1044">
        <f t="shared" si="906"/>
        <v>7.8539816339744828</v>
      </c>
      <c r="AY1044" t="e">
        <f t="shared" si="907"/>
        <v>#VALUE!</v>
      </c>
      <c r="AZ1044" t="e">
        <f t="shared" si="908"/>
        <v>#NUM!</v>
      </c>
      <c r="BA1044" t="e">
        <f t="shared" si="909"/>
        <v>#NUM!</v>
      </c>
      <c r="BB1044">
        <f t="shared" si="910"/>
        <v>-1.2337005501361696E-20</v>
      </c>
      <c r="BD1044" s="15" t="e">
        <f t="shared" si="925"/>
        <v>#VALUE!</v>
      </c>
      <c r="BE1044" s="10" t="e">
        <f t="shared" si="926"/>
        <v>#VALUE!</v>
      </c>
      <c r="BF1044" t="e">
        <f t="shared" si="927"/>
        <v>#VALUE!</v>
      </c>
      <c r="BG1044">
        <f t="shared" si="928"/>
        <v>0</v>
      </c>
      <c r="BH1044" t="e">
        <f t="shared" si="929"/>
        <v>#VALUE!</v>
      </c>
      <c r="BI1044" t="e">
        <f t="shared" si="930"/>
        <v>#NUM!</v>
      </c>
    </row>
    <row r="1046" spans="1:61" x14ac:dyDescent="0.3">
      <c r="B1046">
        <f>MAX(B24:B1044)-MIN(B24:B1044)</f>
        <v>3.1415926535897931</v>
      </c>
      <c r="E1046">
        <f>COS(PI()/2)</f>
        <v>6.1257422745431001E-17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62"/>
  <sheetViews>
    <sheetView tabSelected="1" topLeftCell="B206" workbookViewId="0">
      <selection activeCell="K207" sqref="K207:K218"/>
    </sheetView>
  </sheetViews>
  <sheetFormatPr defaultRowHeight="14.4" x14ac:dyDescent="0.3"/>
  <sheetData>
    <row r="1" spans="1:10" x14ac:dyDescent="0.3">
      <c r="A1" t="s">
        <v>88</v>
      </c>
      <c r="B1" t="s">
        <v>89</v>
      </c>
    </row>
    <row r="2" spans="1:10" x14ac:dyDescent="0.3">
      <c r="A2" t="s">
        <v>90</v>
      </c>
      <c r="B2" s="4" t="s">
        <v>91</v>
      </c>
    </row>
    <row r="3" spans="1:10" x14ac:dyDescent="0.3">
      <c r="B3" t="s">
        <v>92</v>
      </c>
    </row>
    <row r="5" spans="1:10" x14ac:dyDescent="0.3">
      <c r="A5" t="s">
        <v>93</v>
      </c>
      <c r="B5" t="s">
        <v>94</v>
      </c>
    </row>
    <row r="6" spans="1:10" x14ac:dyDescent="0.3">
      <c r="B6" s="4" t="s">
        <v>95</v>
      </c>
    </row>
    <row r="8" spans="1:10" x14ac:dyDescent="0.3">
      <c r="B8" t="s">
        <v>1</v>
      </c>
    </row>
    <row r="9" spans="1:10" x14ac:dyDescent="0.3">
      <c r="B9" s="8">
        <v>1E-10</v>
      </c>
      <c r="C9">
        <f>((1+2*B9)+(1+4*B9^2)^0.5)/(2*B9)</f>
        <v>10000000001</v>
      </c>
      <c r="D9">
        <f>((1+2*B9)-(1+4*B9^2)^0.5)/(2*B9)</f>
        <v>1.000000082740371</v>
      </c>
      <c r="E9">
        <f>LN(C9)</f>
        <v>23.025850930040455</v>
      </c>
      <c r="F9">
        <f>LN(D9)</f>
        <v>8.2740367576106064E-8</v>
      </c>
      <c r="I9" t="s">
        <v>14</v>
      </c>
    </row>
    <row r="11" spans="1:10" x14ac:dyDescent="0.3">
      <c r="B11">
        <v>0.1</v>
      </c>
      <c r="C11">
        <f>((1+2*B11)+(1+4*B11^2)^0.5)/(2*B11)</f>
        <v>11.099019513592784</v>
      </c>
      <c r="D11">
        <f>((1+2*B11)-(1+4*B11^2)^0.5)/(2*B11)</f>
        <v>0.90098048640721462</v>
      </c>
      <c r="E11">
        <f>LN(C11)</f>
        <v>2.4068567723080196</v>
      </c>
      <c r="F11">
        <f>LN(D11)</f>
        <v>-0.10427167931397478</v>
      </c>
      <c r="I11" s="16">
        <v>0</v>
      </c>
      <c r="J11">
        <f>I11*(1-$B$9*I11)*EXP(-I11)</f>
        <v>0</v>
      </c>
    </row>
    <row r="12" spans="1:10" x14ac:dyDescent="0.3">
      <c r="B12">
        <f>B11+0.1</f>
        <v>0.2</v>
      </c>
      <c r="C12">
        <f t="shared" ref="C12:C30" si="0">((1+2*B12)+(1+4*B12^2)^0.5)/(2*B12)</f>
        <v>6.1925824035672523</v>
      </c>
      <c r="D12">
        <f t="shared" ref="D12:D30" si="1">((1+2*B12)-(1+4*B12^2)^0.5)/(2*B12)</f>
        <v>0.80741759643274735</v>
      </c>
      <c r="E12">
        <f t="shared" ref="E12:E30" si="2">LN(C12)</f>
        <v>1.8233521892879558</v>
      </c>
      <c r="F12">
        <f t="shared" ref="F12:F30" si="3">LN(D12)</f>
        <v>-0.21391427685385608</v>
      </c>
      <c r="I12" s="16">
        <v>1E-10</v>
      </c>
      <c r="J12">
        <f t="shared" ref="J12:J75" si="4">I12*(1-$B$9*I12)*EXP(-I12)</f>
        <v>9.9999999989999997E-11</v>
      </c>
    </row>
    <row r="13" spans="1:10" x14ac:dyDescent="0.3">
      <c r="B13">
        <f t="shared" ref="B13:B30" si="5">B12+0.1</f>
        <v>0.30000000000000004</v>
      </c>
      <c r="C13">
        <f t="shared" si="0"/>
        <v>4.6103172982817666</v>
      </c>
      <c r="D13">
        <f t="shared" si="1"/>
        <v>0.72301603505156642</v>
      </c>
      <c r="E13">
        <f t="shared" si="2"/>
        <v>1.5282966829006881</v>
      </c>
      <c r="F13">
        <f t="shared" si="3"/>
        <v>-0.3243238785747522</v>
      </c>
      <c r="I13" s="16">
        <f>I12*10</f>
        <v>1.0000000000000001E-9</v>
      </c>
      <c r="J13">
        <f t="shared" si="4"/>
        <v>9.9999999900000012E-10</v>
      </c>
    </row>
    <row r="14" spans="1:10" x14ac:dyDescent="0.3">
      <c r="B14">
        <f t="shared" si="5"/>
        <v>0.4</v>
      </c>
      <c r="C14">
        <f t="shared" si="0"/>
        <v>3.8507810593582126</v>
      </c>
      <c r="D14">
        <f t="shared" si="1"/>
        <v>0.64921894064178776</v>
      </c>
      <c r="E14">
        <f t="shared" si="2"/>
        <v>1.3482760002844125</v>
      </c>
      <c r="F14">
        <f t="shared" si="3"/>
        <v>-0.43198526841025736</v>
      </c>
      <c r="I14" s="16">
        <f t="shared" ref="I14:I21" si="6">I13*10</f>
        <v>1E-8</v>
      </c>
      <c r="J14">
        <f t="shared" si="4"/>
        <v>9.9999999000000002E-9</v>
      </c>
    </row>
    <row r="15" spans="1:10" x14ac:dyDescent="0.3">
      <c r="B15">
        <f t="shared" si="5"/>
        <v>0.5</v>
      </c>
      <c r="C15">
        <f t="shared" si="0"/>
        <v>3.4142135623730949</v>
      </c>
      <c r="D15">
        <f t="shared" si="1"/>
        <v>0.58578643762690485</v>
      </c>
      <c r="E15">
        <f t="shared" si="2"/>
        <v>1.2279471772995156</v>
      </c>
      <c r="F15">
        <f t="shared" si="3"/>
        <v>-0.53479999673957057</v>
      </c>
      <c r="I15" s="16">
        <f t="shared" si="6"/>
        <v>9.9999999999999995E-8</v>
      </c>
      <c r="J15">
        <f t="shared" si="4"/>
        <v>9.9999990000000502E-8</v>
      </c>
    </row>
    <row r="16" spans="1:10" x14ac:dyDescent="0.3">
      <c r="B16">
        <f t="shared" si="5"/>
        <v>0.6</v>
      </c>
      <c r="C16">
        <f t="shared" si="0"/>
        <v>3.1350416126511091</v>
      </c>
      <c r="D16">
        <f t="shared" si="1"/>
        <v>0.53162505401555782</v>
      </c>
      <c r="E16">
        <f t="shared" si="2"/>
        <v>1.1426424475697126</v>
      </c>
      <c r="F16">
        <f t="shared" si="3"/>
        <v>-0.63181682380372139</v>
      </c>
      <c r="I16" s="16">
        <f t="shared" si="6"/>
        <v>9.9999999999999995E-7</v>
      </c>
      <c r="J16">
        <f t="shared" si="4"/>
        <v>9.9999900000049968E-7</v>
      </c>
    </row>
    <row r="17" spans="2:10" x14ac:dyDescent="0.3">
      <c r="B17">
        <f t="shared" si="5"/>
        <v>0.7</v>
      </c>
      <c r="C17">
        <f t="shared" si="0"/>
        <v>2.9431893238632325</v>
      </c>
      <c r="D17">
        <f t="shared" si="1"/>
        <v>0.4853821047081962</v>
      </c>
      <c r="E17">
        <f t="shared" si="2"/>
        <v>1.0794937974109926</v>
      </c>
      <c r="F17">
        <f t="shared" si="3"/>
        <v>-0.72281885347226005</v>
      </c>
      <c r="I17" s="16">
        <f t="shared" si="6"/>
        <v>9.9999999999999991E-6</v>
      </c>
      <c r="J17">
        <f t="shared" si="4"/>
        <v>9.9999000004999872E-6</v>
      </c>
    </row>
    <row r="18" spans="2:10" x14ac:dyDescent="0.3">
      <c r="B18">
        <f t="shared" si="5"/>
        <v>0.79999999999999993</v>
      </c>
      <c r="C18">
        <f t="shared" si="0"/>
        <v>2.8042476415070752</v>
      </c>
      <c r="D18">
        <f t="shared" si="1"/>
        <v>0.44575235849292438</v>
      </c>
      <c r="E18">
        <f t="shared" si="2"/>
        <v>1.0311352825005224</v>
      </c>
      <c r="F18">
        <f t="shared" si="3"/>
        <v>-0.80799173118631307</v>
      </c>
      <c r="I18" s="16">
        <f t="shared" si="6"/>
        <v>9.9999999999999991E-5</v>
      </c>
      <c r="J18">
        <f t="shared" si="4"/>
        <v>9.9990000499982322E-5</v>
      </c>
    </row>
    <row r="19" spans="2:10" x14ac:dyDescent="0.3">
      <c r="B19">
        <f t="shared" si="5"/>
        <v>0.89999999999999991</v>
      </c>
      <c r="C19">
        <f t="shared" si="0"/>
        <v>2.699514460109667</v>
      </c>
      <c r="D19">
        <f t="shared" si="1"/>
        <v>0.41159665100144438</v>
      </c>
      <c r="E19">
        <f t="shared" si="2"/>
        <v>0.99307192724999183</v>
      </c>
      <c r="F19">
        <f t="shared" si="3"/>
        <v>-0.88771141159216549</v>
      </c>
      <c r="I19" s="16">
        <f t="shared" si="6"/>
        <v>1E-3</v>
      </c>
      <c r="J19">
        <f t="shared" si="4"/>
        <v>9.9900049983327513E-4</v>
      </c>
    </row>
    <row r="20" spans="2:10" x14ac:dyDescent="0.3">
      <c r="B20">
        <f t="shared" si="5"/>
        <v>0.99999999999999989</v>
      </c>
      <c r="C20">
        <f t="shared" si="0"/>
        <v>2.6180339887498953</v>
      </c>
      <c r="D20">
        <f t="shared" si="1"/>
        <v>0.38196601125010538</v>
      </c>
      <c r="E20">
        <f t="shared" si="2"/>
        <v>0.96242365011920705</v>
      </c>
      <c r="F20">
        <f t="shared" si="3"/>
        <v>-0.96242365011920628</v>
      </c>
      <c r="I20" s="16">
        <f t="shared" si="6"/>
        <v>0.01</v>
      </c>
      <c r="J20">
        <f t="shared" si="4"/>
        <v>9.900498337481781E-3</v>
      </c>
    </row>
    <row r="21" spans="2:10" x14ac:dyDescent="0.3">
      <c r="B21">
        <f t="shared" si="5"/>
        <v>1.0999999999999999</v>
      </c>
      <c r="C21">
        <f t="shared" si="0"/>
        <v>2.5530041794176883</v>
      </c>
      <c r="D21">
        <f t="shared" si="1"/>
        <v>0.3560867296732208</v>
      </c>
      <c r="E21">
        <f t="shared" si="2"/>
        <v>0.93727077531938097</v>
      </c>
      <c r="F21">
        <f t="shared" si="3"/>
        <v>-1.0325809551237057</v>
      </c>
      <c r="I21" s="16">
        <f t="shared" si="6"/>
        <v>0.1</v>
      </c>
      <c r="J21">
        <f t="shared" si="4"/>
        <v>9.0483741802691114E-2</v>
      </c>
    </row>
    <row r="22" spans="2:10" x14ac:dyDescent="0.3">
      <c r="B22">
        <f t="shared" si="5"/>
        <v>1.2</v>
      </c>
      <c r="C22">
        <f t="shared" si="0"/>
        <v>2.5</v>
      </c>
      <c r="D22">
        <f t="shared" si="1"/>
        <v>0.33333333333333326</v>
      </c>
      <c r="E22">
        <f t="shared" si="2"/>
        <v>0.91629073187415511</v>
      </c>
      <c r="F22">
        <f t="shared" si="3"/>
        <v>-1.09861228866811</v>
      </c>
      <c r="I22" s="16">
        <f>I21+0.1</f>
        <v>0.2</v>
      </c>
      <c r="J22">
        <f t="shared" si="4"/>
        <v>0.16374615061232145</v>
      </c>
    </row>
    <row r="23" spans="2:10" x14ac:dyDescent="0.3">
      <c r="B23">
        <f t="shared" si="5"/>
        <v>1.3</v>
      </c>
      <c r="C23">
        <f t="shared" si="0"/>
        <v>2.4560298674757015</v>
      </c>
      <c r="D23">
        <f t="shared" si="1"/>
        <v>0.31320090175506765</v>
      </c>
      <c r="E23">
        <f t="shared" si="2"/>
        <v>0.89854617123525982</v>
      </c>
      <c r="F23">
        <f t="shared" si="3"/>
        <v>-1.1609104357027511</v>
      </c>
      <c r="I23" s="16">
        <f t="shared" ref="I23:I86" si="7">I22+0.1</f>
        <v>0.30000000000000004</v>
      </c>
      <c r="J23">
        <f t="shared" si="4"/>
        <v>0.22224546619784802</v>
      </c>
    </row>
    <row r="24" spans="2:10" x14ac:dyDescent="0.3">
      <c r="B24">
        <f t="shared" si="5"/>
        <v>1.4000000000000001</v>
      </c>
      <c r="C24">
        <f t="shared" si="0"/>
        <v>2.4190049105227502</v>
      </c>
      <c r="D24">
        <f t="shared" si="1"/>
        <v>0.29528080376296389</v>
      </c>
      <c r="E24">
        <f t="shared" si="2"/>
        <v>0.88335626160629699</v>
      </c>
      <c r="F24">
        <f t="shared" si="3"/>
        <v>-1.21982849822751</v>
      </c>
      <c r="I24" s="16">
        <f t="shared" si="7"/>
        <v>0.4</v>
      </c>
      <c r="J24">
        <f t="shared" si="4"/>
        <v>0.26812801840353062</v>
      </c>
    </row>
    <row r="25" spans="2:10" x14ac:dyDescent="0.3">
      <c r="B25">
        <f t="shared" si="5"/>
        <v>1.5000000000000002</v>
      </c>
      <c r="C25">
        <f t="shared" si="0"/>
        <v>2.3874258867227929</v>
      </c>
      <c r="D25">
        <f t="shared" si="1"/>
        <v>0.27924077994387331</v>
      </c>
      <c r="E25">
        <f t="shared" si="2"/>
        <v>0.87021575068058032</v>
      </c>
      <c r="F25">
        <f t="shared" si="3"/>
        <v>-1.2756808587887458</v>
      </c>
      <c r="I25" s="16">
        <f t="shared" si="7"/>
        <v>0.5</v>
      </c>
      <c r="J25">
        <f t="shared" si="4"/>
        <v>0.30326532984115345</v>
      </c>
    </row>
    <row r="26" spans="2:10" x14ac:dyDescent="0.3">
      <c r="B26">
        <f t="shared" si="5"/>
        <v>1.6000000000000003</v>
      </c>
      <c r="C26">
        <f t="shared" si="0"/>
        <v>2.3601909133900132</v>
      </c>
      <c r="D26">
        <f t="shared" si="1"/>
        <v>0.26480908660998692</v>
      </c>
      <c r="E26">
        <f t="shared" si="2"/>
        <v>0.85874251126989676</v>
      </c>
      <c r="F26">
        <f t="shared" si="3"/>
        <v>-1.328746140515632</v>
      </c>
      <c r="I26" s="16">
        <f t="shared" si="7"/>
        <v>0.6</v>
      </c>
      <c r="J26">
        <f t="shared" si="4"/>
        <v>0.32928698163665859</v>
      </c>
    </row>
    <row r="27" spans="2:10" x14ac:dyDescent="0.3">
      <c r="B27">
        <f t="shared" si="5"/>
        <v>1.7000000000000004</v>
      </c>
      <c r="C27">
        <f t="shared" si="0"/>
        <v>2.3364732439217266</v>
      </c>
      <c r="D27">
        <f t="shared" si="1"/>
        <v>0.25176205019592041</v>
      </c>
      <c r="E27">
        <f t="shared" si="2"/>
        <v>0.84864263174320531</v>
      </c>
      <c r="F27">
        <f t="shared" si="3"/>
        <v>-1.3792708828053764</v>
      </c>
      <c r="I27" s="16">
        <f t="shared" si="7"/>
        <v>0.7</v>
      </c>
      <c r="J27">
        <f t="shared" si="4"/>
        <v>0.34760971262965396</v>
      </c>
    </row>
    <row r="28" spans="2:10" x14ac:dyDescent="0.3">
      <c r="B28">
        <f t="shared" si="5"/>
        <v>1.8000000000000005</v>
      </c>
      <c r="C28">
        <f t="shared" si="0"/>
        <v>2.3156412051260777</v>
      </c>
      <c r="D28">
        <f t="shared" si="1"/>
        <v>0.23991435042947767</v>
      </c>
      <c r="E28">
        <f t="shared" si="2"/>
        <v>0.83968662764293545</v>
      </c>
      <c r="F28">
        <f t="shared" si="3"/>
        <v>-1.427473292545054</v>
      </c>
      <c r="I28" s="16">
        <f t="shared" si="7"/>
        <v>0.79999999999999993</v>
      </c>
      <c r="J28">
        <f t="shared" si="4"/>
        <v>0.3594631712650202</v>
      </c>
    </row>
    <row r="29" spans="2:10" x14ac:dyDescent="0.3">
      <c r="B29">
        <f t="shared" si="5"/>
        <v>1.9000000000000006</v>
      </c>
      <c r="C29">
        <f t="shared" si="0"/>
        <v>2.2972043528625523</v>
      </c>
      <c r="D29">
        <f t="shared" si="1"/>
        <v>0.22911143661113137</v>
      </c>
      <c r="E29">
        <f t="shared" si="2"/>
        <v>0.83169288486192583</v>
      </c>
      <c r="F29">
        <f t="shared" si="3"/>
        <v>-1.4735467710343215</v>
      </c>
      <c r="I29" s="16">
        <f t="shared" si="7"/>
        <v>0.89999999999999991</v>
      </c>
      <c r="J29">
        <f t="shared" si="4"/>
        <v>0.36591269373360708</v>
      </c>
    </row>
    <row r="30" spans="2:10" x14ac:dyDescent="0.3">
      <c r="B30">
        <f t="shared" si="5"/>
        <v>2.0000000000000004</v>
      </c>
      <c r="C30">
        <f t="shared" si="0"/>
        <v>2.2807764064044149</v>
      </c>
      <c r="D30">
        <f t="shared" si="1"/>
        <v>0.2192235935955848</v>
      </c>
      <c r="E30">
        <f t="shared" si="2"/>
        <v>0.82451591412420966</v>
      </c>
      <c r="F30">
        <f t="shared" si="3"/>
        <v>-1.5176630946841554</v>
      </c>
      <c r="I30" s="16">
        <f t="shared" si="7"/>
        <v>0.99999999999999989</v>
      </c>
      <c r="J30">
        <f t="shared" si="4"/>
        <v>0.36787944113465443</v>
      </c>
    </row>
    <row r="31" spans="2:10" x14ac:dyDescent="0.3">
      <c r="I31" s="16">
        <f t="shared" si="7"/>
        <v>1.0999999999999999</v>
      </c>
      <c r="J31">
        <f t="shared" si="4"/>
        <v>0.36615819202761007</v>
      </c>
    </row>
    <row r="32" spans="2:10" x14ac:dyDescent="0.3">
      <c r="I32" s="16">
        <f t="shared" si="7"/>
        <v>1.2</v>
      </c>
      <c r="J32">
        <f t="shared" si="4"/>
        <v>0.36143305425127059</v>
      </c>
    </row>
    <row r="33" spans="9:10" x14ac:dyDescent="0.3">
      <c r="I33" s="16">
        <f t="shared" si="7"/>
        <v>1.3</v>
      </c>
      <c r="J33">
        <f t="shared" si="4"/>
        <v>0.35429133089815851</v>
      </c>
    </row>
    <row r="34" spans="9:10" x14ac:dyDescent="0.3">
      <c r="I34" s="16">
        <f t="shared" si="7"/>
        <v>1.4000000000000001</v>
      </c>
      <c r="J34">
        <f t="shared" si="4"/>
        <v>0.34523574946991603</v>
      </c>
    </row>
    <row r="35" spans="9:10" x14ac:dyDescent="0.3">
      <c r="I35" s="16">
        <f t="shared" si="7"/>
        <v>1.5000000000000002</v>
      </c>
      <c r="J35">
        <f t="shared" si="4"/>
        <v>0.33469524017244046</v>
      </c>
    </row>
    <row r="36" spans="9:10" x14ac:dyDescent="0.3">
      <c r="I36" s="16">
        <f t="shared" si="7"/>
        <v>1.6000000000000003</v>
      </c>
      <c r="J36">
        <f t="shared" si="4"/>
        <v>0.32303442873976312</v>
      </c>
    </row>
    <row r="37" spans="9:10" x14ac:dyDescent="0.3">
      <c r="I37" s="16">
        <f t="shared" si="7"/>
        <v>1.7000000000000004</v>
      </c>
      <c r="J37">
        <f t="shared" si="4"/>
        <v>0.31056199083685332</v>
      </c>
    </row>
    <row r="38" spans="9:10" x14ac:dyDescent="0.3">
      <c r="I38" s="16">
        <f t="shared" si="7"/>
        <v>1.8000000000000005</v>
      </c>
      <c r="J38">
        <f t="shared" si="4"/>
        <v>0.29753799874529885</v>
      </c>
    </row>
    <row r="39" spans="9:10" x14ac:dyDescent="0.3">
      <c r="I39" s="16">
        <f t="shared" si="7"/>
        <v>1.9000000000000006</v>
      </c>
      <c r="J39">
        <f t="shared" si="4"/>
        <v>0.28418037646901229</v>
      </c>
    </row>
    <row r="40" spans="9:10" x14ac:dyDescent="0.3">
      <c r="I40" s="16">
        <f t="shared" si="7"/>
        <v>2.0000000000000004</v>
      </c>
      <c r="J40">
        <f t="shared" si="4"/>
        <v>0.27067056641909121</v>
      </c>
    </row>
    <row r="41" spans="9:10" x14ac:dyDescent="0.3">
      <c r="I41" s="16">
        <f t="shared" si="7"/>
        <v>2.1000000000000005</v>
      </c>
      <c r="J41">
        <f t="shared" si="4"/>
        <v>0.25715849927725865</v>
      </c>
    </row>
    <row r="42" spans="9:10" x14ac:dyDescent="0.3">
      <c r="I42" s="16">
        <f t="shared" si="7"/>
        <v>2.2000000000000006</v>
      </c>
      <c r="J42">
        <f t="shared" si="4"/>
        <v>0.24376694834350573</v>
      </c>
    </row>
    <row r="43" spans="9:10" x14ac:dyDescent="0.3">
      <c r="I43" s="16">
        <f t="shared" si="7"/>
        <v>2.3000000000000007</v>
      </c>
      <c r="J43">
        <f t="shared" si="4"/>
        <v>0.23059534050941158</v>
      </c>
    </row>
    <row r="44" spans="9:10" x14ac:dyDescent="0.3">
      <c r="I44" s="16">
        <f t="shared" si="7"/>
        <v>2.4000000000000008</v>
      </c>
      <c r="J44">
        <f t="shared" si="4"/>
        <v>0.21772308784233635</v>
      </c>
    </row>
    <row r="45" spans="9:10" x14ac:dyDescent="0.3">
      <c r="I45" s="16">
        <f t="shared" si="7"/>
        <v>2.5000000000000009</v>
      </c>
      <c r="J45">
        <f t="shared" si="4"/>
        <v>0.20521249650844373</v>
      </c>
    </row>
    <row r="46" spans="9:10" x14ac:dyDescent="0.3">
      <c r="I46" s="16">
        <f t="shared" si="7"/>
        <v>2.600000000000001</v>
      </c>
      <c r="J46">
        <f t="shared" si="4"/>
        <v>0.19311130330705903</v>
      </c>
    </row>
    <row r="47" spans="9:10" x14ac:dyDescent="0.3">
      <c r="I47" s="16">
        <f t="shared" si="7"/>
        <v>2.7000000000000011</v>
      </c>
      <c r="J47">
        <f t="shared" si="4"/>
        <v>0.1814548843483314</v>
      </c>
    </row>
    <row r="48" spans="9:10" x14ac:dyDescent="0.3">
      <c r="I48" s="16">
        <f t="shared" si="7"/>
        <v>2.8000000000000012</v>
      </c>
      <c r="J48">
        <f t="shared" si="4"/>
        <v>0.17026817530293509</v>
      </c>
    </row>
    <row r="49" spans="9:10" x14ac:dyDescent="0.3">
      <c r="I49" s="16">
        <f t="shared" si="7"/>
        <v>2.9000000000000012</v>
      </c>
      <c r="J49">
        <f t="shared" si="4"/>
        <v>0.15956733811730631</v>
      </c>
    </row>
    <row r="50" spans="9:10" x14ac:dyDescent="0.3">
      <c r="I50" s="16">
        <f t="shared" si="7"/>
        <v>3.0000000000000013</v>
      </c>
      <c r="J50">
        <f t="shared" si="4"/>
        <v>0.14936120505878334</v>
      </c>
    </row>
    <row r="51" spans="9:10" x14ac:dyDescent="0.3">
      <c r="I51" s="16">
        <f t="shared" si="7"/>
        <v>3.1000000000000014</v>
      </c>
      <c r="J51">
        <f t="shared" si="4"/>
        <v>0.13965252737673678</v>
      </c>
    </row>
    <row r="52" spans="9:10" x14ac:dyDescent="0.3">
      <c r="I52" s="16">
        <f t="shared" si="7"/>
        <v>3.2000000000000015</v>
      </c>
      <c r="J52">
        <f t="shared" si="4"/>
        <v>0.13043905268903128</v>
      </c>
    </row>
    <row r="53" spans="9:10" x14ac:dyDescent="0.3">
      <c r="I53" s="16">
        <f t="shared" si="7"/>
        <v>3.3000000000000016</v>
      </c>
      <c r="J53">
        <f t="shared" si="4"/>
        <v>0.12171445238392611</v>
      </c>
    </row>
    <row r="54" spans="9:10" x14ac:dyDescent="0.3">
      <c r="I54" s="16">
        <f t="shared" si="7"/>
        <v>3.4000000000000017</v>
      </c>
      <c r="J54">
        <f t="shared" si="4"/>
        <v>0.11346911782652903</v>
      </c>
    </row>
    <row r="55" spans="9:10" x14ac:dyDescent="0.3">
      <c r="I55" s="16">
        <f t="shared" si="7"/>
        <v>3.5000000000000018</v>
      </c>
      <c r="J55">
        <f t="shared" si="4"/>
        <v>0.10569084194112283</v>
      </c>
    </row>
    <row r="56" spans="9:10" x14ac:dyDescent="0.3">
      <c r="I56" s="16">
        <f t="shared" si="7"/>
        <v>3.6000000000000019</v>
      </c>
      <c r="J56">
        <f t="shared" si="4"/>
        <v>9.8365400774841544E-2</v>
      </c>
    </row>
    <row r="57" spans="9:10" x14ac:dyDescent="0.3">
      <c r="I57" s="16">
        <f t="shared" si="7"/>
        <v>3.700000000000002</v>
      </c>
      <c r="J57">
        <f t="shared" si="4"/>
        <v>9.1477047906409106E-2</v>
      </c>
    </row>
    <row r="58" spans="9:10" x14ac:dyDescent="0.3">
      <c r="I58" s="16">
        <f t="shared" si="7"/>
        <v>3.800000000000002</v>
      </c>
      <c r="J58">
        <f t="shared" si="4"/>
        <v>8.5008933021125735E-2</v>
      </c>
    </row>
    <row r="59" spans="9:10" x14ac:dyDescent="0.3">
      <c r="I59" s="16">
        <f t="shared" si="7"/>
        <v>3.9000000000000021</v>
      </c>
      <c r="J59">
        <f t="shared" si="4"/>
        <v>7.8943454607849045E-2</v>
      </c>
    </row>
    <row r="60" spans="9:10" x14ac:dyDescent="0.3">
      <c r="I60" s="16">
        <f t="shared" si="7"/>
        <v>4.0000000000000018</v>
      </c>
      <c r="J60">
        <f t="shared" si="4"/>
        <v>7.3262555525631601E-2</v>
      </c>
    </row>
    <row r="61" spans="9:10" x14ac:dyDescent="0.3">
      <c r="I61" s="16">
        <f t="shared" si="7"/>
        <v>4.1000000000000014</v>
      </c>
      <c r="J61">
        <f t="shared" si="4"/>
        <v>6.7947969119362364E-2</v>
      </c>
    </row>
    <row r="62" spans="9:10" x14ac:dyDescent="0.3">
      <c r="I62" s="16">
        <f t="shared" si="7"/>
        <v>4.2000000000000011</v>
      </c>
      <c r="J62">
        <f t="shared" si="4"/>
        <v>6.2981422619554112E-2</v>
      </c>
    </row>
    <row r="63" spans="9:10" x14ac:dyDescent="0.3">
      <c r="I63" s="16">
        <f t="shared" si="7"/>
        <v>4.3000000000000007</v>
      </c>
      <c r="J63">
        <f t="shared" si="4"/>
        <v>5.8344803727375709E-2</v>
      </c>
    </row>
    <row r="64" spans="9:10" x14ac:dyDescent="0.3">
      <c r="I64" s="16">
        <f t="shared" si="7"/>
        <v>4.4000000000000004</v>
      </c>
      <c r="J64">
        <f t="shared" si="4"/>
        <v>5.4020295549732193E-2</v>
      </c>
    </row>
    <row r="65" spans="9:10" x14ac:dyDescent="0.3">
      <c r="I65" s="16">
        <f t="shared" si="7"/>
        <v>4.5</v>
      </c>
      <c r="J65">
        <f t="shared" si="4"/>
        <v>4.9990484399594651E-2</v>
      </c>
    </row>
    <row r="66" spans="9:10" x14ac:dyDescent="0.3">
      <c r="I66" s="16">
        <f t="shared" si="7"/>
        <v>4.5999999999999996</v>
      </c>
      <c r="J66">
        <f t="shared" si="4"/>
        <v>4.6238444404044808E-2</v>
      </c>
    </row>
    <row r="67" spans="9:10" x14ac:dyDescent="0.3">
      <c r="I67" s="16">
        <f t="shared" si="7"/>
        <v>4.6999999999999993</v>
      </c>
      <c r="J67">
        <f t="shared" si="4"/>
        <v>4.2747802357878902E-2</v>
      </c>
    </row>
    <row r="68" spans="9:10" x14ac:dyDescent="0.3">
      <c r="I68" s="16">
        <f t="shared" si="7"/>
        <v>4.7999999999999989</v>
      </c>
      <c r="J68">
        <f t="shared" si="4"/>
        <v>3.9502785816334825E-2</v>
      </c>
    </row>
    <row r="69" spans="9:10" x14ac:dyDescent="0.3">
      <c r="I69" s="16">
        <f t="shared" si="7"/>
        <v>4.8999999999999986</v>
      </c>
      <c r="J69">
        <f t="shared" si="4"/>
        <v>3.6488257029650063E-2</v>
      </c>
    </row>
    <row r="70" spans="9:10" x14ac:dyDescent="0.3">
      <c r="I70" s="16">
        <f t="shared" si="7"/>
        <v>4.9999999999999982</v>
      </c>
      <c r="J70">
        <f t="shared" si="4"/>
        <v>3.3689734978582513E-2</v>
      </c>
    </row>
    <row r="71" spans="9:10" x14ac:dyDescent="0.3">
      <c r="I71" s="16">
        <f t="shared" si="7"/>
        <v>5.0999999999999979</v>
      </c>
      <c r="J71">
        <f t="shared" si="4"/>
        <v>3.1093407468272157E-2</v>
      </c>
    </row>
    <row r="72" spans="9:10" x14ac:dyDescent="0.3">
      <c r="I72" s="16">
        <f t="shared" si="7"/>
        <v>5.1999999999999975</v>
      </c>
      <c r="J72">
        <f t="shared" si="4"/>
        <v>2.8686134973039283E-2</v>
      </c>
    </row>
    <row r="73" spans="9:10" x14ac:dyDescent="0.3">
      <c r="I73" s="16">
        <f t="shared" si="7"/>
        <v>5.2999999999999972</v>
      </c>
      <c r="J73">
        <f t="shared" si="4"/>
        <v>2.6455447692602815E-2</v>
      </c>
    </row>
    <row r="74" spans="9:10" x14ac:dyDescent="0.3">
      <c r="I74" s="16">
        <f t="shared" si="7"/>
        <v>5.3999999999999968</v>
      </c>
      <c r="J74">
        <f t="shared" si="4"/>
        <v>2.4389537076938122E-2</v>
      </c>
    </row>
    <row r="75" spans="9:10" x14ac:dyDescent="0.3">
      <c r="I75" s="16">
        <f t="shared" si="7"/>
        <v>5.4999999999999964</v>
      </c>
      <c r="J75">
        <f t="shared" si="4"/>
        <v>2.2477242899189946E-2</v>
      </c>
    </row>
    <row r="76" spans="9:10" x14ac:dyDescent="0.3">
      <c r="I76" s="16">
        <f t="shared" si="7"/>
        <v>5.5999999999999961</v>
      </c>
      <c r="J76">
        <f t="shared" ref="J76:J139" si="8">I76*(1-$B$9*I76)*EXP(-I76)</f>
        <v>2.0708036800707982E-2</v>
      </c>
    </row>
    <row r="77" spans="9:10" x14ac:dyDescent="0.3">
      <c r="I77" s="16">
        <f t="shared" si="7"/>
        <v>5.6999999999999957</v>
      </c>
      <c r="J77">
        <f t="shared" si="8"/>
        <v>1.9072003096715279E-2</v>
      </c>
    </row>
    <row r="78" spans="9:10" x14ac:dyDescent="0.3">
      <c r="I78" s="16">
        <f t="shared" si="7"/>
        <v>5.7999999999999954</v>
      </c>
      <c r="J78">
        <f t="shared" si="8"/>
        <v>1.7559817512995096E-2</v>
      </c>
    </row>
    <row r="79" spans="9:10" x14ac:dyDescent="0.3">
      <c r="I79" s="16">
        <f t="shared" si="7"/>
        <v>5.899999999999995</v>
      </c>
      <c r="J79">
        <f t="shared" si="8"/>
        <v>1.6162724421197434E-2</v>
      </c>
    </row>
    <row r="80" spans="9:10" x14ac:dyDescent="0.3">
      <c r="I80" s="16">
        <f t="shared" si="7"/>
        <v>5.9999999999999947</v>
      </c>
      <c r="J80">
        <f t="shared" si="8"/>
        <v>1.4872513051074707E-2</v>
      </c>
    </row>
    <row r="81" spans="9:10" x14ac:dyDescent="0.3">
      <c r="I81" s="16">
        <f t="shared" si="7"/>
        <v>6.0999999999999943</v>
      </c>
      <c r="J81">
        <f t="shared" si="8"/>
        <v>1.3681493080517748E-2</v>
      </c>
    </row>
    <row r="82" spans="9:10" x14ac:dyDescent="0.3">
      <c r="I82" s="16">
        <f t="shared" si="7"/>
        <v>6.199999999999994</v>
      </c>
      <c r="J82">
        <f t="shared" si="8"/>
        <v>1.2582469937232483E-2</v>
      </c>
    </row>
    <row r="83" spans="9:10" x14ac:dyDescent="0.3">
      <c r="I83" s="16">
        <f t="shared" si="7"/>
        <v>6.2999999999999936</v>
      </c>
      <c r="J83">
        <f t="shared" si="8"/>
        <v>1.1568720087993881E-2</v>
      </c>
    </row>
    <row r="84" spans="9:10" x14ac:dyDescent="0.3">
      <c r="I84" s="16">
        <f t="shared" si="7"/>
        <v>6.3999999999999932</v>
      </c>
      <c r="J84">
        <f t="shared" si="8"/>
        <v>1.0633966541507502E-2</v>
      </c>
    </row>
    <row r="85" spans="9:10" x14ac:dyDescent="0.3">
      <c r="I85" s="16">
        <f t="shared" si="7"/>
        <v>6.4999999999999929</v>
      </c>
      <c r="J85">
        <f t="shared" si="8"/>
        <v>9.7723547480022491E-3</v>
      </c>
    </row>
    <row r="86" spans="9:10" x14ac:dyDescent="0.3">
      <c r="I86" s="16">
        <f t="shared" si="7"/>
        <v>6.5999999999999925</v>
      </c>
      <c r="J86">
        <f t="shared" si="8"/>
        <v>8.97842904189039E-3</v>
      </c>
    </row>
    <row r="87" spans="9:10" x14ac:dyDescent="0.3">
      <c r="I87" s="16">
        <f t="shared" ref="I87:I150" si="9">I86+0.1</f>
        <v>6.6999999999999922</v>
      </c>
      <c r="J87">
        <f t="shared" si="8"/>
        <v>8.2471097423868142E-3</v>
      </c>
    </row>
    <row r="88" spans="9:10" x14ac:dyDescent="0.3">
      <c r="I88" s="16">
        <f t="shared" si="9"/>
        <v>6.7999999999999918</v>
      </c>
      <c r="J88">
        <f t="shared" si="8"/>
        <v>7.5736710001946175E-3</v>
      </c>
    </row>
    <row r="89" spans="9:10" x14ac:dyDescent="0.3">
      <c r="I89" s="16">
        <f t="shared" si="9"/>
        <v>6.8999999999999915</v>
      </c>
      <c r="J89">
        <f t="shared" si="8"/>
        <v>6.9537194556367086E-3</v>
      </c>
    </row>
    <row r="90" spans="9:10" x14ac:dyDescent="0.3">
      <c r="I90" s="16">
        <f t="shared" si="9"/>
        <v>6.9999999999999911</v>
      </c>
      <c r="J90">
        <f t="shared" si="8"/>
        <v>6.3831737544134404E-3</v>
      </c>
    </row>
    <row r="91" spans="9:10" x14ac:dyDescent="0.3">
      <c r="I91" s="16">
        <f t="shared" si="9"/>
        <v>7.0999999999999908</v>
      </c>
      <c r="J91">
        <f t="shared" si="8"/>
        <v>5.8582449510286129E-3</v>
      </c>
    </row>
    <row r="92" spans="9:10" x14ac:dyDescent="0.3">
      <c r="I92" s="16">
        <f t="shared" si="9"/>
        <v>7.1999999999999904</v>
      </c>
      <c r="J92">
        <f t="shared" si="8"/>
        <v>5.3754178164418355E-3</v>
      </c>
    </row>
    <row r="93" spans="9:10" x14ac:dyDescent="0.3">
      <c r="I93" s="16">
        <f t="shared" si="9"/>
        <v>7.2999999999999901</v>
      </c>
      <c r="J93">
        <f t="shared" si="8"/>
        <v>4.9314330553151594E-3</v>
      </c>
    </row>
    <row r="94" spans="9:10" x14ac:dyDescent="0.3">
      <c r="I94" s="16">
        <f t="shared" si="9"/>
        <v>7.3999999999999897</v>
      </c>
      <c r="J94">
        <f t="shared" si="8"/>
        <v>4.5232704290116572E-3</v>
      </c>
    </row>
    <row r="95" spans="9:10" x14ac:dyDescent="0.3">
      <c r="I95" s="16">
        <f t="shared" si="9"/>
        <v>7.4999999999999893</v>
      </c>
      <c r="J95">
        <f t="shared" si="8"/>
        <v>4.1481327729976907E-3</v>
      </c>
    </row>
    <row r="96" spans="9:10" x14ac:dyDescent="0.3">
      <c r="I96" s="16">
        <f t="shared" si="9"/>
        <v>7.599999999999989</v>
      </c>
      <c r="J96">
        <f t="shared" si="8"/>
        <v>3.8034308912580708E-3</v>
      </c>
    </row>
    <row r="97" spans="9:10" x14ac:dyDescent="0.3">
      <c r="I97" s="16">
        <f t="shared" si="9"/>
        <v>7.6999999999999886</v>
      </c>
      <c r="J97">
        <f t="shared" si="8"/>
        <v>3.4867693055435599E-3</v>
      </c>
    </row>
    <row r="98" spans="9:10" x14ac:dyDescent="0.3">
      <c r="I98" s="16">
        <f t="shared" si="9"/>
        <v>7.7999999999999883</v>
      </c>
      <c r="J98">
        <f t="shared" si="8"/>
        <v>3.1959328335495413E-3</v>
      </c>
    </row>
    <row r="99" spans="9:10" x14ac:dyDescent="0.3">
      <c r="I99" s="16">
        <f t="shared" si="9"/>
        <v>7.8999999999999879</v>
      </c>
      <c r="J99">
        <f t="shared" si="8"/>
        <v>2.9288739673130186E-3</v>
      </c>
    </row>
    <row r="100" spans="9:10" x14ac:dyDescent="0.3">
      <c r="I100" s="16">
        <f t="shared" si="9"/>
        <v>7.9999999999999876</v>
      </c>
      <c r="J100">
        <f t="shared" si="8"/>
        <v>2.6837010210731633E-3</v>
      </c>
    </row>
    <row r="101" spans="9:10" x14ac:dyDescent="0.3">
      <c r="I101" s="16">
        <f t="shared" si="9"/>
        <v>8.0999999999999872</v>
      </c>
      <c r="J101">
        <f t="shared" si="8"/>
        <v>2.4586670164473273E-3</v>
      </c>
    </row>
    <row r="102" spans="9:10" x14ac:dyDescent="0.3">
      <c r="I102" s="16">
        <f t="shared" si="9"/>
        <v>8.1999999999999869</v>
      </c>
      <c r="J102">
        <f t="shared" si="8"/>
        <v>2.252159271924823E-3</v>
      </c>
    </row>
    <row r="103" spans="9:10" x14ac:dyDescent="0.3">
      <c r="I103" s="16">
        <f t="shared" si="9"/>
        <v>8.2999999999999865</v>
      </c>
      <c r="J103">
        <f t="shared" si="8"/>
        <v>2.0626896632839941E-3</v>
      </c>
    </row>
    <row r="104" spans="9:10" x14ac:dyDescent="0.3">
      <c r="I104" s="16">
        <f t="shared" si="9"/>
        <v>8.3999999999999861</v>
      </c>
      <c r="J104">
        <f t="shared" si="8"/>
        <v>1.8888855215156847E-3</v>
      </c>
    </row>
    <row r="105" spans="9:10" x14ac:dyDescent="0.3">
      <c r="I105" s="16">
        <f t="shared" si="9"/>
        <v>8.4999999999999858</v>
      </c>
      <c r="J105">
        <f t="shared" si="8"/>
        <v>1.7294811351204384E-3</v>
      </c>
    </row>
    <row r="106" spans="9:10" x14ac:dyDescent="0.3">
      <c r="I106" s="16">
        <f t="shared" si="9"/>
        <v>8.5999999999999854</v>
      </c>
      <c r="J106">
        <f t="shared" si="8"/>
        <v>1.5833098241795542E-3</v>
      </c>
    </row>
    <row r="107" spans="9:10" x14ac:dyDescent="0.3">
      <c r="I107" s="16">
        <f t="shared" si="9"/>
        <v>8.6999999999999851</v>
      </c>
      <c r="J107">
        <f t="shared" si="8"/>
        <v>1.4492965543315419E-3</v>
      </c>
    </row>
    <row r="108" spans="9:10" x14ac:dyDescent="0.3">
      <c r="I108" s="16">
        <f t="shared" si="9"/>
        <v>8.7999999999999847</v>
      </c>
      <c r="J108">
        <f t="shared" si="8"/>
        <v>1.3264510596729354E-3</v>
      </c>
    </row>
    <row r="109" spans="9:10" x14ac:dyDescent="0.3">
      <c r="I109" s="16">
        <f t="shared" si="9"/>
        <v>8.8999999999999844</v>
      </c>
      <c r="J109">
        <f t="shared" si="8"/>
        <v>1.2138614446095821E-3</v>
      </c>
    </row>
    <row r="110" spans="9:10" x14ac:dyDescent="0.3">
      <c r="I110" s="16">
        <f t="shared" si="9"/>
        <v>8.999999999999984</v>
      </c>
      <c r="J110">
        <f t="shared" si="8"/>
        <v>1.1106882357805124E-3</v>
      </c>
    </row>
    <row r="111" spans="9:10" x14ac:dyDescent="0.3">
      <c r="I111" s="16">
        <f t="shared" si="9"/>
        <v>9.0999999999999837</v>
      </c>
      <c r="J111">
        <f t="shared" si="8"/>
        <v>1.0161588563353545E-3</v>
      </c>
    </row>
    <row r="112" spans="9:10" x14ac:dyDescent="0.3">
      <c r="I112" s="16">
        <f t="shared" si="9"/>
        <v>9.1999999999999833</v>
      </c>
      <c r="J112">
        <f t="shared" si="8"/>
        <v>9.2956249604607519E-4</v>
      </c>
    </row>
    <row r="113" spans="9:10" x14ac:dyDescent="0.3">
      <c r="I113" s="16">
        <f t="shared" si="9"/>
        <v>9.2999999999999829</v>
      </c>
      <c r="J113">
        <f t="shared" si="8"/>
        <v>8.502453519562968E-4</v>
      </c>
    </row>
    <row r="114" spans="9:10" x14ac:dyDescent="0.3">
      <c r="I114" s="16">
        <f t="shared" si="9"/>
        <v>9.3999999999999826</v>
      </c>
      <c r="J114">
        <f t="shared" si="8"/>
        <v>7.7760621550140548E-4</v>
      </c>
    </row>
    <row r="115" spans="9:10" x14ac:dyDescent="0.3">
      <c r="I115" s="16">
        <f t="shared" si="9"/>
        <v>9.4999999999999822</v>
      </c>
      <c r="J115">
        <f t="shared" si="8"/>
        <v>7.1109238325762927E-4</v>
      </c>
    </row>
    <row r="116" spans="9:10" x14ac:dyDescent="0.3">
      <c r="I116" s="16">
        <f t="shared" si="9"/>
        <v>9.5999999999999819</v>
      </c>
      <c r="J116">
        <f t="shared" si="8"/>
        <v>6.5019586968801974E-4</v>
      </c>
    </row>
    <row r="117" spans="9:10" x14ac:dyDescent="0.3">
      <c r="I117" s="16">
        <f t="shared" si="9"/>
        <v>9.6999999999999815</v>
      </c>
      <c r="J117">
        <f t="shared" si="8"/>
        <v>5.9444990143964779E-4</v>
      </c>
    </row>
    <row r="118" spans="9:10" x14ac:dyDescent="0.3">
      <c r="I118" s="16">
        <f t="shared" si="9"/>
        <v>9.7999999999999812</v>
      </c>
      <c r="J118">
        <f t="shared" si="8"/>
        <v>5.4342567390278649E-4</v>
      </c>
    </row>
    <row r="119" spans="9:10" x14ac:dyDescent="0.3">
      <c r="I119" s="16">
        <f t="shared" si="9"/>
        <v>9.8999999999999808</v>
      </c>
      <c r="J119">
        <f t="shared" si="8"/>
        <v>4.9672935186438204E-4</v>
      </c>
    </row>
    <row r="120" spans="9:10" x14ac:dyDescent="0.3">
      <c r="I120" s="16">
        <f t="shared" si="9"/>
        <v>9.9999999999999805</v>
      </c>
      <c r="J120">
        <f t="shared" si="8"/>
        <v>4.5399929717085727E-4</v>
      </c>
    </row>
    <row r="121" spans="9:10" x14ac:dyDescent="0.3">
      <c r="I121" s="16">
        <f>I120+1</f>
        <v>10.99999999999998</v>
      </c>
      <c r="J121">
        <f t="shared" si="8"/>
        <v>1.8371870849061495E-4</v>
      </c>
    </row>
    <row r="122" spans="9:10" x14ac:dyDescent="0.3">
      <c r="I122" s="16">
        <f t="shared" ref="I122:I185" si="10">I121+1</f>
        <v>11.99999999999998</v>
      </c>
      <c r="J122">
        <f t="shared" si="8"/>
        <v>7.3730548151463185E-5</v>
      </c>
    </row>
    <row r="123" spans="9:10" x14ac:dyDescent="0.3">
      <c r="I123" s="16">
        <f t="shared" si="10"/>
        <v>12.99999999999998</v>
      </c>
      <c r="J123">
        <f t="shared" si="8"/>
        <v>2.9384282252554667E-5</v>
      </c>
    </row>
    <row r="124" spans="9:10" x14ac:dyDescent="0.3">
      <c r="I124" s="16">
        <f t="shared" si="10"/>
        <v>13.99999999999998</v>
      </c>
      <c r="J124">
        <f t="shared" si="8"/>
        <v>1.16414020511522E-5</v>
      </c>
    </row>
    <row r="125" spans="9:10" x14ac:dyDescent="0.3">
      <c r="I125" s="16">
        <f t="shared" si="10"/>
        <v>14.99999999999998</v>
      </c>
      <c r="J125">
        <f t="shared" si="8"/>
        <v>4.5885348006446685E-6</v>
      </c>
    </row>
    <row r="126" spans="9:10" x14ac:dyDescent="0.3">
      <c r="I126" s="16">
        <f t="shared" si="10"/>
        <v>15.99999999999998</v>
      </c>
      <c r="J126">
        <f t="shared" si="8"/>
        <v>1.8005627926272784E-6</v>
      </c>
    </row>
    <row r="127" spans="9:10" x14ac:dyDescent="0.3">
      <c r="I127" s="16">
        <f t="shared" si="10"/>
        <v>16.999999999999979</v>
      </c>
      <c r="J127">
        <f t="shared" si="8"/>
        <v>7.0378941099705038E-7</v>
      </c>
    </row>
    <row r="128" spans="9:10" x14ac:dyDescent="0.3">
      <c r="I128" s="16">
        <f t="shared" si="10"/>
        <v>17.999999999999979</v>
      </c>
      <c r="J128">
        <f t="shared" si="8"/>
        <v>2.741396349113815E-7</v>
      </c>
    </row>
    <row r="129" spans="9:10" x14ac:dyDescent="0.3">
      <c r="I129" s="16">
        <f t="shared" si="10"/>
        <v>18.999999999999979</v>
      </c>
      <c r="J129">
        <f t="shared" si="8"/>
        <v>1.0645313211094927E-7</v>
      </c>
    </row>
    <row r="130" spans="9:10" x14ac:dyDescent="0.3">
      <c r="I130" s="16">
        <f t="shared" si="10"/>
        <v>19.999999999999979</v>
      </c>
      <c r="J130">
        <f t="shared" si="8"/>
        <v>4.1223072366325849E-8</v>
      </c>
    </row>
    <row r="131" spans="9:10" x14ac:dyDescent="0.3">
      <c r="I131" s="16">
        <f t="shared" si="10"/>
        <v>20.999999999999979</v>
      </c>
      <c r="J131">
        <f t="shared" si="8"/>
        <v>1.5923376865176235E-8</v>
      </c>
    </row>
    <row r="132" spans="9:10" x14ac:dyDescent="0.3">
      <c r="I132" s="16">
        <f t="shared" si="10"/>
        <v>21.999999999999979</v>
      </c>
      <c r="J132">
        <f t="shared" si="8"/>
        <v>6.1368297908107333E-9</v>
      </c>
    </row>
    <row r="133" spans="9:10" x14ac:dyDescent="0.3">
      <c r="I133" s="16">
        <f t="shared" si="10"/>
        <v>22.999999999999979</v>
      </c>
      <c r="J133">
        <f t="shared" si="8"/>
        <v>2.3602323098629486E-9</v>
      </c>
    </row>
    <row r="134" spans="9:10" x14ac:dyDescent="0.3">
      <c r="I134" s="16">
        <f t="shared" si="10"/>
        <v>23.999999999999979</v>
      </c>
      <c r="J134">
        <f t="shared" si="8"/>
        <v>9.0603228845252466E-10</v>
      </c>
    </row>
    <row r="135" spans="9:10" x14ac:dyDescent="0.3">
      <c r="I135" s="16">
        <f t="shared" si="10"/>
        <v>24.999999999999979</v>
      </c>
      <c r="J135">
        <f t="shared" si="8"/>
        <v>3.4719859575611111E-10</v>
      </c>
    </row>
    <row r="136" spans="9:10" x14ac:dyDescent="0.3">
      <c r="I136" s="16">
        <f t="shared" si="10"/>
        <v>25.999999999999979</v>
      </c>
      <c r="J136">
        <f t="shared" si="8"/>
        <v>1.3283631438427475E-10</v>
      </c>
    </row>
    <row r="137" spans="9:10" x14ac:dyDescent="0.3">
      <c r="I137" s="16">
        <f t="shared" si="10"/>
        <v>26.999999999999979</v>
      </c>
      <c r="J137">
        <f t="shared" si="8"/>
        <v>5.0747277909538635E-11</v>
      </c>
    </row>
    <row r="138" spans="9:10" x14ac:dyDescent="0.3">
      <c r="I138" s="16">
        <f t="shared" si="10"/>
        <v>27.999999999999979</v>
      </c>
      <c r="J138">
        <f t="shared" si="8"/>
        <v>1.936032024522407E-11</v>
      </c>
    </row>
    <row r="139" spans="9:10" x14ac:dyDescent="0.3">
      <c r="I139" s="16">
        <f t="shared" si="10"/>
        <v>28.999999999999979</v>
      </c>
      <c r="J139">
        <f t="shared" si="8"/>
        <v>7.3766303560009995E-12</v>
      </c>
    </row>
    <row r="140" spans="9:10" x14ac:dyDescent="0.3">
      <c r="I140" s="16">
        <f t="shared" si="10"/>
        <v>29.999999999999979</v>
      </c>
      <c r="J140">
        <f t="shared" ref="J140:J203" si="11">I140*(1-$B$9*I140)*EXP(-I140)</f>
        <v>2.8072868822302497E-12</v>
      </c>
    </row>
    <row r="141" spans="9:10" x14ac:dyDescent="0.3">
      <c r="I141" s="16">
        <f t="shared" si="10"/>
        <v>30.999999999999979</v>
      </c>
      <c r="J141">
        <f t="shared" si="11"/>
        <v>1.0671679003174942E-12</v>
      </c>
    </row>
    <row r="142" spans="9:10" x14ac:dyDescent="0.3">
      <c r="I142" s="16">
        <f t="shared" si="10"/>
        <v>31.999999999999979</v>
      </c>
      <c r="J142">
        <f t="shared" si="11"/>
        <v>4.0525329627421141E-13</v>
      </c>
    </row>
    <row r="143" spans="9:10" x14ac:dyDescent="0.3">
      <c r="I143" s="16">
        <f t="shared" si="10"/>
        <v>32.999999999999979</v>
      </c>
      <c r="J143">
        <f t="shared" si="11"/>
        <v>1.5374324228106255E-13</v>
      </c>
    </row>
    <row r="144" spans="9:10" x14ac:dyDescent="0.3">
      <c r="I144" s="16">
        <f t="shared" si="10"/>
        <v>33.999999999999979</v>
      </c>
      <c r="J144">
        <f t="shared" si="11"/>
        <v>5.8272886474301835E-14</v>
      </c>
    </row>
    <row r="145" spans="9:10" x14ac:dyDescent="0.3">
      <c r="I145" s="16">
        <f t="shared" si="10"/>
        <v>34.999999999999979</v>
      </c>
      <c r="J145">
        <f t="shared" si="11"/>
        <v>2.2067908583277239E-14</v>
      </c>
    </row>
    <row r="146" spans="9:10" x14ac:dyDescent="0.3">
      <c r="I146" s="16">
        <f t="shared" si="10"/>
        <v>35.999999999999979</v>
      </c>
      <c r="J146">
        <f t="shared" si="11"/>
        <v>8.3502821588160082E-15</v>
      </c>
    </row>
    <row r="147" spans="9:10" x14ac:dyDescent="0.3">
      <c r="I147" s="16">
        <f t="shared" si="10"/>
        <v>36.999999999999979</v>
      </c>
      <c r="J147">
        <f t="shared" si="11"/>
        <v>3.1572276098436279E-15</v>
      </c>
    </row>
    <row r="148" spans="9:10" x14ac:dyDescent="0.3">
      <c r="I148" s="16">
        <f t="shared" si="10"/>
        <v>37.999999999999979</v>
      </c>
      <c r="J148">
        <f t="shared" si="11"/>
        <v>1.1928704564453684E-15</v>
      </c>
    </row>
    <row r="149" spans="9:10" x14ac:dyDescent="0.3">
      <c r="I149" s="16">
        <f t="shared" si="10"/>
        <v>38.999999999999979</v>
      </c>
      <c r="J149">
        <f t="shared" si="11"/>
        <v>4.5038074099114012E-16</v>
      </c>
    </row>
    <row r="150" spans="9:10" x14ac:dyDescent="0.3">
      <c r="I150" s="16">
        <f t="shared" si="10"/>
        <v>39.999999999999979</v>
      </c>
      <c r="J150">
        <f t="shared" si="11"/>
        <v>1.6993416953193041E-16</v>
      </c>
    </row>
    <row r="151" spans="9:10" x14ac:dyDescent="0.3">
      <c r="I151" s="16">
        <f t="shared" si="10"/>
        <v>40.999999999999979</v>
      </c>
      <c r="J151">
        <f t="shared" si="11"/>
        <v>6.407816950001538E-17</v>
      </c>
    </row>
    <row r="152" spans="9:10" x14ac:dyDescent="0.3">
      <c r="I152" s="16">
        <f t="shared" si="10"/>
        <v>41.999999999999979</v>
      </c>
      <c r="J152">
        <f t="shared" si="11"/>
        <v>2.4147993408611879E-17</v>
      </c>
    </row>
    <row r="153" spans="9:10" x14ac:dyDescent="0.3">
      <c r="I153" s="16">
        <f t="shared" si="10"/>
        <v>42.999999999999979</v>
      </c>
      <c r="J153">
        <f t="shared" si="11"/>
        <v>9.0950634225330613E-18</v>
      </c>
    </row>
    <row r="154" spans="9:10" x14ac:dyDescent="0.3">
      <c r="I154" s="16">
        <f t="shared" si="10"/>
        <v>43.999999999999979</v>
      </c>
      <c r="J154">
        <f t="shared" si="11"/>
        <v>3.4236981710346696E-18</v>
      </c>
    </row>
    <row r="155" spans="9:10" x14ac:dyDescent="0.3">
      <c r="I155" s="16">
        <f t="shared" si="10"/>
        <v>44.999999999999979</v>
      </c>
      <c r="J155">
        <f t="shared" si="11"/>
        <v>1.2881333554506536E-18</v>
      </c>
    </row>
    <row r="156" spans="9:10" x14ac:dyDescent="0.3">
      <c r="I156" s="16">
        <f t="shared" si="10"/>
        <v>45.999999999999979</v>
      </c>
      <c r="J156">
        <f t="shared" si="11"/>
        <v>4.8440839621920679E-19</v>
      </c>
    </row>
    <row r="157" spans="9:10" x14ac:dyDescent="0.3">
      <c r="I157" s="16">
        <f t="shared" si="10"/>
        <v>46.999999999999979</v>
      </c>
      <c r="J157">
        <f t="shared" si="11"/>
        <v>1.820778876925355E-19</v>
      </c>
    </row>
    <row r="158" spans="9:10" x14ac:dyDescent="0.3">
      <c r="I158" s="16">
        <f t="shared" si="10"/>
        <v>47.999999999999979</v>
      </c>
      <c r="J158">
        <f t="shared" si="11"/>
        <v>6.8407875643208508E-20</v>
      </c>
    </row>
    <row r="159" spans="9:10" x14ac:dyDescent="0.3">
      <c r="I159" s="16">
        <f t="shared" si="10"/>
        <v>48.999999999999979</v>
      </c>
      <c r="J159">
        <f t="shared" si="11"/>
        <v>2.5690139624599825E-20</v>
      </c>
    </row>
    <row r="160" spans="9:10" x14ac:dyDescent="0.3">
      <c r="I160" s="16">
        <f t="shared" si="10"/>
        <v>49.999999999999979</v>
      </c>
      <c r="J160">
        <f t="shared" si="11"/>
        <v>9.6437491916010452E-21</v>
      </c>
    </row>
    <row r="161" spans="9:10" x14ac:dyDescent="0.3">
      <c r="I161" s="16">
        <f t="shared" si="10"/>
        <v>50.999999999999979</v>
      </c>
      <c r="J161">
        <f t="shared" si="11"/>
        <v>3.6186918043099464E-21</v>
      </c>
    </row>
    <row r="162" spans="9:10" x14ac:dyDescent="0.3">
      <c r="I162" s="16">
        <f t="shared" si="10"/>
        <v>51.999999999999979</v>
      </c>
      <c r="J162">
        <f t="shared" si="11"/>
        <v>1.3573451091690403E-21</v>
      </c>
    </row>
    <row r="163" spans="9:10" x14ac:dyDescent="0.3">
      <c r="I163" s="16">
        <f t="shared" si="10"/>
        <v>52.999999999999979</v>
      </c>
      <c r="J163">
        <f t="shared" si="11"/>
        <v>5.0894204019157775E-22</v>
      </c>
    </row>
    <row r="164" spans="9:10" x14ac:dyDescent="0.3">
      <c r="I164" s="16">
        <f t="shared" si="10"/>
        <v>53.999999999999979</v>
      </c>
      <c r="J164">
        <f t="shared" si="11"/>
        <v>1.9076194186873305E-22</v>
      </c>
    </row>
    <row r="165" spans="9:10" x14ac:dyDescent="0.3">
      <c r="I165" s="16">
        <f t="shared" si="10"/>
        <v>54.999999999999979</v>
      </c>
      <c r="J165">
        <f t="shared" si="11"/>
        <v>7.1476977982290795E-23</v>
      </c>
    </row>
    <row r="166" spans="9:10" x14ac:dyDescent="0.3">
      <c r="I166" s="16">
        <f t="shared" si="10"/>
        <v>55.999999999999979</v>
      </c>
      <c r="J166">
        <f t="shared" si="11"/>
        <v>2.6772999999830384E-23</v>
      </c>
    </row>
    <row r="167" spans="9:10" x14ac:dyDescent="0.3">
      <c r="I167" s="16">
        <f t="shared" si="10"/>
        <v>56.999999999999979</v>
      </c>
      <c r="J167">
        <f t="shared" si="11"/>
        <v>1.0025115496675627E-23</v>
      </c>
    </row>
    <row r="168" spans="9:10" x14ac:dyDescent="0.3">
      <c r="I168" s="16">
        <f t="shared" si="10"/>
        <v>57.999999999999979</v>
      </c>
      <c r="J168">
        <f t="shared" si="11"/>
        <v>3.7527362351085756E-24</v>
      </c>
    </row>
    <row r="169" spans="9:10" x14ac:dyDescent="0.3">
      <c r="I169" s="16">
        <f t="shared" si="10"/>
        <v>58.999999999999979</v>
      </c>
      <c r="J169">
        <f t="shared" si="11"/>
        <v>1.4043571728440184E-24</v>
      </c>
    </row>
    <row r="170" spans="9:10" x14ac:dyDescent="0.3">
      <c r="I170" s="16">
        <f t="shared" si="10"/>
        <v>59.999999999999979</v>
      </c>
      <c r="J170">
        <f t="shared" si="11"/>
        <v>5.2539064260945832E-25</v>
      </c>
    </row>
    <row r="171" spans="9:10" x14ac:dyDescent="0.3">
      <c r="I171" s="16">
        <f t="shared" si="10"/>
        <v>60.999999999999979</v>
      </c>
      <c r="J171">
        <f t="shared" si="11"/>
        <v>1.9650175624688689E-25</v>
      </c>
    </row>
    <row r="172" spans="9:10" x14ac:dyDescent="0.3">
      <c r="I172" s="16">
        <f t="shared" si="10"/>
        <v>61.999999999999979</v>
      </c>
      <c r="J172">
        <f t="shared" si="11"/>
        <v>7.3474021126969439E-26</v>
      </c>
    </row>
    <row r="173" spans="9:10" x14ac:dyDescent="0.3">
      <c r="I173" s="16">
        <f t="shared" si="10"/>
        <v>62.999999999999979</v>
      </c>
      <c r="J173">
        <f t="shared" si="11"/>
        <v>2.7465542827365067E-26</v>
      </c>
    </row>
    <row r="174" spans="9:10" x14ac:dyDescent="0.3">
      <c r="I174" s="16">
        <f t="shared" si="10"/>
        <v>63.999999999999979</v>
      </c>
      <c r="J174">
        <f t="shared" si="11"/>
        <v>1.0264389633819404E-26</v>
      </c>
    </row>
    <row r="175" spans="9:10" x14ac:dyDescent="0.3">
      <c r="I175" s="16">
        <f t="shared" si="10"/>
        <v>64.999999999999972</v>
      </c>
      <c r="J175">
        <f t="shared" si="11"/>
        <v>3.8350588271103153E-27</v>
      </c>
    </row>
    <row r="176" spans="9:10" x14ac:dyDescent="0.3">
      <c r="I176" s="16">
        <f t="shared" si="10"/>
        <v>65.999999999999972</v>
      </c>
      <c r="J176">
        <f t="shared" si="11"/>
        <v>1.4325445180056482E-27</v>
      </c>
    </row>
    <row r="177" spans="9:10" x14ac:dyDescent="0.3">
      <c r="I177" s="16">
        <f t="shared" si="10"/>
        <v>66.999999999999972</v>
      </c>
      <c r="J177">
        <f t="shared" si="11"/>
        <v>5.3498858087661913E-28</v>
      </c>
    </row>
    <row r="178" spans="9:10" x14ac:dyDescent="0.3">
      <c r="I178" s="16">
        <f t="shared" si="10"/>
        <v>67.999999999999972</v>
      </c>
      <c r="J178">
        <f t="shared" si="11"/>
        <v>1.997487822380485E-28</v>
      </c>
    </row>
    <row r="179" spans="9:10" x14ac:dyDescent="0.3">
      <c r="I179" s="16">
        <f t="shared" si="10"/>
        <v>68.999999999999972</v>
      </c>
      <c r="J179">
        <f t="shared" si="11"/>
        <v>7.4564109647311944E-29</v>
      </c>
    </row>
    <row r="180" spans="9:10" x14ac:dyDescent="0.3">
      <c r="I180" s="16">
        <f t="shared" si="10"/>
        <v>69.999999999999972</v>
      </c>
      <c r="J180">
        <f t="shared" si="11"/>
        <v>2.7828147956564268E-29</v>
      </c>
    </row>
    <row r="181" spans="9:10" x14ac:dyDescent="0.3">
      <c r="I181" s="16">
        <f t="shared" si="10"/>
        <v>70.999999999999972</v>
      </c>
      <c r="J181">
        <f t="shared" si="11"/>
        <v>1.03836521397601E-29</v>
      </c>
    </row>
    <row r="182" spans="9:10" x14ac:dyDescent="0.3">
      <c r="I182" s="16">
        <f t="shared" si="10"/>
        <v>71.999999999999972</v>
      </c>
      <c r="J182">
        <f t="shared" si="11"/>
        <v>3.8737340073244436E-30</v>
      </c>
    </row>
    <row r="183" spans="9:10" x14ac:dyDescent="0.3">
      <c r="I183" s="16">
        <f t="shared" si="10"/>
        <v>72.999999999999972</v>
      </c>
      <c r="J183">
        <f t="shared" si="11"/>
        <v>1.444859700353805E-30</v>
      </c>
    </row>
    <row r="184" spans="9:10" x14ac:dyDescent="0.3">
      <c r="I184" s="16">
        <f t="shared" si="10"/>
        <v>73.999999999999972</v>
      </c>
      <c r="J184">
        <f t="shared" si="11"/>
        <v>5.3881546920858221E-31</v>
      </c>
    </row>
    <row r="185" spans="9:10" x14ac:dyDescent="0.3">
      <c r="I185" s="16">
        <f t="shared" si="10"/>
        <v>74.999999999999972</v>
      </c>
      <c r="J185">
        <f t="shared" si="11"/>
        <v>2.008977706288782E-31</v>
      </c>
    </row>
    <row r="186" spans="9:10" x14ac:dyDescent="0.3">
      <c r="I186" s="16">
        <f t="shared" ref="I186:I249" si="12">I185+1</f>
        <v>75.999999999999972</v>
      </c>
      <c r="J186">
        <f t="shared" si="11"/>
        <v>7.4891575045271692E-32</v>
      </c>
    </row>
    <row r="187" spans="9:10" x14ac:dyDescent="0.3">
      <c r="I187" s="16">
        <f t="shared" si="12"/>
        <v>76.999999999999972</v>
      </c>
      <c r="J187">
        <f t="shared" si="11"/>
        <v>2.7913584862471585E-32</v>
      </c>
    </row>
    <row r="188" spans="9:10" x14ac:dyDescent="0.3">
      <c r="I188" s="16">
        <f t="shared" si="12"/>
        <v>77.999999999999972</v>
      </c>
      <c r="J188">
        <f t="shared" si="11"/>
        <v>1.0402195479780805E-32</v>
      </c>
    </row>
    <row r="189" spans="9:10" x14ac:dyDescent="0.3">
      <c r="I189" s="16">
        <f t="shared" si="12"/>
        <v>78.999999999999972</v>
      </c>
      <c r="J189">
        <f t="shared" si="11"/>
        <v>3.8758148065941034E-33</v>
      </c>
    </row>
    <row r="190" spans="9:10" x14ac:dyDescent="0.3">
      <c r="I190" s="16">
        <f t="shared" si="12"/>
        <v>79.999999999999972</v>
      </c>
      <c r="J190">
        <f t="shared" si="11"/>
        <v>1.4438810987253238E-33</v>
      </c>
    </row>
    <row r="191" spans="9:10" x14ac:dyDescent="0.3">
      <c r="I191" s="16">
        <f t="shared" si="12"/>
        <v>80.999999999999972</v>
      </c>
      <c r="J191">
        <f t="shared" si="11"/>
        <v>5.3781384880976237E-34</v>
      </c>
    </row>
    <row r="192" spans="9:10" x14ac:dyDescent="0.3">
      <c r="I192" s="16">
        <f t="shared" si="12"/>
        <v>81.999999999999972</v>
      </c>
      <c r="J192">
        <f t="shared" si="11"/>
        <v>2.0029325885232416E-34</v>
      </c>
    </row>
    <row r="193" spans="9:10" x14ac:dyDescent="0.3">
      <c r="I193" s="16">
        <f t="shared" si="12"/>
        <v>82.999999999999972</v>
      </c>
      <c r="J193">
        <f t="shared" si="11"/>
        <v>7.4582354716578407E-35</v>
      </c>
    </row>
    <row r="194" spans="9:10" x14ac:dyDescent="0.3">
      <c r="I194" s="16">
        <f t="shared" si="12"/>
        <v>83.999999999999972</v>
      </c>
      <c r="J194">
        <f t="shared" si="11"/>
        <v>2.7767885031540713E-35</v>
      </c>
    </row>
    <row r="195" spans="9:10" x14ac:dyDescent="0.3">
      <c r="I195" s="16">
        <f t="shared" si="12"/>
        <v>84.999999999999972</v>
      </c>
      <c r="J195">
        <f t="shared" si="11"/>
        <v>1.0336843955786131E-35</v>
      </c>
    </row>
    <row r="196" spans="9:10" x14ac:dyDescent="0.3">
      <c r="I196" s="16">
        <f t="shared" si="12"/>
        <v>85.999999999999972</v>
      </c>
      <c r="J196">
        <f t="shared" si="11"/>
        <v>3.8474501702278002E-36</v>
      </c>
    </row>
    <row r="197" spans="9:10" x14ac:dyDescent="0.3">
      <c r="I197" s="16">
        <f t="shared" si="12"/>
        <v>86.999999999999972</v>
      </c>
      <c r="J197">
        <f t="shared" si="11"/>
        <v>1.4318559325844714E-36</v>
      </c>
    </row>
    <row r="198" spans="9:10" x14ac:dyDescent="0.3">
      <c r="I198" s="16">
        <f t="shared" si="12"/>
        <v>87.999999999999972</v>
      </c>
      <c r="J198">
        <f t="shared" si="11"/>
        <v>5.3280496210663565E-37</v>
      </c>
    </row>
    <row r="199" spans="9:10" x14ac:dyDescent="0.3">
      <c r="I199" s="16">
        <f t="shared" si="12"/>
        <v>88.999999999999972</v>
      </c>
      <c r="J199">
        <f t="shared" si="11"/>
        <v>1.9823535523553209E-37</v>
      </c>
    </row>
    <row r="200" spans="9:10" x14ac:dyDescent="0.3">
      <c r="I200" s="16">
        <f t="shared" si="12"/>
        <v>89.999999999999972</v>
      </c>
      <c r="J200">
        <f t="shared" si="11"/>
        <v>7.3746112952201682E-38</v>
      </c>
    </row>
    <row r="201" spans="9:10" x14ac:dyDescent="0.3">
      <c r="I201" s="16">
        <f t="shared" si="12"/>
        <v>90.999999999999972</v>
      </c>
      <c r="J201">
        <f t="shared" si="11"/>
        <v>2.7431119694472488E-38</v>
      </c>
    </row>
    <row r="202" spans="9:10" x14ac:dyDescent="0.3">
      <c r="I202" s="16">
        <f t="shared" si="12"/>
        <v>91.999999999999972</v>
      </c>
      <c r="J202">
        <f t="shared" si="11"/>
        <v>1.0202238883811343E-38</v>
      </c>
    </row>
    <row r="203" spans="9:10" x14ac:dyDescent="0.3">
      <c r="I203" s="16">
        <f t="shared" si="12"/>
        <v>92.999999999999972</v>
      </c>
      <c r="J203">
        <f t="shared" si="11"/>
        <v>3.7939895251911348E-39</v>
      </c>
    </row>
    <row r="204" spans="9:10" x14ac:dyDescent="0.3">
      <c r="I204" s="16">
        <f t="shared" si="12"/>
        <v>93.999999999999972</v>
      </c>
      <c r="J204">
        <f t="shared" ref="J204:J267" si="13">I204*(1-$B$9*I204)*EXP(-I204)</f>
        <v>1.410738603684048E-39</v>
      </c>
    </row>
    <row r="205" spans="9:10" x14ac:dyDescent="0.3">
      <c r="I205" s="16">
        <f t="shared" si="12"/>
        <v>94.999999999999972</v>
      </c>
      <c r="J205">
        <f t="shared" si="13"/>
        <v>5.2450281133494856E-40</v>
      </c>
    </row>
    <row r="206" spans="9:10" x14ac:dyDescent="0.3">
      <c r="I206" s="16">
        <f t="shared" si="12"/>
        <v>95.999999999999972</v>
      </c>
      <c r="J206">
        <f t="shared" si="13"/>
        <v>1.9498489375069234E-40</v>
      </c>
    </row>
    <row r="207" spans="9:10" x14ac:dyDescent="0.3">
      <c r="I207" s="16">
        <f t="shared" si="12"/>
        <v>96.999999999999972</v>
      </c>
      <c r="J207">
        <f t="shared" si="13"/>
        <v>7.2478130969191165E-41</v>
      </c>
    </row>
    <row r="208" spans="9:10" x14ac:dyDescent="0.3">
      <c r="I208" s="16">
        <f t="shared" si="12"/>
        <v>97.999999999999972</v>
      </c>
      <c r="J208">
        <f t="shared" si="13"/>
        <v>2.6938092813527554E-41</v>
      </c>
    </row>
    <row r="209" spans="9:10" x14ac:dyDescent="0.3">
      <c r="I209" s="16">
        <f t="shared" si="12"/>
        <v>98.999999999999972</v>
      </c>
      <c r="J209">
        <f t="shared" si="13"/>
        <v>1.0011092677733903E-41</v>
      </c>
    </row>
    <row r="210" spans="9:10" x14ac:dyDescent="0.3">
      <c r="I210" s="16">
        <f t="shared" si="12"/>
        <v>99.999999999999972</v>
      </c>
      <c r="J210">
        <f t="shared" si="13"/>
        <v>3.7200759388201807E-42</v>
      </c>
    </row>
    <row r="211" spans="9:10" x14ac:dyDescent="0.3">
      <c r="I211" s="8">
        <f>I210*10</f>
        <v>999.99999999999977</v>
      </c>
      <c r="J211">
        <f t="shared" si="13"/>
        <v>0</v>
      </c>
    </row>
    <row r="212" spans="9:10" x14ac:dyDescent="0.3">
      <c r="I212" s="8">
        <f t="shared" ref="I212:I275" si="14">I211*10</f>
        <v>9999.9999999999982</v>
      </c>
      <c r="J212">
        <f t="shared" si="13"/>
        <v>0</v>
      </c>
    </row>
    <row r="213" spans="9:10" x14ac:dyDescent="0.3">
      <c r="I213" s="8">
        <f t="shared" si="14"/>
        <v>99999.999999999985</v>
      </c>
      <c r="J213">
        <f t="shared" si="13"/>
        <v>0</v>
      </c>
    </row>
    <row r="214" spans="9:10" x14ac:dyDescent="0.3">
      <c r="I214" s="8">
        <f t="shared" si="14"/>
        <v>999999.99999999988</v>
      </c>
      <c r="J214">
        <f t="shared" si="13"/>
        <v>0</v>
      </c>
    </row>
    <row r="215" spans="9:10" x14ac:dyDescent="0.3">
      <c r="I215" s="8">
        <f t="shared" si="14"/>
        <v>9999999.9999999981</v>
      </c>
      <c r="J215">
        <f t="shared" si="13"/>
        <v>0</v>
      </c>
    </row>
    <row r="216" spans="9:10" x14ac:dyDescent="0.3">
      <c r="I216" s="8">
        <f t="shared" si="14"/>
        <v>99999999.999999985</v>
      </c>
      <c r="J216">
        <f t="shared" si="13"/>
        <v>0</v>
      </c>
    </row>
    <row r="217" spans="9:10" x14ac:dyDescent="0.3">
      <c r="I217" s="8">
        <f t="shared" si="14"/>
        <v>999999999.99999988</v>
      </c>
      <c r="J217">
        <f t="shared" si="13"/>
        <v>0</v>
      </c>
    </row>
    <row r="218" spans="9:10" x14ac:dyDescent="0.3">
      <c r="I218" s="8">
        <f t="shared" si="14"/>
        <v>9999999999.9999981</v>
      </c>
      <c r="J218">
        <f t="shared" si="13"/>
        <v>0</v>
      </c>
    </row>
    <row r="219" spans="9:10" x14ac:dyDescent="0.3">
      <c r="I219" s="8">
        <f t="shared" si="14"/>
        <v>99999999999.999985</v>
      </c>
      <c r="J219">
        <f t="shared" si="13"/>
        <v>0</v>
      </c>
    </row>
    <row r="220" spans="9:10" x14ac:dyDescent="0.3">
      <c r="I220" s="8">
        <f t="shared" si="14"/>
        <v>999999999999.99988</v>
      </c>
      <c r="J220">
        <f t="shared" si="13"/>
        <v>0</v>
      </c>
    </row>
    <row r="221" spans="9:10" x14ac:dyDescent="0.3">
      <c r="I221" s="8">
        <f t="shared" si="14"/>
        <v>9999999999999.998</v>
      </c>
      <c r="J221">
        <f t="shared" si="13"/>
        <v>0</v>
      </c>
    </row>
    <row r="222" spans="9:10" x14ac:dyDescent="0.3">
      <c r="I222" s="8">
        <f t="shared" si="14"/>
        <v>99999999999999.984</v>
      </c>
      <c r="J222">
        <f t="shared" si="13"/>
        <v>0</v>
      </c>
    </row>
    <row r="223" spans="9:10" x14ac:dyDescent="0.3">
      <c r="I223" s="8">
        <f t="shared" si="14"/>
        <v>999999999999999.87</v>
      </c>
      <c r="J223">
        <f t="shared" si="13"/>
        <v>0</v>
      </c>
    </row>
    <row r="224" spans="9:10" x14ac:dyDescent="0.3">
      <c r="I224" s="8">
        <f t="shared" si="14"/>
        <v>9999999999999998</v>
      </c>
      <c r="J224">
        <f t="shared" si="13"/>
        <v>0</v>
      </c>
    </row>
    <row r="225" spans="9:10" x14ac:dyDescent="0.3">
      <c r="I225" s="8">
        <f t="shared" si="14"/>
        <v>9.9999999999999984E+16</v>
      </c>
      <c r="J225">
        <f t="shared" si="13"/>
        <v>0</v>
      </c>
    </row>
    <row r="226" spans="9:10" x14ac:dyDescent="0.3">
      <c r="I226" s="8">
        <f t="shared" si="14"/>
        <v>9.9999999999999987E+17</v>
      </c>
      <c r="J226">
        <f t="shared" si="13"/>
        <v>0</v>
      </c>
    </row>
    <row r="227" spans="9:10" x14ac:dyDescent="0.3">
      <c r="I227" s="8">
        <f t="shared" si="14"/>
        <v>9.999999999999998E+18</v>
      </c>
      <c r="J227">
        <f t="shared" si="13"/>
        <v>0</v>
      </c>
    </row>
    <row r="228" spans="9:10" x14ac:dyDescent="0.3">
      <c r="I228" s="8">
        <f t="shared" si="14"/>
        <v>9.9999999999999984E+19</v>
      </c>
      <c r="J228">
        <f t="shared" si="13"/>
        <v>0</v>
      </c>
    </row>
    <row r="229" spans="9:10" x14ac:dyDescent="0.3">
      <c r="I229" s="8">
        <f t="shared" si="14"/>
        <v>9.9999999999999987E+20</v>
      </c>
      <c r="J229">
        <f t="shared" si="13"/>
        <v>0</v>
      </c>
    </row>
    <row r="230" spans="9:10" x14ac:dyDescent="0.3">
      <c r="I230" s="8">
        <f t="shared" si="14"/>
        <v>9.9999999999999979E+21</v>
      </c>
      <c r="J230">
        <f t="shared" si="13"/>
        <v>0</v>
      </c>
    </row>
    <row r="231" spans="9:10" x14ac:dyDescent="0.3">
      <c r="I231" s="8">
        <f t="shared" si="14"/>
        <v>9.9999999999999975E+22</v>
      </c>
      <c r="J231">
        <f t="shared" si="13"/>
        <v>0</v>
      </c>
    </row>
    <row r="232" spans="9:10" x14ac:dyDescent="0.3">
      <c r="I232" s="8">
        <f t="shared" si="14"/>
        <v>9.9999999999999971E+23</v>
      </c>
      <c r="J232">
        <f t="shared" si="13"/>
        <v>0</v>
      </c>
    </row>
    <row r="233" spans="9:10" x14ac:dyDescent="0.3">
      <c r="I233" s="8">
        <f t="shared" si="14"/>
        <v>9.9999999999999966E+24</v>
      </c>
      <c r="J233">
        <f t="shared" si="13"/>
        <v>0</v>
      </c>
    </row>
    <row r="234" spans="9:10" x14ac:dyDescent="0.3">
      <c r="I234" s="8">
        <f t="shared" si="14"/>
        <v>9.999999999999997E+25</v>
      </c>
      <c r="J234">
        <f t="shared" si="13"/>
        <v>0</v>
      </c>
    </row>
    <row r="235" spans="9:10" x14ac:dyDescent="0.3">
      <c r="I235" s="8">
        <f t="shared" si="14"/>
        <v>9.9999999999999974E+26</v>
      </c>
      <c r="J235">
        <f t="shared" si="13"/>
        <v>0</v>
      </c>
    </row>
    <row r="236" spans="9:10" x14ac:dyDescent="0.3">
      <c r="I236" s="8">
        <f t="shared" si="14"/>
        <v>9.9999999999999974E+27</v>
      </c>
      <c r="J236">
        <f t="shared" si="13"/>
        <v>0</v>
      </c>
    </row>
    <row r="237" spans="9:10" x14ac:dyDescent="0.3">
      <c r="I237" s="8">
        <f t="shared" si="14"/>
        <v>9.9999999999999974E+28</v>
      </c>
      <c r="J237">
        <f t="shared" si="13"/>
        <v>0</v>
      </c>
    </row>
    <row r="238" spans="9:10" x14ac:dyDescent="0.3">
      <c r="I238" s="8">
        <f t="shared" si="14"/>
        <v>9.9999999999999974E+29</v>
      </c>
      <c r="J238">
        <f t="shared" si="13"/>
        <v>0</v>
      </c>
    </row>
    <row r="239" spans="9:10" x14ac:dyDescent="0.3">
      <c r="I239" s="8">
        <f t="shared" si="14"/>
        <v>9.9999999999999974E+30</v>
      </c>
      <c r="J239">
        <f t="shared" si="13"/>
        <v>0</v>
      </c>
    </row>
    <row r="240" spans="9:10" x14ac:dyDescent="0.3">
      <c r="I240" s="8">
        <f t="shared" si="14"/>
        <v>9.9999999999999969E+31</v>
      </c>
      <c r="J240">
        <f t="shared" si="13"/>
        <v>0</v>
      </c>
    </row>
    <row r="241" spans="9:10" x14ac:dyDescent="0.3">
      <c r="I241" s="8">
        <f t="shared" si="14"/>
        <v>9.9999999999999966E+32</v>
      </c>
      <c r="J241">
        <f t="shared" si="13"/>
        <v>0</v>
      </c>
    </row>
    <row r="242" spans="9:10" x14ac:dyDescent="0.3">
      <c r="I242" s="8">
        <f t="shared" si="14"/>
        <v>9.999999999999996E+33</v>
      </c>
      <c r="J242">
        <f t="shared" si="13"/>
        <v>0</v>
      </c>
    </row>
    <row r="243" spans="9:10" x14ac:dyDescent="0.3">
      <c r="I243" s="8">
        <f t="shared" si="14"/>
        <v>9.999999999999996E+34</v>
      </c>
      <c r="J243">
        <f t="shared" si="13"/>
        <v>0</v>
      </c>
    </row>
    <row r="244" spans="9:10" x14ac:dyDescent="0.3">
      <c r="I244" s="8">
        <f t="shared" si="14"/>
        <v>9.999999999999996E+35</v>
      </c>
      <c r="J244">
        <f t="shared" si="13"/>
        <v>0</v>
      </c>
    </row>
    <row r="245" spans="9:10" x14ac:dyDescent="0.3">
      <c r="I245" s="8">
        <f t="shared" si="14"/>
        <v>9.999999999999996E+36</v>
      </c>
      <c r="J245">
        <f t="shared" si="13"/>
        <v>0</v>
      </c>
    </row>
    <row r="246" spans="9:10" x14ac:dyDescent="0.3">
      <c r="I246" s="8">
        <f t="shared" si="14"/>
        <v>9.999999999999996E+37</v>
      </c>
      <c r="J246">
        <f t="shared" si="13"/>
        <v>0</v>
      </c>
    </row>
    <row r="247" spans="9:10" x14ac:dyDescent="0.3">
      <c r="I247" s="8">
        <f t="shared" si="14"/>
        <v>9.9999999999999964E+38</v>
      </c>
      <c r="J247">
        <f t="shared" si="13"/>
        <v>0</v>
      </c>
    </row>
    <row r="248" spans="9:10" x14ac:dyDescent="0.3">
      <c r="I248" s="8">
        <f t="shared" si="14"/>
        <v>9.9999999999999967E+39</v>
      </c>
      <c r="J248">
        <f t="shared" si="13"/>
        <v>0</v>
      </c>
    </row>
    <row r="249" spans="9:10" x14ac:dyDescent="0.3">
      <c r="I249" s="8">
        <f t="shared" si="14"/>
        <v>9.9999999999999962E+40</v>
      </c>
      <c r="J249">
        <f t="shared" si="13"/>
        <v>0</v>
      </c>
    </row>
    <row r="250" spans="9:10" x14ac:dyDescent="0.3">
      <c r="I250" s="8">
        <f t="shared" si="14"/>
        <v>9.9999999999999958E+41</v>
      </c>
      <c r="J250">
        <f t="shared" si="13"/>
        <v>0</v>
      </c>
    </row>
    <row r="251" spans="9:10" x14ac:dyDescent="0.3">
      <c r="I251" s="8">
        <f t="shared" si="14"/>
        <v>9.9999999999999964E+42</v>
      </c>
      <c r="J251">
        <f t="shared" si="13"/>
        <v>0</v>
      </c>
    </row>
    <row r="252" spans="9:10" x14ac:dyDescent="0.3">
      <c r="I252" s="8">
        <f t="shared" si="14"/>
        <v>9.9999999999999969E+43</v>
      </c>
      <c r="J252">
        <f t="shared" si="13"/>
        <v>0</v>
      </c>
    </row>
    <row r="253" spans="9:10" x14ac:dyDescent="0.3">
      <c r="I253" s="8">
        <f t="shared" si="14"/>
        <v>9.9999999999999961E+44</v>
      </c>
      <c r="J253">
        <f t="shared" si="13"/>
        <v>0</v>
      </c>
    </row>
    <row r="254" spans="9:10" x14ac:dyDescent="0.3">
      <c r="I254" s="8">
        <f t="shared" si="14"/>
        <v>9.9999999999999961E+45</v>
      </c>
      <c r="J254">
        <f t="shared" si="13"/>
        <v>0</v>
      </c>
    </row>
    <row r="255" spans="9:10" x14ac:dyDescent="0.3">
      <c r="I255" s="8">
        <f t="shared" si="14"/>
        <v>9.9999999999999964E+46</v>
      </c>
      <c r="J255">
        <f t="shared" si="13"/>
        <v>0</v>
      </c>
    </row>
    <row r="256" spans="9:10" x14ac:dyDescent="0.3">
      <c r="I256" s="8">
        <f t="shared" si="14"/>
        <v>9.9999999999999956E+47</v>
      </c>
      <c r="J256">
        <f t="shared" si="13"/>
        <v>0</v>
      </c>
    </row>
    <row r="257" spans="9:10" x14ac:dyDescent="0.3">
      <c r="I257" s="8">
        <f t="shared" si="14"/>
        <v>9.9999999999999956E+48</v>
      </c>
      <c r="J257">
        <f t="shared" si="13"/>
        <v>0</v>
      </c>
    </row>
    <row r="258" spans="9:10" x14ac:dyDescent="0.3">
      <c r="I258" s="8">
        <f t="shared" si="14"/>
        <v>9.9999999999999966E+49</v>
      </c>
      <c r="J258">
        <f t="shared" si="13"/>
        <v>0</v>
      </c>
    </row>
    <row r="259" spans="9:10" x14ac:dyDescent="0.3">
      <c r="I259" s="8">
        <f t="shared" si="14"/>
        <v>9.9999999999999966E+50</v>
      </c>
      <c r="J259">
        <f t="shared" si="13"/>
        <v>0</v>
      </c>
    </row>
    <row r="260" spans="9:10" x14ac:dyDescent="0.3">
      <c r="I260" s="8">
        <f t="shared" si="14"/>
        <v>9.9999999999999973E+51</v>
      </c>
      <c r="J260">
        <f t="shared" si="13"/>
        <v>0</v>
      </c>
    </row>
    <row r="261" spans="9:10" x14ac:dyDescent="0.3">
      <c r="I261" s="8">
        <f t="shared" si="14"/>
        <v>9.9999999999999978E+52</v>
      </c>
      <c r="J261">
        <f t="shared" si="13"/>
        <v>0</v>
      </c>
    </row>
    <row r="262" spans="9:10" x14ac:dyDescent="0.3">
      <c r="I262" s="8">
        <f t="shared" si="14"/>
        <v>9.9999999999999974E+53</v>
      </c>
      <c r="J262">
        <f t="shared" si="13"/>
        <v>0</v>
      </c>
    </row>
    <row r="263" spans="9:10" x14ac:dyDescent="0.3">
      <c r="I263" s="8">
        <f t="shared" si="14"/>
        <v>9.9999999999999974E+54</v>
      </c>
      <c r="J263">
        <f t="shared" si="13"/>
        <v>0</v>
      </c>
    </row>
    <row r="264" spans="9:10" x14ac:dyDescent="0.3">
      <c r="I264" s="8">
        <f t="shared" si="14"/>
        <v>9.9999999999999966E+55</v>
      </c>
      <c r="J264">
        <f t="shared" si="13"/>
        <v>0</v>
      </c>
    </row>
    <row r="265" spans="9:10" x14ac:dyDescent="0.3">
      <c r="I265" s="8">
        <f t="shared" si="14"/>
        <v>9.999999999999997E+56</v>
      </c>
      <c r="J265">
        <f t="shared" si="13"/>
        <v>0</v>
      </c>
    </row>
    <row r="266" spans="9:10" x14ac:dyDescent="0.3">
      <c r="I266" s="8">
        <f t="shared" si="14"/>
        <v>9.9999999999999967E+57</v>
      </c>
      <c r="J266">
        <f t="shared" si="13"/>
        <v>0</v>
      </c>
    </row>
    <row r="267" spans="9:10" x14ac:dyDescent="0.3">
      <c r="I267" s="8">
        <f t="shared" si="14"/>
        <v>9.9999999999999964E+58</v>
      </c>
      <c r="J267">
        <f t="shared" si="13"/>
        <v>0</v>
      </c>
    </row>
    <row r="268" spans="9:10" x14ac:dyDescent="0.3">
      <c r="I268" s="8">
        <f t="shared" si="14"/>
        <v>9.9999999999999959E+59</v>
      </c>
      <c r="J268">
        <f t="shared" ref="J268:J331" si="15">I268*(1-$B$9*I268)*EXP(-I268)</f>
        <v>0</v>
      </c>
    </row>
    <row r="269" spans="9:10" x14ac:dyDescent="0.3">
      <c r="I269" s="8">
        <f t="shared" si="14"/>
        <v>9.9999999999999952E+60</v>
      </c>
      <c r="J269">
        <f t="shared" si="15"/>
        <v>0</v>
      </c>
    </row>
    <row r="270" spans="9:10" x14ac:dyDescent="0.3">
      <c r="I270" s="8">
        <f t="shared" si="14"/>
        <v>9.9999999999999946E+61</v>
      </c>
      <c r="J270">
        <f t="shared" si="15"/>
        <v>0</v>
      </c>
    </row>
    <row r="271" spans="9:10" x14ac:dyDescent="0.3">
      <c r="I271" s="8">
        <f t="shared" si="14"/>
        <v>9.9999999999999951E+62</v>
      </c>
      <c r="J271">
        <f t="shared" si="15"/>
        <v>0</v>
      </c>
    </row>
    <row r="272" spans="9:10" x14ac:dyDescent="0.3">
      <c r="I272" s="8">
        <f t="shared" si="14"/>
        <v>9.9999999999999958E+63</v>
      </c>
      <c r="J272">
        <f t="shared" si="15"/>
        <v>0</v>
      </c>
    </row>
    <row r="273" spans="9:10" x14ac:dyDescent="0.3">
      <c r="I273" s="8">
        <f t="shared" si="14"/>
        <v>9.9999999999999952E+64</v>
      </c>
      <c r="J273">
        <f t="shared" si="15"/>
        <v>0</v>
      </c>
    </row>
    <row r="274" spans="9:10" x14ac:dyDescent="0.3">
      <c r="I274" s="8">
        <f t="shared" si="14"/>
        <v>9.9999999999999957E+65</v>
      </c>
      <c r="J274">
        <f t="shared" si="15"/>
        <v>0</v>
      </c>
    </row>
    <row r="275" spans="9:10" x14ac:dyDescent="0.3">
      <c r="I275" s="8">
        <f t="shared" si="14"/>
        <v>9.9999999999999953E+66</v>
      </c>
      <c r="J275">
        <f t="shared" si="15"/>
        <v>0</v>
      </c>
    </row>
    <row r="276" spans="9:10" x14ac:dyDescent="0.3">
      <c r="I276" s="8">
        <f t="shared" ref="I276:I339" si="16">I275*10</f>
        <v>9.9999999999999959E+67</v>
      </c>
      <c r="J276">
        <f t="shared" si="15"/>
        <v>0</v>
      </c>
    </row>
    <row r="277" spans="9:10" x14ac:dyDescent="0.3">
      <c r="I277" s="8">
        <f t="shared" si="16"/>
        <v>9.9999999999999969E+68</v>
      </c>
      <c r="J277">
        <f t="shared" si="15"/>
        <v>0</v>
      </c>
    </row>
    <row r="278" spans="9:10" x14ac:dyDescent="0.3">
      <c r="I278" s="8">
        <f t="shared" si="16"/>
        <v>9.9999999999999961E+69</v>
      </c>
      <c r="J278">
        <f t="shared" si="15"/>
        <v>0</v>
      </c>
    </row>
    <row r="279" spans="9:10" x14ac:dyDescent="0.3">
      <c r="I279" s="8">
        <f t="shared" si="16"/>
        <v>9.9999999999999955E+70</v>
      </c>
      <c r="J279">
        <f t="shared" si="15"/>
        <v>0</v>
      </c>
    </row>
    <row r="280" spans="9:10" x14ac:dyDescent="0.3">
      <c r="I280" s="8">
        <f t="shared" si="16"/>
        <v>9.9999999999999955E+71</v>
      </c>
      <c r="J280">
        <f t="shared" si="15"/>
        <v>0</v>
      </c>
    </row>
    <row r="281" spans="9:10" x14ac:dyDescent="0.3">
      <c r="I281" s="8">
        <f t="shared" si="16"/>
        <v>9.9999999999999951E+72</v>
      </c>
      <c r="J281">
        <f t="shared" si="15"/>
        <v>0</v>
      </c>
    </row>
    <row r="282" spans="9:10" x14ac:dyDescent="0.3">
      <c r="I282" s="8">
        <f t="shared" si="16"/>
        <v>9.9999999999999958E+73</v>
      </c>
      <c r="J282">
        <f t="shared" si="15"/>
        <v>0</v>
      </c>
    </row>
    <row r="283" spans="9:10" x14ac:dyDescent="0.3">
      <c r="I283" s="8">
        <f t="shared" si="16"/>
        <v>9.9999999999999952E+74</v>
      </c>
      <c r="J283">
        <f t="shared" si="15"/>
        <v>0</v>
      </c>
    </row>
    <row r="284" spans="9:10" x14ac:dyDescent="0.3">
      <c r="I284" s="8">
        <f t="shared" si="16"/>
        <v>9.9999999999999956E+75</v>
      </c>
      <c r="J284">
        <f t="shared" si="15"/>
        <v>0</v>
      </c>
    </row>
    <row r="285" spans="9:10" x14ac:dyDescent="0.3">
      <c r="I285" s="8">
        <f t="shared" si="16"/>
        <v>9.999999999999996E+76</v>
      </c>
      <c r="J285">
        <f t="shared" si="15"/>
        <v>0</v>
      </c>
    </row>
    <row r="286" spans="9:10" x14ac:dyDescent="0.3">
      <c r="I286" s="8">
        <f t="shared" si="16"/>
        <v>9.999999999999996E+77</v>
      </c>
      <c r="J286">
        <f t="shared" si="15"/>
        <v>0</v>
      </c>
    </row>
    <row r="287" spans="9:10" x14ac:dyDescent="0.3">
      <c r="I287" s="8">
        <f t="shared" si="16"/>
        <v>9.9999999999999964E+78</v>
      </c>
      <c r="J287">
        <f t="shared" si="15"/>
        <v>0</v>
      </c>
    </row>
    <row r="288" spans="9:10" x14ac:dyDescent="0.3">
      <c r="I288" s="8">
        <f t="shared" si="16"/>
        <v>9.9999999999999961E+79</v>
      </c>
      <c r="J288">
        <f t="shared" si="15"/>
        <v>0</v>
      </c>
    </row>
    <row r="289" spans="9:10" x14ac:dyDescent="0.3">
      <c r="I289" s="8">
        <f t="shared" si="16"/>
        <v>9.9999999999999971E+80</v>
      </c>
      <c r="J289">
        <f t="shared" si="15"/>
        <v>0</v>
      </c>
    </row>
    <row r="290" spans="9:10" x14ac:dyDescent="0.3">
      <c r="I290" s="8">
        <f t="shared" si="16"/>
        <v>9.9999999999999963E+81</v>
      </c>
      <c r="J290">
        <f t="shared" si="15"/>
        <v>0</v>
      </c>
    </row>
    <row r="291" spans="9:10" x14ac:dyDescent="0.3">
      <c r="I291" s="8">
        <f t="shared" si="16"/>
        <v>9.9999999999999963E+82</v>
      </c>
      <c r="J291">
        <f t="shared" si="15"/>
        <v>0</v>
      </c>
    </row>
    <row r="292" spans="9:10" x14ac:dyDescent="0.3">
      <c r="I292" s="8">
        <f t="shared" si="16"/>
        <v>9.9999999999999963E+83</v>
      </c>
      <c r="J292">
        <f t="shared" si="15"/>
        <v>0</v>
      </c>
    </row>
    <row r="293" spans="9:10" x14ac:dyDescent="0.3">
      <c r="I293" s="8">
        <f t="shared" si="16"/>
        <v>9.9999999999999967E+84</v>
      </c>
      <c r="J293">
        <f t="shared" si="15"/>
        <v>0</v>
      </c>
    </row>
    <row r="294" spans="9:10" x14ac:dyDescent="0.3">
      <c r="I294" s="8">
        <f t="shared" si="16"/>
        <v>9.9999999999999974E+85</v>
      </c>
      <c r="J294">
        <f t="shared" si="15"/>
        <v>0</v>
      </c>
    </row>
    <row r="295" spans="9:10" x14ac:dyDescent="0.3">
      <c r="I295" s="8">
        <f t="shared" si="16"/>
        <v>9.9999999999999974E+86</v>
      </c>
      <c r="J295">
        <f t="shared" si="15"/>
        <v>0</v>
      </c>
    </row>
    <row r="296" spans="9:10" x14ac:dyDescent="0.3">
      <c r="I296" s="8">
        <f t="shared" si="16"/>
        <v>9.9999999999999978E+87</v>
      </c>
      <c r="J296">
        <f t="shared" si="15"/>
        <v>0</v>
      </c>
    </row>
    <row r="297" spans="9:10" x14ac:dyDescent="0.3">
      <c r="I297" s="8">
        <f t="shared" si="16"/>
        <v>9.9999999999999985E+88</v>
      </c>
      <c r="J297">
        <f t="shared" si="15"/>
        <v>0</v>
      </c>
    </row>
    <row r="298" spans="9:10" x14ac:dyDescent="0.3">
      <c r="I298" s="8">
        <f t="shared" si="16"/>
        <v>9.9999999999999985E+89</v>
      </c>
      <c r="J298">
        <f t="shared" si="15"/>
        <v>0</v>
      </c>
    </row>
    <row r="299" spans="9:10" x14ac:dyDescent="0.3">
      <c r="I299" s="8">
        <f t="shared" si="16"/>
        <v>9.999999999999999E+90</v>
      </c>
      <c r="J299">
        <f t="shared" si="15"/>
        <v>0</v>
      </c>
    </row>
    <row r="300" spans="9:10" x14ac:dyDescent="0.3">
      <c r="I300" s="8">
        <f t="shared" si="16"/>
        <v>9.999999999999999E+91</v>
      </c>
      <c r="J300">
        <f t="shared" si="15"/>
        <v>0</v>
      </c>
    </row>
    <row r="301" spans="9:10" x14ac:dyDescent="0.3">
      <c r="I301" s="8">
        <f t="shared" si="16"/>
        <v>9.9999999999999993E+92</v>
      </c>
      <c r="J301">
        <f t="shared" si="15"/>
        <v>0</v>
      </c>
    </row>
    <row r="302" spans="9:10" x14ac:dyDescent="0.3">
      <c r="I302" s="8">
        <f t="shared" si="16"/>
        <v>1E+94</v>
      </c>
      <c r="J302">
        <f t="shared" si="15"/>
        <v>0</v>
      </c>
    </row>
    <row r="303" spans="9:10" x14ac:dyDescent="0.3">
      <c r="I303" s="8">
        <f t="shared" si="16"/>
        <v>1E+95</v>
      </c>
      <c r="J303">
        <f t="shared" si="15"/>
        <v>0</v>
      </c>
    </row>
    <row r="304" spans="9:10" x14ac:dyDescent="0.3">
      <c r="I304" s="8">
        <f t="shared" si="16"/>
        <v>1E+96</v>
      </c>
      <c r="J304">
        <f t="shared" si="15"/>
        <v>0</v>
      </c>
    </row>
    <row r="305" spans="9:10" x14ac:dyDescent="0.3">
      <c r="I305" s="8">
        <f t="shared" si="16"/>
        <v>1.0000000000000001E+97</v>
      </c>
      <c r="J305">
        <f t="shared" si="15"/>
        <v>0</v>
      </c>
    </row>
    <row r="306" spans="9:10" x14ac:dyDescent="0.3">
      <c r="I306" s="8">
        <f t="shared" si="16"/>
        <v>1.0000000000000001E+98</v>
      </c>
      <c r="J306">
        <f t="shared" si="15"/>
        <v>0</v>
      </c>
    </row>
    <row r="307" spans="9:10" x14ac:dyDescent="0.3">
      <c r="I307" s="8">
        <f t="shared" si="16"/>
        <v>1.0000000000000002E+99</v>
      </c>
      <c r="J307">
        <f t="shared" si="15"/>
        <v>0</v>
      </c>
    </row>
    <row r="308" spans="9:10" x14ac:dyDescent="0.3">
      <c r="I308" s="8">
        <f t="shared" si="16"/>
        <v>1.0000000000000002E+100</v>
      </c>
      <c r="J308">
        <f t="shared" si="15"/>
        <v>0</v>
      </c>
    </row>
    <row r="309" spans="9:10" x14ac:dyDescent="0.3">
      <c r="I309" s="8">
        <f t="shared" si="16"/>
        <v>1.0000000000000003E+101</v>
      </c>
      <c r="J309">
        <f t="shared" si="15"/>
        <v>0</v>
      </c>
    </row>
    <row r="310" spans="9:10" x14ac:dyDescent="0.3">
      <c r="I310" s="8">
        <f t="shared" si="16"/>
        <v>1.0000000000000004E+102</v>
      </c>
      <c r="J310">
        <f t="shared" si="15"/>
        <v>0</v>
      </c>
    </row>
    <row r="311" spans="9:10" x14ac:dyDescent="0.3">
      <c r="I311" s="8">
        <f t="shared" si="16"/>
        <v>1.0000000000000004E+103</v>
      </c>
      <c r="J311">
        <f t="shared" si="15"/>
        <v>0</v>
      </c>
    </row>
    <row r="312" spans="9:10" x14ac:dyDescent="0.3">
      <c r="I312" s="8">
        <f t="shared" si="16"/>
        <v>1.0000000000000003E+104</v>
      </c>
      <c r="J312">
        <f t="shared" si="15"/>
        <v>0</v>
      </c>
    </row>
    <row r="313" spans="9:10" x14ac:dyDescent="0.3">
      <c r="I313" s="8">
        <f t="shared" si="16"/>
        <v>1.0000000000000003E+105</v>
      </c>
      <c r="J313">
        <f t="shared" si="15"/>
        <v>0</v>
      </c>
    </row>
    <row r="314" spans="9:10" x14ac:dyDescent="0.3">
      <c r="I314" s="8">
        <f t="shared" si="16"/>
        <v>1.0000000000000003E+106</v>
      </c>
      <c r="J314">
        <f t="shared" si="15"/>
        <v>0</v>
      </c>
    </row>
    <row r="315" spans="9:10" x14ac:dyDescent="0.3">
      <c r="I315" s="8">
        <f t="shared" si="16"/>
        <v>1.0000000000000003E+107</v>
      </c>
      <c r="J315">
        <f t="shared" si="15"/>
        <v>0</v>
      </c>
    </row>
    <row r="316" spans="9:10" x14ac:dyDescent="0.3">
      <c r="I316" s="8">
        <f t="shared" si="16"/>
        <v>1.0000000000000003E+108</v>
      </c>
      <c r="J316">
        <f t="shared" si="15"/>
        <v>0</v>
      </c>
    </row>
    <row r="317" spans="9:10" x14ac:dyDescent="0.3">
      <c r="I317" s="8">
        <f t="shared" si="16"/>
        <v>1.0000000000000002E+109</v>
      </c>
      <c r="J317">
        <f t="shared" si="15"/>
        <v>0</v>
      </c>
    </row>
    <row r="318" spans="9:10" x14ac:dyDescent="0.3">
      <c r="I318" s="8">
        <f t="shared" si="16"/>
        <v>1.0000000000000002E+110</v>
      </c>
      <c r="J318">
        <f t="shared" si="15"/>
        <v>0</v>
      </c>
    </row>
    <row r="319" spans="9:10" x14ac:dyDescent="0.3">
      <c r="I319" s="8">
        <f t="shared" si="16"/>
        <v>1.0000000000000002E+111</v>
      </c>
      <c r="J319">
        <f t="shared" si="15"/>
        <v>0</v>
      </c>
    </row>
    <row r="320" spans="9:10" x14ac:dyDescent="0.3">
      <c r="I320" s="8">
        <f t="shared" si="16"/>
        <v>1.0000000000000001E+112</v>
      </c>
      <c r="J320">
        <f t="shared" si="15"/>
        <v>0</v>
      </c>
    </row>
    <row r="321" spans="9:10" x14ac:dyDescent="0.3">
      <c r="I321" s="8">
        <f t="shared" si="16"/>
        <v>1.0000000000000002E+113</v>
      </c>
      <c r="J321">
        <f t="shared" si="15"/>
        <v>0</v>
      </c>
    </row>
    <row r="322" spans="9:10" x14ac:dyDescent="0.3">
      <c r="I322" s="8">
        <f t="shared" si="16"/>
        <v>1.0000000000000002E+114</v>
      </c>
      <c r="J322">
        <f t="shared" si="15"/>
        <v>0</v>
      </c>
    </row>
    <row r="323" spans="9:10" x14ac:dyDescent="0.3">
      <c r="I323" s="8">
        <f t="shared" si="16"/>
        <v>1.0000000000000002E+115</v>
      </c>
      <c r="J323">
        <f t="shared" si="15"/>
        <v>0</v>
      </c>
    </row>
    <row r="324" spans="9:10" x14ac:dyDescent="0.3">
      <c r="I324" s="8">
        <f t="shared" si="16"/>
        <v>1.0000000000000002E+116</v>
      </c>
      <c r="J324">
        <f t="shared" si="15"/>
        <v>0</v>
      </c>
    </row>
    <row r="325" spans="9:10" x14ac:dyDescent="0.3">
      <c r="I325" s="8">
        <f t="shared" si="16"/>
        <v>1.0000000000000002E+117</v>
      </c>
      <c r="J325">
        <f t="shared" si="15"/>
        <v>0</v>
      </c>
    </row>
    <row r="326" spans="9:10" x14ac:dyDescent="0.3">
      <c r="I326" s="8">
        <f t="shared" si="16"/>
        <v>1.0000000000000002E+118</v>
      </c>
      <c r="J326">
        <f t="shared" si="15"/>
        <v>0</v>
      </c>
    </row>
    <row r="327" spans="9:10" x14ac:dyDescent="0.3">
      <c r="I327" s="8">
        <f t="shared" si="16"/>
        <v>1.0000000000000001E+119</v>
      </c>
      <c r="J327">
        <f t="shared" si="15"/>
        <v>0</v>
      </c>
    </row>
    <row r="328" spans="9:10" x14ac:dyDescent="0.3">
      <c r="I328" s="8">
        <f t="shared" si="16"/>
        <v>1.0000000000000001E+120</v>
      </c>
      <c r="J328">
        <f t="shared" si="15"/>
        <v>0</v>
      </c>
    </row>
    <row r="329" spans="9:10" x14ac:dyDescent="0.3">
      <c r="I329" s="8">
        <f t="shared" si="16"/>
        <v>1.0000000000000002E+121</v>
      </c>
      <c r="J329">
        <f t="shared" si="15"/>
        <v>0</v>
      </c>
    </row>
    <row r="330" spans="9:10" x14ac:dyDescent="0.3">
      <c r="I330" s="8">
        <f t="shared" si="16"/>
        <v>1.0000000000000002E+122</v>
      </c>
      <c r="J330">
        <f t="shared" si="15"/>
        <v>0</v>
      </c>
    </row>
    <row r="331" spans="9:10" x14ac:dyDescent="0.3">
      <c r="I331" s="8">
        <f t="shared" si="16"/>
        <v>1.0000000000000001E+123</v>
      </c>
      <c r="J331">
        <f t="shared" si="15"/>
        <v>0</v>
      </c>
    </row>
    <row r="332" spans="9:10" x14ac:dyDescent="0.3">
      <c r="I332" s="8">
        <f t="shared" si="16"/>
        <v>1.0000000000000001E+124</v>
      </c>
      <c r="J332">
        <f t="shared" ref="J332:J362" si="17">I332*(1-$B$9*I332)*EXP(-I332)</f>
        <v>0</v>
      </c>
    </row>
    <row r="333" spans="9:10" x14ac:dyDescent="0.3">
      <c r="I333" s="8">
        <f t="shared" si="16"/>
        <v>1.0000000000000001E+125</v>
      </c>
      <c r="J333">
        <f t="shared" si="17"/>
        <v>0</v>
      </c>
    </row>
    <row r="334" spans="9:10" x14ac:dyDescent="0.3">
      <c r="I334" s="8">
        <f t="shared" si="16"/>
        <v>1.0000000000000001E+126</v>
      </c>
      <c r="J334">
        <f t="shared" si="17"/>
        <v>0</v>
      </c>
    </row>
    <row r="335" spans="9:10" x14ac:dyDescent="0.3">
      <c r="I335" s="8">
        <f t="shared" si="16"/>
        <v>1.0000000000000001E+127</v>
      </c>
      <c r="J335">
        <f t="shared" si="17"/>
        <v>0</v>
      </c>
    </row>
    <row r="336" spans="9:10" x14ac:dyDescent="0.3">
      <c r="I336" s="8">
        <f t="shared" si="16"/>
        <v>1.0000000000000001E+128</v>
      </c>
      <c r="J336">
        <f t="shared" si="17"/>
        <v>0</v>
      </c>
    </row>
    <row r="337" spans="9:10" x14ac:dyDescent="0.3">
      <c r="I337" s="8">
        <f t="shared" si="16"/>
        <v>1E+129</v>
      </c>
      <c r="J337">
        <f t="shared" si="17"/>
        <v>0</v>
      </c>
    </row>
    <row r="338" spans="9:10" x14ac:dyDescent="0.3">
      <c r="I338" s="8">
        <f t="shared" si="16"/>
        <v>1.0000000000000001E+130</v>
      </c>
      <c r="J338">
        <f t="shared" si="17"/>
        <v>0</v>
      </c>
    </row>
    <row r="339" spans="9:10" x14ac:dyDescent="0.3">
      <c r="I339" s="8">
        <f t="shared" si="16"/>
        <v>1.0000000000000001E+131</v>
      </c>
      <c r="J339">
        <f t="shared" si="17"/>
        <v>0</v>
      </c>
    </row>
    <row r="340" spans="9:10" x14ac:dyDescent="0.3">
      <c r="I340" s="8">
        <f t="shared" ref="I340:I362" si="18">I339*10</f>
        <v>1.0000000000000001E+132</v>
      </c>
      <c r="J340">
        <f t="shared" si="17"/>
        <v>0</v>
      </c>
    </row>
    <row r="341" spans="9:10" x14ac:dyDescent="0.3">
      <c r="I341" s="8">
        <f t="shared" si="18"/>
        <v>1.0000000000000001E+133</v>
      </c>
      <c r="J341">
        <f t="shared" si="17"/>
        <v>0</v>
      </c>
    </row>
    <row r="342" spans="9:10" x14ac:dyDescent="0.3">
      <c r="I342" s="8">
        <f t="shared" si="18"/>
        <v>1.0000000000000001E+134</v>
      </c>
      <c r="J342">
        <f t="shared" si="17"/>
        <v>0</v>
      </c>
    </row>
    <row r="343" spans="9:10" x14ac:dyDescent="0.3">
      <c r="I343" s="8">
        <f t="shared" si="18"/>
        <v>1.0000000000000001E+135</v>
      </c>
      <c r="J343">
        <f t="shared" si="17"/>
        <v>0</v>
      </c>
    </row>
    <row r="344" spans="9:10" x14ac:dyDescent="0.3">
      <c r="I344" s="8">
        <f t="shared" si="18"/>
        <v>1.0000000000000002E+136</v>
      </c>
      <c r="J344">
        <f t="shared" si="17"/>
        <v>0</v>
      </c>
    </row>
    <row r="345" spans="9:10" x14ac:dyDescent="0.3">
      <c r="I345" s="8">
        <f t="shared" si="18"/>
        <v>1.0000000000000002E+137</v>
      </c>
      <c r="J345">
        <f t="shared" si="17"/>
        <v>0</v>
      </c>
    </row>
    <row r="346" spans="9:10" x14ac:dyDescent="0.3">
      <c r="I346" s="8">
        <f t="shared" si="18"/>
        <v>1.0000000000000002E+138</v>
      </c>
      <c r="J346">
        <f t="shared" si="17"/>
        <v>0</v>
      </c>
    </row>
    <row r="347" spans="9:10" x14ac:dyDescent="0.3">
      <c r="I347" s="8">
        <f t="shared" si="18"/>
        <v>1.0000000000000002E+139</v>
      </c>
      <c r="J347">
        <f t="shared" si="17"/>
        <v>0</v>
      </c>
    </row>
    <row r="348" spans="9:10" x14ac:dyDescent="0.3">
      <c r="I348" s="8">
        <f t="shared" si="18"/>
        <v>1.0000000000000003E+140</v>
      </c>
      <c r="J348">
        <f t="shared" si="17"/>
        <v>0</v>
      </c>
    </row>
    <row r="349" spans="9:10" x14ac:dyDescent="0.3">
      <c r="I349" s="8">
        <f t="shared" si="18"/>
        <v>1.0000000000000002E+141</v>
      </c>
      <c r="J349">
        <f t="shared" si="17"/>
        <v>0</v>
      </c>
    </row>
    <row r="350" spans="9:10" x14ac:dyDescent="0.3">
      <c r="I350" s="8">
        <f t="shared" si="18"/>
        <v>1.0000000000000002E+142</v>
      </c>
      <c r="J350">
        <f t="shared" si="17"/>
        <v>0</v>
      </c>
    </row>
    <row r="351" spans="9:10" x14ac:dyDescent="0.3">
      <c r="I351" s="8">
        <f t="shared" si="18"/>
        <v>1.0000000000000002E+143</v>
      </c>
      <c r="J351">
        <f t="shared" si="17"/>
        <v>0</v>
      </c>
    </row>
    <row r="352" spans="9:10" x14ac:dyDescent="0.3">
      <c r="I352" s="8">
        <f t="shared" si="18"/>
        <v>1.0000000000000002E+144</v>
      </c>
      <c r="J352">
        <f t="shared" si="17"/>
        <v>0</v>
      </c>
    </row>
    <row r="353" spans="9:10" x14ac:dyDescent="0.3">
      <c r="I353" s="8">
        <f t="shared" si="18"/>
        <v>1.0000000000000003E+145</v>
      </c>
      <c r="J353">
        <f t="shared" si="17"/>
        <v>0</v>
      </c>
    </row>
    <row r="354" spans="9:10" x14ac:dyDescent="0.3">
      <c r="I354" s="8">
        <f t="shared" si="18"/>
        <v>1.0000000000000002E+146</v>
      </c>
      <c r="J354">
        <f t="shared" si="17"/>
        <v>0</v>
      </c>
    </row>
    <row r="355" spans="9:10" x14ac:dyDescent="0.3">
      <c r="I355" s="8">
        <f t="shared" si="18"/>
        <v>1.0000000000000002E+147</v>
      </c>
      <c r="J355">
        <f t="shared" si="17"/>
        <v>0</v>
      </c>
    </row>
    <row r="356" spans="9:10" x14ac:dyDescent="0.3">
      <c r="I356" s="8">
        <f t="shared" si="18"/>
        <v>1.0000000000000002E+148</v>
      </c>
      <c r="J356">
        <f t="shared" si="17"/>
        <v>0</v>
      </c>
    </row>
    <row r="357" spans="9:10" x14ac:dyDescent="0.3">
      <c r="I357" s="8">
        <f t="shared" si="18"/>
        <v>1.0000000000000002E+149</v>
      </c>
      <c r="J357">
        <f t="shared" si="17"/>
        <v>0</v>
      </c>
    </row>
    <row r="358" spans="9:10" x14ac:dyDescent="0.3">
      <c r="I358" s="8">
        <f t="shared" si="18"/>
        <v>1.0000000000000002E+150</v>
      </c>
      <c r="J358">
        <f t="shared" si="17"/>
        <v>0</v>
      </c>
    </row>
    <row r="359" spans="9:10" x14ac:dyDescent="0.3">
      <c r="I359" s="8">
        <f t="shared" si="18"/>
        <v>1.0000000000000002E+151</v>
      </c>
      <c r="J359">
        <f t="shared" si="17"/>
        <v>0</v>
      </c>
    </row>
    <row r="360" spans="9:10" x14ac:dyDescent="0.3">
      <c r="I360" s="8">
        <f t="shared" si="18"/>
        <v>1.0000000000000002E+152</v>
      </c>
      <c r="J360">
        <f t="shared" si="17"/>
        <v>0</v>
      </c>
    </row>
    <row r="361" spans="9:10" x14ac:dyDescent="0.3">
      <c r="I361" s="8">
        <f t="shared" si="18"/>
        <v>1.0000000000000002E+153</v>
      </c>
      <c r="J361">
        <f t="shared" si="17"/>
        <v>0</v>
      </c>
    </row>
    <row r="362" spans="9:10" x14ac:dyDescent="0.3">
      <c r="I362" s="8">
        <f t="shared" si="18"/>
        <v>1.0000000000000002E+154</v>
      </c>
      <c r="J362">
        <f t="shared" si="17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Sheet1</vt:lpstr>
      <vt:lpstr>ddx_pdf extrema</vt:lpstr>
      <vt:lpstr>g_1_alpha_g_exp_m_g</vt:lpstr>
      <vt:lpstr>g_exp_m_g</vt:lpstr>
      <vt:lpstr>add_l</vt:lpstr>
      <vt:lpstr>add_r</vt:lpstr>
      <vt:lpstr>alpha</vt:lpstr>
      <vt:lpstr>alpha_m_1</vt:lpstr>
      <vt:lpstr>alpha_near_1</vt:lpstr>
      <vt:lpstr>beta</vt:lpstr>
      <vt:lpstr>cat0</vt:lpstr>
      <vt:lpstr>ea</vt:lpstr>
      <vt:lpstr>flip</vt:lpstr>
      <vt:lpstr>i2b</vt:lpstr>
      <vt:lpstr>p2b</vt:lpstr>
      <vt:lpstr>th_max</vt:lpstr>
      <vt:lpstr>theta0</vt:lpstr>
      <vt:lpstr>use_alpha_near_1</vt:lpstr>
      <vt:lpstr>use_th_l</vt:lpstr>
      <vt:lpstr>x</vt:lpstr>
      <vt:lpstr>x_m_zeta</vt:lpstr>
      <vt:lpstr>zeta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Dunn</dc:creator>
  <cp:lastModifiedBy>Joseph Dunn</cp:lastModifiedBy>
  <dcterms:created xsi:type="dcterms:W3CDTF">2015-10-26T02:43:47Z</dcterms:created>
  <dcterms:modified xsi:type="dcterms:W3CDTF">2016-08-02T00:08:21Z</dcterms:modified>
</cp:coreProperties>
</file>